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-0120-P-PRD-DI\Documents Network Produksi - PM\2026\1. JANUARI\"/>
    </mc:Choice>
  </mc:AlternateContent>
  <bookViews>
    <workbookView xWindow="-105" yWindow="-105" windowWidth="20730" windowHeight="11760" tabRatio="930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46" r:id="rId5"/>
    <sheet name="Efficiency2" sheetId="57" r:id="rId6"/>
    <sheet name="Chem" sheetId="1" r:id="rId7"/>
    <sheet name="RBP" sheetId="54" r:id="rId8"/>
    <sheet name="BB" sheetId="2" r:id="rId9"/>
    <sheet name="Sheet1" sheetId="56" r:id="rId10"/>
    <sheet name="summary" sheetId="55" r:id="rId11"/>
    <sheet name="31" sheetId="43" r:id="rId12"/>
    <sheet name="30" sheetId="4" r:id="rId13"/>
    <sheet name="28" sheetId="6" r:id="rId14"/>
    <sheet name="29" sheetId="37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</externalReferences>
  <definedNames>
    <definedName name="_xlnm._FilterDatabase" localSheetId="9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3">'28'!$A$1:$M$61</definedName>
    <definedName name="_xlnm.Print_Area" localSheetId="14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Chem!$CE$6:$CQ$15</definedName>
    <definedName name="_xlnm.Print_Area" localSheetId="4">Efficiency1!$A$1:$AD$167</definedName>
    <definedName name="_xlnm.Print_Area" localSheetId="5">Efficiency2!$A$1:$AD$165</definedName>
    <definedName name="_xlnm.Print_Area" localSheetId="2">Listrik!$A$2:$AT$40</definedName>
    <definedName name="_xlnm.Print_Area" localSheetId="0">Report1!$A$3:$AK$41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0" i="48" l="1"/>
  <c r="AP11" i="48"/>
  <c r="AP12" i="48"/>
  <c r="AP13" i="48"/>
  <c r="AP14" i="48"/>
  <c r="AP15" i="48"/>
  <c r="AP16" i="48"/>
  <c r="AP17" i="48"/>
  <c r="AP18" i="48"/>
  <c r="AP19" i="48"/>
  <c r="AP20" i="48"/>
  <c r="AP21" i="48"/>
  <c r="AP22" i="48"/>
  <c r="AP23" i="48"/>
  <c r="AP24" i="48"/>
  <c r="AP25" i="48"/>
  <c r="AP26" i="48"/>
  <c r="AP27" i="48"/>
  <c r="AP28" i="48"/>
  <c r="AP29" i="48"/>
  <c r="AP30" i="48"/>
  <c r="AP31" i="48"/>
  <c r="AP32" i="48"/>
  <c r="AP33" i="48"/>
  <c r="AP34" i="48"/>
  <c r="AP35" i="48"/>
  <c r="AP36" i="48"/>
  <c r="AP37" i="48"/>
  <c r="AP38" i="48"/>
  <c r="AP39" i="48"/>
  <c r="AA4" i="54" l="1"/>
  <c r="AA3" i="54"/>
  <c r="U11" i="54"/>
  <c r="U4" i="54"/>
  <c r="U3" i="54"/>
  <c r="W11" i="54" l="1"/>
  <c r="N162" i="57" l="1"/>
  <c r="H162" i="57" s="1"/>
  <c r="N161" i="57"/>
  <c r="H161" i="57" s="1"/>
  <c r="N155" i="57"/>
  <c r="H155" i="57"/>
  <c r="G155" i="57"/>
  <c r="J155" i="57" s="1"/>
  <c r="N151" i="57"/>
  <c r="H151" i="57" s="1"/>
  <c r="G151" i="57"/>
  <c r="N150" i="57"/>
  <c r="H150" i="57" s="1"/>
  <c r="G150" i="57"/>
  <c r="N145" i="57"/>
  <c r="H145" i="57" s="1"/>
  <c r="G145" i="57"/>
  <c r="N140" i="57"/>
  <c r="H140" i="57" s="1"/>
  <c r="G140" i="57"/>
  <c r="N134" i="57"/>
  <c r="H134" i="57" s="1"/>
  <c r="J134" i="57" s="1"/>
  <c r="G134" i="57"/>
  <c r="N128" i="57"/>
  <c r="H128" i="57" s="1"/>
  <c r="G128" i="57"/>
  <c r="N123" i="57"/>
  <c r="H123" i="57" s="1"/>
  <c r="G123" i="57"/>
  <c r="N118" i="57"/>
  <c r="H118" i="57" s="1"/>
  <c r="G118" i="57"/>
  <c r="N115" i="57"/>
  <c r="H115" i="57" s="1"/>
  <c r="M115" i="57"/>
  <c r="G115" i="57"/>
  <c r="M114" i="57"/>
  <c r="N114" i="57" s="1"/>
  <c r="H114" i="57" s="1"/>
  <c r="N112" i="57"/>
  <c r="H112" i="57" s="1"/>
  <c r="N111" i="57"/>
  <c r="H111" i="57" s="1"/>
  <c r="N110" i="57"/>
  <c r="H110" i="57" s="1"/>
  <c r="N106" i="57"/>
  <c r="H106" i="57" s="1"/>
  <c r="N105" i="57"/>
  <c r="H105" i="57" s="1"/>
  <c r="N100" i="57"/>
  <c r="H100" i="57" s="1"/>
  <c r="N96" i="57"/>
  <c r="H96" i="57" s="1"/>
  <c r="N95" i="57"/>
  <c r="H95" i="57" s="1"/>
  <c r="N90" i="57"/>
  <c r="H90" i="57" s="1"/>
  <c r="N86" i="57"/>
  <c r="H86" i="57" s="1"/>
  <c r="N85" i="57"/>
  <c r="H85" i="57" s="1"/>
  <c r="N82" i="57"/>
  <c r="H82" i="57" s="1"/>
  <c r="N81" i="57"/>
  <c r="H81" i="57" s="1"/>
  <c r="N80" i="57"/>
  <c r="H80" i="57" s="1"/>
  <c r="N76" i="57"/>
  <c r="H76" i="57" s="1"/>
  <c r="N75" i="57"/>
  <c r="H75" i="57" s="1"/>
  <c r="N71" i="57"/>
  <c r="H71" i="57" s="1"/>
  <c r="G71" i="57"/>
  <c r="N70" i="57"/>
  <c r="H70" i="57" s="1"/>
  <c r="N66" i="57"/>
  <c r="H66" i="57" s="1"/>
  <c r="N65" i="57"/>
  <c r="H65" i="57" s="1"/>
  <c r="N60" i="57"/>
  <c r="H60" i="57" s="1"/>
  <c r="N54" i="57"/>
  <c r="H54" i="57" s="1"/>
  <c r="G54" i="57"/>
  <c r="N53" i="57"/>
  <c r="H53" i="57" s="1"/>
  <c r="G53" i="57"/>
  <c r="N47" i="57"/>
  <c r="H47" i="57" s="1"/>
  <c r="G47" i="57"/>
  <c r="N46" i="57"/>
  <c r="H46" i="57" s="1"/>
  <c r="G46" i="57"/>
  <c r="N41" i="57"/>
  <c r="H41" i="57" s="1"/>
  <c r="N36" i="57"/>
  <c r="H36" i="57" s="1"/>
  <c r="N32" i="57"/>
  <c r="H32" i="57" s="1"/>
  <c r="N31" i="57"/>
  <c r="H31" i="57" s="1"/>
  <c r="N28" i="57"/>
  <c r="H28" i="57" s="1"/>
  <c r="N27" i="57"/>
  <c r="H27" i="57" s="1"/>
  <c r="N26" i="57"/>
  <c r="J26" i="57"/>
  <c r="N21" i="57"/>
  <c r="J21" i="57"/>
  <c r="N17" i="57"/>
  <c r="J17" i="57"/>
  <c r="N16" i="57"/>
  <c r="H16" i="57" s="1"/>
  <c r="G16" i="57"/>
  <c r="N11" i="57"/>
  <c r="H11" i="57" s="1"/>
  <c r="G11" i="57"/>
  <c r="N6" i="57"/>
  <c r="H6" i="57" s="1"/>
  <c r="G6" i="57"/>
  <c r="A6" i="57"/>
  <c r="Q134" i="57"/>
  <c r="Q53" i="57"/>
  <c r="Q47" i="57"/>
  <c r="Q161" i="57"/>
  <c r="Q100" i="57"/>
  <c r="Q96" i="57"/>
  <c r="J47" i="57" l="1"/>
  <c r="J11" i="57"/>
  <c r="J118" i="57"/>
  <c r="J115" i="57"/>
  <c r="J140" i="57"/>
  <c r="J95" i="57"/>
  <c r="J65" i="57"/>
  <c r="J106" i="57"/>
  <c r="J100" i="57"/>
  <c r="J114" i="57"/>
  <c r="J86" i="57"/>
  <c r="J111" i="57"/>
  <c r="J28" i="57"/>
  <c r="J75" i="57"/>
  <c r="J82" i="57"/>
  <c r="J66" i="57"/>
  <c r="J32" i="57"/>
  <c r="J53" i="57"/>
  <c r="J85" i="57"/>
  <c r="J90" i="57"/>
  <c r="J96" i="57"/>
  <c r="J81" i="57"/>
  <c r="J105" i="57"/>
  <c r="J70" i="57"/>
  <c r="J123" i="57"/>
  <c r="J54" i="57"/>
  <c r="J161" i="57"/>
  <c r="J76" i="57"/>
  <c r="J16" i="57"/>
  <c r="J162" i="57"/>
  <c r="J41" i="57"/>
  <c r="J80" i="57"/>
  <c r="J110" i="57"/>
  <c r="J112" i="57"/>
  <c r="J128" i="57"/>
  <c r="J27" i="57"/>
  <c r="J36" i="57"/>
  <c r="J60" i="57"/>
  <c r="J151" i="57"/>
  <c r="J71" i="57"/>
  <c r="J150" i="57"/>
  <c r="J145" i="57"/>
  <c r="J31" i="57"/>
  <c r="J6" i="57"/>
  <c r="J46" i="57"/>
  <c r="S155" i="57" l="1"/>
  <c r="S151" i="57"/>
  <c r="S150" i="57"/>
  <c r="S145" i="57"/>
  <c r="S140" i="57"/>
  <c r="S134" i="57"/>
  <c r="R134" i="57"/>
  <c r="S128" i="57"/>
  <c r="S123" i="57"/>
  <c r="S118" i="57"/>
  <c r="S112" i="57"/>
  <c r="S96" i="57"/>
  <c r="S86" i="57"/>
  <c r="S82" i="57"/>
  <c r="S54" i="57"/>
  <c r="S53" i="57"/>
  <c r="R53" i="57"/>
  <c r="S47" i="57"/>
  <c r="R47" i="57"/>
  <c r="S17" i="57"/>
  <c r="S17" i="46"/>
  <c r="Q47" i="46"/>
  <c r="Q53" i="46"/>
  <c r="S53" i="46"/>
  <c r="S82" i="46"/>
  <c r="S86" i="46"/>
  <c r="Q96" i="46"/>
  <c r="S96" i="46"/>
  <c r="Q100" i="46"/>
  <c r="S112" i="46"/>
  <c r="S118" i="46"/>
  <c r="S155" i="46"/>
  <c r="Q161" i="46"/>
  <c r="BA50" i="57" l="1"/>
  <c r="BA57" i="57"/>
  <c r="BA137" i="57"/>
  <c r="BH167" i="57"/>
  <c r="BG167" i="57"/>
  <c r="BF167" i="57"/>
  <c r="BE167" i="57"/>
  <c r="BD167" i="57"/>
  <c r="BB167" i="57"/>
  <c r="AZ167" i="57"/>
  <c r="AY167" i="57"/>
  <c r="AX167" i="57"/>
  <c r="AW167" i="57"/>
  <c r="AV167" i="57"/>
  <c r="AU167" i="57"/>
  <c r="AT167" i="57"/>
  <c r="AS167" i="57"/>
  <c r="AQ167" i="57"/>
  <c r="AP167" i="57"/>
  <c r="AO167" i="57"/>
  <c r="AN167" i="57"/>
  <c r="AL167" i="57"/>
  <c r="AK167" i="57"/>
  <c r="AJ167" i="57"/>
  <c r="AI167" i="57"/>
  <c r="AH167" i="57"/>
  <c r="AG167" i="57"/>
  <c r="AF167" i="57"/>
  <c r="R167" i="57"/>
  <c r="AR166" i="57"/>
  <c r="AM166" i="57"/>
  <c r="AC166" i="57"/>
  <c r="AA166" i="57"/>
  <c r="AR164" i="57"/>
  <c r="BC164" i="57" s="1"/>
  <c r="AM164" i="57"/>
  <c r="AR163" i="57"/>
  <c r="BC163" i="57" s="1"/>
  <c r="AM163" i="57"/>
  <c r="AR162" i="57"/>
  <c r="BC162" i="57" s="1"/>
  <c r="AM162" i="57"/>
  <c r="AR161" i="57"/>
  <c r="BC161" i="57" s="1"/>
  <c r="AM161" i="57"/>
  <c r="BC159" i="57"/>
  <c r="AR159" i="57"/>
  <c r="AM159" i="57"/>
  <c r="AR158" i="57"/>
  <c r="BC158" i="57" s="1"/>
  <c r="AD158" i="57" s="1"/>
  <c r="AM158" i="57"/>
  <c r="AR157" i="57"/>
  <c r="BC157" i="57" s="1"/>
  <c r="AM157" i="57"/>
  <c r="AR156" i="57"/>
  <c r="BC156" i="57" s="1"/>
  <c r="AM156" i="57"/>
  <c r="AC156" i="57"/>
  <c r="AR155" i="57"/>
  <c r="BC155" i="57" s="1"/>
  <c r="AM155" i="57"/>
  <c r="AR153" i="57"/>
  <c r="BC153" i="57" s="1"/>
  <c r="AM153" i="57"/>
  <c r="AR152" i="57"/>
  <c r="BC152" i="57" s="1"/>
  <c r="AM152" i="57"/>
  <c r="BC151" i="57"/>
  <c r="AR151" i="57"/>
  <c r="AM151" i="57"/>
  <c r="AR150" i="57"/>
  <c r="BC150" i="57" s="1"/>
  <c r="AM150" i="57"/>
  <c r="AR148" i="57"/>
  <c r="BC148" i="57" s="1"/>
  <c r="AM148" i="57"/>
  <c r="AR147" i="57"/>
  <c r="BC147" i="57" s="1"/>
  <c r="AM147" i="57"/>
  <c r="AR146" i="57"/>
  <c r="BC146" i="57" s="1"/>
  <c r="AM146" i="57"/>
  <c r="AC146" i="57"/>
  <c r="AR145" i="57"/>
  <c r="BC145" i="57" s="1"/>
  <c r="AM145" i="57"/>
  <c r="AR143" i="57"/>
  <c r="BC143" i="57" s="1"/>
  <c r="AM143" i="57"/>
  <c r="AR142" i="57"/>
  <c r="BC142" i="57" s="1"/>
  <c r="AM142" i="57"/>
  <c r="AR141" i="57"/>
  <c r="BC141" i="57" s="1"/>
  <c r="AM141" i="57"/>
  <c r="AC141" i="57"/>
  <c r="AR140" i="57"/>
  <c r="BC140" i="57" s="1"/>
  <c r="AM140" i="57"/>
  <c r="AR138" i="57"/>
  <c r="BC138" i="57" s="1"/>
  <c r="AM138" i="57"/>
  <c r="AR137" i="57"/>
  <c r="BC137" i="57" s="1"/>
  <c r="AM137" i="57"/>
  <c r="BC136" i="57"/>
  <c r="AR136" i="57"/>
  <c r="AM136" i="57"/>
  <c r="AR135" i="57"/>
  <c r="BC135" i="57" s="1"/>
  <c r="AM135" i="57"/>
  <c r="AC135" i="57"/>
  <c r="AR134" i="57"/>
  <c r="BC134" i="57" s="1"/>
  <c r="AM134" i="57"/>
  <c r="Z134" i="57"/>
  <c r="AR133" i="57"/>
  <c r="BC133" i="57" s="1"/>
  <c r="AM133" i="57"/>
  <c r="AR132" i="57"/>
  <c r="BC132" i="57" s="1"/>
  <c r="AM132" i="57"/>
  <c r="AR131" i="57"/>
  <c r="BC131" i="57" s="1"/>
  <c r="AD131" i="57" s="1"/>
  <c r="AM131" i="57"/>
  <c r="AR130" i="57"/>
  <c r="BC130" i="57" s="1"/>
  <c r="AM130" i="57"/>
  <c r="AR129" i="57"/>
  <c r="BC129" i="57" s="1"/>
  <c r="AM129" i="57"/>
  <c r="AC129" i="57"/>
  <c r="AR128" i="57"/>
  <c r="BC128" i="57" s="1"/>
  <c r="AM128" i="57"/>
  <c r="Z128" i="57"/>
  <c r="AR126" i="57"/>
  <c r="BC126" i="57" s="1"/>
  <c r="AM126" i="57"/>
  <c r="AR125" i="57"/>
  <c r="BC125" i="57" s="1"/>
  <c r="AM125" i="57"/>
  <c r="AR124" i="57"/>
  <c r="BC124" i="57" s="1"/>
  <c r="AM124" i="57"/>
  <c r="AC124" i="57"/>
  <c r="AR123" i="57"/>
  <c r="BC123" i="57" s="1"/>
  <c r="AM123" i="57"/>
  <c r="Z123" i="57"/>
  <c r="AR121" i="57"/>
  <c r="BC121" i="57" s="1"/>
  <c r="AM121" i="57"/>
  <c r="AR120" i="57"/>
  <c r="BC120" i="57" s="1"/>
  <c r="AD120" i="57" s="1"/>
  <c r="AM120" i="57"/>
  <c r="AR119" i="57"/>
  <c r="BC119" i="57" s="1"/>
  <c r="AM119" i="57"/>
  <c r="AC119" i="57"/>
  <c r="AR118" i="57"/>
  <c r="BC118" i="57" s="1"/>
  <c r="AM118" i="57"/>
  <c r="Z118" i="57"/>
  <c r="BC116" i="57"/>
  <c r="AR116" i="57"/>
  <c r="AM116" i="57"/>
  <c r="AC116" i="57"/>
  <c r="AR115" i="57"/>
  <c r="BC115" i="57" s="1"/>
  <c r="AM115" i="57"/>
  <c r="AR114" i="57"/>
  <c r="BC114" i="57" s="1"/>
  <c r="AM114" i="57"/>
  <c r="AR112" i="57"/>
  <c r="BC112" i="57" s="1"/>
  <c r="AM112" i="57"/>
  <c r="W112" i="57"/>
  <c r="AR111" i="57"/>
  <c r="BC111" i="57" s="1"/>
  <c r="AM111" i="57"/>
  <c r="AR110" i="57"/>
  <c r="BC110" i="57" s="1"/>
  <c r="AM110" i="57"/>
  <c r="AR108" i="57"/>
  <c r="BC108" i="57" s="1"/>
  <c r="AM108" i="57"/>
  <c r="BC107" i="57"/>
  <c r="AR107" i="57"/>
  <c r="AM107" i="57"/>
  <c r="AR106" i="57"/>
  <c r="BC106" i="57" s="1"/>
  <c r="AM106" i="57"/>
  <c r="AR105" i="57"/>
  <c r="BC105" i="57" s="1"/>
  <c r="AM105" i="57"/>
  <c r="AR103" i="57"/>
  <c r="BC103" i="57" s="1"/>
  <c r="AM103" i="57"/>
  <c r="AR102" i="57"/>
  <c r="BC102" i="57" s="1"/>
  <c r="AM102" i="57"/>
  <c r="AR101" i="57"/>
  <c r="BC101" i="57" s="1"/>
  <c r="AM101" i="57"/>
  <c r="AC101" i="57"/>
  <c r="AR100" i="57"/>
  <c r="BC100" i="57" s="1"/>
  <c r="AM100" i="57"/>
  <c r="AR98" i="57"/>
  <c r="BC98" i="57" s="1"/>
  <c r="AM98" i="57"/>
  <c r="AR97" i="57"/>
  <c r="BC97" i="57" s="1"/>
  <c r="AM97" i="57"/>
  <c r="AR96" i="57"/>
  <c r="BC96" i="57" s="1"/>
  <c r="AM96" i="57"/>
  <c r="Z96" i="57"/>
  <c r="AR95" i="57"/>
  <c r="BC95" i="57" s="1"/>
  <c r="AM95" i="57"/>
  <c r="AR93" i="57"/>
  <c r="BC93" i="57" s="1"/>
  <c r="AM93" i="57"/>
  <c r="AR92" i="57"/>
  <c r="BC92" i="57" s="1"/>
  <c r="AM92" i="57"/>
  <c r="AR91" i="57"/>
  <c r="BC91" i="57" s="1"/>
  <c r="AM91" i="57"/>
  <c r="AC91" i="57"/>
  <c r="AR90" i="57"/>
  <c r="BC90" i="57" s="1"/>
  <c r="AM90" i="57"/>
  <c r="AR88" i="57"/>
  <c r="BC88" i="57" s="1"/>
  <c r="AM88" i="57"/>
  <c r="AR87" i="57"/>
  <c r="BC87" i="57" s="1"/>
  <c r="AM87" i="57"/>
  <c r="AR86" i="57"/>
  <c r="BC86" i="57" s="1"/>
  <c r="AM86" i="57"/>
  <c r="AR85" i="57"/>
  <c r="BC85" i="57" s="1"/>
  <c r="AM85" i="57"/>
  <c r="Z85" i="57"/>
  <c r="AR83" i="57"/>
  <c r="BC83" i="57" s="1"/>
  <c r="AM83" i="57"/>
  <c r="AR82" i="57"/>
  <c r="BC82" i="57" s="1"/>
  <c r="AM82" i="57"/>
  <c r="Z82" i="57"/>
  <c r="AR81" i="57"/>
  <c r="BC81" i="57" s="1"/>
  <c r="AM81" i="57"/>
  <c r="AR80" i="57"/>
  <c r="BC80" i="57" s="1"/>
  <c r="AM80" i="57"/>
  <c r="Z80" i="57"/>
  <c r="AR78" i="57"/>
  <c r="BC78" i="57" s="1"/>
  <c r="AM78" i="57"/>
  <c r="AR77" i="57"/>
  <c r="BC77" i="57" s="1"/>
  <c r="AM77" i="57"/>
  <c r="AR76" i="57"/>
  <c r="BC76" i="57" s="1"/>
  <c r="AM76" i="57"/>
  <c r="Z76" i="57"/>
  <c r="AR75" i="57"/>
  <c r="BC75" i="57" s="1"/>
  <c r="AM75" i="57"/>
  <c r="Z75" i="57"/>
  <c r="AR73" i="57"/>
  <c r="BC73" i="57" s="1"/>
  <c r="AM73" i="57"/>
  <c r="AR72" i="57"/>
  <c r="BC72" i="57" s="1"/>
  <c r="AM72" i="57"/>
  <c r="AR71" i="57"/>
  <c r="BC71" i="57" s="1"/>
  <c r="AM71" i="57"/>
  <c r="Z71" i="57"/>
  <c r="AR70" i="57"/>
  <c r="BC70" i="57" s="1"/>
  <c r="AD70" i="57" s="1"/>
  <c r="AM70" i="57"/>
  <c r="Z70" i="57"/>
  <c r="AR68" i="57"/>
  <c r="BC68" i="57" s="1"/>
  <c r="AM68" i="57"/>
  <c r="AR67" i="57"/>
  <c r="BC67" i="57" s="1"/>
  <c r="AM67" i="57"/>
  <c r="AR66" i="57"/>
  <c r="BC66" i="57" s="1"/>
  <c r="AM66" i="57"/>
  <c r="Z66" i="57"/>
  <c r="AR65" i="57"/>
  <c r="BC65" i="57" s="1"/>
  <c r="AM65" i="57"/>
  <c r="AR63" i="57"/>
  <c r="BC63" i="57" s="1"/>
  <c r="AM63" i="57"/>
  <c r="AR62" i="57"/>
  <c r="BC62" i="57" s="1"/>
  <c r="AM62" i="57"/>
  <c r="AR61" i="57"/>
  <c r="BC61" i="57" s="1"/>
  <c r="AM61" i="57"/>
  <c r="AR60" i="57"/>
  <c r="BC60" i="57" s="1"/>
  <c r="AD60" i="57" s="1"/>
  <c r="AM60" i="57"/>
  <c r="Z60" i="57"/>
  <c r="AR58" i="57"/>
  <c r="BC58" i="57" s="1"/>
  <c r="AM58" i="57"/>
  <c r="AR57" i="57"/>
  <c r="BC57" i="57" s="1"/>
  <c r="AM57" i="57"/>
  <c r="AR56" i="57"/>
  <c r="BC56" i="57" s="1"/>
  <c r="AM56" i="57"/>
  <c r="AR55" i="57"/>
  <c r="BC55" i="57" s="1"/>
  <c r="AM55" i="57"/>
  <c r="AR54" i="57"/>
  <c r="BC54" i="57" s="1"/>
  <c r="AM54" i="57"/>
  <c r="AR53" i="57"/>
  <c r="BC53" i="57" s="1"/>
  <c r="AM53" i="57"/>
  <c r="Z53" i="57"/>
  <c r="AR51" i="57"/>
  <c r="BC51" i="57" s="1"/>
  <c r="AM51" i="57"/>
  <c r="AR50" i="57"/>
  <c r="BC50" i="57" s="1"/>
  <c r="AM50" i="57"/>
  <c r="AR49" i="57"/>
  <c r="BC49" i="57" s="1"/>
  <c r="AM49" i="57"/>
  <c r="AR48" i="57"/>
  <c r="BC48" i="57" s="1"/>
  <c r="AM48" i="57"/>
  <c r="AR47" i="57"/>
  <c r="BC47" i="57" s="1"/>
  <c r="AM47" i="57"/>
  <c r="Q167" i="57"/>
  <c r="Q168" i="57" s="1"/>
  <c r="AR46" i="57"/>
  <c r="BC46" i="57" s="1"/>
  <c r="AM46" i="57"/>
  <c r="Z46" i="57"/>
  <c r="AR44" i="57"/>
  <c r="BC44" i="57" s="1"/>
  <c r="AM44" i="57"/>
  <c r="AR43" i="57"/>
  <c r="BC43" i="57" s="1"/>
  <c r="AM43" i="57"/>
  <c r="AR42" i="57"/>
  <c r="BC42" i="57" s="1"/>
  <c r="AD42" i="57" s="1"/>
  <c r="AM42" i="57"/>
  <c r="AR41" i="57"/>
  <c r="BC41" i="57" s="1"/>
  <c r="AM41" i="57"/>
  <c r="Z41" i="57"/>
  <c r="AR39" i="57"/>
  <c r="BC39" i="57" s="1"/>
  <c r="AM39" i="57"/>
  <c r="AR38" i="57"/>
  <c r="BC38" i="57" s="1"/>
  <c r="AM38" i="57"/>
  <c r="AR37" i="57"/>
  <c r="BC37" i="57" s="1"/>
  <c r="AM37" i="57"/>
  <c r="AR36" i="57"/>
  <c r="BC36" i="57" s="1"/>
  <c r="AM36" i="57"/>
  <c r="Z36" i="57"/>
  <c r="AR34" i="57"/>
  <c r="BC34" i="57" s="1"/>
  <c r="AM34" i="57"/>
  <c r="AR33" i="57"/>
  <c r="BC33" i="57" s="1"/>
  <c r="AD33" i="57" s="1"/>
  <c r="AM33" i="57"/>
  <c r="AR32" i="57"/>
  <c r="BC32" i="57" s="1"/>
  <c r="AM32" i="57"/>
  <c r="AD32" i="57" s="1"/>
  <c r="AR31" i="57"/>
  <c r="BC31" i="57" s="1"/>
  <c r="AM31" i="57"/>
  <c r="Z31" i="57"/>
  <c r="AR29" i="57"/>
  <c r="BC29" i="57" s="1"/>
  <c r="AD29" i="57" s="1"/>
  <c r="AM29" i="57"/>
  <c r="AR28" i="57"/>
  <c r="BC28" i="57" s="1"/>
  <c r="AM28" i="57"/>
  <c r="Z28" i="57"/>
  <c r="AR27" i="57"/>
  <c r="BC27" i="57" s="1"/>
  <c r="AM27" i="57"/>
  <c r="AR26" i="57"/>
  <c r="BC26" i="57" s="1"/>
  <c r="AM26" i="57"/>
  <c r="AR24" i="57"/>
  <c r="BC24" i="57" s="1"/>
  <c r="AM24" i="57"/>
  <c r="AR23" i="57"/>
  <c r="BC23" i="57" s="1"/>
  <c r="AM23" i="57"/>
  <c r="AR22" i="57"/>
  <c r="BC22" i="57" s="1"/>
  <c r="AM22" i="57"/>
  <c r="AR21" i="57"/>
  <c r="BC21" i="57" s="1"/>
  <c r="AM21" i="57"/>
  <c r="AR19" i="57"/>
  <c r="BC19" i="57" s="1"/>
  <c r="AM19" i="57"/>
  <c r="AR18" i="57"/>
  <c r="BC18" i="57" s="1"/>
  <c r="AM18" i="57"/>
  <c r="AR17" i="57"/>
  <c r="BC17" i="57" s="1"/>
  <c r="AM17" i="57"/>
  <c r="S167" i="57"/>
  <c r="AR16" i="57"/>
  <c r="BC16" i="57" s="1"/>
  <c r="AD16" i="57" s="1"/>
  <c r="AM16" i="57"/>
  <c r="AR14" i="57"/>
  <c r="BC14" i="57" s="1"/>
  <c r="AM14" i="57"/>
  <c r="AD14" i="57" s="1"/>
  <c r="AR13" i="57"/>
  <c r="BC13" i="57" s="1"/>
  <c r="AM13" i="57"/>
  <c r="AR12" i="57"/>
  <c r="BC12" i="57" s="1"/>
  <c r="AM12" i="57"/>
  <c r="AR11" i="57"/>
  <c r="BC11" i="57" s="1"/>
  <c r="AM11" i="57"/>
  <c r="AR9" i="57"/>
  <c r="BC9" i="57" s="1"/>
  <c r="AM9" i="57"/>
  <c r="AR8" i="57"/>
  <c r="BC8" i="57" s="1"/>
  <c r="AM8" i="57"/>
  <c r="AR7" i="57"/>
  <c r="BC7" i="57" s="1"/>
  <c r="AM7" i="57"/>
  <c r="AR6" i="57"/>
  <c r="AM6" i="57"/>
  <c r="Z6" i="57"/>
  <c r="AD62" i="57" l="1"/>
  <c r="AD75" i="57"/>
  <c r="AD87" i="57"/>
  <c r="AD57" i="57"/>
  <c r="AD105" i="57"/>
  <c r="AD50" i="57"/>
  <c r="AD107" i="57"/>
  <c r="AD38" i="57"/>
  <c r="AD81" i="57"/>
  <c r="AD17" i="57"/>
  <c r="AD22" i="57"/>
  <c r="AD77" i="57"/>
  <c r="AD103" i="57"/>
  <c r="AD39" i="57"/>
  <c r="AD36" i="57"/>
  <c r="AD67" i="57"/>
  <c r="AD28" i="57"/>
  <c r="AD37" i="57"/>
  <c r="AD95" i="57"/>
  <c r="AD123" i="57"/>
  <c r="AD116" i="57"/>
  <c r="AD31" i="57"/>
  <c r="AD100" i="57"/>
  <c r="AD108" i="57"/>
  <c r="AD12" i="57"/>
  <c r="AD43" i="57"/>
  <c r="AD47" i="57"/>
  <c r="AD55" i="57"/>
  <c r="AD91" i="57"/>
  <c r="AD19" i="57"/>
  <c r="AD24" i="57"/>
  <c r="AD44" i="57"/>
  <c r="AD101" i="57"/>
  <c r="AD128" i="57"/>
  <c r="AD114" i="57"/>
  <c r="AD13" i="57"/>
  <c r="AD21" i="57"/>
  <c r="AD90" i="57"/>
  <c r="AD106" i="57"/>
  <c r="AD46" i="57"/>
  <c r="AD61" i="57"/>
  <c r="AD65" i="57"/>
  <c r="AD82" i="57"/>
  <c r="AD147" i="57"/>
  <c r="AD159" i="57"/>
  <c r="AD163" i="57"/>
  <c r="AD58" i="57"/>
  <c r="AD145" i="57"/>
  <c r="AD18" i="57"/>
  <c r="AD80" i="57"/>
  <c r="AD112" i="57"/>
  <c r="AD134" i="57"/>
  <c r="AD137" i="57"/>
  <c r="BA167" i="57"/>
  <c r="AD34" i="57"/>
  <c r="AD41" i="57"/>
  <c r="AD11" i="57"/>
  <c r="AD23" i="57"/>
  <c r="AD48" i="57"/>
  <c r="AD51" i="57"/>
  <c r="AD71" i="57"/>
  <c r="AD111" i="57"/>
  <c r="AD125" i="57"/>
  <c r="AD142" i="57"/>
  <c r="AD148" i="57"/>
  <c r="AD56" i="57"/>
  <c r="AD93" i="57"/>
  <c r="AD126" i="57"/>
  <c r="AD143" i="57"/>
  <c r="AD151" i="57"/>
  <c r="AD85" i="57"/>
  <c r="AD129" i="57"/>
  <c r="AD138" i="57"/>
  <c r="AD161" i="57"/>
  <c r="AD146" i="57"/>
  <c r="AD63" i="57"/>
  <c r="AD72" i="57"/>
  <c r="AD110" i="57"/>
  <c r="AD124" i="57"/>
  <c r="AD135" i="57"/>
  <c r="AD141" i="57"/>
  <c r="AD68" i="57"/>
  <c r="AD73" i="57"/>
  <c r="AD92" i="57"/>
  <c r="AD97" i="57"/>
  <c r="AD136" i="57"/>
  <c r="AD150" i="57"/>
  <c r="AD152" i="57"/>
  <c r="AD153" i="57"/>
  <c r="AD162" i="57"/>
  <c r="AD155" i="57"/>
  <c r="AD156" i="57"/>
  <c r="AD83" i="57"/>
  <c r="AD54" i="57"/>
  <c r="AD78" i="57"/>
  <c r="AD140" i="57"/>
  <c r="AD76" i="57"/>
  <c r="AD132" i="57"/>
  <c r="AD53" i="57"/>
  <c r="AD130" i="57"/>
  <c r="AD157" i="57"/>
  <c r="AD9" i="57"/>
  <c r="AD27" i="57"/>
  <c r="AD26" i="57"/>
  <c r="AD7" i="57"/>
  <c r="AD8" i="57"/>
  <c r="AR167" i="57"/>
  <c r="BC6" i="57"/>
  <c r="BC167" i="57" s="1"/>
  <c r="S169" i="57"/>
  <c r="S168" i="57"/>
  <c r="AD88" i="57"/>
  <c r="AD98" i="57"/>
  <c r="AD118" i="57"/>
  <c r="AD121" i="57"/>
  <c r="BD169" i="57"/>
  <c r="BE169" i="57"/>
  <c r="AD86" i="57"/>
  <c r="AD96" i="57"/>
  <c r="AD119" i="57"/>
  <c r="AD164" i="57"/>
  <c r="BF169" i="57"/>
  <c r="AM167" i="57"/>
  <c r="AD49" i="57"/>
  <c r="AD66" i="57"/>
  <c r="AD102" i="57"/>
  <c r="AD115" i="57"/>
  <c r="BG169" i="57"/>
  <c r="BH169" i="57"/>
  <c r="R168" i="57"/>
  <c r="AD6" i="57" l="1"/>
  <c r="AD167" i="57"/>
  <c r="T9" i="56" s="1"/>
  <c r="R169" i="57"/>
  <c r="C23" i="31"/>
  <c r="C8" i="31"/>
  <c r="C14" i="31" s="1"/>
  <c r="C23" i="32"/>
  <c r="C14" i="32"/>
  <c r="AC116" i="46" l="1"/>
  <c r="AF4" i="54"/>
  <c r="AF3" i="54"/>
  <c r="AQ40" i="2" l="1"/>
  <c r="AA40" i="2"/>
  <c r="K40" i="2"/>
  <c r="E89" i="47" l="1"/>
  <c r="G89" i="47" s="1"/>
  <c r="H89" i="47" s="1"/>
  <c r="O162" i="57" s="1"/>
  <c r="F88" i="47"/>
  <c r="E88" i="47"/>
  <c r="K15" i="43"/>
  <c r="C26" i="43"/>
  <c r="C17" i="43"/>
  <c r="K12" i="43" s="1"/>
  <c r="C162" i="57" l="1"/>
  <c r="K162" i="57"/>
  <c r="W162" i="57"/>
  <c r="W161" i="57"/>
  <c r="W161" i="46"/>
  <c r="V162" i="57"/>
  <c r="P162" i="57"/>
  <c r="W162" i="46"/>
  <c r="O162" i="46"/>
  <c r="G88" i="47"/>
  <c r="H88" i="47" s="1"/>
  <c r="O161" i="57" s="1"/>
  <c r="C161" i="57" l="1"/>
  <c r="K161" i="57"/>
  <c r="P161" i="57"/>
  <c r="U162" i="57"/>
  <c r="T162" i="57"/>
  <c r="AC162" i="57" s="1"/>
  <c r="V161" i="57"/>
  <c r="T161" i="57"/>
  <c r="U161" i="57"/>
  <c r="O161" i="46"/>
  <c r="F26" i="43"/>
  <c r="F17" i="43"/>
  <c r="F9" i="43"/>
  <c r="I38" i="43"/>
  <c r="I88" i="47" s="1"/>
  <c r="AC161" i="57" l="1"/>
  <c r="X161" i="57"/>
  <c r="AR164" i="46"/>
  <c r="BC164" i="46" s="1"/>
  <c r="AM164" i="46"/>
  <c r="N162" i="46"/>
  <c r="H162" i="46" s="1"/>
  <c r="C162" i="46"/>
  <c r="AR163" i="46"/>
  <c r="BC163" i="46" s="1"/>
  <c r="AM163" i="46"/>
  <c r="AR162" i="46"/>
  <c r="BC162" i="46" s="1"/>
  <c r="AM162" i="46"/>
  <c r="AR161" i="46"/>
  <c r="BC161" i="46" s="1"/>
  <c r="AM161" i="46"/>
  <c r="N161" i="46"/>
  <c r="H161" i="46" s="1"/>
  <c r="J161" i="46" s="1"/>
  <c r="AB41" i="43"/>
  <c r="AI8" i="43"/>
  <c r="AG8" i="43"/>
  <c r="AJ8" i="43" s="1"/>
  <c r="AJ7" i="43"/>
  <c r="AI7" i="43"/>
  <c r="AH6" i="43"/>
  <c r="AI6" i="43" s="1"/>
  <c r="AG6" i="43"/>
  <c r="G42" i="43"/>
  <c r="I37" i="43" s="1"/>
  <c r="F42" i="43"/>
  <c r="M43" i="43"/>
  <c r="AB29" i="43"/>
  <c r="Z29" i="43"/>
  <c r="AC29" i="43" s="1"/>
  <c r="AB28" i="43"/>
  <c r="Z28" i="43"/>
  <c r="AC28" i="43" s="1"/>
  <c r="AA35" i="43"/>
  <c r="AA36" i="43" s="1"/>
  <c r="Z27" i="43"/>
  <c r="AC27" i="43" s="1"/>
  <c r="AA18" i="43"/>
  <c r="AB18" i="43" s="1"/>
  <c r="AA17" i="43"/>
  <c r="Z18" i="43"/>
  <c r="AB19" i="43"/>
  <c r="Z19" i="43"/>
  <c r="AC19" i="43" s="1"/>
  <c r="Z17" i="43"/>
  <c r="F11" i="43"/>
  <c r="AA6" i="43"/>
  <c r="AB6" i="43" s="1"/>
  <c r="AB8" i="43"/>
  <c r="Z8" i="43"/>
  <c r="AC8" i="43" s="1"/>
  <c r="AB7" i="43"/>
  <c r="Z7" i="43"/>
  <c r="AC7" i="43" s="1"/>
  <c r="Z6" i="43"/>
  <c r="J4" i="43"/>
  <c r="AB14" i="43" l="1"/>
  <c r="AI14" i="43"/>
  <c r="AH14" i="43"/>
  <c r="AH15" i="43" s="1"/>
  <c r="BA39" i="48"/>
  <c r="AC6" i="43"/>
  <c r="AC14" i="43" s="1"/>
  <c r="AJ6" i="43"/>
  <c r="AJ14" i="43" s="1"/>
  <c r="AD163" i="46"/>
  <c r="AD164" i="46"/>
  <c r="K161" i="46"/>
  <c r="J162" i="46"/>
  <c r="K162" i="46"/>
  <c r="P162" i="46"/>
  <c r="V162" i="46"/>
  <c r="U162" i="46"/>
  <c r="T162" i="46"/>
  <c r="AD161" i="46"/>
  <c r="AD162" i="46"/>
  <c r="P161" i="46"/>
  <c r="C161" i="46"/>
  <c r="N39" i="48" s="1"/>
  <c r="T161" i="46"/>
  <c r="U161" i="46"/>
  <c r="V161" i="46"/>
  <c r="AC35" i="43"/>
  <c r="AC36" i="43" s="1"/>
  <c r="AB27" i="43"/>
  <c r="AB35" i="43" s="1"/>
  <c r="AB36" i="43" s="1"/>
  <c r="AC18" i="43"/>
  <c r="AA25" i="43"/>
  <c r="AA26" i="43" s="1"/>
  <c r="AC17" i="43"/>
  <c r="AB17" i="43"/>
  <c r="AB25" i="43" s="1"/>
  <c r="AA14" i="43"/>
  <c r="AA15" i="43" s="1"/>
  <c r="Y4" i="54"/>
  <c r="Y3" i="54"/>
  <c r="Z4" i="54"/>
  <c r="Z3" i="54"/>
  <c r="AB4" i="54"/>
  <c r="AB3" i="54"/>
  <c r="AC4" i="54"/>
  <c r="AC3" i="54"/>
  <c r="AD4" i="54"/>
  <c r="AD3" i="54"/>
  <c r="AE3" i="54"/>
  <c r="AG4" i="54"/>
  <c r="AG3" i="54"/>
  <c r="AC15" i="43" l="1"/>
  <c r="AC25" i="43"/>
  <c r="AC26" i="43" s="1"/>
  <c r="AJ15" i="43"/>
  <c r="AB15" i="43"/>
  <c r="Y161" i="57"/>
  <c r="Y161" i="46"/>
  <c r="AA161" i="46" s="1"/>
  <c r="AI15" i="43"/>
  <c r="L39" i="48"/>
  <c r="AB26" i="43"/>
  <c r="AC161" i="46"/>
  <c r="AC162" i="46"/>
  <c r="X161" i="46"/>
  <c r="Y167" i="57" l="1"/>
  <c r="AA161" i="57"/>
  <c r="AB161" i="57" s="1"/>
  <c r="AB161" i="46"/>
  <c r="AD27" i="4"/>
  <c r="AD28" i="4" s="1"/>
  <c r="AD29" i="4" s="1"/>
  <c r="AD17" i="4"/>
  <c r="AD18" i="4" s="1"/>
  <c r="AD19" i="4" s="1"/>
  <c r="AD6" i="4"/>
  <c r="AD7" i="4" s="1"/>
  <c r="AD8" i="4" s="1"/>
  <c r="E86" i="47"/>
  <c r="G86" i="47" s="1"/>
  <c r="H86" i="47" s="1"/>
  <c r="O155" i="57" s="1"/>
  <c r="C155" i="57" l="1"/>
  <c r="K155" i="57"/>
  <c r="P155" i="57"/>
  <c r="U155" i="57"/>
  <c r="T155" i="57"/>
  <c r="V155" i="57"/>
  <c r="Y169" i="57"/>
  <c r="O155" i="46"/>
  <c r="AC155" i="57" l="1"/>
  <c r="BA38" i="48"/>
  <c r="AQ39" i="2"/>
  <c r="K39" i="2"/>
  <c r="AA39" i="2" l="1"/>
  <c r="AM158" i="46" l="1"/>
  <c r="AR158" i="46"/>
  <c r="BC158" i="46" s="1"/>
  <c r="AD158" i="46" l="1"/>
  <c r="T155" i="46"/>
  <c r="N155" i="46"/>
  <c r="AR159" i="46"/>
  <c r="BC159" i="46" s="1"/>
  <c r="AM159" i="46"/>
  <c r="AR157" i="46"/>
  <c r="BC157" i="46" s="1"/>
  <c r="AM157" i="46"/>
  <c r="BC156" i="46"/>
  <c r="AD156" i="46" s="1"/>
  <c r="AR156" i="46"/>
  <c r="AM156" i="46"/>
  <c r="AC156" i="46"/>
  <c r="AR155" i="46"/>
  <c r="BC155" i="46" s="1"/>
  <c r="AM155" i="46"/>
  <c r="I38" i="4"/>
  <c r="I86" i="47" s="1"/>
  <c r="G42" i="4"/>
  <c r="I37" i="4" s="1"/>
  <c r="F42" i="4"/>
  <c r="M42" i="4"/>
  <c r="AA28" i="4"/>
  <c r="AB28" i="4" s="1"/>
  <c r="AB29" i="4"/>
  <c r="Z29" i="4"/>
  <c r="AC29" i="4" s="1"/>
  <c r="Z28" i="4"/>
  <c r="AB27" i="4"/>
  <c r="Z27" i="4"/>
  <c r="AC27" i="4" s="1"/>
  <c r="AB19" i="4"/>
  <c r="Z19" i="4"/>
  <c r="AC19" i="4" s="1"/>
  <c r="Z18" i="4"/>
  <c r="AA18" i="4"/>
  <c r="AB18" i="4" s="1"/>
  <c r="Z17" i="4"/>
  <c r="AC17" i="4" s="1"/>
  <c r="AA6" i="4"/>
  <c r="AA7" i="4" s="1"/>
  <c r="AB8" i="4"/>
  <c r="Z8" i="4"/>
  <c r="AC8" i="4" s="1"/>
  <c r="Z7" i="4"/>
  <c r="Z6" i="4"/>
  <c r="AC6" i="4" l="1"/>
  <c r="AB7" i="4"/>
  <c r="AA14" i="4"/>
  <c r="AA15" i="4" s="1"/>
  <c r="AB6" i="4"/>
  <c r="AB14" i="4" s="1"/>
  <c r="AB15" i="4" s="1"/>
  <c r="AC7" i="4"/>
  <c r="AC14" i="4" s="1"/>
  <c r="AC15" i="4" s="1"/>
  <c r="AD159" i="46"/>
  <c r="AD157" i="46"/>
  <c r="V155" i="46"/>
  <c r="C155" i="46"/>
  <c r="N38" i="48" s="1"/>
  <c r="U155" i="46"/>
  <c r="P155" i="46"/>
  <c r="H155" i="46"/>
  <c r="AD155" i="46"/>
  <c r="AC28" i="4"/>
  <c r="AC35" i="4" s="1"/>
  <c r="AB35" i="4"/>
  <c r="AA35" i="4"/>
  <c r="AA36" i="4" s="1"/>
  <c r="AC18" i="4"/>
  <c r="AC25" i="4" s="1"/>
  <c r="AB17" i="4"/>
  <c r="AB25" i="4" s="1"/>
  <c r="AA25" i="4"/>
  <c r="AA26" i="4" s="1"/>
  <c r="AQ38" i="2"/>
  <c r="AA38" i="2"/>
  <c r="G38" i="2"/>
  <c r="AF29" i="37"/>
  <c r="AF30" i="37" s="1"/>
  <c r="AF31" i="37" s="1"/>
  <c r="AL19" i="37"/>
  <c r="AL20" i="37" s="1"/>
  <c r="AL21" i="37" s="1"/>
  <c r="AF6" i="37"/>
  <c r="AF7" i="37" s="1"/>
  <c r="AF8" i="37" s="1"/>
  <c r="F84" i="47"/>
  <c r="E84" i="47"/>
  <c r="E83" i="47"/>
  <c r="G83" i="47" s="1"/>
  <c r="H83" i="47" s="1"/>
  <c r="O150" i="57" s="1"/>
  <c r="K15" i="37"/>
  <c r="K7" i="37"/>
  <c r="C150" i="57" l="1"/>
  <c r="K150" i="57"/>
  <c r="W150" i="57"/>
  <c r="U150" i="57"/>
  <c r="AC36" i="4"/>
  <c r="W151" i="46"/>
  <c r="W151" i="57"/>
  <c r="V150" i="57"/>
  <c r="T150" i="57"/>
  <c r="P150" i="57"/>
  <c r="O150" i="46"/>
  <c r="G84" i="47"/>
  <c r="H84" i="47" s="1"/>
  <c r="O151" i="57" s="1"/>
  <c r="W150" i="46"/>
  <c r="J155" i="46"/>
  <c r="K155" i="46"/>
  <c r="L38" i="48" s="1"/>
  <c r="AB36" i="4"/>
  <c r="AB26" i="4"/>
  <c r="AC26" i="4"/>
  <c r="C151" i="57" l="1"/>
  <c r="K151" i="57"/>
  <c r="T151" i="57"/>
  <c r="P151" i="57"/>
  <c r="U151" i="57"/>
  <c r="AA150" i="57" s="1"/>
  <c r="V151" i="57"/>
  <c r="AC150" i="57"/>
  <c r="O151" i="46"/>
  <c r="T151" i="46" s="1"/>
  <c r="AC155" i="46"/>
  <c r="AC151" i="57" l="1"/>
  <c r="AB150" i="57"/>
  <c r="X150" i="57"/>
  <c r="C151" i="46"/>
  <c r="N151" i="46"/>
  <c r="H151" i="46" s="1"/>
  <c r="U151" i="46"/>
  <c r="P151" i="46"/>
  <c r="AR153" i="46"/>
  <c r="BC153" i="46" s="1"/>
  <c r="AM153" i="46"/>
  <c r="AR152" i="46"/>
  <c r="BC152" i="46" s="1"/>
  <c r="AM152" i="46"/>
  <c r="AR151" i="46"/>
  <c r="BC151" i="46" s="1"/>
  <c r="AM151" i="46"/>
  <c r="AR150" i="46"/>
  <c r="BC150" i="46" s="1"/>
  <c r="AM150" i="46"/>
  <c r="P150" i="46"/>
  <c r="T150" i="46"/>
  <c r="N150" i="46"/>
  <c r="H150" i="46" s="1"/>
  <c r="K150" i="46" s="1"/>
  <c r="I38" i="37"/>
  <c r="I83" i="47" s="1"/>
  <c r="AI21" i="37"/>
  <c r="AJ21" i="37"/>
  <c r="AI22" i="37"/>
  <c r="AJ22" i="37"/>
  <c r="AH26" i="37"/>
  <c r="AH27" i="37" s="1"/>
  <c r="AI20" i="37"/>
  <c r="AJ20" i="37"/>
  <c r="AI19" i="37"/>
  <c r="AJ19" i="37"/>
  <c r="AI18" i="37"/>
  <c r="AJ18" i="37"/>
  <c r="AC30" i="37"/>
  <c r="AA30" i="37"/>
  <c r="AD30" i="37" s="1"/>
  <c r="AA29" i="37"/>
  <c r="AB29" i="37"/>
  <c r="AC29" i="37" s="1"/>
  <c r="AA28" i="37"/>
  <c r="AD28" i="37" s="1"/>
  <c r="AC20" i="37"/>
  <c r="AA20" i="37"/>
  <c r="AD20" i="37" s="1"/>
  <c r="AA19" i="37"/>
  <c r="AA18" i="37"/>
  <c r="AD18" i="37" s="1"/>
  <c r="AB6" i="37"/>
  <c r="AB7" i="37" s="1"/>
  <c r="AC7" i="37" s="1"/>
  <c r="AA7" i="37"/>
  <c r="AC8" i="37"/>
  <c r="AA8" i="37"/>
  <c r="AD8" i="37" s="1"/>
  <c r="AA6" i="37"/>
  <c r="AD6" i="37" l="1"/>
  <c r="AC6" i="37"/>
  <c r="V150" i="46"/>
  <c r="BA37" i="48"/>
  <c r="AD153" i="46"/>
  <c r="AD151" i="46"/>
  <c r="U150" i="46"/>
  <c r="AA150" i="46" s="1"/>
  <c r="AD152" i="46"/>
  <c r="J151" i="46"/>
  <c r="K151" i="46"/>
  <c r="AC151" i="46" s="1"/>
  <c r="V151" i="46"/>
  <c r="AC150" i="46"/>
  <c r="AD150" i="46"/>
  <c r="J150" i="46"/>
  <c r="C150" i="46"/>
  <c r="N37" i="48" s="1"/>
  <c r="AJ26" i="37"/>
  <c r="AJ27" i="37" s="1"/>
  <c r="AI26" i="37"/>
  <c r="AI27" i="37" s="1"/>
  <c r="AD29" i="37"/>
  <c r="AD36" i="37" s="1"/>
  <c r="AC28" i="37"/>
  <c r="AC36" i="37" s="1"/>
  <c r="AB36" i="37"/>
  <c r="AB37" i="37" s="1"/>
  <c r="AB40" i="37" s="1"/>
  <c r="AC18" i="37"/>
  <c r="AC19" i="37"/>
  <c r="AC14" i="37"/>
  <c r="AB14" i="37"/>
  <c r="AB15" i="37" s="1"/>
  <c r="AD7" i="37"/>
  <c r="AD14" i="37" s="1"/>
  <c r="AE27" i="6"/>
  <c r="AE28" i="6" s="1"/>
  <c r="AE29" i="6" s="1"/>
  <c r="AE17" i="6"/>
  <c r="AE18" i="6" s="1"/>
  <c r="AE19" i="6" s="1"/>
  <c r="AE6" i="6"/>
  <c r="AE7" i="6" s="1"/>
  <c r="AE8" i="6" s="1"/>
  <c r="E81" i="47"/>
  <c r="G81" i="47" s="1"/>
  <c r="H81" i="47" s="1"/>
  <c r="O145" i="57" s="1"/>
  <c r="C145" i="57" l="1"/>
  <c r="K145" i="57"/>
  <c r="V145" i="57"/>
  <c r="U145" i="57"/>
  <c r="P145" i="57"/>
  <c r="T145" i="57"/>
  <c r="AD15" i="37"/>
  <c r="L37" i="48"/>
  <c r="AB150" i="46"/>
  <c r="X150" i="46"/>
  <c r="AD37" i="37"/>
  <c r="AC37" i="37"/>
  <c r="AC26" i="37"/>
  <c r="AB26" i="37"/>
  <c r="AB27" i="37" s="1"/>
  <c r="AD19" i="37"/>
  <c r="AD26" i="37" s="1"/>
  <c r="AC15" i="37"/>
  <c r="AD27" i="37" l="1"/>
  <c r="AC145" i="57"/>
  <c r="O145" i="46"/>
  <c r="AC27" i="37"/>
  <c r="AQ37" i="2"/>
  <c r="AA37" i="2"/>
  <c r="G37" i="2"/>
  <c r="I38" i="6" l="1"/>
  <c r="I81" i="47" s="1"/>
  <c r="AR148" i="46"/>
  <c r="BC148" i="46" s="1"/>
  <c r="AM148" i="46"/>
  <c r="AR147" i="46"/>
  <c r="BC147" i="46" s="1"/>
  <c r="AM147" i="46"/>
  <c r="AR146" i="46"/>
  <c r="BC146" i="46" s="1"/>
  <c r="AM146" i="46"/>
  <c r="AC146" i="46"/>
  <c r="AR145" i="46"/>
  <c r="BC145" i="46" s="1"/>
  <c r="AM145" i="46"/>
  <c r="T145" i="46"/>
  <c r="N145" i="46"/>
  <c r="H145" i="46" s="1"/>
  <c r="Z27" i="6"/>
  <c r="AC27" i="6" s="1"/>
  <c r="AB27" i="6"/>
  <c r="Z28" i="6"/>
  <c r="AA28" i="6"/>
  <c r="AA35" i="6" s="1"/>
  <c r="AA36" i="6" s="1"/>
  <c r="Z29" i="6"/>
  <c r="AC29" i="6" s="1"/>
  <c r="AB29" i="6"/>
  <c r="AA17" i="6"/>
  <c r="AA18" i="6" s="1"/>
  <c r="AB18" i="6" s="1"/>
  <c r="AB19" i="6"/>
  <c r="Z19" i="6"/>
  <c r="AC19" i="6" s="1"/>
  <c r="Z18" i="6"/>
  <c r="Z17" i="6"/>
  <c r="AA6" i="6"/>
  <c r="AA7" i="6" s="1"/>
  <c r="AB7" i="6" s="1"/>
  <c r="AB8" i="6"/>
  <c r="Z8" i="6"/>
  <c r="AC8" i="6" s="1"/>
  <c r="Z7" i="6"/>
  <c r="Z6" i="6"/>
  <c r="AC6" i="6" l="1"/>
  <c r="AC28" i="6"/>
  <c r="AC7" i="6"/>
  <c r="AA14" i="6"/>
  <c r="AA15" i="6" s="1"/>
  <c r="BA36" i="48"/>
  <c r="AD145" i="46"/>
  <c r="AD148" i="46"/>
  <c r="K145" i="46"/>
  <c r="AD147" i="46"/>
  <c r="AD146" i="46"/>
  <c r="U145" i="46"/>
  <c r="J145" i="46"/>
  <c r="V145" i="46"/>
  <c r="P145" i="46"/>
  <c r="C145" i="46"/>
  <c r="N36" i="48" s="1"/>
  <c r="AC35" i="6"/>
  <c r="AC36" i="6" s="1"/>
  <c r="AB28" i="6"/>
  <c r="AB35" i="6" s="1"/>
  <c r="AB36" i="6" s="1"/>
  <c r="AC17" i="6"/>
  <c r="AC18" i="6"/>
  <c r="AB17" i="6"/>
  <c r="AB25" i="6" s="1"/>
  <c r="AA25" i="6"/>
  <c r="AA26" i="6" s="1"/>
  <c r="AC14" i="6"/>
  <c r="AC15" i="6" s="1"/>
  <c r="AB6" i="6"/>
  <c r="AB14" i="6" s="1"/>
  <c r="AB15" i="6" s="1"/>
  <c r="AC25" i="6" l="1"/>
  <c r="AB26" i="6"/>
  <c r="AC145" i="46"/>
  <c r="L36" i="48"/>
  <c r="AC26" i="6"/>
  <c r="T27" i="7"/>
  <c r="T28" i="7" s="1"/>
  <c r="T29" i="7" s="1"/>
  <c r="T17" i="7"/>
  <c r="T18" i="7" s="1"/>
  <c r="T19" i="7" s="1"/>
  <c r="T6" i="7"/>
  <c r="T7" i="7" s="1"/>
  <c r="T8" i="7" s="1"/>
  <c r="F79" i="47"/>
  <c r="E79" i="47"/>
  <c r="G79" i="47" s="1"/>
  <c r="H79" i="47" s="1"/>
  <c r="O140" i="57" s="1"/>
  <c r="C140" i="57" l="1"/>
  <c r="K140" i="57"/>
  <c r="V140" i="57"/>
  <c r="U140" i="57"/>
  <c r="P140" i="57"/>
  <c r="T140" i="57"/>
  <c r="O140" i="46"/>
  <c r="AC140" i="57" l="1"/>
  <c r="BA35" i="48"/>
  <c r="AQ36" i="2"/>
  <c r="AA36" i="2"/>
  <c r="G36" i="2"/>
  <c r="AR143" i="46" l="1"/>
  <c r="BC143" i="46" s="1"/>
  <c r="AM143" i="46"/>
  <c r="AR142" i="46"/>
  <c r="BC142" i="46" s="1"/>
  <c r="AM142" i="46"/>
  <c r="AR141" i="46"/>
  <c r="BC141" i="46" s="1"/>
  <c r="AM141" i="46"/>
  <c r="AD141" i="46" s="1"/>
  <c r="AC141" i="46"/>
  <c r="AR140" i="46"/>
  <c r="BC140" i="46" s="1"/>
  <c r="AM140" i="46"/>
  <c r="C140" i="46"/>
  <c r="N35" i="48" s="1"/>
  <c r="N140" i="46"/>
  <c r="V140" i="46" s="1"/>
  <c r="F17" i="7"/>
  <c r="I38" i="7"/>
  <c r="I79" i="47" s="1"/>
  <c r="G42" i="7"/>
  <c r="I37" i="7" s="1"/>
  <c r="F42" i="7"/>
  <c r="Q28" i="7"/>
  <c r="R28" i="7" s="1"/>
  <c r="Q27" i="7"/>
  <c r="R27" i="7" s="1"/>
  <c r="Q29" i="7"/>
  <c r="R29" i="7" s="1"/>
  <c r="P29" i="7"/>
  <c r="P28" i="7"/>
  <c r="P27" i="7"/>
  <c r="Q20" i="7"/>
  <c r="Q19" i="7"/>
  <c r="R19" i="7" s="1"/>
  <c r="P20" i="7"/>
  <c r="P19" i="7"/>
  <c r="R18" i="7"/>
  <c r="P18" i="7"/>
  <c r="S18" i="7" s="1"/>
  <c r="P17" i="7"/>
  <c r="S17" i="7" s="1"/>
  <c r="S9" i="7"/>
  <c r="R9" i="7"/>
  <c r="Q8" i="7"/>
  <c r="R8" i="7" s="1"/>
  <c r="Q7" i="7"/>
  <c r="R7" i="7" s="1"/>
  <c r="Q6" i="7"/>
  <c r="R6" i="7" s="1"/>
  <c r="P7" i="7"/>
  <c r="P8" i="7"/>
  <c r="P9" i="7"/>
  <c r="P10" i="7"/>
  <c r="S10" i="7" s="1"/>
  <c r="R10" i="7"/>
  <c r="P6" i="7"/>
  <c r="S8" i="7" l="1"/>
  <c r="S19" i="7"/>
  <c r="S28" i="7"/>
  <c r="AD142" i="46"/>
  <c r="Q25" i="7"/>
  <c r="Q26" i="7" s="1"/>
  <c r="S6" i="7"/>
  <c r="S27" i="7"/>
  <c r="AD143" i="46"/>
  <c r="AD140" i="46"/>
  <c r="H140" i="46"/>
  <c r="K140" i="46" s="1"/>
  <c r="U140" i="46"/>
  <c r="P140" i="46"/>
  <c r="T140" i="46"/>
  <c r="Q35" i="7"/>
  <c r="Q36" i="7" s="1"/>
  <c r="S29" i="7"/>
  <c r="S35" i="7"/>
  <c r="S36" i="7" s="1"/>
  <c r="R35" i="7"/>
  <c r="R20" i="7"/>
  <c r="S20" i="7"/>
  <c r="S25" i="7"/>
  <c r="R17" i="7"/>
  <c r="Q14" i="7"/>
  <c r="Q15" i="7" s="1"/>
  <c r="S7" i="7"/>
  <c r="S14" i="7" s="1"/>
  <c r="R14" i="7"/>
  <c r="P41" i="25"/>
  <c r="P42" i="25" s="1"/>
  <c r="N41" i="25"/>
  <c r="V31" i="24"/>
  <c r="V32" i="24" s="1"/>
  <c r="V33" i="24" s="1"/>
  <c r="V27" i="24"/>
  <c r="S26" i="7" l="1"/>
  <c r="V28" i="24"/>
  <c r="V29" i="24" s="1"/>
  <c r="P43" i="25"/>
  <c r="J140" i="46"/>
  <c r="AC140" i="46"/>
  <c r="N42" i="25"/>
  <c r="N43" i="25" s="1"/>
  <c r="L35" i="48"/>
  <c r="R36" i="7"/>
  <c r="R25" i="7"/>
  <c r="R26" i="7" s="1"/>
  <c r="R15" i="7"/>
  <c r="S15" i="7"/>
  <c r="T26" i="8"/>
  <c r="T27" i="8" s="1"/>
  <c r="T28" i="8" s="1"/>
  <c r="T16" i="8"/>
  <c r="T17" i="8" s="1"/>
  <c r="T18" i="8" s="1"/>
  <c r="T6" i="8"/>
  <c r="T7" i="8" s="1"/>
  <c r="T8" i="8" s="1"/>
  <c r="F77" i="47" l="1"/>
  <c r="E77" i="47"/>
  <c r="G77" i="47" l="1"/>
  <c r="H77" i="47" s="1"/>
  <c r="O134" i="57" s="1"/>
  <c r="C134" i="57" l="1"/>
  <c r="K134" i="57"/>
  <c r="AC134" i="57" s="1"/>
  <c r="T134" i="57"/>
  <c r="V134" i="57"/>
  <c r="U134" i="57"/>
  <c r="P134" i="57"/>
  <c r="O134" i="46"/>
  <c r="AQ35" i="2"/>
  <c r="AA35" i="2"/>
  <c r="G35" i="2"/>
  <c r="BA34" i="48" l="1"/>
  <c r="AM138" i="46"/>
  <c r="AR138" i="46"/>
  <c r="BC138" i="46" s="1"/>
  <c r="AR137" i="46"/>
  <c r="BC137" i="46" s="1"/>
  <c r="AM137" i="46"/>
  <c r="AR136" i="46"/>
  <c r="BC136" i="46" s="1"/>
  <c r="AM136" i="46"/>
  <c r="AR135" i="46"/>
  <c r="BC135" i="46" s="1"/>
  <c r="AM135" i="46"/>
  <c r="AC135" i="46"/>
  <c r="AR134" i="46"/>
  <c r="BC134" i="46" s="1"/>
  <c r="AM134" i="46"/>
  <c r="Z134" i="46"/>
  <c r="P134" i="46"/>
  <c r="U134" i="46"/>
  <c r="N134" i="46"/>
  <c r="V134" i="46" s="1"/>
  <c r="I38" i="8"/>
  <c r="I77" i="47" s="1"/>
  <c r="G42" i="8"/>
  <c r="I37" i="8" s="1"/>
  <c r="F42" i="8"/>
  <c r="N40" i="8"/>
  <c r="Q34" i="8"/>
  <c r="Q35" i="8" s="1"/>
  <c r="R30" i="8"/>
  <c r="P30" i="8"/>
  <c r="S30" i="8" s="1"/>
  <c r="R28" i="8"/>
  <c r="P28" i="8"/>
  <c r="S28" i="8" s="1"/>
  <c r="R27" i="8"/>
  <c r="P27" i="8"/>
  <c r="S27" i="8" s="1"/>
  <c r="R26" i="8"/>
  <c r="P26" i="8"/>
  <c r="S26" i="8" s="1"/>
  <c r="R20" i="8"/>
  <c r="P20" i="8"/>
  <c r="S20" i="8" s="1"/>
  <c r="R18" i="8"/>
  <c r="P18" i="8"/>
  <c r="S18" i="8" s="1"/>
  <c r="R17" i="8"/>
  <c r="P17" i="8"/>
  <c r="S17" i="8" s="1"/>
  <c r="P16" i="8"/>
  <c r="F11" i="8"/>
  <c r="Q7" i="8"/>
  <c r="R7" i="8" s="1"/>
  <c r="Q6" i="8"/>
  <c r="R10" i="8"/>
  <c r="P10" i="8"/>
  <c r="S10" i="8" s="1"/>
  <c r="R8" i="8"/>
  <c r="P8" i="8"/>
  <c r="S8" i="8" s="1"/>
  <c r="P7" i="8"/>
  <c r="P6" i="8"/>
  <c r="AD134" i="46" l="1"/>
  <c r="S7" i="8"/>
  <c r="AD135" i="46"/>
  <c r="R34" i="8"/>
  <c r="R35" i="8" s="1"/>
  <c r="AD138" i="46"/>
  <c r="AD137" i="46"/>
  <c r="AD136" i="46"/>
  <c r="T134" i="46"/>
  <c r="C134" i="46"/>
  <c r="N34" i="48" s="1"/>
  <c r="H134" i="46"/>
  <c r="S34" i="8"/>
  <c r="S35" i="8" s="1"/>
  <c r="S16" i="8"/>
  <c r="S24" i="8" s="1"/>
  <c r="R16" i="8"/>
  <c r="R24" i="8" s="1"/>
  <c r="Q24" i="8"/>
  <c r="Q25" i="8" s="1"/>
  <c r="S6" i="8"/>
  <c r="Q14" i="8"/>
  <c r="Q15" i="8" s="1"/>
  <c r="R6" i="8"/>
  <c r="R14" i="8" s="1"/>
  <c r="Z82" i="46"/>
  <c r="S14" i="8" l="1"/>
  <c r="K134" i="46"/>
  <c r="L34" i="48" s="1"/>
  <c r="J134" i="46"/>
  <c r="R25" i="8"/>
  <c r="S25" i="8"/>
  <c r="R15" i="8"/>
  <c r="S15" i="8"/>
  <c r="F75" i="47"/>
  <c r="F73" i="47"/>
  <c r="E75" i="47"/>
  <c r="E73" i="47"/>
  <c r="AC134" i="46" l="1"/>
  <c r="G73" i="47"/>
  <c r="H73" i="47" s="1"/>
  <c r="O123" i="57" s="1"/>
  <c r="G75" i="47"/>
  <c r="H75" i="47" s="1"/>
  <c r="O128" i="57" s="1"/>
  <c r="C128" i="57" l="1"/>
  <c r="K128" i="57"/>
  <c r="C123" i="57"/>
  <c r="K123" i="57"/>
  <c r="T128" i="57"/>
  <c r="P128" i="57"/>
  <c r="U128" i="57"/>
  <c r="V128" i="57"/>
  <c r="T123" i="57"/>
  <c r="U123" i="57"/>
  <c r="P123" i="57"/>
  <c r="V123" i="57"/>
  <c r="O123" i="46"/>
  <c r="O128" i="46"/>
  <c r="AC128" i="57" l="1"/>
  <c r="AC123" i="57"/>
  <c r="BA33" i="48"/>
  <c r="T26" i="9"/>
  <c r="T27" i="9" s="1"/>
  <c r="T28" i="9" s="1"/>
  <c r="T6" i="9"/>
  <c r="T7" i="9" s="1"/>
  <c r="T8" i="9" s="1"/>
  <c r="T16" i="9"/>
  <c r="T17" i="9" s="1"/>
  <c r="T18" i="9" s="1"/>
  <c r="U14" i="10"/>
  <c r="U15" i="10" s="1"/>
  <c r="U16" i="10" s="1"/>
  <c r="U10" i="10"/>
  <c r="U11" i="10" s="1"/>
  <c r="U12" i="10" s="1"/>
  <c r="U6" i="10"/>
  <c r="U7" i="10" s="1"/>
  <c r="U8" i="10" s="1"/>
  <c r="BA32" i="48" l="1"/>
  <c r="AQ34" i="2" l="1"/>
  <c r="AQ33" i="2"/>
  <c r="AA34" i="2"/>
  <c r="AA33" i="2"/>
  <c r="G34" i="2"/>
  <c r="G33" i="2"/>
  <c r="AM133" i="46" l="1"/>
  <c r="AR133" i="46"/>
  <c r="BC133" i="46" s="1"/>
  <c r="AR131" i="46"/>
  <c r="BC131" i="46" s="1"/>
  <c r="AM131" i="46"/>
  <c r="AR126" i="46"/>
  <c r="BC126" i="46" s="1"/>
  <c r="AM126" i="46"/>
  <c r="AR132" i="46"/>
  <c r="BC132" i="46" s="1"/>
  <c r="AM132" i="46"/>
  <c r="AR130" i="46"/>
  <c r="BC130" i="46" s="1"/>
  <c r="AM130" i="46"/>
  <c r="AR129" i="46"/>
  <c r="BC129" i="46" s="1"/>
  <c r="AM129" i="46"/>
  <c r="AC129" i="46"/>
  <c r="AR128" i="46"/>
  <c r="BC128" i="46" s="1"/>
  <c r="AM128" i="46"/>
  <c r="Z128" i="46"/>
  <c r="U128" i="46"/>
  <c r="N128" i="46"/>
  <c r="V128" i="46" s="1"/>
  <c r="AR125" i="46"/>
  <c r="BC125" i="46" s="1"/>
  <c r="AM125" i="46"/>
  <c r="AR124" i="46"/>
  <c r="BC124" i="46" s="1"/>
  <c r="AM124" i="46"/>
  <c r="AD124" i="46" s="1"/>
  <c r="AC124" i="46"/>
  <c r="AR123" i="46"/>
  <c r="BC123" i="46" s="1"/>
  <c r="AM123" i="46"/>
  <c r="Z123" i="46"/>
  <c r="P123" i="46"/>
  <c r="N123" i="46"/>
  <c r="H123" i="46" s="1"/>
  <c r="F26" i="9"/>
  <c r="I38" i="9"/>
  <c r="I75" i="47" s="1"/>
  <c r="G42" i="9"/>
  <c r="I37" i="9" s="1"/>
  <c r="F42" i="9"/>
  <c r="M42" i="9"/>
  <c r="Q27" i="9"/>
  <c r="R27" i="9" s="1"/>
  <c r="Q26" i="9"/>
  <c r="R26" i="9" s="1"/>
  <c r="R28" i="9"/>
  <c r="P27" i="9"/>
  <c r="P28" i="9"/>
  <c r="S28" i="9" s="1"/>
  <c r="R30" i="9"/>
  <c r="P30" i="9"/>
  <c r="S30" i="9" s="1"/>
  <c r="P26" i="9"/>
  <c r="Q18" i="9"/>
  <c r="R18" i="9" s="1"/>
  <c r="Q17" i="9"/>
  <c r="Q24" i="9" s="1"/>
  <c r="Q25" i="9" s="1"/>
  <c r="R20" i="9"/>
  <c r="P20" i="9"/>
  <c r="S20" i="9" s="1"/>
  <c r="P18" i="9"/>
  <c r="P17" i="9"/>
  <c r="S17" i="9" s="1"/>
  <c r="P16" i="9"/>
  <c r="S16" i="9" s="1"/>
  <c r="Q10" i="9"/>
  <c r="R10" i="9" s="1"/>
  <c r="Q9" i="9"/>
  <c r="Q8" i="9"/>
  <c r="Q7" i="9"/>
  <c r="R8" i="9"/>
  <c r="R9" i="9"/>
  <c r="P7" i="9"/>
  <c r="P8" i="9"/>
  <c r="P9" i="9"/>
  <c r="S9" i="9" s="1"/>
  <c r="P10" i="9"/>
  <c r="Q6" i="9"/>
  <c r="F11" i="9"/>
  <c r="P6" i="9"/>
  <c r="F26" i="10"/>
  <c r="I38" i="10"/>
  <c r="I73" i="47" s="1"/>
  <c r="R28" i="10"/>
  <c r="Q27" i="10"/>
  <c r="R27" i="10" s="1"/>
  <c r="Q26" i="10"/>
  <c r="P27" i="10"/>
  <c r="P28" i="10"/>
  <c r="S28" i="10" s="1"/>
  <c r="P26" i="10"/>
  <c r="Q20" i="10"/>
  <c r="R20" i="10" s="1"/>
  <c r="Q19" i="10"/>
  <c r="R19" i="10" s="1"/>
  <c r="Q18" i="10"/>
  <c r="R18" i="10" s="1"/>
  <c r="Q17" i="10"/>
  <c r="Q16" i="10"/>
  <c r="P17" i="10"/>
  <c r="P18" i="10"/>
  <c r="P19" i="10"/>
  <c r="P20" i="10"/>
  <c r="S20" i="10" s="1"/>
  <c r="P16" i="10"/>
  <c r="Q6" i="10"/>
  <c r="R6" i="10" s="1"/>
  <c r="P7" i="10"/>
  <c r="P6" i="10"/>
  <c r="S6" i="10" l="1"/>
  <c r="S7" i="9"/>
  <c r="S19" i="10"/>
  <c r="S8" i="9"/>
  <c r="Q34" i="9"/>
  <c r="Q35" i="9" s="1"/>
  <c r="S18" i="10"/>
  <c r="R17" i="9"/>
  <c r="S10" i="9"/>
  <c r="S27" i="9"/>
  <c r="AD128" i="46"/>
  <c r="AD131" i="46"/>
  <c r="S18" i="9"/>
  <c r="S24" i="9" s="1"/>
  <c r="S25" i="9" s="1"/>
  <c r="Q7" i="10"/>
  <c r="S26" i="10"/>
  <c r="AD123" i="46"/>
  <c r="AD129" i="46"/>
  <c r="AD126" i="46"/>
  <c r="AD132" i="46"/>
  <c r="AD125" i="46"/>
  <c r="V123" i="46"/>
  <c r="AD130" i="46"/>
  <c r="P128" i="46"/>
  <c r="C128" i="46"/>
  <c r="N33" i="48" s="1"/>
  <c r="T128" i="46"/>
  <c r="H128" i="46"/>
  <c r="K123" i="46"/>
  <c r="L32" i="48" s="1"/>
  <c r="J123" i="46"/>
  <c r="C123" i="46"/>
  <c r="N32" i="48" s="1"/>
  <c r="T123" i="46"/>
  <c r="U123" i="46"/>
  <c r="S26" i="9"/>
  <c r="R34" i="9"/>
  <c r="R35" i="9" s="1"/>
  <c r="R16" i="9"/>
  <c r="R7" i="9"/>
  <c r="Q14" i="9"/>
  <c r="Q15" i="9" s="1"/>
  <c r="S6" i="9"/>
  <c r="R6" i="9"/>
  <c r="S27" i="10"/>
  <c r="Q34" i="10"/>
  <c r="Q35" i="10" s="1"/>
  <c r="R26" i="10"/>
  <c r="R34" i="10" s="1"/>
  <c r="R35" i="10" s="1"/>
  <c r="S17" i="10"/>
  <c r="R17" i="10"/>
  <c r="R16" i="10"/>
  <c r="S16" i="10"/>
  <c r="Q24" i="10"/>
  <c r="Q25" i="10" s="1"/>
  <c r="R4" i="54"/>
  <c r="R3" i="54"/>
  <c r="S4" i="54"/>
  <c r="S3" i="54"/>
  <c r="T3" i="54"/>
  <c r="V4" i="54"/>
  <c r="V3" i="54"/>
  <c r="W4" i="54"/>
  <c r="W3" i="54"/>
  <c r="X4" i="54"/>
  <c r="X3" i="54"/>
  <c r="R24" i="9" l="1"/>
  <c r="R25" i="9" s="1"/>
  <c r="S34" i="9"/>
  <c r="S35" i="9" s="1"/>
  <c r="S24" i="10"/>
  <c r="S14" i="9"/>
  <c r="S15" i="9" s="1"/>
  <c r="R24" i="10"/>
  <c r="S34" i="10"/>
  <c r="S35" i="10" s="1"/>
  <c r="S7" i="10"/>
  <c r="S14" i="10" s="1"/>
  <c r="Q14" i="10"/>
  <c r="Q15" i="10" s="1"/>
  <c r="R7" i="10"/>
  <c r="R14" i="10" s="1"/>
  <c r="J128" i="46"/>
  <c r="K128" i="46"/>
  <c r="L33" i="48" s="1"/>
  <c r="AC123" i="46"/>
  <c r="R14" i="9"/>
  <c r="R15" i="9" s="1"/>
  <c r="S25" i="10"/>
  <c r="R25" i="10"/>
  <c r="R15" i="10" l="1"/>
  <c r="S15" i="10"/>
  <c r="AC128" i="46"/>
  <c r="Z118" i="46" l="1"/>
  <c r="E71" i="47"/>
  <c r="G71" i="47" s="1"/>
  <c r="H71" i="47" s="1"/>
  <c r="O118" i="57" s="1"/>
  <c r="AR121" i="46"/>
  <c r="BC121" i="46" s="1"/>
  <c r="AM121" i="46"/>
  <c r="N42" i="11"/>
  <c r="N43" i="11" s="1"/>
  <c r="N44" i="11" s="1"/>
  <c r="N38" i="11"/>
  <c r="N39" i="11" s="1"/>
  <c r="N40" i="11" s="1"/>
  <c r="V23" i="24"/>
  <c r="V24" i="24" s="1"/>
  <c r="V25" i="24" s="1"/>
  <c r="C118" i="57" l="1"/>
  <c r="K118" i="57"/>
  <c r="V118" i="57"/>
  <c r="P118" i="57"/>
  <c r="T118" i="57"/>
  <c r="U118" i="57"/>
  <c r="O118" i="46"/>
  <c r="AD121" i="46"/>
  <c r="AC118" i="57" l="1"/>
  <c r="BA31" i="48"/>
  <c r="AQ32" i="2" l="1"/>
  <c r="AA32" i="2"/>
  <c r="G32" i="2"/>
  <c r="F26" i="11" l="1"/>
  <c r="F9" i="11"/>
  <c r="P118" i="46"/>
  <c r="AR120" i="46"/>
  <c r="BC120" i="46" s="1"/>
  <c r="AM120" i="46"/>
  <c r="AR119" i="46"/>
  <c r="BC119" i="46" s="1"/>
  <c r="AM119" i="46"/>
  <c r="AC119" i="46"/>
  <c r="AR118" i="46"/>
  <c r="BC118" i="46" s="1"/>
  <c r="AM118" i="46"/>
  <c r="I38" i="11"/>
  <c r="I71" i="47" s="1"/>
  <c r="G42" i="11"/>
  <c r="I37" i="11" s="1"/>
  <c r="F42" i="11"/>
  <c r="P26" i="11"/>
  <c r="S26" i="11" s="1"/>
  <c r="S34" i="11" s="1"/>
  <c r="S35" i="11" s="1"/>
  <c r="Q34" i="11"/>
  <c r="Q35" i="11" s="1"/>
  <c r="R26" i="11"/>
  <c r="R34" i="11" s="1"/>
  <c r="R35" i="11" s="1"/>
  <c r="Q16" i="11"/>
  <c r="P17" i="11"/>
  <c r="P16" i="11"/>
  <c r="Q14" i="11"/>
  <c r="Q15" i="11" s="1"/>
  <c r="R6" i="11"/>
  <c r="R14" i="11" s="1"/>
  <c r="R15" i="11" s="1"/>
  <c r="P6" i="11"/>
  <c r="S6" i="11" s="1"/>
  <c r="S14" i="11" s="1"/>
  <c r="S15" i="11" s="1"/>
  <c r="Q17" i="11" l="1"/>
  <c r="S17" i="11" s="1"/>
  <c r="AD120" i="46"/>
  <c r="AD119" i="46"/>
  <c r="U118" i="46"/>
  <c r="AD118" i="46"/>
  <c r="T118" i="46"/>
  <c r="N118" i="46"/>
  <c r="C118" i="46"/>
  <c r="N31" i="48" s="1"/>
  <c r="R17" i="11"/>
  <c r="S16" i="11"/>
  <c r="R16" i="11"/>
  <c r="H118" i="46" l="1"/>
  <c r="K118" i="46" s="1"/>
  <c r="L31" i="48" s="1"/>
  <c r="R24" i="11"/>
  <c r="S24" i="11"/>
  <c r="J118" i="46"/>
  <c r="Q24" i="11"/>
  <c r="Q25" i="11" s="1"/>
  <c r="V118" i="46"/>
  <c r="R25" i="11" l="1"/>
  <c r="S25" i="11"/>
  <c r="AC118" i="46"/>
  <c r="KV39" i="1" l="1"/>
  <c r="KV38" i="1"/>
  <c r="KV37" i="1"/>
  <c r="KV36" i="1"/>
  <c r="KV35" i="1"/>
  <c r="KV34" i="1"/>
  <c r="KV33" i="1"/>
  <c r="KV32" i="1"/>
  <c r="KV31" i="1"/>
  <c r="KV29" i="1"/>
  <c r="KV28" i="1"/>
  <c r="KV27" i="1"/>
  <c r="KV26" i="1"/>
  <c r="KV25" i="1"/>
  <c r="KV24" i="1"/>
  <c r="KV23" i="1"/>
  <c r="KV22" i="1"/>
  <c r="KV21" i="1"/>
  <c r="KV20" i="1"/>
  <c r="KV19" i="1"/>
  <c r="KV18" i="1"/>
  <c r="KV17" i="1"/>
  <c r="KV16" i="1"/>
  <c r="KV15" i="1"/>
  <c r="KV14" i="1"/>
  <c r="KV13" i="1"/>
  <c r="KV12" i="1"/>
  <c r="KV11" i="1"/>
  <c r="KV10" i="1"/>
  <c r="KV9" i="1"/>
  <c r="KV30" i="1"/>
  <c r="I68" i="47" l="1"/>
  <c r="F69" i="47"/>
  <c r="E69" i="47"/>
  <c r="E68" i="47"/>
  <c r="E67" i="47"/>
  <c r="G67" i="47" s="1"/>
  <c r="H67" i="47" s="1"/>
  <c r="K11" i="12"/>
  <c r="K7" i="12"/>
  <c r="K14" i="12"/>
  <c r="W115" i="57" l="1"/>
  <c r="W116" i="57"/>
  <c r="W114" i="57"/>
  <c r="G69" i="47"/>
  <c r="H69" i="47" s="1"/>
  <c r="O115" i="57" s="1"/>
  <c r="W116" i="46"/>
  <c r="G68" i="47"/>
  <c r="H68" i="47" s="1"/>
  <c r="O114" i="57" s="1"/>
  <c r="K114" i="57" l="1"/>
  <c r="C114" i="57"/>
  <c r="C115" i="57"/>
  <c r="K115" i="57"/>
  <c r="V114" i="57"/>
  <c r="P114" i="57"/>
  <c r="U114" i="57"/>
  <c r="T114" i="57"/>
  <c r="P115" i="57"/>
  <c r="U115" i="57"/>
  <c r="T115" i="57"/>
  <c r="V115" i="57"/>
  <c r="O115" i="46"/>
  <c r="O114" i="46"/>
  <c r="X114" i="57" l="1"/>
  <c r="AC115" i="57"/>
  <c r="AA114" i="57"/>
  <c r="AQ31" i="2"/>
  <c r="AA31" i="2"/>
  <c r="G31" i="2"/>
  <c r="AC114" i="57" l="1"/>
  <c r="AB114" i="57"/>
  <c r="W115" i="46"/>
  <c r="W114" i="46"/>
  <c r="M115" i="46"/>
  <c r="U115" i="46" s="1"/>
  <c r="M114" i="46"/>
  <c r="U114" i="46" s="1"/>
  <c r="G115" i="46"/>
  <c r="AR116" i="46"/>
  <c r="BC116" i="46" s="1"/>
  <c r="AM116" i="46"/>
  <c r="AR115" i="46"/>
  <c r="BC115" i="46" s="1"/>
  <c r="AM115" i="46"/>
  <c r="AR114" i="46"/>
  <c r="BC114" i="46" s="1"/>
  <c r="AM114" i="46"/>
  <c r="I38" i="12"/>
  <c r="L38" i="12" s="1"/>
  <c r="I69" i="47" s="1"/>
  <c r="F42" i="12"/>
  <c r="G40" i="12"/>
  <c r="G39" i="12"/>
  <c r="P9" i="12"/>
  <c r="Q9" i="12" s="1"/>
  <c r="P8" i="12"/>
  <c r="Q8" i="12" s="1"/>
  <c r="O9" i="12"/>
  <c r="O8" i="12"/>
  <c r="G42" i="12" l="1"/>
  <c r="I37" i="12" s="1"/>
  <c r="R8" i="12"/>
  <c r="R9" i="12"/>
  <c r="P10" i="12"/>
  <c r="N115" i="46"/>
  <c r="H115" i="46" s="1"/>
  <c r="R10" i="12"/>
  <c r="R11" i="12" s="1"/>
  <c r="AD115" i="46"/>
  <c r="AD116" i="46"/>
  <c r="N114" i="46"/>
  <c r="V114" i="46" s="1"/>
  <c r="C115" i="46"/>
  <c r="P115" i="46"/>
  <c r="T115" i="46"/>
  <c r="AA114" i="46"/>
  <c r="AD114" i="46"/>
  <c r="P114" i="46"/>
  <c r="C114" i="46"/>
  <c r="T114" i="46"/>
  <c r="Q10" i="12"/>
  <c r="Q11" i="12" l="1"/>
  <c r="N30" i="48"/>
  <c r="V115" i="46"/>
  <c r="H114" i="46"/>
  <c r="J114" i="46" s="1"/>
  <c r="K115" i="46"/>
  <c r="AC115" i="46" s="1"/>
  <c r="J115" i="46"/>
  <c r="K114" i="46" l="1"/>
  <c r="L30" i="48" s="1"/>
  <c r="X114" i="46" l="1"/>
  <c r="AC114" i="46"/>
  <c r="AB114" i="46" s="1"/>
  <c r="BA30" i="48"/>
  <c r="AQ30" i="2" l="1"/>
  <c r="AA30" i="2"/>
  <c r="G30" i="2"/>
  <c r="E65" i="47"/>
  <c r="G65" i="47" s="1"/>
  <c r="E64" i="47"/>
  <c r="G64" i="47" s="1"/>
  <c r="H64" i="47" s="1"/>
  <c r="O111" i="57" s="1"/>
  <c r="F63" i="47"/>
  <c r="E63" i="47"/>
  <c r="K14" i="13"/>
  <c r="C25" i="13"/>
  <c r="K12" i="13" s="1"/>
  <c r="C111" i="57" l="1"/>
  <c r="K111" i="57"/>
  <c r="W111" i="57"/>
  <c r="W110" i="57"/>
  <c r="P111" i="57"/>
  <c r="V111" i="57"/>
  <c r="U111" i="57"/>
  <c r="T111" i="57"/>
  <c r="AC111" i="57" s="1"/>
  <c r="O111" i="46"/>
  <c r="G63" i="47"/>
  <c r="H63" i="47" s="1"/>
  <c r="O110" i="57" s="1"/>
  <c r="H65" i="47"/>
  <c r="O112" i="57" s="1"/>
  <c r="W111" i="46"/>
  <c r="W110" i="46"/>
  <c r="C112" i="57" l="1"/>
  <c r="K112" i="57"/>
  <c r="C110" i="57"/>
  <c r="K110" i="57"/>
  <c r="U112" i="57"/>
  <c r="T112" i="57"/>
  <c r="P112" i="57"/>
  <c r="V112" i="57"/>
  <c r="U110" i="57"/>
  <c r="T110" i="57"/>
  <c r="P110" i="57"/>
  <c r="V110" i="57"/>
  <c r="O110" i="46"/>
  <c r="O112" i="46"/>
  <c r="AA110" i="57" l="1"/>
  <c r="AC110" i="57"/>
  <c r="X110" i="57"/>
  <c r="BA29" i="48"/>
  <c r="N111" i="46"/>
  <c r="H111" i="46" s="1"/>
  <c r="C111" i="46"/>
  <c r="T111" i="46"/>
  <c r="C112" i="46"/>
  <c r="N112" i="46"/>
  <c r="H112" i="46" s="1"/>
  <c r="J112" i="46" s="1"/>
  <c r="T112" i="46"/>
  <c r="W112" i="46"/>
  <c r="AR112" i="46"/>
  <c r="BC112" i="46" s="1"/>
  <c r="AM112" i="46"/>
  <c r="AR111" i="46"/>
  <c r="BC111" i="46" s="1"/>
  <c r="AM111" i="46"/>
  <c r="AR110" i="46"/>
  <c r="BC110" i="46" s="1"/>
  <c r="AM110" i="46"/>
  <c r="T110" i="46"/>
  <c r="N110" i="46"/>
  <c r="H110" i="46" s="1"/>
  <c r="J110" i="46" s="1"/>
  <c r="F26" i="13"/>
  <c r="I38" i="13"/>
  <c r="I63" i="47" s="1"/>
  <c r="G42" i="13"/>
  <c r="I37" i="13" s="1"/>
  <c r="F42" i="13"/>
  <c r="AA34" i="13"/>
  <c r="AA37" i="13" s="1"/>
  <c r="AA25" i="13"/>
  <c r="AB25" i="13" s="1"/>
  <c r="AA26" i="13"/>
  <c r="AB26" i="13" s="1"/>
  <c r="Z26" i="13"/>
  <c r="AC26" i="13" s="1"/>
  <c r="Z25" i="13"/>
  <c r="AB24" i="13"/>
  <c r="Z24" i="13"/>
  <c r="AC24" i="13" s="1"/>
  <c r="Z7" i="13"/>
  <c r="AC7" i="13" s="1"/>
  <c r="AB7" i="13"/>
  <c r="AA14" i="13"/>
  <c r="AA15" i="13" s="1"/>
  <c r="AB6" i="13"/>
  <c r="Z6" i="13"/>
  <c r="AC6" i="13" s="1"/>
  <c r="AB110" i="57" l="1"/>
  <c r="AD110" i="46"/>
  <c r="AC25" i="13"/>
  <c r="AA32" i="13"/>
  <c r="AA33" i="13" s="1"/>
  <c r="AD112" i="46"/>
  <c r="V110" i="46"/>
  <c r="P111" i="46"/>
  <c r="P112" i="46"/>
  <c r="U110" i="46"/>
  <c r="C110" i="46"/>
  <c r="N29" i="48" s="1"/>
  <c r="U112" i="46"/>
  <c r="V112" i="46"/>
  <c r="J111" i="46"/>
  <c r="K111" i="46"/>
  <c r="AC111" i="46" s="1"/>
  <c r="K112" i="46"/>
  <c r="V111" i="46"/>
  <c r="U111" i="46"/>
  <c r="AD111" i="46"/>
  <c r="K110" i="46"/>
  <c r="AC110" i="46" s="1"/>
  <c r="P110" i="46"/>
  <c r="AC32" i="13"/>
  <c r="AC33" i="13" s="1"/>
  <c r="AB32" i="13"/>
  <c r="AC14" i="13"/>
  <c r="AC15" i="13" s="1"/>
  <c r="AB14" i="13"/>
  <c r="AB15" i="13" s="1"/>
  <c r="AB33" i="13" l="1"/>
  <c r="X110" i="46"/>
  <c r="AA110" i="46"/>
  <c r="AB110" i="46" s="1"/>
  <c r="L29" i="48"/>
  <c r="AQ29" i="2" l="1"/>
  <c r="AA29" i="2"/>
  <c r="G29" i="2"/>
  <c r="E61" i="47" l="1"/>
  <c r="F60" i="47"/>
  <c r="E60" i="47"/>
  <c r="G61" i="47"/>
  <c r="H61" i="47" s="1"/>
  <c r="O106" i="57" s="1"/>
  <c r="K9" i="14"/>
  <c r="C26" i="14"/>
  <c r="K12" i="14" s="1"/>
  <c r="C106" i="57" l="1"/>
  <c r="K106" i="57"/>
  <c r="W106" i="57"/>
  <c r="P106" i="57"/>
  <c r="W105" i="57"/>
  <c r="U106" i="57"/>
  <c r="T106" i="57"/>
  <c r="V106" i="57"/>
  <c r="W105" i="46"/>
  <c r="W106" i="46"/>
  <c r="O106" i="46"/>
  <c r="G60" i="47"/>
  <c r="H60" i="47" s="1"/>
  <c r="O105" i="57" s="1"/>
  <c r="C105" i="57" l="1"/>
  <c r="K105" i="57"/>
  <c r="AC106" i="57"/>
  <c r="U105" i="57"/>
  <c r="AA105" i="57" s="1"/>
  <c r="T105" i="57"/>
  <c r="V105" i="57"/>
  <c r="P105" i="57"/>
  <c r="O105" i="46"/>
  <c r="AC105" i="57" l="1"/>
  <c r="AB105" i="57" s="1"/>
  <c r="X105" i="57"/>
  <c r="BA28" i="48"/>
  <c r="N106" i="46" l="1"/>
  <c r="H106" i="46" s="1"/>
  <c r="P106" i="46"/>
  <c r="N105" i="46"/>
  <c r="H105" i="46" s="1"/>
  <c r="C105" i="46"/>
  <c r="P105" i="46"/>
  <c r="AM105" i="46"/>
  <c r="AR105" i="46"/>
  <c r="BC105" i="46" s="1"/>
  <c r="AM106" i="46"/>
  <c r="AR106" i="46"/>
  <c r="BC106" i="46" s="1"/>
  <c r="AM107" i="46"/>
  <c r="AR107" i="46"/>
  <c r="BC107" i="46" s="1"/>
  <c r="AM108" i="46"/>
  <c r="AR108" i="46"/>
  <c r="BC108" i="46" s="1"/>
  <c r="I38" i="14"/>
  <c r="I60" i="47" s="1"/>
  <c r="Q39" i="14"/>
  <c r="X24" i="14"/>
  <c r="X25" i="14" s="1"/>
  <c r="Y19" i="14"/>
  <c r="Z19" i="14"/>
  <c r="Y17" i="14"/>
  <c r="Z17" i="14"/>
  <c r="Y18" i="14"/>
  <c r="Z18" i="14"/>
  <c r="Y16" i="14"/>
  <c r="Z16" i="14"/>
  <c r="G42" i="14"/>
  <c r="I37" i="14" s="1"/>
  <c r="F42" i="14"/>
  <c r="Q35" i="14"/>
  <c r="Q36" i="14" s="1"/>
  <c r="R27" i="14"/>
  <c r="R35" i="14" s="1"/>
  <c r="P27" i="14"/>
  <c r="S27" i="14" s="1"/>
  <c r="S35" i="14" s="1"/>
  <c r="Q24" i="14"/>
  <c r="Q25" i="14" s="1"/>
  <c r="P16" i="14"/>
  <c r="S16" i="14" s="1"/>
  <c r="Q8" i="14"/>
  <c r="R8" i="14" s="1"/>
  <c r="Q7" i="14"/>
  <c r="R7" i="14" s="1"/>
  <c r="Q6" i="14"/>
  <c r="R6" i="14" s="1"/>
  <c r="P7" i="14"/>
  <c r="R11" i="14"/>
  <c r="P11" i="14"/>
  <c r="S11" i="14" s="1"/>
  <c r="R10" i="14"/>
  <c r="P10" i="14"/>
  <c r="S10" i="14" s="1"/>
  <c r="S9" i="14"/>
  <c r="R9" i="14"/>
  <c r="P8" i="14"/>
  <c r="P6" i="14"/>
  <c r="S6" i="14" l="1"/>
  <c r="R36" i="14"/>
  <c r="V106" i="46"/>
  <c r="Z24" i="14"/>
  <c r="Z25" i="14" s="1"/>
  <c r="S36" i="14"/>
  <c r="AD105" i="46"/>
  <c r="AD107" i="46"/>
  <c r="AD106" i="46"/>
  <c r="AD108" i="46"/>
  <c r="K106" i="46"/>
  <c r="J106" i="46"/>
  <c r="U106" i="46"/>
  <c r="T106" i="46"/>
  <c r="C106" i="46"/>
  <c r="N28" i="48" s="1"/>
  <c r="J105" i="46"/>
  <c r="K105" i="46"/>
  <c r="V105" i="46"/>
  <c r="U105" i="46"/>
  <c r="T105" i="46"/>
  <c r="Y24" i="14"/>
  <c r="Y25" i="14" s="1"/>
  <c r="S24" i="14"/>
  <c r="S25" i="14" s="1"/>
  <c r="R16" i="14"/>
  <c r="R24" i="14" s="1"/>
  <c r="R25" i="14" s="1"/>
  <c r="S8" i="14"/>
  <c r="Q14" i="14"/>
  <c r="Q15" i="14" s="1"/>
  <c r="S7" i="14"/>
  <c r="R14" i="14"/>
  <c r="F58" i="47"/>
  <c r="E58" i="47"/>
  <c r="I38" i="15"/>
  <c r="I58" i="47" s="1"/>
  <c r="X105" i="46" l="1"/>
  <c r="L28" i="48"/>
  <c r="AC106" i="46"/>
  <c r="AC105" i="46"/>
  <c r="S14" i="14"/>
  <c r="S15" i="14" s="1"/>
  <c r="R15" i="14"/>
  <c r="G58" i="47"/>
  <c r="H58" i="47" s="1"/>
  <c r="O100" i="57" s="1"/>
  <c r="C100" i="57" l="1"/>
  <c r="K100" i="57"/>
  <c r="U100" i="57"/>
  <c r="V100" i="57"/>
  <c r="T100" i="57"/>
  <c r="P100" i="57"/>
  <c r="O100" i="46"/>
  <c r="AC100" i="57" l="1"/>
  <c r="AQ28" i="2"/>
  <c r="AA28" i="2"/>
  <c r="G28" i="2"/>
  <c r="BA27" i="48" l="1"/>
  <c r="U100" i="46" l="1"/>
  <c r="N100" i="46"/>
  <c r="V100" i="46" s="1"/>
  <c r="AR103" i="46"/>
  <c r="BC103" i="46" s="1"/>
  <c r="AM103" i="46"/>
  <c r="AR102" i="46"/>
  <c r="BC102" i="46" s="1"/>
  <c r="AM102" i="46"/>
  <c r="AR101" i="46"/>
  <c r="BC101" i="46" s="1"/>
  <c r="AM101" i="46"/>
  <c r="AR100" i="46"/>
  <c r="BC100" i="46" s="1"/>
  <c r="AM100" i="46"/>
  <c r="AD100" i="46" s="1"/>
  <c r="F26" i="15"/>
  <c r="F9" i="15"/>
  <c r="G42" i="15"/>
  <c r="I37" i="15" s="1"/>
  <c r="F42" i="15"/>
  <c r="R32" i="15"/>
  <c r="P32" i="15"/>
  <c r="S32" i="15" s="1"/>
  <c r="R31" i="15"/>
  <c r="P31" i="15"/>
  <c r="S31" i="15" s="1"/>
  <c r="S30" i="15"/>
  <c r="R30" i="15"/>
  <c r="R29" i="15"/>
  <c r="P29" i="15"/>
  <c r="S29" i="15" s="1"/>
  <c r="Q28" i="15"/>
  <c r="R28" i="15" s="1"/>
  <c r="P28" i="15"/>
  <c r="R27" i="15"/>
  <c r="P27" i="15"/>
  <c r="S27" i="15" s="1"/>
  <c r="R22" i="15"/>
  <c r="P22" i="15"/>
  <c r="S22" i="15" s="1"/>
  <c r="R21" i="15"/>
  <c r="P21" i="15"/>
  <c r="S21" i="15" s="1"/>
  <c r="S20" i="15"/>
  <c r="R20" i="15"/>
  <c r="R19" i="15"/>
  <c r="P19" i="15"/>
  <c r="S19" i="15" s="1"/>
  <c r="P18" i="15"/>
  <c r="P17" i="15"/>
  <c r="S17" i="15" s="1"/>
  <c r="Q6" i="15"/>
  <c r="Q7" i="15" s="1"/>
  <c r="Q14" i="15" s="1"/>
  <c r="Q15" i="15" s="1"/>
  <c r="R11" i="15"/>
  <c r="P11" i="15"/>
  <c r="S11" i="15" s="1"/>
  <c r="S10" i="15"/>
  <c r="R10" i="15"/>
  <c r="P10" i="15"/>
  <c r="S9" i="15"/>
  <c r="R9" i="15"/>
  <c r="R8" i="15"/>
  <c r="P8" i="15"/>
  <c r="S8" i="15" s="1"/>
  <c r="P7" i="15"/>
  <c r="P6" i="15"/>
  <c r="S6" i="15" l="1"/>
  <c r="R35" i="15"/>
  <c r="R6" i="15"/>
  <c r="AD103" i="46"/>
  <c r="S28" i="15"/>
  <c r="AD102" i="46"/>
  <c r="P100" i="46"/>
  <c r="C100" i="46"/>
  <c r="N27" i="48" s="1"/>
  <c r="H100" i="46"/>
  <c r="T100" i="46"/>
  <c r="AD101" i="46"/>
  <c r="AC101" i="46"/>
  <c r="Q35" i="15"/>
  <c r="Q36" i="15" s="1"/>
  <c r="S35" i="15"/>
  <c r="R17" i="15"/>
  <c r="Q18" i="15"/>
  <c r="Q25" i="15" s="1"/>
  <c r="Q26" i="15" s="1"/>
  <c r="S7" i="15"/>
  <c r="S14" i="15" s="1"/>
  <c r="S15" i="15" s="1"/>
  <c r="R7" i="15"/>
  <c r="S36" i="15" l="1"/>
  <c r="R14" i="15"/>
  <c r="R15" i="15" s="1"/>
  <c r="K100" i="46"/>
  <c r="L27" i="48" s="1"/>
  <c r="J100" i="46"/>
  <c r="R36" i="15"/>
  <c r="R18" i="15"/>
  <c r="R25" i="15" s="1"/>
  <c r="R26" i="15" s="1"/>
  <c r="S18" i="15"/>
  <c r="S25" i="15" s="1"/>
  <c r="S26" i="15" s="1"/>
  <c r="AC100" i="46" l="1"/>
  <c r="Z96" i="46" l="1"/>
  <c r="F55" i="47"/>
  <c r="E56" i="47"/>
  <c r="G56" i="47" s="1"/>
  <c r="H56" i="47" s="1"/>
  <c r="O96" i="57" s="1"/>
  <c r="E55" i="47"/>
  <c r="G55" i="47" s="1"/>
  <c r="H55" i="47" s="1"/>
  <c r="O95" i="57" s="1"/>
  <c r="F53" i="47"/>
  <c r="E53" i="47"/>
  <c r="C96" i="57" l="1"/>
  <c r="K96" i="57"/>
  <c r="C95" i="57"/>
  <c r="K95" i="57"/>
  <c r="P95" i="57"/>
  <c r="V95" i="57"/>
  <c r="U95" i="57"/>
  <c r="T95" i="57"/>
  <c r="P96" i="57"/>
  <c r="V96" i="57"/>
  <c r="T96" i="57"/>
  <c r="AC96" i="57" s="1"/>
  <c r="U96" i="57"/>
  <c r="O96" i="46"/>
  <c r="O95" i="46"/>
  <c r="G53" i="47"/>
  <c r="H53" i="47" s="1"/>
  <c r="O90" i="57" s="1"/>
  <c r="C90" i="57" l="1"/>
  <c r="K90" i="57"/>
  <c r="AC95" i="57"/>
  <c r="V90" i="57"/>
  <c r="P90" i="57"/>
  <c r="O90" i="46"/>
  <c r="AQ27" i="2"/>
  <c r="AQ26" i="2"/>
  <c r="AA27" i="2"/>
  <c r="AA26" i="2"/>
  <c r="G27" i="2"/>
  <c r="G26" i="2"/>
  <c r="K9" i="16"/>
  <c r="C16" i="16"/>
  <c r="C7" i="16"/>
  <c r="W96" i="57" l="1"/>
  <c r="T90" i="57"/>
  <c r="U90" i="57"/>
  <c r="AC90" i="57"/>
  <c r="K12" i="16"/>
  <c r="W95" i="46"/>
  <c r="W96" i="46"/>
  <c r="BA26" i="48"/>
  <c r="W95" i="57" l="1"/>
  <c r="X95" i="57"/>
  <c r="BA25" i="48"/>
  <c r="N96" i="46"/>
  <c r="H96" i="46" s="1"/>
  <c r="AR98" i="46"/>
  <c r="BC98" i="46" s="1"/>
  <c r="AM98" i="46"/>
  <c r="AR97" i="46"/>
  <c r="BC97" i="46" s="1"/>
  <c r="AM97" i="46"/>
  <c r="AR96" i="46"/>
  <c r="BC96" i="46" s="1"/>
  <c r="AM96" i="46"/>
  <c r="AR95" i="46"/>
  <c r="BC95" i="46" s="1"/>
  <c r="AM95" i="46"/>
  <c r="U95" i="46"/>
  <c r="N95" i="46"/>
  <c r="H95" i="46" s="1"/>
  <c r="U90" i="46"/>
  <c r="N90" i="46"/>
  <c r="H90" i="46" s="1"/>
  <c r="AR93" i="46"/>
  <c r="BC93" i="46" s="1"/>
  <c r="AM93" i="46"/>
  <c r="AR92" i="46"/>
  <c r="BC92" i="46" s="1"/>
  <c r="AM92" i="46"/>
  <c r="AR91" i="46"/>
  <c r="BC91" i="46" s="1"/>
  <c r="AM91" i="46"/>
  <c r="AR90" i="46"/>
  <c r="BC90" i="46" s="1"/>
  <c r="AM90" i="46"/>
  <c r="F26" i="16"/>
  <c r="I38" i="16"/>
  <c r="I55" i="47" s="1"/>
  <c r="R7" i="16"/>
  <c r="R8" i="16"/>
  <c r="R9" i="16"/>
  <c r="S9" i="16"/>
  <c r="P8" i="16"/>
  <c r="S8" i="16" s="1"/>
  <c r="P7" i="16"/>
  <c r="S7" i="16" s="1"/>
  <c r="Q14" i="16"/>
  <c r="Q15" i="16" s="1"/>
  <c r="R11" i="16"/>
  <c r="P11" i="16"/>
  <c r="S11" i="16" s="1"/>
  <c r="R10" i="16"/>
  <c r="P10" i="16"/>
  <c r="S10" i="16" s="1"/>
  <c r="R6" i="16"/>
  <c r="P6" i="16"/>
  <c r="S6" i="16" s="1"/>
  <c r="F17" i="17"/>
  <c r="I38" i="17"/>
  <c r="I53" i="47" s="1"/>
  <c r="Q34" i="17"/>
  <c r="Q35" i="17" s="1"/>
  <c r="R31" i="17"/>
  <c r="P31" i="17"/>
  <c r="S31" i="17" s="1"/>
  <c r="R30" i="17"/>
  <c r="P30" i="17"/>
  <c r="S30" i="17" s="1"/>
  <c r="R26" i="17"/>
  <c r="P26" i="17"/>
  <c r="S26" i="17" s="1"/>
  <c r="P16" i="17"/>
  <c r="S16" i="17" s="1"/>
  <c r="R16" i="17"/>
  <c r="P20" i="17"/>
  <c r="S20" i="17" s="1"/>
  <c r="R20" i="17"/>
  <c r="P21" i="17"/>
  <c r="S21" i="17" s="1"/>
  <c r="R21" i="17"/>
  <c r="Q24" i="17"/>
  <c r="Q25" i="17" s="1"/>
  <c r="Q6" i="17"/>
  <c r="Q7" i="17" s="1"/>
  <c r="R7" i="17" s="1"/>
  <c r="P7" i="17"/>
  <c r="R11" i="17"/>
  <c r="P11" i="17"/>
  <c r="S11" i="17" s="1"/>
  <c r="R10" i="17"/>
  <c r="P10" i="17"/>
  <c r="S10" i="17" s="1"/>
  <c r="P6" i="17"/>
  <c r="R24" i="17" l="1"/>
  <c r="R25" i="17" s="1"/>
  <c r="R34" i="17"/>
  <c r="R35" i="17" s="1"/>
  <c r="AD91" i="46"/>
  <c r="AD93" i="46"/>
  <c r="AD92" i="46"/>
  <c r="V95" i="46"/>
  <c r="AD97" i="46"/>
  <c r="U96" i="46"/>
  <c r="C96" i="46"/>
  <c r="V90" i="46"/>
  <c r="J96" i="46"/>
  <c r="K96" i="46"/>
  <c r="P96" i="46"/>
  <c r="V96" i="46"/>
  <c r="T96" i="46"/>
  <c r="K95" i="46"/>
  <c r="J95" i="46"/>
  <c r="AD96" i="46"/>
  <c r="AD98" i="46"/>
  <c r="AD95" i="46"/>
  <c r="C95" i="46"/>
  <c r="T95" i="46"/>
  <c r="P95" i="46"/>
  <c r="J90" i="46"/>
  <c r="K90" i="46"/>
  <c r="P90" i="46"/>
  <c r="C90" i="46"/>
  <c r="N25" i="48" s="1"/>
  <c r="T90" i="46"/>
  <c r="AD90" i="46"/>
  <c r="AC91" i="46"/>
  <c r="S14" i="16"/>
  <c r="S15" i="16" s="1"/>
  <c r="R14" i="16"/>
  <c r="R15" i="16" s="1"/>
  <c r="S7" i="17"/>
  <c r="S34" i="17"/>
  <c r="S35" i="17" s="1"/>
  <c r="S24" i="17"/>
  <c r="S25" i="17" s="1"/>
  <c r="Q14" i="17"/>
  <c r="Q15" i="17" s="1"/>
  <c r="S6" i="17"/>
  <c r="R6" i="17"/>
  <c r="R14" i="17" s="1"/>
  <c r="N26" i="48" l="1"/>
  <c r="L25" i="48"/>
  <c r="AC95" i="46"/>
  <c r="L26" i="48"/>
  <c r="AC90" i="46"/>
  <c r="AC96" i="46"/>
  <c r="X95" i="46"/>
  <c r="S14" i="17"/>
  <c r="S15" i="17" s="1"/>
  <c r="R15" i="17"/>
  <c r="F50" i="47" l="1"/>
  <c r="E51" i="47"/>
  <c r="G51" i="47" s="1"/>
  <c r="E50" i="47"/>
  <c r="E46" i="47"/>
  <c r="G46" i="47" s="1"/>
  <c r="E49" i="47"/>
  <c r="F45" i="47"/>
  <c r="E47" i="47"/>
  <c r="G47" i="47" s="1"/>
  <c r="H47" i="47" s="1"/>
  <c r="O82" i="57" s="1"/>
  <c r="E45" i="47"/>
  <c r="E43" i="47"/>
  <c r="E44" i="47"/>
  <c r="G44" i="47" s="1"/>
  <c r="K12" i="18"/>
  <c r="K13" i="18"/>
  <c r="K13" i="19"/>
  <c r="C16" i="19"/>
  <c r="K12" i="19" s="1"/>
  <c r="C7" i="19"/>
  <c r="C14" i="19" s="1"/>
  <c r="C82" i="57" l="1"/>
  <c r="K82" i="57"/>
  <c r="W82" i="57"/>
  <c r="W86" i="57"/>
  <c r="W81" i="57"/>
  <c r="P82" i="57"/>
  <c r="W85" i="57"/>
  <c r="W82" i="46"/>
  <c r="W85" i="46"/>
  <c r="W86" i="46"/>
  <c r="H50" i="47"/>
  <c r="O86" i="57" s="1"/>
  <c r="W81" i="46"/>
  <c r="H45" i="47"/>
  <c r="O81" i="57" s="1"/>
  <c r="C23" i="19"/>
  <c r="K8" i="19"/>
  <c r="G50" i="47"/>
  <c r="O82" i="46"/>
  <c r="H43" i="47"/>
  <c r="O80" i="57" s="1"/>
  <c r="G49" i="47"/>
  <c r="H49" i="47" s="1"/>
  <c r="O85" i="57" s="1"/>
  <c r="G45" i="47"/>
  <c r="G43" i="47"/>
  <c r="C81" i="57" l="1"/>
  <c r="K81" i="57"/>
  <c r="C85" i="57"/>
  <c r="K85" i="57"/>
  <c r="C86" i="57"/>
  <c r="K86" i="57"/>
  <c r="C80" i="57"/>
  <c r="K80" i="57"/>
  <c r="AC80" i="57" s="1"/>
  <c r="U82" i="57"/>
  <c r="W80" i="57"/>
  <c r="V82" i="57"/>
  <c r="P86" i="57"/>
  <c r="T82" i="57"/>
  <c r="AC82" i="57" s="1"/>
  <c r="T85" i="57"/>
  <c r="U85" i="57"/>
  <c r="U81" i="57"/>
  <c r="T81" i="57"/>
  <c r="P81" i="57"/>
  <c r="V81" i="57"/>
  <c r="V80" i="57"/>
  <c r="U80" i="57"/>
  <c r="P80" i="57"/>
  <c r="T80" i="57"/>
  <c r="O81" i="46"/>
  <c r="O86" i="46"/>
  <c r="W80" i="46"/>
  <c r="O80" i="46"/>
  <c r="O85" i="46"/>
  <c r="C85" i="46" s="1"/>
  <c r="U86" i="57" l="1"/>
  <c r="AA85" i="57" s="1"/>
  <c r="P85" i="57"/>
  <c r="V86" i="57"/>
  <c r="T86" i="57"/>
  <c r="BA24" i="48"/>
  <c r="V85" i="57"/>
  <c r="AC81" i="57"/>
  <c r="X80" i="57"/>
  <c r="AC86" i="57" l="1"/>
  <c r="X85" i="57"/>
  <c r="AC85" i="57"/>
  <c r="AB85" i="57" s="1"/>
  <c r="BA23" i="48"/>
  <c r="O4" i="54"/>
  <c r="O3" i="54"/>
  <c r="N4" i="54"/>
  <c r="M4" i="54"/>
  <c r="L4" i="54"/>
  <c r="K4" i="54"/>
  <c r="N3" i="54"/>
  <c r="M3" i="54"/>
  <c r="L3" i="54"/>
  <c r="K3" i="54"/>
  <c r="AQ25" i="2" l="1"/>
  <c r="AQ24" i="2"/>
  <c r="AA25" i="2"/>
  <c r="AA24" i="2"/>
  <c r="G25" i="2"/>
  <c r="G24" i="2"/>
  <c r="P4" i="54" l="1"/>
  <c r="P3" i="54"/>
  <c r="Q4" i="54"/>
  <c r="Q3" i="54"/>
  <c r="AR88" i="46" l="1"/>
  <c r="BC88" i="46" s="1"/>
  <c r="AM88" i="46"/>
  <c r="AR87" i="46"/>
  <c r="BC87" i="46" s="1"/>
  <c r="AM87" i="46"/>
  <c r="AR86" i="46"/>
  <c r="BC86" i="46" s="1"/>
  <c r="AM86" i="46"/>
  <c r="T86" i="46"/>
  <c r="N86" i="46"/>
  <c r="AR85" i="46"/>
  <c r="BC85" i="46" s="1"/>
  <c r="AM85" i="46"/>
  <c r="Z85" i="46"/>
  <c r="P85" i="46"/>
  <c r="N85" i="46"/>
  <c r="H85" i="46" s="1"/>
  <c r="N82" i="46"/>
  <c r="H82" i="46" s="1"/>
  <c r="C82" i="46"/>
  <c r="AR83" i="46"/>
  <c r="BC83" i="46" s="1"/>
  <c r="AM83" i="46"/>
  <c r="AR82" i="46"/>
  <c r="BC82" i="46" s="1"/>
  <c r="AM82" i="46"/>
  <c r="AR81" i="46"/>
  <c r="BC81" i="46" s="1"/>
  <c r="AM81" i="46"/>
  <c r="U81" i="46"/>
  <c r="N81" i="46"/>
  <c r="H81" i="46" s="1"/>
  <c r="J81" i="46" s="1"/>
  <c r="AR80" i="46"/>
  <c r="BC80" i="46" s="1"/>
  <c r="AM80" i="46"/>
  <c r="Z80" i="46"/>
  <c r="N80" i="46"/>
  <c r="H80" i="46" s="1"/>
  <c r="I38" i="18"/>
  <c r="I49" i="47" s="1"/>
  <c r="Z8" i="18"/>
  <c r="AA8" i="18"/>
  <c r="Z9" i="18"/>
  <c r="AA9" i="18"/>
  <c r="R41" i="18"/>
  <c r="Y14" i="18"/>
  <c r="Y15" i="18" s="1"/>
  <c r="Z11" i="18"/>
  <c r="X11" i="18"/>
  <c r="AA11" i="18" s="1"/>
  <c r="Z10" i="18"/>
  <c r="X10" i="18"/>
  <c r="AA10" i="18" s="1"/>
  <c r="AA7" i="18"/>
  <c r="Z7" i="18"/>
  <c r="Z6" i="18"/>
  <c r="AA6" i="18"/>
  <c r="Q27" i="18"/>
  <c r="T27" i="18" s="1"/>
  <c r="S27" i="18"/>
  <c r="Q31" i="18"/>
  <c r="T31" i="18" s="1"/>
  <c r="S31" i="18"/>
  <c r="Q32" i="18"/>
  <c r="T32" i="18" s="1"/>
  <c r="S32" i="18"/>
  <c r="R35" i="18"/>
  <c r="R36" i="18" s="1"/>
  <c r="Q17" i="18"/>
  <c r="T17" i="18" s="1"/>
  <c r="S22" i="18"/>
  <c r="Q22" i="18"/>
  <c r="T22" i="18" s="1"/>
  <c r="S21" i="18"/>
  <c r="Q21" i="18"/>
  <c r="T21" i="18" s="1"/>
  <c r="S17" i="18"/>
  <c r="R8" i="18"/>
  <c r="S8" i="18" s="1"/>
  <c r="R7" i="18"/>
  <c r="R6" i="18"/>
  <c r="S6" i="18" s="1"/>
  <c r="Q8" i="18"/>
  <c r="Q7" i="18"/>
  <c r="S11" i="18"/>
  <c r="Q11" i="18"/>
  <c r="T11" i="18" s="1"/>
  <c r="S10" i="18"/>
  <c r="Q10" i="18"/>
  <c r="T10" i="18" s="1"/>
  <c r="Q6" i="18"/>
  <c r="F9" i="19"/>
  <c r="I38" i="19"/>
  <c r="I43" i="47" s="1"/>
  <c r="Q41" i="19"/>
  <c r="X11" i="19"/>
  <c r="V11" i="19"/>
  <c r="Y11" i="19" s="1"/>
  <c r="X10" i="19"/>
  <c r="V10" i="19"/>
  <c r="Y10" i="19" s="1"/>
  <c r="X9" i="19"/>
  <c r="Y9" i="19"/>
  <c r="Y8" i="19"/>
  <c r="X8" i="19"/>
  <c r="X7" i="19"/>
  <c r="Y7" i="19"/>
  <c r="Y6" i="19"/>
  <c r="X6" i="19"/>
  <c r="Q35" i="19"/>
  <c r="Q36" i="19" s="1"/>
  <c r="R32" i="19"/>
  <c r="P32" i="19"/>
  <c r="S32" i="19" s="1"/>
  <c r="R31" i="19"/>
  <c r="P31" i="19"/>
  <c r="S31" i="19" s="1"/>
  <c r="R27" i="19"/>
  <c r="P27" i="19"/>
  <c r="S27" i="19" s="1"/>
  <c r="R16" i="19"/>
  <c r="P16" i="19"/>
  <c r="S16" i="19" s="1"/>
  <c r="Q24" i="19"/>
  <c r="Q25" i="19" s="1"/>
  <c r="R21" i="19"/>
  <c r="P21" i="19"/>
  <c r="S21" i="19" s="1"/>
  <c r="R20" i="19"/>
  <c r="P20" i="19"/>
  <c r="S20" i="19" s="1"/>
  <c r="Q8" i="19"/>
  <c r="Q7" i="19"/>
  <c r="Q6" i="19"/>
  <c r="R6" i="19" s="1"/>
  <c r="P9" i="19"/>
  <c r="S9" i="19" s="1"/>
  <c r="P7" i="19"/>
  <c r="R9" i="19"/>
  <c r="R11" i="19"/>
  <c r="P11" i="19"/>
  <c r="S11" i="19" s="1"/>
  <c r="R10" i="19"/>
  <c r="P10" i="19"/>
  <c r="S10" i="19" s="1"/>
  <c r="P8" i="19"/>
  <c r="P6" i="19"/>
  <c r="S35" i="18" l="1"/>
  <c r="S36" i="18" s="1"/>
  <c r="R24" i="19"/>
  <c r="T7" i="18"/>
  <c r="S7" i="19"/>
  <c r="S7" i="18"/>
  <c r="AD81" i="46"/>
  <c r="T8" i="18"/>
  <c r="AD86" i="46"/>
  <c r="S6" i="19"/>
  <c r="R7" i="19"/>
  <c r="Q14" i="19"/>
  <c r="Q15" i="19" s="1"/>
  <c r="AD83" i="46"/>
  <c r="S35" i="19"/>
  <c r="S36" i="19" s="1"/>
  <c r="R35" i="19"/>
  <c r="R36" i="19" s="1"/>
  <c r="AD88" i="46"/>
  <c r="T85" i="46"/>
  <c r="T82" i="46"/>
  <c r="U85" i="46"/>
  <c r="P82" i="46"/>
  <c r="C86" i="46"/>
  <c r="N24" i="48" s="1"/>
  <c r="U86" i="46"/>
  <c r="K80" i="46"/>
  <c r="AD87" i="46"/>
  <c r="AD85" i="46"/>
  <c r="V86" i="46"/>
  <c r="P86" i="46"/>
  <c r="K85" i="46"/>
  <c r="J85" i="46"/>
  <c r="H86" i="46"/>
  <c r="V85" i="46"/>
  <c r="AD82" i="46"/>
  <c r="V80" i="46"/>
  <c r="V81" i="46"/>
  <c r="J82" i="46"/>
  <c r="K82" i="46"/>
  <c r="V82" i="46"/>
  <c r="U82" i="46"/>
  <c r="AD80" i="46"/>
  <c r="P80" i="46"/>
  <c r="T80" i="46"/>
  <c r="K81" i="46"/>
  <c r="C80" i="46"/>
  <c r="U80" i="46"/>
  <c r="P81" i="46"/>
  <c r="J80" i="46"/>
  <c r="T81" i="46"/>
  <c r="C81" i="46"/>
  <c r="Z14" i="18"/>
  <c r="Z15" i="18" s="1"/>
  <c r="AA14" i="18"/>
  <c r="AA15" i="18" s="1"/>
  <c r="T35" i="18"/>
  <c r="T36" i="18" s="1"/>
  <c r="T25" i="18"/>
  <c r="S25" i="18"/>
  <c r="R25" i="18"/>
  <c r="R26" i="18" s="1"/>
  <c r="S14" i="18"/>
  <c r="R14" i="18"/>
  <c r="R15" i="18" s="1"/>
  <c r="T6" i="18"/>
  <c r="T14" i="18" s="1"/>
  <c r="X14" i="19"/>
  <c r="Y14" i="19"/>
  <c r="W14" i="19"/>
  <c r="W15" i="19" s="1"/>
  <c r="R25" i="19"/>
  <c r="S24" i="19"/>
  <c r="S25" i="19" s="1"/>
  <c r="R8" i="19"/>
  <c r="S8" i="19"/>
  <c r="K12" i="20"/>
  <c r="K8" i="20"/>
  <c r="F41" i="47"/>
  <c r="E41" i="47"/>
  <c r="E40" i="47"/>
  <c r="G40" i="47" s="1"/>
  <c r="H40" i="47" s="1"/>
  <c r="O75" i="57" s="1"/>
  <c r="C75" i="57" l="1"/>
  <c r="K75" i="57"/>
  <c r="W76" i="57"/>
  <c r="U75" i="57"/>
  <c r="W75" i="57"/>
  <c r="V75" i="57"/>
  <c r="P75" i="57"/>
  <c r="S14" i="19"/>
  <c r="S15" i="19" s="1"/>
  <c r="R14" i="19"/>
  <c r="R15" i="19" s="1"/>
  <c r="AC82" i="46"/>
  <c r="W75" i="46"/>
  <c r="G41" i="47"/>
  <c r="H41" i="47" s="1"/>
  <c r="O76" i="57" s="1"/>
  <c r="AA85" i="46"/>
  <c r="AC80" i="46"/>
  <c r="L23" i="48"/>
  <c r="N23" i="48"/>
  <c r="AC85" i="46"/>
  <c r="K86" i="46"/>
  <c r="AC86" i="46" s="1"/>
  <c r="J86" i="46"/>
  <c r="AC81" i="46"/>
  <c r="X80" i="46"/>
  <c r="S26" i="18"/>
  <c r="T26" i="18"/>
  <c r="T15" i="18"/>
  <c r="S15" i="18"/>
  <c r="X15" i="19"/>
  <c r="Y15" i="19"/>
  <c r="O75" i="46"/>
  <c r="W76" i="46"/>
  <c r="C76" i="57" l="1"/>
  <c r="K76" i="57"/>
  <c r="T75" i="57"/>
  <c r="AC75" i="57" s="1"/>
  <c r="P76" i="57"/>
  <c r="T76" i="57"/>
  <c r="U76" i="57"/>
  <c r="AA75" i="57" s="1"/>
  <c r="V76" i="57"/>
  <c r="O76" i="46"/>
  <c r="L24" i="48"/>
  <c r="AB85" i="46"/>
  <c r="X85" i="46"/>
  <c r="AC76" i="57" l="1"/>
  <c r="AB75" i="57"/>
  <c r="X75" i="57"/>
  <c r="BA22" i="48"/>
  <c r="AQ23" i="2"/>
  <c r="AA23" i="2"/>
  <c r="G23" i="2"/>
  <c r="AR78" i="46" l="1"/>
  <c r="BC78" i="46" s="1"/>
  <c r="AM78" i="46"/>
  <c r="AR77" i="46"/>
  <c r="BC77" i="46" s="1"/>
  <c r="AM77" i="46"/>
  <c r="AR76" i="46"/>
  <c r="BC76" i="46" s="1"/>
  <c r="AM76" i="46"/>
  <c r="Z76" i="46"/>
  <c r="U76" i="46"/>
  <c r="N76" i="46"/>
  <c r="V76" i="46" s="1"/>
  <c r="AR75" i="46"/>
  <c r="BC75" i="46" s="1"/>
  <c r="AM75" i="46"/>
  <c r="Z75" i="46"/>
  <c r="C75" i="46"/>
  <c r="N75" i="46"/>
  <c r="H75" i="46" s="1"/>
  <c r="F9" i="20"/>
  <c r="I38" i="20"/>
  <c r="I40" i="47" s="1"/>
  <c r="Q40" i="20"/>
  <c r="X25" i="20"/>
  <c r="X26" i="20" s="1"/>
  <c r="Y22" i="20"/>
  <c r="W22" i="20"/>
  <c r="Z22" i="20" s="1"/>
  <c r="Y21" i="20"/>
  <c r="W21" i="20"/>
  <c r="Z21" i="20" s="1"/>
  <c r="Z19" i="20"/>
  <c r="Y19" i="20"/>
  <c r="Z18" i="20"/>
  <c r="Y18" i="20"/>
  <c r="Y17" i="20"/>
  <c r="Z17" i="20"/>
  <c r="Y11" i="20"/>
  <c r="W11" i="20"/>
  <c r="Z11" i="20" s="1"/>
  <c r="Y10" i="20"/>
  <c r="W10" i="20"/>
  <c r="Z10" i="20" s="1"/>
  <c r="Y8" i="20"/>
  <c r="Z8" i="20"/>
  <c r="Y7" i="20"/>
  <c r="Z7" i="20"/>
  <c r="X6" i="20"/>
  <c r="X14" i="20" s="1"/>
  <c r="X15" i="20" s="1"/>
  <c r="W6" i="20"/>
  <c r="Z6" i="20" s="1"/>
  <c r="G42" i="20"/>
  <c r="I37" i="20" s="1"/>
  <c r="F42" i="20"/>
  <c r="R32" i="20"/>
  <c r="P32" i="20"/>
  <c r="S32" i="20" s="1"/>
  <c r="R31" i="20"/>
  <c r="P31" i="20"/>
  <c r="S31" i="20" s="1"/>
  <c r="R29" i="20"/>
  <c r="P29" i="20"/>
  <c r="S29" i="20" s="1"/>
  <c r="P27" i="20"/>
  <c r="S27" i="20" s="1"/>
  <c r="Q17" i="20"/>
  <c r="R22" i="20"/>
  <c r="P22" i="20"/>
  <c r="S22" i="20" s="1"/>
  <c r="R21" i="20"/>
  <c r="P21" i="20"/>
  <c r="S21" i="20" s="1"/>
  <c r="R19" i="20"/>
  <c r="P19" i="20"/>
  <c r="S19" i="20" s="1"/>
  <c r="P18" i="20"/>
  <c r="P17" i="20"/>
  <c r="Q8" i="20"/>
  <c r="R8" i="20" s="1"/>
  <c r="Q7" i="20"/>
  <c r="R7" i="20" s="1"/>
  <c r="Q6" i="20"/>
  <c r="R6" i="20" s="1"/>
  <c r="P7" i="20"/>
  <c r="S7" i="20" s="1"/>
  <c r="P8" i="20"/>
  <c r="S8" i="20" s="1"/>
  <c r="R11" i="20"/>
  <c r="P11" i="20"/>
  <c r="S11" i="20" s="1"/>
  <c r="R10" i="20"/>
  <c r="P10" i="20"/>
  <c r="S10" i="20" s="1"/>
  <c r="P6" i="20"/>
  <c r="AD78" i="46" l="1"/>
  <c r="H76" i="46"/>
  <c r="J76" i="46" s="1"/>
  <c r="S6" i="20"/>
  <c r="Q18" i="20"/>
  <c r="R18" i="20" s="1"/>
  <c r="AD76" i="46"/>
  <c r="Q14" i="20"/>
  <c r="Q15" i="20" s="1"/>
  <c r="AD77" i="46"/>
  <c r="S17" i="20"/>
  <c r="K75" i="46"/>
  <c r="V75" i="46"/>
  <c r="P75" i="46"/>
  <c r="T75" i="46"/>
  <c r="U75" i="46"/>
  <c r="AA75" i="46" s="1"/>
  <c r="AD75" i="46"/>
  <c r="K76" i="46"/>
  <c r="J75" i="46"/>
  <c r="P76" i="46"/>
  <c r="C76" i="46"/>
  <c r="N22" i="48" s="1"/>
  <c r="T76" i="46"/>
  <c r="Y25" i="20"/>
  <c r="Y26" i="20" s="1"/>
  <c r="Z25" i="20"/>
  <c r="Z26" i="20" s="1"/>
  <c r="Z14" i="20"/>
  <c r="Z15" i="20" s="1"/>
  <c r="Y6" i="20"/>
  <c r="Y14" i="20" s="1"/>
  <c r="Y15" i="20" s="1"/>
  <c r="S35" i="20"/>
  <c r="R27" i="20"/>
  <c r="R35" i="20" s="1"/>
  <c r="Q35" i="20"/>
  <c r="Q36" i="20" s="1"/>
  <c r="R17" i="20"/>
  <c r="S14" i="20"/>
  <c r="R14" i="20"/>
  <c r="P16" i="22"/>
  <c r="G71" i="46"/>
  <c r="Z70" i="46"/>
  <c r="S15" i="20" l="1"/>
  <c r="R25" i="20"/>
  <c r="R15" i="20"/>
  <c r="S18" i="20"/>
  <c r="S25" i="20" s="1"/>
  <c r="Q25" i="20"/>
  <c r="Q26" i="20" s="1"/>
  <c r="X75" i="46"/>
  <c r="AC76" i="46"/>
  <c r="AC75" i="46"/>
  <c r="L22" i="48"/>
  <c r="R36" i="20"/>
  <c r="S36" i="20"/>
  <c r="R26" i="20" l="1"/>
  <c r="AB75" i="46"/>
  <c r="S26" i="20"/>
  <c r="K11" i="22"/>
  <c r="K8" i="22"/>
  <c r="F38" i="47"/>
  <c r="E38" i="47"/>
  <c r="G38" i="47" s="1"/>
  <c r="H38" i="47" s="1"/>
  <c r="O71" i="57" s="1"/>
  <c r="F37" i="47"/>
  <c r="E37" i="47"/>
  <c r="C71" i="57" l="1"/>
  <c r="K71" i="57"/>
  <c r="W70" i="57"/>
  <c r="U71" i="57"/>
  <c r="W71" i="57"/>
  <c r="T71" i="57"/>
  <c r="V71" i="57"/>
  <c r="O71" i="46"/>
  <c r="W70" i="46"/>
  <c r="W71" i="46"/>
  <c r="G37" i="47"/>
  <c r="H37" i="47" s="1"/>
  <c r="O70" i="57" s="1"/>
  <c r="AQ22" i="2"/>
  <c r="AQ21" i="2"/>
  <c r="AA22" i="2"/>
  <c r="AA21" i="2"/>
  <c r="G22" i="2"/>
  <c r="G21" i="2"/>
  <c r="C70" i="57" l="1"/>
  <c r="K70" i="57"/>
  <c r="P71" i="57"/>
  <c r="AC71" i="57"/>
  <c r="U70" i="57"/>
  <c r="AA70" i="57" s="1"/>
  <c r="P70" i="57"/>
  <c r="V70" i="57"/>
  <c r="T70" i="57"/>
  <c r="O70" i="46"/>
  <c r="U70" i="46" s="1"/>
  <c r="N70" i="46"/>
  <c r="AR73" i="46"/>
  <c r="BC73" i="46" s="1"/>
  <c r="AM73" i="46"/>
  <c r="AR72" i="46"/>
  <c r="BC72" i="46" s="1"/>
  <c r="AM72" i="46"/>
  <c r="AR71" i="46"/>
  <c r="BC71" i="46" s="1"/>
  <c r="AM71" i="46"/>
  <c r="Z71" i="46"/>
  <c r="T71" i="46"/>
  <c r="U71" i="46"/>
  <c r="N71" i="46"/>
  <c r="AR70" i="46"/>
  <c r="BC70" i="46" s="1"/>
  <c r="AM70" i="46"/>
  <c r="F17" i="22"/>
  <c r="I38" i="22"/>
  <c r="I37" i="47" s="1"/>
  <c r="Q40" i="22"/>
  <c r="Z27" i="22"/>
  <c r="Y27" i="22"/>
  <c r="X34" i="22"/>
  <c r="X35" i="22" s="1"/>
  <c r="Y31" i="22"/>
  <c r="W31" i="22"/>
  <c r="Z31" i="22" s="1"/>
  <c r="Y30" i="22"/>
  <c r="W30" i="22"/>
  <c r="Z30" i="22" s="1"/>
  <c r="Y26" i="22"/>
  <c r="Z26" i="22"/>
  <c r="Z8" i="22"/>
  <c r="Y8" i="22"/>
  <c r="Y11" i="22"/>
  <c r="W11" i="22"/>
  <c r="Z11" i="22" s="1"/>
  <c r="Y10" i="22"/>
  <c r="W10" i="22"/>
  <c r="Z10" i="22" s="1"/>
  <c r="Z7" i="22"/>
  <c r="X6" i="22"/>
  <c r="Y6" i="22" s="1"/>
  <c r="W6" i="22"/>
  <c r="G42" i="22"/>
  <c r="I37" i="22" s="1"/>
  <c r="F42" i="22"/>
  <c r="R31" i="22"/>
  <c r="P31" i="22"/>
  <c r="S31" i="22" s="1"/>
  <c r="R30" i="22"/>
  <c r="P30" i="22"/>
  <c r="S30" i="22" s="1"/>
  <c r="Q34" i="22"/>
  <c r="Q35" i="22" s="1"/>
  <c r="R26" i="22"/>
  <c r="P26" i="22"/>
  <c r="S26" i="22" s="1"/>
  <c r="Q16" i="22"/>
  <c r="Q17" i="22" s="1"/>
  <c r="Q24" i="22" s="1"/>
  <c r="Q25" i="22" s="1"/>
  <c r="P17" i="22"/>
  <c r="R21" i="22"/>
  <c r="P21" i="22"/>
  <c r="S21" i="22" s="1"/>
  <c r="R20" i="22"/>
  <c r="P20" i="22"/>
  <c r="S20" i="22" s="1"/>
  <c r="Q6" i="22"/>
  <c r="Q7" i="22" s="1"/>
  <c r="P7" i="22"/>
  <c r="R11" i="22"/>
  <c r="P11" i="22"/>
  <c r="S11" i="22" s="1"/>
  <c r="R10" i="22"/>
  <c r="P10" i="22"/>
  <c r="S10" i="22" s="1"/>
  <c r="P6" i="22"/>
  <c r="AC70" i="57" l="1"/>
  <c r="AB70" i="57" s="1"/>
  <c r="X70" i="57"/>
  <c r="R16" i="22"/>
  <c r="R6" i="22"/>
  <c r="S16" i="22"/>
  <c r="AD71" i="46"/>
  <c r="Z6" i="22"/>
  <c r="Z14" i="22" s="1"/>
  <c r="X14" i="22"/>
  <c r="X15" i="22" s="1"/>
  <c r="S6" i="22"/>
  <c r="AD72" i="46"/>
  <c r="R7" i="22"/>
  <c r="Q14" i="22"/>
  <c r="Q15" i="22" s="1"/>
  <c r="S7" i="22"/>
  <c r="AD70" i="46"/>
  <c r="AD73" i="46"/>
  <c r="H71" i="46"/>
  <c r="J71" i="46" s="1"/>
  <c r="Y34" i="22"/>
  <c r="Y35" i="22" s="1"/>
  <c r="V70" i="46"/>
  <c r="H70" i="46"/>
  <c r="J70" i="46" s="1"/>
  <c r="P70" i="46"/>
  <c r="T70" i="46"/>
  <c r="C70" i="46"/>
  <c r="AA70" i="46"/>
  <c r="V71" i="46"/>
  <c r="P71" i="46"/>
  <c r="C71" i="46"/>
  <c r="Z34" i="22"/>
  <c r="Z35" i="22" s="1"/>
  <c r="Y7" i="22"/>
  <c r="Y14" i="22" s="1"/>
  <c r="S34" i="22"/>
  <c r="S35" i="22" s="1"/>
  <c r="R34" i="22"/>
  <c r="R35" i="22" s="1"/>
  <c r="S17" i="22"/>
  <c r="R17" i="22"/>
  <c r="K70" i="46" l="1"/>
  <c r="R24" i="22"/>
  <c r="R25" i="22" s="1"/>
  <c r="S24" i="22"/>
  <c r="S25" i="22" s="1"/>
  <c r="Z15" i="22"/>
  <c r="R14" i="22"/>
  <c r="R15" i="22" s="1"/>
  <c r="S14" i="22"/>
  <c r="S15" i="22" s="1"/>
  <c r="Y15" i="22"/>
  <c r="K71" i="46"/>
  <c r="AC71" i="46" s="1"/>
  <c r="BA21" i="48"/>
  <c r="N21" i="48"/>
  <c r="AC70" i="46"/>
  <c r="AB70" i="46" l="1"/>
  <c r="X70" i="46"/>
  <c r="L21" i="48"/>
  <c r="Z66" i="46"/>
  <c r="K9" i="21"/>
  <c r="K8" i="21"/>
  <c r="E35" i="47"/>
  <c r="G35" i="47" s="1"/>
  <c r="H35" i="47" s="1"/>
  <c r="O66" i="57" s="1"/>
  <c r="F34" i="47"/>
  <c r="E34" i="47"/>
  <c r="C66" i="57" l="1"/>
  <c r="K66" i="57"/>
  <c r="W66" i="57"/>
  <c r="P66" i="57"/>
  <c r="W65" i="57"/>
  <c r="U66" i="57"/>
  <c r="T66" i="57"/>
  <c r="G34" i="47"/>
  <c r="H34" i="47" s="1"/>
  <c r="O65" i="57" s="1"/>
  <c r="W66" i="46"/>
  <c r="W65" i="46"/>
  <c r="O66" i="46"/>
  <c r="C65" i="57" l="1"/>
  <c r="K65" i="57"/>
  <c r="AC66" i="57"/>
  <c r="V66" i="57"/>
  <c r="T65" i="57"/>
  <c r="U65" i="57"/>
  <c r="V65" i="57"/>
  <c r="P65" i="57"/>
  <c r="O65" i="46"/>
  <c r="AC65" i="57" l="1"/>
  <c r="X65" i="57"/>
  <c r="BA20" i="48"/>
  <c r="C66" i="46"/>
  <c r="N66" i="46"/>
  <c r="H66" i="46" s="1"/>
  <c r="J66" i="46" s="1"/>
  <c r="P66" i="46"/>
  <c r="U66" i="46"/>
  <c r="AR68" i="46"/>
  <c r="BC68" i="46" s="1"/>
  <c r="AM68" i="46"/>
  <c r="AR67" i="46"/>
  <c r="BC67" i="46" s="1"/>
  <c r="AM67" i="46"/>
  <c r="AR66" i="46"/>
  <c r="BC66" i="46" s="1"/>
  <c r="AM66" i="46"/>
  <c r="AR65" i="46"/>
  <c r="BC65" i="46" s="1"/>
  <c r="AM65" i="46"/>
  <c r="U65" i="46"/>
  <c r="N65" i="46"/>
  <c r="V65" i="46" s="1"/>
  <c r="F9" i="21"/>
  <c r="I38" i="21"/>
  <c r="I34" i="47" s="1"/>
  <c r="Q39" i="21"/>
  <c r="Q40" i="21" s="1"/>
  <c r="G42" i="21"/>
  <c r="I37" i="21" s="1"/>
  <c r="F42" i="21"/>
  <c r="Q35" i="21"/>
  <c r="Q36" i="21" s="1"/>
  <c r="R32" i="21"/>
  <c r="P32" i="21"/>
  <c r="S32" i="21" s="1"/>
  <c r="R31" i="21"/>
  <c r="P31" i="21"/>
  <c r="S31" i="21" s="1"/>
  <c r="R27" i="21"/>
  <c r="P27" i="21"/>
  <c r="S27" i="21" s="1"/>
  <c r="R17" i="21"/>
  <c r="P17" i="21"/>
  <c r="S17" i="21" s="1"/>
  <c r="R22" i="21"/>
  <c r="P22" i="21"/>
  <c r="S22" i="21" s="1"/>
  <c r="R21" i="21"/>
  <c r="P21" i="21"/>
  <c r="S21" i="21" s="1"/>
  <c r="Q7" i="21"/>
  <c r="P6" i="21"/>
  <c r="R11" i="21"/>
  <c r="P11" i="21"/>
  <c r="S11" i="21" s="1"/>
  <c r="R10" i="21"/>
  <c r="P10" i="21"/>
  <c r="S10" i="21" s="1"/>
  <c r="P7" i="21"/>
  <c r="V66" i="46" l="1"/>
  <c r="S25" i="21"/>
  <c r="Q6" i="21"/>
  <c r="R6" i="21" s="1"/>
  <c r="S35" i="21"/>
  <c r="S36" i="21" s="1"/>
  <c r="R35" i="21"/>
  <c r="R36" i="21" s="1"/>
  <c r="AD68" i="46"/>
  <c r="AD67" i="46"/>
  <c r="AD66" i="46"/>
  <c r="AD65" i="46"/>
  <c r="T66" i="46"/>
  <c r="K66" i="46"/>
  <c r="AC66" i="46" s="1"/>
  <c r="P65" i="46"/>
  <c r="T65" i="46"/>
  <c r="C65" i="46"/>
  <c r="N20" i="48" s="1"/>
  <c r="H65" i="46"/>
  <c r="Q25" i="21"/>
  <c r="Q26" i="21" s="1"/>
  <c r="S7" i="21"/>
  <c r="R7" i="21"/>
  <c r="AR51" i="46"/>
  <c r="BC51" i="46" s="1"/>
  <c r="AM51" i="46"/>
  <c r="F32" i="47"/>
  <c r="E32" i="47"/>
  <c r="F30" i="47"/>
  <c r="E30" i="47"/>
  <c r="F29" i="47"/>
  <c r="E29" i="47"/>
  <c r="K8" i="24"/>
  <c r="K9" i="24"/>
  <c r="W53" i="57" l="1"/>
  <c r="W54" i="57"/>
  <c r="W53" i="46"/>
  <c r="W54" i="46"/>
  <c r="AD51" i="46"/>
  <c r="R14" i="21"/>
  <c r="S6" i="21"/>
  <c r="S14" i="21" s="1"/>
  <c r="Q14" i="21"/>
  <c r="Q15" i="21" s="1"/>
  <c r="K65" i="46"/>
  <c r="L20" i="48" s="1"/>
  <c r="J65" i="46"/>
  <c r="S26" i="21"/>
  <c r="R25" i="21"/>
  <c r="R26" i="21" s="1"/>
  <c r="G32" i="47"/>
  <c r="H32" i="47" s="1"/>
  <c r="O60" i="57" s="1"/>
  <c r="G30" i="47"/>
  <c r="H30" i="47" s="1"/>
  <c r="O53" i="57" s="1"/>
  <c r="G29" i="47"/>
  <c r="H29" i="47" s="1"/>
  <c r="O54" i="57" s="1"/>
  <c r="C54" i="57" l="1"/>
  <c r="K54" i="57"/>
  <c r="C60" i="57"/>
  <c r="K60" i="57"/>
  <c r="K53" i="57"/>
  <c r="C53" i="57"/>
  <c r="U53" i="57"/>
  <c r="V53" i="57"/>
  <c r="T53" i="57"/>
  <c r="P53" i="57"/>
  <c r="T54" i="57"/>
  <c r="AC54" i="57" s="1"/>
  <c r="U54" i="57"/>
  <c r="T60" i="57"/>
  <c r="U60" i="57"/>
  <c r="P60" i="57"/>
  <c r="V60" i="57"/>
  <c r="S15" i="21"/>
  <c r="O54" i="46"/>
  <c r="O53" i="46"/>
  <c r="O60" i="46"/>
  <c r="R15" i="21"/>
  <c r="AC65" i="46"/>
  <c r="X65" i="46"/>
  <c r="P54" i="57" l="1"/>
  <c r="V54" i="57"/>
  <c r="AC60" i="57"/>
  <c r="AC53" i="57"/>
  <c r="X53" i="57"/>
  <c r="AA53" i="57"/>
  <c r="AB53" i="57" s="1"/>
  <c r="BA19" i="48"/>
  <c r="BA18" i="48" l="1"/>
  <c r="F11" i="24"/>
  <c r="W27" i="25"/>
  <c r="U27" i="25" s="1"/>
  <c r="W28" i="25"/>
  <c r="U28" i="25" s="1"/>
  <c r="Y32" i="25"/>
  <c r="AB32" i="25" s="1"/>
  <c r="Y28" i="25"/>
  <c r="AA27" i="25"/>
  <c r="Y27" i="25" s="1"/>
  <c r="U29" i="25" l="1"/>
  <c r="Y29" i="25"/>
  <c r="AQ20" i="2" l="1"/>
  <c r="AQ19" i="2"/>
  <c r="AA20" i="2"/>
  <c r="AA19" i="2"/>
  <c r="G20" i="2"/>
  <c r="G19" i="2"/>
  <c r="T60" i="46" l="1"/>
  <c r="P60" i="46"/>
  <c r="N60" i="46"/>
  <c r="H60" i="46" s="1"/>
  <c r="K60" i="46" s="1"/>
  <c r="L19" i="48" s="1"/>
  <c r="C60" i="46"/>
  <c r="N19" i="48" s="1"/>
  <c r="AR63" i="46"/>
  <c r="BC63" i="46" s="1"/>
  <c r="AM63" i="46"/>
  <c r="AR62" i="46"/>
  <c r="BC62" i="46" s="1"/>
  <c r="AM62" i="46"/>
  <c r="AR61" i="46"/>
  <c r="BC61" i="46" s="1"/>
  <c r="AM61" i="46"/>
  <c r="AR60" i="46"/>
  <c r="BC60" i="46" s="1"/>
  <c r="AM60" i="46"/>
  <c r="Z60" i="46"/>
  <c r="AM58" i="46"/>
  <c r="AR58" i="46"/>
  <c r="BC58" i="46" s="1"/>
  <c r="U54" i="46"/>
  <c r="C53" i="46"/>
  <c r="AR57" i="46"/>
  <c r="BC57" i="46" s="1"/>
  <c r="AM57" i="46"/>
  <c r="AR56" i="46"/>
  <c r="BC56" i="46" s="1"/>
  <c r="AM56" i="46"/>
  <c r="AR55" i="46"/>
  <c r="BC55" i="46" s="1"/>
  <c r="AM55" i="46"/>
  <c r="AR54" i="46"/>
  <c r="BC54" i="46" s="1"/>
  <c r="AM54" i="46"/>
  <c r="N54" i="46"/>
  <c r="H54" i="46" s="1"/>
  <c r="AR53" i="46"/>
  <c r="BC53" i="46" s="1"/>
  <c r="AM53" i="46"/>
  <c r="Z53" i="46"/>
  <c r="N53" i="46"/>
  <c r="H53" i="46" s="1"/>
  <c r="F17" i="23"/>
  <c r="F9" i="23"/>
  <c r="I38" i="23"/>
  <c r="I32" i="47" s="1"/>
  <c r="G42" i="23"/>
  <c r="I37" i="23" s="1"/>
  <c r="F42" i="23"/>
  <c r="R11" i="23"/>
  <c r="P11" i="23"/>
  <c r="S11" i="23" s="1"/>
  <c r="R10" i="23"/>
  <c r="P10" i="23"/>
  <c r="S10" i="23" s="1"/>
  <c r="R8" i="23"/>
  <c r="P8" i="23"/>
  <c r="S8" i="23" s="1"/>
  <c r="Q14" i="23"/>
  <c r="Q15" i="23" s="1"/>
  <c r="P7" i="23"/>
  <c r="S7" i="23" s="1"/>
  <c r="R6" i="23"/>
  <c r="P6" i="23"/>
  <c r="S6" i="23" s="1"/>
  <c r="F9" i="24"/>
  <c r="I38" i="24"/>
  <c r="I29" i="47" s="1"/>
  <c r="S40" i="24"/>
  <c r="X14" i="24"/>
  <c r="X15" i="24" s="1"/>
  <c r="Z12" i="24"/>
  <c r="Y12" i="24"/>
  <c r="Z11" i="24"/>
  <c r="Y11" i="24"/>
  <c r="Y10" i="24"/>
  <c r="Z10" i="24"/>
  <c r="Y9" i="24"/>
  <c r="Z9" i="24"/>
  <c r="Z8" i="24"/>
  <c r="Y8" i="24"/>
  <c r="Y7" i="24"/>
  <c r="Z7" i="24"/>
  <c r="G42" i="24"/>
  <c r="I37" i="24" s="1"/>
  <c r="F42" i="24"/>
  <c r="N41" i="24"/>
  <c r="Q30" i="24"/>
  <c r="R30" i="24" s="1"/>
  <c r="Q29" i="24"/>
  <c r="R29" i="24" s="1"/>
  <c r="Q28" i="24"/>
  <c r="R28" i="24" s="1"/>
  <c r="P28" i="24"/>
  <c r="P29" i="24"/>
  <c r="P30" i="24"/>
  <c r="R32" i="24"/>
  <c r="P32" i="24"/>
  <c r="S32" i="24" s="1"/>
  <c r="R31" i="24"/>
  <c r="P31" i="24"/>
  <c r="S31" i="24" s="1"/>
  <c r="R27" i="24"/>
  <c r="P27" i="24"/>
  <c r="S27" i="24" s="1"/>
  <c r="R21" i="24"/>
  <c r="P21" i="24"/>
  <c r="S21" i="24" s="1"/>
  <c r="R20" i="24"/>
  <c r="P20" i="24"/>
  <c r="S20" i="24" s="1"/>
  <c r="R19" i="24"/>
  <c r="P19" i="24"/>
  <c r="S19" i="24" s="1"/>
  <c r="R18" i="24"/>
  <c r="P18" i="24"/>
  <c r="S18" i="24" s="1"/>
  <c r="R17" i="24"/>
  <c r="P17" i="24"/>
  <c r="S17" i="24" s="1"/>
  <c r="R16" i="24"/>
  <c r="P16" i="24"/>
  <c r="Q6" i="24"/>
  <c r="Q14" i="24" s="1"/>
  <c r="Q15" i="24" s="1"/>
  <c r="P7" i="24"/>
  <c r="S7" i="24" s="1"/>
  <c r="R11" i="24"/>
  <c r="P11" i="24"/>
  <c r="S11" i="24" s="1"/>
  <c r="R10" i="24"/>
  <c r="P10" i="24"/>
  <c r="S10" i="24" s="1"/>
  <c r="R9" i="24"/>
  <c r="P9" i="24"/>
  <c r="S9" i="24" s="1"/>
  <c r="R8" i="24"/>
  <c r="P8" i="24"/>
  <c r="S8" i="24" s="1"/>
  <c r="R7" i="24"/>
  <c r="P6" i="24"/>
  <c r="S28" i="24" l="1"/>
  <c r="AD63" i="46"/>
  <c r="R6" i="24"/>
  <c r="R14" i="24" s="1"/>
  <c r="R15" i="24" s="1"/>
  <c r="S30" i="24"/>
  <c r="AD57" i="46"/>
  <c r="Q35" i="24"/>
  <c r="Q36" i="24" s="1"/>
  <c r="AD60" i="46"/>
  <c r="S29" i="24"/>
  <c r="S35" i="24" s="1"/>
  <c r="S36" i="24" s="1"/>
  <c r="AD58" i="46"/>
  <c r="R24" i="24"/>
  <c r="AD53" i="46"/>
  <c r="AD56" i="46"/>
  <c r="T53" i="46"/>
  <c r="U53" i="46"/>
  <c r="AA53" i="46" s="1"/>
  <c r="AD62" i="46"/>
  <c r="V60" i="46"/>
  <c r="U60" i="46"/>
  <c r="J60" i="46"/>
  <c r="AD61" i="46"/>
  <c r="AD55" i="46"/>
  <c r="AD54" i="46"/>
  <c r="P53" i="46"/>
  <c r="J53" i="46"/>
  <c r="K53" i="46"/>
  <c r="V54" i="46"/>
  <c r="J54" i="46"/>
  <c r="K54" i="46"/>
  <c r="V53" i="46"/>
  <c r="P54" i="46"/>
  <c r="C54" i="46"/>
  <c r="N18" i="48" s="1"/>
  <c r="T54" i="46"/>
  <c r="S14" i="23"/>
  <c r="S15" i="23" s="1"/>
  <c r="R7" i="23"/>
  <c r="R14" i="23" s="1"/>
  <c r="R15" i="23" s="1"/>
  <c r="Y6" i="24"/>
  <c r="Z6" i="24"/>
  <c r="R35" i="24"/>
  <c r="S16" i="24"/>
  <c r="S24" i="24" s="1"/>
  <c r="Q24" i="24"/>
  <c r="Q25" i="24" s="1"/>
  <c r="S6" i="24"/>
  <c r="S14" i="24"/>
  <c r="S15" i="24" s="1"/>
  <c r="Z46" i="46"/>
  <c r="K9" i="25"/>
  <c r="K8" i="25"/>
  <c r="W46" i="57" l="1"/>
  <c r="W47" i="57"/>
  <c r="R36" i="24"/>
  <c r="W46" i="46"/>
  <c r="W47" i="46"/>
  <c r="Y14" i="24"/>
  <c r="Y15" i="24" s="1"/>
  <c r="Z14" i="24"/>
  <c r="Z15" i="24" s="1"/>
  <c r="AC54" i="46"/>
  <c r="X53" i="46"/>
  <c r="AC53" i="46"/>
  <c r="L18" i="48"/>
  <c r="S25" i="24"/>
  <c r="R25" i="24"/>
  <c r="F27" i="47"/>
  <c r="F25" i="47"/>
  <c r="E26" i="47"/>
  <c r="G26" i="47" s="1"/>
  <c r="E25" i="47"/>
  <c r="E27" i="47"/>
  <c r="AB53" i="46" l="1"/>
  <c r="H25" i="47"/>
  <c r="O46" i="57" s="1"/>
  <c r="AC60" i="46"/>
  <c r="G27" i="47"/>
  <c r="H27" i="47" s="1"/>
  <c r="O47" i="57" s="1"/>
  <c r="G25" i="47"/>
  <c r="C47" i="57" l="1"/>
  <c r="K47" i="57"/>
  <c r="C46" i="57"/>
  <c r="K46" i="57"/>
  <c r="P46" i="57"/>
  <c r="T46" i="57"/>
  <c r="U46" i="57"/>
  <c r="V46" i="57"/>
  <c r="T47" i="57"/>
  <c r="U47" i="57"/>
  <c r="P47" i="57"/>
  <c r="V47" i="57"/>
  <c r="O46" i="46"/>
  <c r="O47" i="46"/>
  <c r="AQ18" i="2"/>
  <c r="AA18" i="2"/>
  <c r="G18" i="2"/>
  <c r="BA17" i="48" l="1"/>
  <c r="AC47" i="57"/>
  <c r="AC174" i="57" s="1"/>
  <c r="AA46" i="57"/>
  <c r="AM50" i="46"/>
  <c r="AR50" i="46"/>
  <c r="BC50" i="46" s="1"/>
  <c r="T47" i="46"/>
  <c r="N47" i="46"/>
  <c r="H47" i="46" s="1"/>
  <c r="AR49" i="46"/>
  <c r="BC49" i="46" s="1"/>
  <c r="AM49" i="46"/>
  <c r="AR48" i="46"/>
  <c r="BC48" i="46" s="1"/>
  <c r="AM48" i="46"/>
  <c r="AR47" i="46"/>
  <c r="BC47" i="46" s="1"/>
  <c r="AM47" i="46"/>
  <c r="AR46" i="46"/>
  <c r="BC46" i="46" s="1"/>
  <c r="AM46" i="46"/>
  <c r="T46" i="46"/>
  <c r="N46" i="46"/>
  <c r="H46" i="46" s="1"/>
  <c r="F9" i="25"/>
  <c r="I38" i="25"/>
  <c r="I25" i="47" s="1"/>
  <c r="G42" i="25"/>
  <c r="I37" i="25" s="1"/>
  <c r="F42" i="25"/>
  <c r="Q32" i="25"/>
  <c r="W26" i="25"/>
  <c r="Y22" i="25"/>
  <c r="W22" i="25"/>
  <c r="Z22" i="25" s="1"/>
  <c r="Y21" i="25"/>
  <c r="W21" i="25"/>
  <c r="Z21" i="25" s="1"/>
  <c r="Y20" i="25"/>
  <c r="W20" i="25"/>
  <c r="Z20" i="25" s="1"/>
  <c r="X18" i="25"/>
  <c r="Y18" i="25" s="1"/>
  <c r="W18" i="25"/>
  <c r="Y17" i="25"/>
  <c r="W17" i="25"/>
  <c r="Z17" i="25" s="1"/>
  <c r="N39" i="25"/>
  <c r="Q18" i="25"/>
  <c r="R18" i="25" s="1"/>
  <c r="P18" i="25"/>
  <c r="R22" i="25"/>
  <c r="P22" i="25"/>
  <c r="S22" i="25" s="1"/>
  <c r="R21" i="25"/>
  <c r="P21" i="25"/>
  <c r="S21" i="25" s="1"/>
  <c r="R20" i="25"/>
  <c r="P20" i="25"/>
  <c r="S20" i="25" s="1"/>
  <c r="R19" i="25"/>
  <c r="P19" i="25"/>
  <c r="S19" i="25" s="1"/>
  <c r="P17" i="25"/>
  <c r="Q6" i="25"/>
  <c r="R6" i="25" s="1"/>
  <c r="R11" i="25"/>
  <c r="P11" i="25"/>
  <c r="S11" i="25" s="1"/>
  <c r="R10" i="25"/>
  <c r="P10" i="25"/>
  <c r="S10" i="25" s="1"/>
  <c r="R9" i="25"/>
  <c r="P9" i="25"/>
  <c r="S9" i="25" s="1"/>
  <c r="R8" i="25"/>
  <c r="P8" i="25"/>
  <c r="S8" i="25" s="1"/>
  <c r="P7" i="25"/>
  <c r="P6" i="25"/>
  <c r="AD49" i="46" l="1"/>
  <c r="X46" i="57"/>
  <c r="AC46" i="57"/>
  <c r="AB46" i="57"/>
  <c r="C47" i="46"/>
  <c r="Q7" i="25"/>
  <c r="S7" i="25" s="1"/>
  <c r="Z18" i="25"/>
  <c r="Z25" i="25" s="1"/>
  <c r="Y25" i="25"/>
  <c r="S6" i="25"/>
  <c r="X25" i="25"/>
  <c r="X26" i="25" s="1"/>
  <c r="U47" i="46"/>
  <c r="AD46" i="46"/>
  <c r="V46" i="46"/>
  <c r="U46" i="46"/>
  <c r="C46" i="46"/>
  <c r="K46" i="46"/>
  <c r="AD50" i="46"/>
  <c r="AD48" i="46"/>
  <c r="J47" i="46"/>
  <c r="K47" i="46"/>
  <c r="P47" i="46"/>
  <c r="V47" i="46"/>
  <c r="AD47" i="46"/>
  <c r="J46" i="46"/>
  <c r="P46" i="46"/>
  <c r="S18" i="25"/>
  <c r="Q25" i="25"/>
  <c r="Q26" i="25" s="1"/>
  <c r="R17" i="25"/>
  <c r="R25" i="25" s="1"/>
  <c r="S17" i="25"/>
  <c r="M12" i="55"/>
  <c r="D12" i="55"/>
  <c r="BA167" i="46"/>
  <c r="Q172" i="57" s="1"/>
  <c r="AZ167" i="46"/>
  <c r="N17" i="48" l="1"/>
  <c r="AC47" i="46"/>
  <c r="AD174" i="46" s="1"/>
  <c r="S14" i="25"/>
  <c r="Z26" i="25"/>
  <c r="AA46" i="46"/>
  <c r="Y26" i="25"/>
  <c r="R7" i="25"/>
  <c r="R14" i="25" s="1"/>
  <c r="Q14" i="25"/>
  <c r="S15" i="25" s="1"/>
  <c r="X46" i="46"/>
  <c r="AC46" i="46"/>
  <c r="L17" i="48"/>
  <c r="R26" i="25"/>
  <c r="S25" i="25"/>
  <c r="S26" i="25" s="1"/>
  <c r="B4" i="54"/>
  <c r="B3" i="54"/>
  <c r="C4" i="54"/>
  <c r="C3" i="54"/>
  <c r="D4" i="54"/>
  <c r="D3" i="54"/>
  <c r="E4" i="54"/>
  <c r="E3" i="54"/>
  <c r="F4" i="54"/>
  <c r="F3" i="54"/>
  <c r="G4" i="54"/>
  <c r="G3" i="54"/>
  <c r="H4" i="54"/>
  <c r="H3" i="54"/>
  <c r="I4" i="54"/>
  <c r="I3" i="54"/>
  <c r="AB46" i="46" l="1"/>
  <c r="R15" i="25"/>
  <c r="F23" i="47"/>
  <c r="F22" i="47"/>
  <c r="E23" i="47"/>
  <c r="G23" i="47" s="1"/>
  <c r="E22" i="47"/>
  <c r="G22" i="47" l="1"/>
  <c r="H22" i="47"/>
  <c r="O41" i="46" l="1"/>
  <c r="O41" i="57"/>
  <c r="T41" i="57"/>
  <c r="U41" i="57"/>
  <c r="P41" i="57"/>
  <c r="V41" i="57"/>
  <c r="C41" i="57" l="1"/>
  <c r="K41" i="57"/>
  <c r="AC41" i="57" s="1"/>
  <c r="AQ17" i="2"/>
  <c r="AA17" i="2"/>
  <c r="G17" i="2"/>
  <c r="BA16" i="48" l="1"/>
  <c r="F17" i="26"/>
  <c r="F9" i="26"/>
  <c r="I38" i="26"/>
  <c r="I22" i="47" s="1"/>
  <c r="AR44" i="46" l="1"/>
  <c r="BC44" i="46" s="1"/>
  <c r="AM44" i="46"/>
  <c r="AR43" i="46"/>
  <c r="BC43" i="46" s="1"/>
  <c r="AM43" i="46"/>
  <c r="AR42" i="46"/>
  <c r="BC42" i="46" s="1"/>
  <c r="AM42" i="46"/>
  <c r="AR41" i="46"/>
  <c r="BC41" i="46" s="1"/>
  <c r="AM41" i="46"/>
  <c r="Z41" i="46"/>
  <c r="T41" i="46"/>
  <c r="N41" i="46"/>
  <c r="H41" i="46" s="1"/>
  <c r="G42" i="26"/>
  <c r="I37" i="26" s="1"/>
  <c r="F42" i="26"/>
  <c r="J4" i="26"/>
  <c r="AD42" i="46" l="1"/>
  <c r="AD44" i="46"/>
  <c r="K41" i="46"/>
  <c r="U41" i="46"/>
  <c r="V41" i="46"/>
  <c r="C41" i="46"/>
  <c r="N16" i="48" s="1"/>
  <c r="AD41" i="46"/>
  <c r="AD43" i="46"/>
  <c r="J41" i="46"/>
  <c r="P41" i="46"/>
  <c r="AC41" i="46" l="1"/>
  <c r="L16" i="48"/>
  <c r="Z36" i="46" l="1"/>
  <c r="F20" i="47"/>
  <c r="E20" i="47"/>
  <c r="G20" i="47" l="1"/>
  <c r="H20" i="47" s="1"/>
  <c r="O36" i="57" s="1"/>
  <c r="C36" i="57" l="1"/>
  <c r="K36" i="57"/>
  <c r="T36" i="57"/>
  <c r="U36" i="57"/>
  <c r="V36" i="57"/>
  <c r="P36" i="57"/>
  <c r="O36" i="46"/>
  <c r="AQ16" i="2"/>
  <c r="AA16" i="2"/>
  <c r="G16" i="2"/>
  <c r="AC36" i="57" l="1"/>
  <c r="F17" i="28"/>
  <c r="F9" i="28"/>
  <c r="I38" i="28"/>
  <c r="I20" i="47" s="1"/>
  <c r="BA15" i="48" l="1"/>
  <c r="U36" i="46"/>
  <c r="N36" i="46"/>
  <c r="V36" i="46" s="1"/>
  <c r="AR39" i="46"/>
  <c r="BC39" i="46" s="1"/>
  <c r="AM39" i="46"/>
  <c r="AR38" i="46"/>
  <c r="BC38" i="46" s="1"/>
  <c r="AM38" i="46"/>
  <c r="AR37" i="46"/>
  <c r="BC37" i="46" s="1"/>
  <c r="AM37" i="46"/>
  <c r="AR36" i="46"/>
  <c r="BC36" i="46" s="1"/>
  <c r="AM36" i="46"/>
  <c r="G42" i="28"/>
  <c r="F42" i="28"/>
  <c r="R7" i="28"/>
  <c r="R8" i="28"/>
  <c r="P7" i="28"/>
  <c r="S7" i="28" s="1"/>
  <c r="P8" i="28"/>
  <c r="S8" i="28" s="1"/>
  <c r="Q14" i="28"/>
  <c r="R11" i="28"/>
  <c r="P11" i="28"/>
  <c r="S11" i="28" s="1"/>
  <c r="R10" i="28"/>
  <c r="P10" i="28"/>
  <c r="S10" i="28" s="1"/>
  <c r="R9" i="28"/>
  <c r="P9" i="28"/>
  <c r="S9" i="28" s="1"/>
  <c r="R6" i="28"/>
  <c r="P6" i="28"/>
  <c r="S6" i="28" s="1"/>
  <c r="J4" i="28"/>
  <c r="H36" i="46" l="1"/>
  <c r="K36" i="46" s="1"/>
  <c r="L15" i="48" s="1"/>
  <c r="S14" i="28"/>
  <c r="R14" i="28"/>
  <c r="R15" i="28" s="1"/>
  <c r="AD38" i="46"/>
  <c r="AD37" i="46"/>
  <c r="AD36" i="46"/>
  <c r="J36" i="46"/>
  <c r="P36" i="46"/>
  <c r="T36" i="46"/>
  <c r="AC36" i="46" s="1"/>
  <c r="C36" i="46"/>
  <c r="N15" i="48" s="1"/>
  <c r="AD39" i="46"/>
  <c r="S15" i="28"/>
  <c r="Z31" i="46"/>
  <c r="K10" i="27"/>
  <c r="C26" i="27"/>
  <c r="K8" i="27" s="1"/>
  <c r="E18" i="47"/>
  <c r="G18" i="47" s="1"/>
  <c r="H18" i="47" s="1"/>
  <c r="O32" i="57" s="1"/>
  <c r="E17" i="47"/>
  <c r="G17" i="47" s="1"/>
  <c r="H17" i="47" s="1"/>
  <c r="O31" i="57" s="1"/>
  <c r="C31" i="57" l="1"/>
  <c r="K31" i="57"/>
  <c r="C32" i="57"/>
  <c r="K32" i="57"/>
  <c r="W32" i="57"/>
  <c r="T31" i="57"/>
  <c r="W31" i="57"/>
  <c r="U32" i="57"/>
  <c r="V31" i="57"/>
  <c r="P31" i="57"/>
  <c r="T32" i="57"/>
  <c r="O32" i="46"/>
  <c r="W31" i="46"/>
  <c r="O31" i="46"/>
  <c r="W32" i="46"/>
  <c r="AC32" i="57" l="1"/>
  <c r="AC31" i="57"/>
  <c r="U31" i="57"/>
  <c r="AA31" i="57" s="1"/>
  <c r="P32" i="57"/>
  <c r="V32" i="57"/>
  <c r="AQ15" i="2"/>
  <c r="AA15" i="2"/>
  <c r="G15" i="2"/>
  <c r="AB31" i="57" l="1"/>
  <c r="BA14" i="48"/>
  <c r="X31" i="57"/>
  <c r="N32" i="46"/>
  <c r="H32" i="46" s="1"/>
  <c r="P32" i="46"/>
  <c r="U31" i="46"/>
  <c r="N31" i="46"/>
  <c r="AR34" i="46"/>
  <c r="BC34" i="46" s="1"/>
  <c r="AM34" i="46"/>
  <c r="AR33" i="46"/>
  <c r="BC33" i="46" s="1"/>
  <c r="AM33" i="46"/>
  <c r="AR32" i="46"/>
  <c r="BC32" i="46" s="1"/>
  <c r="AM32" i="46"/>
  <c r="AR31" i="46"/>
  <c r="BC31" i="46" s="1"/>
  <c r="AM31" i="46"/>
  <c r="F26" i="27"/>
  <c r="I38" i="27"/>
  <c r="I17" i="47" s="1"/>
  <c r="Q38" i="27"/>
  <c r="Q37" i="27"/>
  <c r="Q35" i="27"/>
  <c r="R32" i="27"/>
  <c r="P32" i="27"/>
  <c r="S32" i="27" s="1"/>
  <c r="R31" i="27"/>
  <c r="P31" i="27"/>
  <c r="S31" i="27" s="1"/>
  <c r="R30" i="27"/>
  <c r="P30" i="27"/>
  <c r="S30" i="27" s="1"/>
  <c r="R27" i="27"/>
  <c r="P27" i="27"/>
  <c r="S27" i="27" s="1"/>
  <c r="Q17" i="27"/>
  <c r="P18" i="27"/>
  <c r="R22" i="27"/>
  <c r="P22" i="27"/>
  <c r="S22" i="27" s="1"/>
  <c r="R21" i="27"/>
  <c r="P21" i="27"/>
  <c r="S21" i="27" s="1"/>
  <c r="R20" i="27"/>
  <c r="P20" i="27"/>
  <c r="S20" i="27" s="1"/>
  <c r="P17" i="27"/>
  <c r="S17" i="27" s="1"/>
  <c r="Q14" i="27"/>
  <c r="R11" i="27"/>
  <c r="P11" i="27"/>
  <c r="S11" i="27" s="1"/>
  <c r="R10" i="27"/>
  <c r="P10" i="27"/>
  <c r="S10" i="27" s="1"/>
  <c r="R9" i="27"/>
  <c r="P9" i="27"/>
  <c r="S9" i="27" s="1"/>
  <c r="R6" i="27"/>
  <c r="P6" i="27"/>
  <c r="S6" i="27" s="1"/>
  <c r="AD34" i="46" l="1"/>
  <c r="Q39" i="27"/>
  <c r="S35" i="27"/>
  <c r="S36" i="27" s="1"/>
  <c r="Q18" i="27"/>
  <c r="R18" i="27" s="1"/>
  <c r="S18" i="27"/>
  <c r="S25" i="27" s="1"/>
  <c r="R35" i="27"/>
  <c r="R36" i="27" s="1"/>
  <c r="R17" i="27"/>
  <c r="R25" i="27" s="1"/>
  <c r="R14" i="27"/>
  <c r="R15" i="27" s="1"/>
  <c r="AD32" i="46"/>
  <c r="V31" i="46"/>
  <c r="AD33" i="46"/>
  <c r="AD31" i="46"/>
  <c r="J32" i="46"/>
  <c r="K32" i="46"/>
  <c r="AC32" i="46" s="1"/>
  <c r="V32" i="46"/>
  <c r="U32" i="46"/>
  <c r="AA31" i="46" s="1"/>
  <c r="C32" i="46"/>
  <c r="T32" i="46"/>
  <c r="P31" i="46"/>
  <c r="T31" i="46"/>
  <c r="C31" i="46"/>
  <c r="H31" i="46"/>
  <c r="S14" i="27"/>
  <c r="S15" i="27" s="1"/>
  <c r="Q25" i="27" l="1"/>
  <c r="R26" i="27" s="1"/>
  <c r="N14" i="48"/>
  <c r="J31" i="46"/>
  <c r="K31" i="46"/>
  <c r="L14" i="48" s="1"/>
  <c r="S26" i="27" l="1"/>
  <c r="AC31" i="46"/>
  <c r="X31" i="46"/>
  <c r="AB31" i="46"/>
  <c r="Z28" i="46" l="1"/>
  <c r="E15" i="47"/>
  <c r="G15" i="47" s="1"/>
  <c r="H15" i="47" s="1"/>
  <c r="O28" i="57" s="1"/>
  <c r="E14" i="47"/>
  <c r="G14" i="47" s="1"/>
  <c r="H14" i="47" s="1"/>
  <c r="O27" i="57" s="1"/>
  <c r="E13" i="47"/>
  <c r="G13" i="47" s="1"/>
  <c r="H13" i="47" s="1"/>
  <c r="O26" i="57" s="1"/>
  <c r="K10" i="29"/>
  <c r="K9" i="29"/>
  <c r="C7" i="29"/>
  <c r="K8" i="29" s="1"/>
  <c r="C26" i="57" l="1"/>
  <c r="K26" i="57"/>
  <c r="C28" i="57"/>
  <c r="K28" i="57"/>
  <c r="C27" i="57"/>
  <c r="K27" i="57"/>
  <c r="W28" i="57"/>
  <c r="V28" i="57"/>
  <c r="W26" i="57"/>
  <c r="W27" i="57"/>
  <c r="V26" i="57"/>
  <c r="T26" i="57"/>
  <c r="P26" i="57"/>
  <c r="U26" i="57"/>
  <c r="V27" i="57"/>
  <c r="P27" i="57"/>
  <c r="U27" i="57"/>
  <c r="T27" i="57"/>
  <c r="T28" i="57"/>
  <c r="U28" i="57"/>
  <c r="W28" i="46"/>
  <c r="O27" i="46"/>
  <c r="O26" i="46"/>
  <c r="W26" i="46"/>
  <c r="W27" i="46"/>
  <c r="O28" i="46"/>
  <c r="P28" i="57" l="1"/>
  <c r="AC26" i="57"/>
  <c r="AC27" i="57"/>
  <c r="X26" i="57"/>
  <c r="AC28" i="57"/>
  <c r="AQ14" i="2"/>
  <c r="AA14" i="2"/>
  <c r="G14" i="2"/>
  <c r="BA13" i="48" l="1"/>
  <c r="N27" i="46"/>
  <c r="H27" i="46" s="1"/>
  <c r="J27" i="46" s="1"/>
  <c r="U27" i="46"/>
  <c r="N28" i="46"/>
  <c r="H28" i="46" s="1"/>
  <c r="J28" i="46" s="1"/>
  <c r="U28" i="46"/>
  <c r="T28" i="46"/>
  <c r="AR29" i="46"/>
  <c r="BC29" i="46" s="1"/>
  <c r="AM29" i="46"/>
  <c r="AR28" i="46"/>
  <c r="BC28" i="46" s="1"/>
  <c r="AM28" i="46"/>
  <c r="AR27" i="46"/>
  <c r="BC27" i="46" s="1"/>
  <c r="AM27" i="46"/>
  <c r="AR26" i="46"/>
  <c r="BC26" i="46" s="1"/>
  <c r="AM26" i="46"/>
  <c r="T26" i="46"/>
  <c r="N26" i="46"/>
  <c r="J26" i="46"/>
  <c r="F26" i="29"/>
  <c r="F17" i="29"/>
  <c r="F9" i="29"/>
  <c r="I38" i="29"/>
  <c r="I13" i="47" s="1"/>
  <c r="Q39" i="29"/>
  <c r="Q40" i="29" s="1"/>
  <c r="Q35" i="29"/>
  <c r="R32" i="29"/>
  <c r="P32" i="29"/>
  <c r="S32" i="29" s="1"/>
  <c r="R31" i="29"/>
  <c r="P31" i="29"/>
  <c r="S31" i="29" s="1"/>
  <c r="R30" i="29"/>
  <c r="P30" i="29"/>
  <c r="S30" i="29" s="1"/>
  <c r="R27" i="29"/>
  <c r="P27" i="29"/>
  <c r="S27" i="29" s="1"/>
  <c r="P17" i="29"/>
  <c r="S17" i="29" s="1"/>
  <c r="R22" i="29"/>
  <c r="P22" i="29"/>
  <c r="S22" i="29" s="1"/>
  <c r="R21" i="29"/>
  <c r="P21" i="29"/>
  <c r="S21" i="29" s="1"/>
  <c r="R20" i="29"/>
  <c r="P20" i="29"/>
  <c r="S20" i="29" s="1"/>
  <c r="R17" i="29"/>
  <c r="Q9" i="29"/>
  <c r="P9" i="29"/>
  <c r="Q8" i="29"/>
  <c r="P8" i="29"/>
  <c r="Q7" i="29"/>
  <c r="P7" i="29"/>
  <c r="AD29" i="46" l="1"/>
  <c r="S35" i="29"/>
  <c r="S36" i="29" s="1"/>
  <c r="K27" i="46"/>
  <c r="S25" i="29"/>
  <c r="R25" i="29"/>
  <c r="R35" i="29"/>
  <c r="R36" i="29" s="1"/>
  <c r="AD28" i="46"/>
  <c r="V27" i="46"/>
  <c r="V26" i="46"/>
  <c r="T27" i="46"/>
  <c r="K26" i="46"/>
  <c r="V28" i="46"/>
  <c r="C27" i="46"/>
  <c r="P27" i="46"/>
  <c r="K28" i="46"/>
  <c r="AC28" i="46" s="1"/>
  <c r="P28" i="46"/>
  <c r="C28" i="46"/>
  <c r="AD26" i="46"/>
  <c r="AD27" i="46"/>
  <c r="U26" i="46"/>
  <c r="C26" i="46"/>
  <c r="P26" i="46"/>
  <c r="Q25" i="29"/>
  <c r="R26" i="29" s="1"/>
  <c r="AC27" i="46" l="1"/>
  <c r="N13" i="48"/>
  <c r="AC26" i="46"/>
  <c r="L13" i="48"/>
  <c r="X26" i="46"/>
  <c r="S26" i="29"/>
  <c r="AQ13" i="2"/>
  <c r="AQ12" i="2"/>
  <c r="AA13" i="2"/>
  <c r="AA12" i="2"/>
  <c r="G13" i="2"/>
  <c r="G12" i="2"/>
  <c r="F11" i="47"/>
  <c r="E11" i="47"/>
  <c r="F9" i="47"/>
  <c r="E9" i="47"/>
  <c r="E8" i="47"/>
  <c r="G8" i="47" s="1"/>
  <c r="H8" i="47" s="1"/>
  <c r="O16" i="57" s="1"/>
  <c r="K7" i="31"/>
  <c r="K8" i="31"/>
  <c r="C16" i="57" l="1"/>
  <c r="K16" i="57"/>
  <c r="W16" i="57"/>
  <c r="W17" i="57"/>
  <c r="T16" i="57"/>
  <c r="U16" i="57"/>
  <c r="O16" i="46"/>
  <c r="G9" i="47"/>
  <c r="H9" i="47" s="1"/>
  <c r="O17" i="57" s="1"/>
  <c r="W16" i="46"/>
  <c r="W17" i="46"/>
  <c r="G11" i="47"/>
  <c r="H11" i="47" s="1"/>
  <c r="O21" i="57" s="1"/>
  <c r="K17" i="57" l="1"/>
  <c r="C17" i="57"/>
  <c r="C21" i="57"/>
  <c r="K21" i="57"/>
  <c r="AC16" i="57"/>
  <c r="P16" i="57"/>
  <c r="V16" i="57"/>
  <c r="U21" i="57"/>
  <c r="T21" i="57"/>
  <c r="U17" i="57"/>
  <c r="T17" i="57"/>
  <c r="X16" i="57"/>
  <c r="V17" i="57"/>
  <c r="P17" i="57"/>
  <c r="O17" i="46"/>
  <c r="O21" i="46"/>
  <c r="N17" i="46"/>
  <c r="G16" i="46"/>
  <c r="N16" i="46"/>
  <c r="H16" i="46" s="1"/>
  <c r="P16" i="46"/>
  <c r="Q17" i="31"/>
  <c r="R17" i="31" s="1"/>
  <c r="R19" i="31"/>
  <c r="P19" i="31"/>
  <c r="S19" i="31" s="1"/>
  <c r="R18" i="31"/>
  <c r="P18" i="31"/>
  <c r="S18" i="31" s="1"/>
  <c r="P17" i="31"/>
  <c r="P21" i="57" l="1"/>
  <c r="V21" i="57"/>
  <c r="AC21" i="57"/>
  <c r="AC17" i="57"/>
  <c r="P17" i="46"/>
  <c r="K17" i="46"/>
  <c r="BA11" i="48"/>
  <c r="Q25" i="31"/>
  <c r="Q26" i="31" s="1"/>
  <c r="R25" i="31"/>
  <c r="T17" i="46"/>
  <c r="U17" i="46"/>
  <c r="V17" i="46"/>
  <c r="J16" i="46"/>
  <c r="J17" i="46"/>
  <c r="C17" i="46"/>
  <c r="C16" i="46"/>
  <c r="K16" i="46"/>
  <c r="S17" i="31"/>
  <c r="S25" i="31" s="1"/>
  <c r="AR24" i="46"/>
  <c r="BC24" i="46" s="1"/>
  <c r="AM24" i="46"/>
  <c r="AR23" i="46"/>
  <c r="BC23" i="46" s="1"/>
  <c r="AM23" i="46"/>
  <c r="AR22" i="46"/>
  <c r="BC22" i="46" s="1"/>
  <c r="AM22" i="46"/>
  <c r="AR21" i="46"/>
  <c r="BC21" i="46" s="1"/>
  <c r="AM21" i="46"/>
  <c r="U21" i="46"/>
  <c r="N21" i="46"/>
  <c r="AR19" i="46"/>
  <c r="BC19" i="46" s="1"/>
  <c r="AM19" i="46"/>
  <c r="AR18" i="46"/>
  <c r="BC18" i="46" s="1"/>
  <c r="AM18" i="46"/>
  <c r="AR17" i="46"/>
  <c r="BC17" i="46" s="1"/>
  <c r="AM17" i="46"/>
  <c r="AR16" i="46"/>
  <c r="BC16" i="46" s="1"/>
  <c r="AM16" i="46"/>
  <c r="U16" i="46"/>
  <c r="F17" i="30"/>
  <c r="I38" i="30"/>
  <c r="I11" i="47" s="1"/>
  <c r="Q6" i="30"/>
  <c r="T6" i="30" s="1"/>
  <c r="Q7" i="30"/>
  <c r="T7" i="30" s="1"/>
  <c r="Q5" i="30"/>
  <c r="T5" i="30" s="1"/>
  <c r="R13" i="30"/>
  <c r="R14" i="30" s="1"/>
  <c r="S7" i="30"/>
  <c r="S6" i="30"/>
  <c r="S5" i="30"/>
  <c r="F9" i="31"/>
  <c r="I38" i="31"/>
  <c r="I8" i="47" s="1"/>
  <c r="S7" i="31"/>
  <c r="Q14" i="31"/>
  <c r="Q15" i="31" s="1"/>
  <c r="R7" i="31"/>
  <c r="S6" i="31"/>
  <c r="R6" i="31"/>
  <c r="R7" i="32"/>
  <c r="R8" i="32"/>
  <c r="L11" i="48" l="1"/>
  <c r="S26" i="31"/>
  <c r="AC17" i="46"/>
  <c r="R26" i="31"/>
  <c r="AD22" i="46"/>
  <c r="N11" i="48"/>
  <c r="AD19" i="46"/>
  <c r="BA12" i="48"/>
  <c r="AD23" i="46"/>
  <c r="S13" i="30"/>
  <c r="S14" i="30" s="1"/>
  <c r="K21" i="46"/>
  <c r="L12" i="48" s="1"/>
  <c r="AD21" i="46"/>
  <c r="AD18" i="46"/>
  <c r="AD17" i="46"/>
  <c r="AD16" i="46"/>
  <c r="AD24" i="46"/>
  <c r="P21" i="46"/>
  <c r="T21" i="46"/>
  <c r="V21" i="46"/>
  <c r="C21" i="46"/>
  <c r="N12" i="48" s="1"/>
  <c r="J21" i="46"/>
  <c r="T16" i="46"/>
  <c r="V16" i="46"/>
  <c r="T13" i="30"/>
  <c r="T14" i="30" s="1"/>
  <c r="R14" i="31"/>
  <c r="R15" i="31" s="1"/>
  <c r="S14" i="31"/>
  <c r="S15" i="31" s="1"/>
  <c r="AC21" i="46" l="1"/>
  <c r="AC16" i="46"/>
  <c r="X16" i="46"/>
  <c r="F6" i="47"/>
  <c r="E6" i="47"/>
  <c r="G6" i="47" s="1"/>
  <c r="H6" i="47" s="1"/>
  <c r="O11" i="57" s="1"/>
  <c r="C11" i="57" l="1"/>
  <c r="K11" i="57"/>
  <c r="P11" i="57"/>
  <c r="T11" i="57"/>
  <c r="U11" i="57"/>
  <c r="V11" i="57"/>
  <c r="O11" i="46"/>
  <c r="AC11" i="57" l="1"/>
  <c r="BA10" i="48"/>
  <c r="AQ11" i="2"/>
  <c r="AA11" i="2"/>
  <c r="G11" i="2"/>
  <c r="AR14" i="46" l="1"/>
  <c r="BC14" i="46" s="1"/>
  <c r="AM14" i="46"/>
  <c r="AR13" i="46"/>
  <c r="BC13" i="46" s="1"/>
  <c r="AM13" i="46"/>
  <c r="AR12" i="46"/>
  <c r="BC12" i="46" s="1"/>
  <c r="AM12" i="46"/>
  <c r="AR11" i="46"/>
  <c r="BC11" i="46" s="1"/>
  <c r="AM11" i="46"/>
  <c r="U11" i="46"/>
  <c r="T11" i="46"/>
  <c r="N11" i="46"/>
  <c r="H11" i="46" s="1"/>
  <c r="G11" i="46"/>
  <c r="V11" i="46" s="1"/>
  <c r="F26" i="32"/>
  <c r="F17" i="32"/>
  <c r="I38" i="32"/>
  <c r="I6" i="47" s="1"/>
  <c r="G42" i="32"/>
  <c r="I37" i="32" s="1"/>
  <c r="F42" i="32"/>
  <c r="P8" i="32"/>
  <c r="S8" i="32" s="1"/>
  <c r="P7" i="32"/>
  <c r="S7" i="32" s="1"/>
  <c r="Q14" i="32"/>
  <c r="Q15" i="32" s="1"/>
  <c r="R6" i="32"/>
  <c r="R14" i="32" s="1"/>
  <c r="P6" i="32"/>
  <c r="S6" i="32" s="1"/>
  <c r="S14" i="32" l="1"/>
  <c r="S15" i="32" s="1"/>
  <c r="AD12" i="46"/>
  <c r="R15" i="32"/>
  <c r="AD14" i="46"/>
  <c r="AD13" i="46"/>
  <c r="AD11" i="46"/>
  <c r="J11" i="46"/>
  <c r="K11" i="46"/>
  <c r="P11" i="46"/>
  <c r="C11" i="46"/>
  <c r="N10" i="48" s="1"/>
  <c r="G6" i="46"/>
  <c r="P29" i="33"/>
  <c r="P27" i="33"/>
  <c r="P28" i="33"/>
  <c r="P17" i="33"/>
  <c r="AC11" i="46" l="1"/>
  <c r="L10" i="48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M15" i="45"/>
  <c r="M14" i="45"/>
  <c r="M13" i="45"/>
  <c r="M12" i="45"/>
  <c r="M11" i="45"/>
  <c r="M10" i="45"/>
  <c r="M9" i="45"/>
  <c r="M8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P9" i="48" l="1"/>
  <c r="AQ10" i="2" l="1"/>
  <c r="AA10" i="2" l="1"/>
  <c r="G10" i="2"/>
  <c r="A9" i="1"/>
  <c r="Z6" i="46" l="1"/>
  <c r="F4" i="47"/>
  <c r="E4" i="47"/>
  <c r="C32" i="33"/>
  <c r="C23" i="33"/>
  <c r="C14" i="33"/>
  <c r="F26" i="33" l="1"/>
  <c r="I38" i="33"/>
  <c r="I4" i="47" s="1"/>
  <c r="G42" i="33"/>
  <c r="I37" i="33" s="1"/>
  <c r="F42" i="33"/>
  <c r="Q29" i="33"/>
  <c r="S29" i="33" s="1"/>
  <c r="Q28" i="33"/>
  <c r="S28" i="33" s="1"/>
  <c r="S27" i="33"/>
  <c r="R27" i="33"/>
  <c r="Q25" i="33"/>
  <c r="Q26" i="33" s="1"/>
  <c r="S17" i="33"/>
  <c r="S25" i="33" s="1"/>
  <c r="R17" i="33"/>
  <c r="R25" i="33" s="1"/>
  <c r="Q14" i="33"/>
  <c r="Q15" i="33" s="1"/>
  <c r="R6" i="33"/>
  <c r="R14" i="33" s="1"/>
  <c r="P6" i="33"/>
  <c r="S6" i="33" s="1"/>
  <c r="S14" i="33" s="1"/>
  <c r="S15" i="33" s="1"/>
  <c r="R26" i="33" l="1"/>
  <c r="R15" i="33"/>
  <c r="S26" i="33"/>
  <c r="R29" i="33"/>
  <c r="Q35" i="33"/>
  <c r="Q36" i="33" s="1"/>
  <c r="R28" i="33"/>
  <c r="S35" i="33"/>
  <c r="R35" i="33" l="1"/>
  <c r="S36" i="33"/>
  <c r="R36" i="33"/>
  <c r="BH167" i="46" l="1"/>
  <c r="BG167" i="46"/>
  <c r="BF167" i="46"/>
  <c r="BE167" i="46"/>
  <c r="BD167" i="46"/>
  <c r="A6" i="46" l="1"/>
  <c r="B1" i="47"/>
  <c r="A8" i="45"/>
  <c r="F42" i="29" l="1"/>
  <c r="G42" i="29"/>
  <c r="I37" i="29" s="1"/>
  <c r="F32" i="27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F14" i="31"/>
  <c r="E14" i="31"/>
  <c r="D14" i="31"/>
  <c r="C15" i="31" l="1"/>
  <c r="C24" i="31"/>
  <c r="E34" i="31"/>
  <c r="D34" i="27"/>
  <c r="C34" i="27"/>
  <c r="E33" i="27"/>
  <c r="E33" i="29"/>
  <c r="D33" i="30"/>
  <c r="C34" i="30"/>
  <c r="K8" i="30" s="1"/>
  <c r="D24" i="30"/>
  <c r="D33" i="31"/>
  <c r="D34" i="31"/>
  <c r="C34" i="31"/>
  <c r="F34" i="31"/>
  <c r="C33" i="30"/>
  <c r="D33" i="27"/>
  <c r="E34" i="27"/>
  <c r="F34" i="27"/>
  <c r="C34" i="29"/>
  <c r="C33" i="29"/>
  <c r="D24" i="27"/>
  <c r="D34" i="29"/>
  <c r="D33" i="29"/>
  <c r="E24" i="30"/>
  <c r="E33" i="31"/>
  <c r="D24" i="31"/>
  <c r="D34" i="30"/>
  <c r="F34" i="29"/>
  <c r="C33" i="27"/>
  <c r="E24" i="31"/>
  <c r="E34" i="30"/>
  <c r="E33" i="30"/>
  <c r="F34" i="30"/>
  <c r="E24" i="27"/>
  <c r="C33" i="31"/>
  <c r="C24" i="29"/>
  <c r="C24" i="27"/>
  <c r="C15" i="27"/>
  <c r="D15" i="27"/>
  <c r="E15" i="27"/>
  <c r="D24" i="29"/>
  <c r="D15" i="29"/>
  <c r="E24" i="29"/>
  <c r="C15" i="29"/>
  <c r="E15" i="29"/>
  <c r="C24" i="30"/>
  <c r="C15" i="30"/>
  <c r="D15" i="30"/>
  <c r="E15" i="30"/>
  <c r="D15" i="31"/>
  <c r="E15" i="31"/>
  <c r="P13" i="45"/>
  <c r="W21" i="57" l="1"/>
  <c r="X21" i="57"/>
  <c r="W21" i="46"/>
  <c r="S8" i="29"/>
  <c r="R12" i="29"/>
  <c r="P12" i="29"/>
  <c r="S12" i="29" s="1"/>
  <c r="R11" i="29"/>
  <c r="P11" i="29"/>
  <c r="S11" i="29" s="1"/>
  <c r="R9" i="29"/>
  <c r="X21" i="46" l="1"/>
  <c r="P12" i="45"/>
  <c r="S7" i="29"/>
  <c r="P10" i="29"/>
  <c r="R8" i="29"/>
  <c r="S9" i="29"/>
  <c r="R7" i="29"/>
  <c r="S10" i="29" l="1"/>
  <c r="S15" i="29" s="1"/>
  <c r="R10" i="29"/>
  <c r="R15" i="29" s="1"/>
  <c r="Q15" i="29"/>
  <c r="S16" i="29" l="1"/>
  <c r="R16" i="29"/>
  <c r="P11" i="45" l="1"/>
  <c r="P10" i="45"/>
  <c r="G42" i="30" l="1"/>
  <c r="I37" i="30" s="1"/>
  <c r="F42" i="30"/>
  <c r="P9" i="45" l="1"/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P41" i="1"/>
  <c r="AM41" i="1"/>
  <c r="AJ41" i="1"/>
  <c r="AG41" i="1"/>
  <c r="AD41" i="1"/>
  <c r="X41" i="1"/>
  <c r="R41" i="1"/>
  <c r="O41" i="1"/>
  <c r="L41" i="1"/>
  <c r="KF41" i="1" s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X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KA11" i="1"/>
  <c r="JZ11" i="1"/>
  <c r="JW11" i="1"/>
  <c r="JT11" i="1"/>
  <c r="JQ11" i="1"/>
  <c r="JO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D10" i="1"/>
  <c r="KC10" i="1"/>
  <c r="KA10" i="1"/>
  <c r="JZ10" i="1"/>
  <c r="JW10" i="1"/>
  <c r="JT10" i="1"/>
  <c r="JQ10" i="1"/>
  <c r="JO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T10" i="1"/>
  <c r="Q10" i="1"/>
  <c r="N10" i="1"/>
  <c r="K10" i="1"/>
  <c r="H10" i="1"/>
  <c r="KR9" i="1"/>
  <c r="KO9" i="1"/>
  <c r="KM9" i="1"/>
  <c r="KL9" i="1"/>
  <c r="KJ9" i="1"/>
  <c r="KI9" i="1"/>
  <c r="KF9" i="1"/>
  <c r="KC9" i="1"/>
  <c r="KA9" i="1"/>
  <c r="JZ9" i="1"/>
  <c r="JX9" i="1"/>
  <c r="JW9" i="1"/>
  <c r="JT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M11" i="1"/>
  <c r="KJ12" i="1"/>
  <c r="KD12" i="1"/>
  <c r="JR9" i="1"/>
  <c r="JO12" i="1"/>
  <c r="JL11" i="1"/>
  <c r="M40" i="55"/>
  <c r="D40" i="55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1" i="55"/>
  <c r="D11" i="55"/>
  <c r="M10" i="55"/>
  <c r="D10" i="55"/>
  <c r="M9" i="55"/>
  <c r="D9" i="55"/>
  <c r="M8" i="55"/>
  <c r="D8" i="55"/>
  <c r="M7" i="55"/>
  <c r="D7" i="55"/>
  <c r="M6" i="55"/>
  <c r="D6" i="55"/>
  <c r="M5" i="55"/>
  <c r="D5" i="55"/>
  <c r="M4" i="55"/>
  <c r="D4" i="55"/>
  <c r="E3" i="55"/>
  <c r="F3" i="55" s="1"/>
  <c r="G3" i="55" s="1"/>
  <c r="H3" i="55" s="1"/>
  <c r="M3" i="55" s="1"/>
  <c r="N3" i="55" s="1"/>
  <c r="O3" i="55" s="1"/>
  <c r="P3" i="55" s="1"/>
  <c r="Q3" i="55" s="1"/>
  <c r="T41" i="1" l="1"/>
  <c r="Q41" i="1"/>
  <c r="K41" i="1"/>
  <c r="P41" i="1"/>
  <c r="DH41" i="1"/>
  <c r="EG41" i="1"/>
  <c r="FE41" i="1"/>
  <c r="GC41" i="1"/>
  <c r="HA41" i="1"/>
  <c r="HY41" i="1"/>
  <c r="IW41" i="1"/>
  <c r="M41" i="1"/>
  <c r="KT38" i="1"/>
  <c r="KT13" i="1"/>
  <c r="N41" i="1"/>
  <c r="AI41" i="1"/>
  <c r="BG41" i="1"/>
  <c r="CE41" i="1"/>
  <c r="DC41" i="1"/>
  <c r="EA41" i="1"/>
  <c r="EY41" i="1"/>
  <c r="FW41" i="1"/>
  <c r="GU41" i="1"/>
  <c r="HS41" i="1"/>
  <c r="IQ41" i="1"/>
  <c r="KT17" i="1"/>
  <c r="KT9" i="1"/>
  <c r="KT16" i="1"/>
  <c r="KT11" i="1"/>
  <c r="KT22" i="1"/>
  <c r="KT12" i="1"/>
  <c r="KT19" i="1"/>
  <c r="KT27" i="1"/>
  <c r="KT18" i="1"/>
  <c r="KT15" i="1"/>
  <c r="KT20" i="1"/>
  <c r="KT24" i="1"/>
  <c r="KT28" i="1"/>
  <c r="KT21" i="1"/>
  <c r="KT26" i="1"/>
  <c r="KT25" i="1"/>
  <c r="KT23" i="1"/>
  <c r="AL41" i="1"/>
  <c r="BJ41" i="1"/>
  <c r="CH41" i="1"/>
  <c r="DF41" i="1"/>
  <c r="ED41" i="1"/>
  <c r="FB41" i="1"/>
  <c r="FZ41" i="1"/>
  <c r="GX41" i="1"/>
  <c r="HV41" i="1"/>
  <c r="IT41" i="1"/>
  <c r="CM41" i="1"/>
  <c r="DK41" i="1"/>
  <c r="EI41" i="1"/>
  <c r="AU41" i="1"/>
  <c r="BS41" i="1"/>
  <c r="CQ41" i="1"/>
  <c r="DO41" i="1"/>
  <c r="EM41" i="1"/>
  <c r="FK41" i="1"/>
  <c r="ID41" i="1"/>
  <c r="JB41" i="1"/>
  <c r="JZ41" i="1"/>
  <c r="KT39" i="1"/>
  <c r="Z41" i="1"/>
  <c r="AX41" i="1"/>
  <c r="BV41" i="1"/>
  <c r="CT41" i="1"/>
  <c r="DR41" i="1"/>
  <c r="EP41" i="1"/>
  <c r="FN41" i="1"/>
  <c r="GL41" i="1"/>
  <c r="HJ41" i="1"/>
  <c r="IH41" i="1"/>
  <c r="JF41" i="1"/>
  <c r="KT36" i="1"/>
  <c r="AZ41" i="1"/>
  <c r="BY41" i="1"/>
  <c r="CW41" i="1"/>
  <c r="DU41" i="1"/>
  <c r="ES41" i="1"/>
  <c r="FP41" i="1"/>
  <c r="GO41" i="1"/>
  <c r="HM41" i="1"/>
  <c r="AF41" i="1"/>
  <c r="BD41" i="1"/>
  <c r="CB41" i="1"/>
  <c r="CZ41" i="1"/>
  <c r="DX41" i="1"/>
  <c r="EV41" i="1"/>
  <c r="FT41" i="1"/>
  <c r="GR41" i="1"/>
  <c r="HP41" i="1"/>
  <c r="IN41" i="1"/>
  <c r="KP39" i="1"/>
  <c r="KP38" i="1"/>
  <c r="KP37" i="1"/>
  <c r="KP36" i="1"/>
  <c r="KP32" i="1"/>
  <c r="KP34" i="1"/>
  <c r="KP33" i="1"/>
  <c r="KP30" i="1"/>
  <c r="KP28" i="1"/>
  <c r="KP27" i="1"/>
  <c r="KP26" i="1"/>
  <c r="KP35" i="1"/>
  <c r="KP31" i="1"/>
  <c r="KP25" i="1"/>
  <c r="KP24" i="1"/>
  <c r="KP23" i="1"/>
  <c r="KP22" i="1"/>
  <c r="KP21" i="1"/>
  <c r="KP20" i="1"/>
  <c r="KP19" i="1"/>
  <c r="KP18" i="1"/>
  <c r="KP17" i="1"/>
  <c r="KP16" i="1"/>
  <c r="KP15" i="1"/>
  <c r="KP14" i="1"/>
  <c r="KP13" i="1"/>
  <c r="KP29" i="1"/>
  <c r="JR11" i="1"/>
  <c r="KP10" i="1"/>
  <c r="JL12" i="1"/>
  <c r="KP12" i="1"/>
  <c r="KS39" i="1"/>
  <c r="KS38" i="1"/>
  <c r="KS37" i="1"/>
  <c r="KS36" i="1"/>
  <c r="KS35" i="1"/>
  <c r="KS34" i="1"/>
  <c r="KS33" i="1"/>
  <c r="KS32" i="1"/>
  <c r="KS30" i="1"/>
  <c r="KS31" i="1"/>
  <c r="KS29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8" i="1"/>
  <c r="KS26" i="1"/>
  <c r="KS27" i="1"/>
  <c r="JU39" i="1"/>
  <c r="JU38" i="1"/>
  <c r="JU37" i="1"/>
  <c r="JU35" i="1"/>
  <c r="JU34" i="1"/>
  <c r="JU33" i="1"/>
  <c r="JU32" i="1"/>
  <c r="JU36" i="1"/>
  <c r="JU30" i="1"/>
  <c r="JU29" i="1"/>
  <c r="JU31" i="1"/>
  <c r="JU26" i="1"/>
  <c r="JU25" i="1"/>
  <c r="JU24" i="1"/>
  <c r="JU23" i="1"/>
  <c r="JU22" i="1"/>
  <c r="JU21" i="1"/>
  <c r="JU20" i="1"/>
  <c r="JU19" i="1"/>
  <c r="JU18" i="1"/>
  <c r="JU17" i="1"/>
  <c r="JU16" i="1"/>
  <c r="JU15" i="1"/>
  <c r="JU14" i="1"/>
  <c r="JU13" i="1"/>
  <c r="JU12" i="1"/>
  <c r="JU11" i="1"/>
  <c r="JU10" i="1"/>
  <c r="JU27" i="1"/>
  <c r="JU28" i="1"/>
  <c r="JX41" i="1"/>
  <c r="JX39" i="1"/>
  <c r="JX38" i="1"/>
  <c r="JX37" i="1"/>
  <c r="JX36" i="1"/>
  <c r="JX35" i="1"/>
  <c r="JX34" i="1"/>
  <c r="JX33" i="1"/>
  <c r="JX32" i="1"/>
  <c r="JX31" i="1"/>
  <c r="JX28" i="1"/>
  <c r="JX27" i="1"/>
  <c r="JX26" i="1"/>
  <c r="JX30" i="1"/>
  <c r="JX29" i="1"/>
  <c r="JX25" i="1"/>
  <c r="JX24" i="1"/>
  <c r="JX23" i="1"/>
  <c r="JX22" i="1"/>
  <c r="JX21" i="1"/>
  <c r="JX20" i="1"/>
  <c r="JX19" i="1"/>
  <c r="JX18" i="1"/>
  <c r="JX17" i="1"/>
  <c r="JX16" i="1"/>
  <c r="JX15" i="1"/>
  <c r="JX14" i="1"/>
  <c r="JX13" i="1"/>
  <c r="KJ11" i="1"/>
  <c r="KA41" i="1"/>
  <c r="KA39" i="1"/>
  <c r="KA38" i="1"/>
  <c r="KA37" i="1"/>
  <c r="KA36" i="1"/>
  <c r="KA35" i="1"/>
  <c r="KA34" i="1"/>
  <c r="KA33" i="1"/>
  <c r="KA32" i="1"/>
  <c r="KA31" i="1"/>
  <c r="KA30" i="1"/>
  <c r="KA29" i="1"/>
  <c r="KA28" i="1"/>
  <c r="KA25" i="1"/>
  <c r="KA24" i="1"/>
  <c r="KA23" i="1"/>
  <c r="KA22" i="1"/>
  <c r="KA21" i="1"/>
  <c r="KA20" i="1"/>
  <c r="KA19" i="1"/>
  <c r="KA18" i="1"/>
  <c r="KA17" i="1"/>
  <c r="KA16" i="1"/>
  <c r="KA15" i="1"/>
  <c r="KA14" i="1"/>
  <c r="KA13" i="1"/>
  <c r="KA12" i="1"/>
  <c r="KA26" i="1"/>
  <c r="KA27" i="1"/>
  <c r="JR10" i="1"/>
  <c r="JX11" i="1"/>
  <c r="KD39" i="1"/>
  <c r="KD38" i="1"/>
  <c r="KD37" i="1"/>
  <c r="KD36" i="1"/>
  <c r="KD35" i="1"/>
  <c r="KD33" i="1"/>
  <c r="KD31" i="1"/>
  <c r="KD28" i="1"/>
  <c r="KD27" i="1"/>
  <c r="KD26" i="1"/>
  <c r="KD32" i="1"/>
  <c r="KD34" i="1"/>
  <c r="KD29" i="1"/>
  <c r="KD25" i="1"/>
  <c r="KD24" i="1"/>
  <c r="KD23" i="1"/>
  <c r="KD22" i="1"/>
  <c r="KD21" i="1"/>
  <c r="KD20" i="1"/>
  <c r="KD19" i="1"/>
  <c r="KD18" i="1"/>
  <c r="KD17" i="1"/>
  <c r="KD16" i="1"/>
  <c r="KD15" i="1"/>
  <c r="KD14" i="1"/>
  <c r="KD13" i="1"/>
  <c r="KD30" i="1"/>
  <c r="KD9" i="1"/>
  <c r="KP9" i="1"/>
  <c r="JR39" i="1"/>
  <c r="JR38" i="1"/>
  <c r="JR37" i="1"/>
  <c r="JR36" i="1"/>
  <c r="JR35" i="1"/>
  <c r="JR31" i="1"/>
  <c r="JR34" i="1"/>
  <c r="JR30" i="1"/>
  <c r="JR33" i="1"/>
  <c r="JR32" i="1"/>
  <c r="JR28" i="1"/>
  <c r="JR27" i="1"/>
  <c r="JR26" i="1"/>
  <c r="JR29" i="1"/>
  <c r="JR25" i="1"/>
  <c r="JR24" i="1"/>
  <c r="JR23" i="1"/>
  <c r="JR22" i="1"/>
  <c r="JR21" i="1"/>
  <c r="JR20" i="1"/>
  <c r="JR19" i="1"/>
  <c r="JR18" i="1"/>
  <c r="JR17" i="1"/>
  <c r="JR16" i="1"/>
  <c r="JR15" i="1"/>
  <c r="JR14" i="1"/>
  <c r="JR13" i="1"/>
  <c r="KJ10" i="1"/>
  <c r="JR12" i="1"/>
  <c r="KG39" i="1"/>
  <c r="KG38" i="1"/>
  <c r="KG37" i="1"/>
  <c r="KG41" i="1"/>
  <c r="KG35" i="1"/>
  <c r="KG34" i="1"/>
  <c r="KG33" i="1"/>
  <c r="KG32" i="1"/>
  <c r="KG36" i="1"/>
  <c r="KG30" i="1"/>
  <c r="KG29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G10" i="1"/>
  <c r="KG26" i="1"/>
  <c r="KG27" i="1"/>
  <c r="KG31" i="1"/>
  <c r="KG28" i="1"/>
  <c r="JL39" i="1"/>
  <c r="JL38" i="1"/>
  <c r="JL37" i="1"/>
  <c r="JL36" i="1"/>
  <c r="JL35" i="1"/>
  <c r="JL34" i="1"/>
  <c r="JL33" i="1"/>
  <c r="JL32" i="1"/>
  <c r="JL28" i="1"/>
  <c r="JL27" i="1"/>
  <c r="JL26" i="1"/>
  <c r="JL30" i="1"/>
  <c r="JL31" i="1"/>
  <c r="JL29" i="1"/>
  <c r="JL25" i="1"/>
  <c r="JL24" i="1"/>
  <c r="JL23" i="1"/>
  <c r="JL22" i="1"/>
  <c r="JL21" i="1"/>
  <c r="JL20" i="1"/>
  <c r="JL19" i="1"/>
  <c r="JL18" i="1"/>
  <c r="JL17" i="1"/>
  <c r="JL16" i="1"/>
  <c r="JL15" i="1"/>
  <c r="JL14" i="1"/>
  <c r="JL13" i="1"/>
  <c r="JU9" i="1"/>
  <c r="KP11" i="1"/>
  <c r="KJ39" i="1"/>
  <c r="KJ38" i="1"/>
  <c r="KJ37" i="1"/>
  <c r="KJ36" i="1"/>
  <c r="KJ35" i="1"/>
  <c r="KJ34" i="1"/>
  <c r="KJ33" i="1"/>
  <c r="KJ32" i="1"/>
  <c r="KJ31" i="1"/>
  <c r="KJ28" i="1"/>
  <c r="KJ27" i="1"/>
  <c r="KJ26" i="1"/>
  <c r="KJ30" i="1"/>
  <c r="KJ25" i="1"/>
  <c r="KJ24" i="1"/>
  <c r="KJ23" i="1"/>
  <c r="KJ22" i="1"/>
  <c r="KJ21" i="1"/>
  <c r="KJ20" i="1"/>
  <c r="KJ19" i="1"/>
  <c r="KJ18" i="1"/>
  <c r="KJ17" i="1"/>
  <c r="KJ16" i="1"/>
  <c r="KJ15" i="1"/>
  <c r="KJ14" i="1"/>
  <c r="KJ13" i="1"/>
  <c r="KJ29" i="1"/>
  <c r="KG9" i="1"/>
  <c r="JX10" i="1"/>
  <c r="JO39" i="1"/>
  <c r="JO38" i="1"/>
  <c r="JO37" i="1"/>
  <c r="JO36" i="1"/>
  <c r="JO35" i="1"/>
  <c r="JO34" i="1"/>
  <c r="JO33" i="1"/>
  <c r="JO32" i="1"/>
  <c r="JO31" i="1"/>
  <c r="JO30" i="1"/>
  <c r="JO29" i="1"/>
  <c r="JO28" i="1"/>
  <c r="JO26" i="1"/>
  <c r="JO25" i="1"/>
  <c r="JO24" i="1"/>
  <c r="JO23" i="1"/>
  <c r="JO22" i="1"/>
  <c r="JO21" i="1"/>
  <c r="JO20" i="1"/>
  <c r="JO19" i="1"/>
  <c r="JO18" i="1"/>
  <c r="JO17" i="1"/>
  <c r="JO16" i="1"/>
  <c r="JO15" i="1"/>
  <c r="JO14" i="1"/>
  <c r="JO13" i="1"/>
  <c r="JO27" i="1"/>
  <c r="KM39" i="1"/>
  <c r="KM38" i="1"/>
  <c r="KM37" i="1"/>
  <c r="KM36" i="1"/>
  <c r="KM35" i="1"/>
  <c r="KM34" i="1"/>
  <c r="KM33" i="1"/>
  <c r="KM32" i="1"/>
  <c r="KM31" i="1"/>
  <c r="KM30" i="1"/>
  <c r="KM29" i="1"/>
  <c r="KM27" i="1"/>
  <c r="KM28" i="1"/>
  <c r="KM25" i="1"/>
  <c r="KM24" i="1"/>
  <c r="KM23" i="1"/>
  <c r="KM22" i="1"/>
  <c r="KM21" i="1"/>
  <c r="KM20" i="1"/>
  <c r="KM19" i="1"/>
  <c r="KM18" i="1"/>
  <c r="KM17" i="1"/>
  <c r="KM16" i="1"/>
  <c r="KM15" i="1"/>
  <c r="KM14" i="1"/>
  <c r="KM13" i="1"/>
  <c r="KM12" i="1"/>
  <c r="KM26" i="1"/>
  <c r="JL10" i="1"/>
  <c r="KM10" i="1"/>
  <c r="KD11" i="1"/>
  <c r="KT32" i="1"/>
  <c r="KT31" i="1"/>
  <c r="KT29" i="1"/>
  <c r="KT30" i="1"/>
  <c r="KT35" i="1"/>
  <c r="KT33" i="1"/>
  <c r="KT34" i="1"/>
  <c r="KD41" i="1"/>
  <c r="JL41" i="1"/>
  <c r="KJ41" i="1"/>
  <c r="JO41" i="1"/>
  <c r="KM41" i="1"/>
  <c r="KT37" i="1"/>
  <c r="JR41" i="1"/>
  <c r="KP41" i="1"/>
  <c r="JU41" i="1"/>
  <c r="KS41" i="1"/>
  <c r="AK41" i="1"/>
  <c r="BA41" i="1"/>
  <c r="BI41" i="1"/>
  <c r="CG41" i="1"/>
  <c r="DE41" i="1"/>
  <c r="EC41" i="1"/>
  <c r="FA41" i="1"/>
  <c r="FQ41" i="1"/>
  <c r="FY41" i="1"/>
  <c r="GW41" i="1"/>
  <c r="HU41" i="1"/>
  <c r="IK41" i="1"/>
  <c r="IS41" i="1"/>
  <c r="JI41" i="1"/>
  <c r="JQ41" i="1"/>
  <c r="KO41" i="1"/>
  <c r="AT41" i="1"/>
  <c r="BR41" i="1"/>
  <c r="CP41" i="1"/>
  <c r="DN41" i="1"/>
  <c r="EL41" i="1"/>
  <c r="FJ41" i="1"/>
  <c r="GH41" i="1"/>
  <c r="HF41" i="1"/>
  <c r="G41" i="1"/>
  <c r="AE41" i="1"/>
  <c r="BC41" i="1"/>
  <c r="CA41" i="1"/>
  <c r="CY41" i="1"/>
  <c r="DW41" i="1"/>
  <c r="EU41" i="1"/>
  <c r="FS41" i="1"/>
  <c r="GI41" i="1"/>
  <c r="GQ41" i="1"/>
  <c r="HG41" i="1"/>
  <c r="HO41" i="1"/>
  <c r="IE41" i="1"/>
  <c r="IM41" i="1"/>
  <c r="JC41" i="1"/>
  <c r="JK41" i="1"/>
  <c r="KI41" i="1"/>
  <c r="H41" i="1"/>
  <c r="AN41" i="1"/>
  <c r="BL41" i="1"/>
  <c r="CJ41" i="1"/>
  <c r="EF41" i="1"/>
  <c r="FD41" i="1"/>
  <c r="GB41" i="1"/>
  <c r="GZ41" i="1"/>
  <c r="HX41" i="1"/>
  <c r="IV41" i="1"/>
  <c r="JT41" i="1"/>
  <c r="KR41" i="1"/>
  <c r="Y41" i="1"/>
  <c r="AO41" i="1"/>
  <c r="AW41" i="1"/>
  <c r="BM41" i="1"/>
  <c r="BU41" i="1"/>
  <c r="CK41" i="1"/>
  <c r="CS41" i="1"/>
  <c r="DI41" i="1"/>
  <c r="DQ41" i="1"/>
  <c r="EO41" i="1"/>
  <c r="FM41" i="1"/>
  <c r="GK41" i="1"/>
  <c r="HI41" i="1"/>
  <c r="IG41" i="1"/>
  <c r="JE41" i="1"/>
  <c r="KC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S41" i="1"/>
  <c r="AQ41" i="1"/>
  <c r="BO41" i="1"/>
  <c r="FG41" i="1"/>
  <c r="GE41" i="1"/>
  <c r="HC41" i="1"/>
  <c r="IA41" i="1"/>
  <c r="IY41" i="1"/>
  <c r="JW41" i="1"/>
  <c r="AR41" i="1"/>
  <c r="BP41" i="1"/>
  <c r="BX41" i="1"/>
  <c r="CN41" i="1"/>
  <c r="CV41" i="1"/>
  <c r="DL41" i="1"/>
  <c r="DT41" i="1"/>
  <c r="EJ41" i="1"/>
  <c r="ER41" i="1"/>
  <c r="FH41" i="1"/>
  <c r="GF41" i="1"/>
  <c r="GN41" i="1"/>
  <c r="HD41" i="1"/>
  <c r="HL41" i="1"/>
  <c r="IB41" i="1"/>
  <c r="IJ41" i="1"/>
  <c r="IZ41" i="1"/>
  <c r="JH41" i="1"/>
  <c r="M41" i="55"/>
  <c r="D41" i="55"/>
  <c r="KU36" i="1" l="1"/>
  <c r="KU15" i="1"/>
  <c r="KU35" i="1"/>
  <c r="KU14" i="1"/>
  <c r="KU31" i="1"/>
  <c r="KU39" i="1"/>
  <c r="KU13" i="1"/>
  <c r="KU21" i="1"/>
  <c r="KU26" i="1"/>
  <c r="KU37" i="1"/>
  <c r="KU38" i="1"/>
  <c r="KU10" i="1"/>
  <c r="KU27" i="1"/>
  <c r="KU33" i="1"/>
  <c r="KU32" i="1"/>
  <c r="KU16" i="1"/>
  <c r="KU34" i="1"/>
  <c r="KU28" i="1"/>
  <c r="KU23" i="1"/>
  <c r="KU22" i="1"/>
  <c r="KU24" i="1"/>
  <c r="KU30" i="1"/>
  <c r="KU17" i="1"/>
  <c r="KU25" i="1"/>
  <c r="KU18" i="1"/>
  <c r="KU12" i="1"/>
  <c r="KU19" i="1"/>
  <c r="KU9" i="1"/>
  <c r="KU20" i="1"/>
  <c r="KU29" i="1"/>
  <c r="KU11" i="1"/>
  <c r="KU41" i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42" i="10"/>
  <c r="F32" i="10"/>
  <c r="E32" i="10"/>
  <c r="D32" i="10"/>
  <c r="C32" i="10"/>
  <c r="F23" i="10"/>
  <c r="E23" i="10"/>
  <c r="D23" i="10"/>
  <c r="C23" i="10"/>
  <c r="F14" i="10"/>
  <c r="E14" i="10"/>
  <c r="D14" i="10"/>
  <c r="C14" i="10"/>
  <c r="F32" i="11"/>
  <c r="E32" i="11"/>
  <c r="D32" i="11"/>
  <c r="C32" i="11"/>
  <c r="F23" i="11"/>
  <c r="E23" i="11"/>
  <c r="D23" i="1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F14" i="19"/>
  <c r="E14" i="19"/>
  <c r="D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2" i="32"/>
  <c r="E32" i="32"/>
  <c r="D32" i="32"/>
  <c r="C32" i="32"/>
  <c r="F23" i="32"/>
  <c r="E23" i="32"/>
  <c r="D23" i="32"/>
  <c r="F14" i="32"/>
  <c r="E14" i="32"/>
  <c r="D14" i="3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Z81" i="57" l="1"/>
  <c r="AA80" i="57" s="1"/>
  <c r="AB80" i="57" s="1"/>
  <c r="Z95" i="57"/>
  <c r="AA95" i="57" s="1"/>
  <c r="AB95" i="57" s="1"/>
  <c r="C15" i="32"/>
  <c r="C24" i="32"/>
  <c r="D34" i="12"/>
  <c r="E34" i="14"/>
  <c r="E34" i="10"/>
  <c r="D34" i="20"/>
  <c r="D34" i="10"/>
  <c r="E34" i="18"/>
  <c r="D34" i="8"/>
  <c r="F34" i="8"/>
  <c r="D34" i="24"/>
  <c r="C15" i="19"/>
  <c r="D24" i="11"/>
  <c r="F34" i="10"/>
  <c r="D34" i="21"/>
  <c r="F34" i="12"/>
  <c r="Z81" i="46"/>
  <c r="AA80" i="46" s="1"/>
  <c r="AB80" i="46" s="1"/>
  <c r="Z95" i="46"/>
  <c r="AA95" i="46" s="1"/>
  <c r="AB95" i="46" s="1"/>
  <c r="F34" i="14"/>
  <c r="D34" i="14"/>
  <c r="C33" i="22"/>
  <c r="C24" i="20"/>
  <c r="C33" i="17"/>
  <c r="C33" i="15"/>
  <c r="C24" i="14"/>
  <c r="C33" i="11"/>
  <c r="C33" i="23"/>
  <c r="D33" i="9"/>
  <c r="C34" i="8"/>
  <c r="K7" i="8" s="1"/>
  <c r="D15" i="16"/>
  <c r="D33" i="17"/>
  <c r="D33" i="15"/>
  <c r="D24" i="14"/>
  <c r="E24" i="16"/>
  <c r="C34" i="18"/>
  <c r="C15" i="16"/>
  <c r="C34" i="14"/>
  <c r="C33" i="6"/>
  <c r="D34" i="25"/>
  <c r="D34" i="23"/>
  <c r="D34" i="22"/>
  <c r="F34" i="28"/>
  <c r="F34" i="11"/>
  <c r="E15" i="12"/>
  <c r="C15" i="23"/>
  <c r="C34" i="22"/>
  <c r="F34" i="18"/>
  <c r="C15" i="11"/>
  <c r="E34" i="28"/>
  <c r="E15" i="25"/>
  <c r="E15" i="23"/>
  <c r="E34" i="22"/>
  <c r="D34" i="19"/>
  <c r="D24" i="18"/>
  <c r="D24" i="12"/>
  <c r="E33" i="13"/>
  <c r="D33" i="7"/>
  <c r="C24" i="28"/>
  <c r="E33" i="26"/>
  <c r="C24" i="25"/>
  <c r="E33" i="24"/>
  <c r="C24" i="23"/>
  <c r="C33" i="21"/>
  <c r="C24" i="22"/>
  <c r="E33" i="20"/>
  <c r="D33" i="26"/>
  <c r="D33" i="24"/>
  <c r="D24" i="23"/>
  <c r="D33" i="20"/>
  <c r="C15" i="12"/>
  <c r="C33" i="19"/>
  <c r="C24" i="12"/>
  <c r="E33" i="25"/>
  <c r="D34" i="11"/>
  <c r="F34" i="25"/>
  <c r="F34" i="23"/>
  <c r="F34" i="22"/>
  <c r="E24" i="18"/>
  <c r="E24" i="12"/>
  <c r="E34" i="11"/>
  <c r="C33" i="9"/>
  <c r="C34" i="6"/>
  <c r="C34" i="37"/>
  <c r="D33" i="28"/>
  <c r="C34" i="24"/>
  <c r="F34" i="17"/>
  <c r="F34" i="13"/>
  <c r="D34" i="9"/>
  <c r="C33" i="16"/>
  <c r="C33" i="12"/>
  <c r="E33" i="9"/>
  <c r="D34" i="18"/>
  <c r="C24" i="11"/>
  <c r="D33" i="10"/>
  <c r="F34" i="9"/>
  <c r="F34" i="7"/>
  <c r="C34" i="32"/>
  <c r="E33" i="32"/>
  <c r="D24" i="20"/>
  <c r="D33" i="16"/>
  <c r="D33" i="14"/>
  <c r="D24" i="13"/>
  <c r="D15" i="11"/>
  <c r="E24" i="21"/>
  <c r="E15" i="15"/>
  <c r="E33" i="11"/>
  <c r="E24" i="37"/>
  <c r="E34" i="19"/>
  <c r="E34" i="9"/>
  <c r="C34" i="21"/>
  <c r="C15" i="20"/>
  <c r="C34" i="15"/>
  <c r="K9" i="15" s="1"/>
  <c r="C34" i="11"/>
  <c r="K7" i="11" s="1"/>
  <c r="C33" i="37"/>
  <c r="C24" i="26"/>
  <c r="C33" i="26"/>
  <c r="D33" i="21"/>
  <c r="D15" i="20"/>
  <c r="D34" i="16"/>
  <c r="E15" i="9"/>
  <c r="E24" i="8"/>
  <c r="E24" i="14"/>
  <c r="C24" i="9"/>
  <c r="D35" i="30"/>
  <c r="C24" i="17"/>
  <c r="E24" i="11"/>
  <c r="C33" i="8"/>
  <c r="E33" i="6"/>
  <c r="E34" i="32"/>
  <c r="F34" i="32"/>
  <c r="E24" i="26"/>
  <c r="E24" i="28"/>
  <c r="E34" i="25"/>
  <c r="E34" i="21"/>
  <c r="E24" i="17"/>
  <c r="E24" i="32"/>
  <c r="D24" i="25"/>
  <c r="D33" i="23"/>
  <c r="F34" i="21"/>
  <c r="D33" i="19"/>
  <c r="E34" i="16"/>
  <c r="D24" i="16"/>
  <c r="D34" i="15"/>
  <c r="C15" i="13"/>
  <c r="E15" i="11"/>
  <c r="D33" i="11"/>
  <c r="D24" i="9"/>
  <c r="E24" i="6"/>
  <c r="D15" i="37"/>
  <c r="E33" i="18"/>
  <c r="E24" i="13"/>
  <c r="D33" i="12"/>
  <c r="D34" i="7"/>
  <c r="E33" i="12"/>
  <c r="C15" i="28"/>
  <c r="C33" i="28"/>
  <c r="E34" i="26"/>
  <c r="D24" i="26"/>
  <c r="E24" i="25"/>
  <c r="D15" i="24"/>
  <c r="E34" i="23"/>
  <c r="D15" i="21"/>
  <c r="E15" i="20"/>
  <c r="E34" i="15"/>
  <c r="E33" i="15"/>
  <c r="D34" i="13"/>
  <c r="C34" i="12"/>
  <c r="C34" i="10"/>
  <c r="E24" i="9"/>
  <c r="C24" i="7"/>
  <c r="C34" i="7"/>
  <c r="K7" i="7" s="1"/>
  <c r="E34" i="37"/>
  <c r="D33" i="37"/>
  <c r="C34" i="26"/>
  <c r="K8" i="26" s="1"/>
  <c r="D34" i="28"/>
  <c r="F34" i="26"/>
  <c r="E34" i="24"/>
  <c r="D35" i="24" s="1"/>
  <c r="E15" i="21"/>
  <c r="F34" i="20"/>
  <c r="D34" i="17"/>
  <c r="F34" i="15"/>
  <c r="E34" i="13"/>
  <c r="C34" i="9"/>
  <c r="K7" i="9" s="1"/>
  <c r="E34" i="8"/>
  <c r="E33" i="8"/>
  <c r="F34" i="37"/>
  <c r="E33" i="37"/>
  <c r="D24" i="28"/>
  <c r="E33" i="14"/>
  <c r="D34" i="26"/>
  <c r="D34" i="32"/>
  <c r="E15" i="28"/>
  <c r="E33" i="28"/>
  <c r="C15" i="26"/>
  <c r="C34" i="25"/>
  <c r="C33" i="25"/>
  <c r="F34" i="24"/>
  <c r="E33" i="23"/>
  <c r="C24" i="21"/>
  <c r="E34" i="17"/>
  <c r="D24" i="15"/>
  <c r="C24" i="10"/>
  <c r="D15" i="9"/>
  <c r="E34" i="7"/>
  <c r="D34" i="6"/>
  <c r="E15" i="37"/>
  <c r="E24" i="24"/>
  <c r="D33" i="22"/>
  <c r="F34" i="19"/>
  <c r="F34" i="16"/>
  <c r="E15" i="32"/>
  <c r="D15" i="26"/>
  <c r="D33" i="25"/>
  <c r="D24" i="24"/>
  <c r="C33" i="24"/>
  <c r="C34" i="23"/>
  <c r="K9" i="23" s="1"/>
  <c r="C24" i="16"/>
  <c r="C33" i="14"/>
  <c r="C24" i="13"/>
  <c r="E34" i="6"/>
  <c r="C24" i="37"/>
  <c r="D34" i="37"/>
  <c r="E15" i="8"/>
  <c r="C33" i="7"/>
  <c r="F34" i="6"/>
  <c r="D24" i="37"/>
  <c r="C15" i="37"/>
  <c r="D24" i="6"/>
  <c r="C24" i="6"/>
  <c r="D33" i="6"/>
  <c r="C15" i="6"/>
  <c r="D15" i="6"/>
  <c r="E15" i="6"/>
  <c r="C15" i="7"/>
  <c r="D24" i="7"/>
  <c r="E33" i="7"/>
  <c r="D15" i="7"/>
  <c r="E24" i="7"/>
  <c r="E15" i="7"/>
  <c r="C15" i="8"/>
  <c r="D24" i="8"/>
  <c r="C24" i="8"/>
  <c r="D33" i="8"/>
  <c r="D15" i="8"/>
  <c r="C15" i="9"/>
  <c r="C15" i="10"/>
  <c r="D24" i="10"/>
  <c r="E33" i="10"/>
  <c r="D15" i="10"/>
  <c r="E24" i="10"/>
  <c r="E15" i="10"/>
  <c r="C33" i="10"/>
  <c r="D15" i="12"/>
  <c r="E34" i="12"/>
  <c r="C33" i="13"/>
  <c r="D33" i="13"/>
  <c r="D15" i="13"/>
  <c r="C34" i="13"/>
  <c r="E15" i="13"/>
  <c r="C15" i="14"/>
  <c r="D15" i="14"/>
  <c r="E15" i="14"/>
  <c r="C15" i="15"/>
  <c r="C24" i="15"/>
  <c r="D15" i="15"/>
  <c r="E24" i="15"/>
  <c r="E33" i="16"/>
  <c r="C34" i="16"/>
  <c r="E15" i="16"/>
  <c r="C15" i="17"/>
  <c r="D24" i="17"/>
  <c r="E33" i="17"/>
  <c r="D15" i="17"/>
  <c r="C34" i="17"/>
  <c r="K12" i="17" s="1"/>
  <c r="E15" i="17"/>
  <c r="C33" i="18"/>
  <c r="C24" i="18"/>
  <c r="D33" i="18"/>
  <c r="C15" i="18"/>
  <c r="D15" i="18"/>
  <c r="E15" i="18"/>
  <c r="E33" i="19"/>
  <c r="C33" i="20"/>
  <c r="E24" i="20"/>
  <c r="C34" i="20"/>
  <c r="E34" i="20"/>
  <c r="C15" i="22"/>
  <c r="D24" i="22"/>
  <c r="E33" i="22"/>
  <c r="D15" i="22"/>
  <c r="E24" i="22"/>
  <c r="E15" i="22"/>
  <c r="C15" i="21"/>
  <c r="D24" i="21"/>
  <c r="E33" i="21"/>
  <c r="D15" i="23"/>
  <c r="E24" i="23"/>
  <c r="E35" i="24"/>
  <c r="C24" i="24"/>
  <c r="C15" i="24"/>
  <c r="E15" i="24"/>
  <c r="C15" i="25"/>
  <c r="D15" i="25"/>
  <c r="E15" i="26"/>
  <c r="D15" i="28"/>
  <c r="C34" i="28"/>
  <c r="K8" i="28" s="1"/>
  <c r="E35" i="30"/>
  <c r="C35" i="30"/>
  <c r="C33" i="32"/>
  <c r="D33" i="32"/>
  <c r="D24" i="32"/>
  <c r="D15" i="32"/>
  <c r="Z90" i="57" l="1"/>
  <c r="W140" i="57"/>
  <c r="X140" i="57" s="1"/>
  <c r="W90" i="57"/>
  <c r="W36" i="57"/>
  <c r="X36" i="57" s="1"/>
  <c r="W118" i="57"/>
  <c r="AA118" i="57" s="1"/>
  <c r="AB118" i="57" s="1"/>
  <c r="W60" i="57"/>
  <c r="X60" i="57" s="1"/>
  <c r="W100" i="57"/>
  <c r="X100" i="57" s="1"/>
  <c r="Z11" i="57"/>
  <c r="W128" i="57"/>
  <c r="W41" i="57"/>
  <c r="AA41" i="57" s="1"/>
  <c r="AB41" i="57" s="1"/>
  <c r="W134" i="57"/>
  <c r="AA134" i="57" s="1"/>
  <c r="AB134" i="57" s="1"/>
  <c r="X128" i="57"/>
  <c r="AA128" i="57"/>
  <c r="AB128" i="57" s="1"/>
  <c r="X41" i="57"/>
  <c r="X134" i="57"/>
  <c r="AA140" i="57"/>
  <c r="AB140" i="57" s="1"/>
  <c r="AA36" i="57"/>
  <c r="AB36" i="57" s="1"/>
  <c r="AA90" i="57"/>
  <c r="AB90" i="57" s="1"/>
  <c r="X90" i="57"/>
  <c r="W140" i="46"/>
  <c r="AA140" i="46" s="1"/>
  <c r="W134" i="46"/>
  <c r="E35" i="8"/>
  <c r="D35" i="10"/>
  <c r="K7" i="10"/>
  <c r="W128" i="46"/>
  <c r="W118" i="46"/>
  <c r="D35" i="14"/>
  <c r="Z90" i="46"/>
  <c r="W90" i="46"/>
  <c r="W100" i="46"/>
  <c r="D35" i="22"/>
  <c r="W60" i="46"/>
  <c r="C35" i="24"/>
  <c r="W41" i="46"/>
  <c r="C35" i="22"/>
  <c r="E35" i="18"/>
  <c r="E35" i="21"/>
  <c r="W36" i="46"/>
  <c r="C35" i="8"/>
  <c r="Z11" i="46"/>
  <c r="E35" i="22"/>
  <c r="D35" i="7"/>
  <c r="C35" i="14"/>
  <c r="E35" i="15"/>
  <c r="E35" i="14"/>
  <c r="C35" i="18"/>
  <c r="C35" i="27"/>
  <c r="E35" i="27"/>
  <c r="D35" i="18"/>
  <c r="D35" i="27"/>
  <c r="C35" i="6"/>
  <c r="D35" i="11"/>
  <c r="E35" i="23"/>
  <c r="D35" i="21"/>
  <c r="E35" i="11"/>
  <c r="D35" i="8"/>
  <c r="E35" i="31"/>
  <c r="C35" i="21"/>
  <c r="C35" i="16"/>
  <c r="D35" i="23"/>
  <c r="C35" i="23"/>
  <c r="C35" i="11"/>
  <c r="C35" i="10"/>
  <c r="D35" i="26"/>
  <c r="C35" i="9"/>
  <c r="D35" i="15"/>
  <c r="E35" i="10"/>
  <c r="C35" i="15"/>
  <c r="D35" i="9"/>
  <c r="C35" i="26"/>
  <c r="E35" i="9"/>
  <c r="C35" i="31"/>
  <c r="C35" i="12"/>
  <c r="E35" i="7"/>
  <c r="D35" i="31"/>
  <c r="E35" i="6"/>
  <c r="E35" i="20"/>
  <c r="D35" i="6"/>
  <c r="C35" i="17"/>
  <c r="E35" i="12"/>
  <c r="E35" i="26"/>
  <c r="C35" i="7"/>
  <c r="D35" i="12"/>
  <c r="D35" i="16"/>
  <c r="E35" i="16"/>
  <c r="D35" i="17"/>
  <c r="E35" i="17"/>
  <c r="C35" i="20"/>
  <c r="D35" i="20"/>
  <c r="AA60" i="57" l="1"/>
  <c r="AB60" i="57" s="1"/>
  <c r="X118" i="57"/>
  <c r="W123" i="57"/>
  <c r="AA100" i="57"/>
  <c r="AB100" i="57" s="1"/>
  <c r="X123" i="57"/>
  <c r="AA123" i="57"/>
  <c r="AB123" i="57" s="1"/>
  <c r="X140" i="46"/>
  <c r="AB140" i="46"/>
  <c r="AA134" i="46"/>
  <c r="AB134" i="46" s="1"/>
  <c r="X134" i="46"/>
  <c r="AA128" i="46"/>
  <c r="AB128" i="46" s="1"/>
  <c r="X128" i="46"/>
  <c r="W123" i="46"/>
  <c r="AA118" i="46"/>
  <c r="AB118" i="46" s="1"/>
  <c r="X118" i="46"/>
  <c r="AA100" i="46"/>
  <c r="AB100" i="46" s="1"/>
  <c r="X100" i="46"/>
  <c r="AA90" i="46"/>
  <c r="AB90" i="46" s="1"/>
  <c r="X90" i="46"/>
  <c r="AA105" i="46"/>
  <c r="AB105" i="46" s="1"/>
  <c r="AA60" i="46"/>
  <c r="AB60" i="46" s="1"/>
  <c r="X60" i="46"/>
  <c r="X41" i="46"/>
  <c r="AA41" i="46"/>
  <c r="AB41" i="46" s="1"/>
  <c r="AA36" i="46"/>
  <c r="AB36" i="46" s="1"/>
  <c r="X36" i="46"/>
  <c r="P36" i="45"/>
  <c r="AE39" i="54"/>
  <c r="AF39" i="54"/>
  <c r="AD39" i="54"/>
  <c r="X123" i="46" l="1"/>
  <c r="AA123" i="46"/>
  <c r="AB123" i="46" s="1"/>
  <c r="G42" i="37"/>
  <c r="I37" i="37" s="1"/>
  <c r="F42" i="37"/>
  <c r="P35" i="45" l="1"/>
  <c r="C35" i="2" l="1"/>
  <c r="P33" i="45" l="1"/>
  <c r="P32" i="45"/>
  <c r="P31" i="45" l="1"/>
  <c r="G42" i="10" l="1"/>
  <c r="I37" i="10" s="1"/>
  <c r="P29" i="45" l="1"/>
  <c r="P30" i="45"/>
  <c r="P28" i="45" l="1"/>
  <c r="P27" i="45" l="1"/>
  <c r="P25" i="45" l="1"/>
  <c r="P26" i="45"/>
  <c r="P24" i="45" l="1"/>
  <c r="P23" i="45" l="1"/>
  <c r="P22" i="45" l="1"/>
  <c r="P21" i="45" l="1"/>
  <c r="W78" i="20" l="1"/>
  <c r="P20" i="45" l="1"/>
  <c r="P19" i="45" l="1"/>
  <c r="P18" i="45"/>
  <c r="P17" i="45" l="1"/>
  <c r="C38" i="24" l="1"/>
  <c r="C39" i="24"/>
  <c r="P16" i="45" l="1"/>
  <c r="P15" i="45"/>
  <c r="P14" i="45"/>
  <c r="C43" i="26"/>
  <c r="I37" i="28" l="1"/>
  <c r="R7" i="43" l="1"/>
  <c r="U7" i="43" s="1"/>
  <c r="R8" i="43"/>
  <c r="S8" i="43"/>
  <c r="U8" i="43" l="1"/>
  <c r="AR9" i="46" l="1"/>
  <c r="BC9" i="46" s="1"/>
  <c r="AM9" i="46"/>
  <c r="AD9" i="46" l="1"/>
  <c r="BB167" i="46" l="1"/>
  <c r="AY167" i="46"/>
  <c r="AX167" i="46"/>
  <c r="AW167" i="46"/>
  <c r="AV167" i="46"/>
  <c r="AU167" i="46"/>
  <c r="AT167" i="46"/>
  <c r="AS167" i="46"/>
  <c r="AQ167" i="46"/>
  <c r="AP167" i="46"/>
  <c r="AO167" i="46"/>
  <c r="AN167" i="46"/>
  <c r="AL167" i="46"/>
  <c r="AK167" i="46"/>
  <c r="AJ167" i="46"/>
  <c r="AI167" i="46"/>
  <c r="AH167" i="46"/>
  <c r="AG167" i="46"/>
  <c r="AF167" i="46"/>
  <c r="AR166" i="46"/>
  <c r="AM166" i="46"/>
  <c r="AR8" i="46"/>
  <c r="BC8" i="46" s="1"/>
  <c r="AM8" i="46"/>
  <c r="AR7" i="46"/>
  <c r="BC7" i="46" s="1"/>
  <c r="AM7" i="46"/>
  <c r="AR6" i="46"/>
  <c r="AM6" i="46"/>
  <c r="AD7" i="46" l="1"/>
  <c r="AD8" i="46"/>
  <c r="AM167" i="46"/>
  <c r="AR167" i="46"/>
  <c r="BC6" i="46"/>
  <c r="AD6" i="46" s="1"/>
  <c r="AD167" i="46" s="1"/>
  <c r="BC167" i="46" l="1"/>
  <c r="E40" i="45"/>
  <c r="I40" i="45"/>
  <c r="M40" i="45"/>
  <c r="I46" i="16" l="1"/>
  <c r="I46" i="18"/>
  <c r="I46" i="20"/>
  <c r="I46" i="21"/>
  <c r="I46" i="24"/>
  <c r="I46" i="26"/>
  <c r="I46" i="27"/>
  <c r="I46" i="30"/>
  <c r="I46" i="32"/>
  <c r="L8" i="45"/>
  <c r="L9" i="45" s="1"/>
  <c r="L10" i="45" s="1"/>
  <c r="L11" i="45" s="1"/>
  <c r="L12" i="45" s="1"/>
  <c r="L13" i="45" s="1"/>
  <c r="H8" i="45"/>
  <c r="H9" i="45" s="1"/>
  <c r="H10" i="45" s="1"/>
  <c r="H11" i="45" s="1"/>
  <c r="H12" i="45" s="1"/>
  <c r="H13" i="45" s="1"/>
  <c r="P8" i="45"/>
  <c r="I46" i="33" s="1"/>
  <c r="D8" i="45"/>
  <c r="D9" i="45" s="1"/>
  <c r="D10" i="45" s="1"/>
  <c r="D11" i="45" s="1"/>
  <c r="D12" i="45" s="1"/>
  <c r="D13" i="45" s="1"/>
  <c r="A7" i="45" l="1"/>
  <c r="I46" i="28"/>
  <c r="I46" i="22"/>
  <c r="I46" i="17"/>
  <c r="I46" i="14"/>
  <c r="I46" i="13"/>
  <c r="I46" i="12"/>
  <c r="I46" i="11"/>
  <c r="I46" i="10"/>
  <c r="I46" i="9"/>
  <c r="I46" i="8"/>
  <c r="P34" i="45"/>
  <c r="I46" i="7" s="1"/>
  <c r="I46" i="6"/>
  <c r="I46" i="37"/>
  <c r="P37" i="45"/>
  <c r="P38" i="45"/>
  <c r="P40" i="45"/>
  <c r="I46" i="43" l="1"/>
  <c r="I46" i="4"/>
  <c r="I46" i="15"/>
  <c r="I46" i="19"/>
  <c r="I46" i="23"/>
  <c r="I46" i="25"/>
  <c r="I46" i="29"/>
  <c r="I46" i="31"/>
  <c r="S167" i="46" l="1"/>
  <c r="S169" i="46" s="1"/>
  <c r="R167" i="46"/>
  <c r="Q167" i="46"/>
  <c r="Q168" i="46" s="1"/>
  <c r="AC166" i="46"/>
  <c r="AA166" i="46"/>
  <c r="N6" i="46"/>
  <c r="H6" i="46" s="1"/>
  <c r="BD169" i="46" l="1"/>
  <c r="BE169" i="46"/>
  <c r="BG169" i="46"/>
  <c r="BF169" i="46"/>
  <c r="BH169" i="46"/>
  <c r="J6" i="46"/>
  <c r="R168" i="46"/>
  <c r="S168" i="46"/>
  <c r="H14" i="45" l="1"/>
  <c r="H15" i="45" s="1"/>
  <c r="H16" i="45" s="1"/>
  <c r="L14" i="45"/>
  <c r="L15" i="45" s="1"/>
  <c r="L16" i="45" s="1"/>
  <c r="D14" i="45"/>
  <c r="D15" i="45" s="1"/>
  <c r="D16" i="45" s="1"/>
  <c r="I9" i="56"/>
  <c r="R169" i="46"/>
  <c r="D17" i="45" l="1"/>
  <c r="L17" i="45"/>
  <c r="H17" i="45"/>
  <c r="H18" i="45" l="1"/>
  <c r="H19" i="45" s="1"/>
  <c r="L18" i="45"/>
  <c r="L19" i="45" s="1"/>
  <c r="D18" i="45"/>
  <c r="D19" i="45" s="1"/>
  <c r="L20" i="45" l="1"/>
  <c r="D20" i="45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H20" i="45"/>
  <c r="H21" i="45" l="1"/>
  <c r="L21" i="45"/>
  <c r="D34" i="45"/>
  <c r="G4" i="47"/>
  <c r="H4" i="47" s="1"/>
  <c r="O6" i="57" s="1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R30" i="48" s="1"/>
  <c r="AO31" i="48"/>
  <c r="AR31" i="48" s="1"/>
  <c r="AO32" i="48"/>
  <c r="AO33" i="48"/>
  <c r="AO34" i="48"/>
  <c r="AO35" i="48"/>
  <c r="AO36" i="48"/>
  <c r="AO37" i="48"/>
  <c r="AO38" i="48"/>
  <c r="AO39" i="48"/>
  <c r="AO12" i="48"/>
  <c r="AO10" i="48"/>
  <c r="AO11" i="48"/>
  <c r="AO9" i="48"/>
  <c r="C6" i="57" l="1"/>
  <c r="K6" i="57"/>
  <c r="U6" i="57"/>
  <c r="P6" i="57"/>
  <c r="P167" i="57" s="1"/>
  <c r="O167" i="57" s="1"/>
  <c r="V6" i="57"/>
  <c r="V167" i="57" s="1"/>
  <c r="T10" i="56" s="1"/>
  <c r="C167" i="57"/>
  <c r="T6" i="57"/>
  <c r="O6" i="46"/>
  <c r="K6" i="46" s="1"/>
  <c r="L9" i="48" s="1"/>
  <c r="D35" i="45"/>
  <c r="L22" i="45"/>
  <c r="H22" i="45"/>
  <c r="AS39" i="48"/>
  <c r="AR39" i="48"/>
  <c r="AR38" i="48"/>
  <c r="AS38" i="48"/>
  <c r="AC6" i="57" l="1"/>
  <c r="AC167" i="57" s="1"/>
  <c r="T5" i="56" s="1"/>
  <c r="K167" i="57"/>
  <c r="U167" i="57"/>
  <c r="N12" i="55"/>
  <c r="D36" i="45"/>
  <c r="D37" i="45" s="1"/>
  <c r="D38" i="45" s="1"/>
  <c r="H23" i="45"/>
  <c r="L23" i="45"/>
  <c r="AT38" i="48"/>
  <c r="AT39" i="48"/>
  <c r="P6" i="46"/>
  <c r="P167" i="46" s="1"/>
  <c r="O167" i="46" s="1"/>
  <c r="V6" i="46"/>
  <c r="V167" i="46" s="1"/>
  <c r="I10" i="56" s="1"/>
  <c r="E12" i="55" s="1"/>
  <c r="T6" i="46"/>
  <c r="U6" i="46"/>
  <c r="C6" i="46"/>
  <c r="N9" i="48" s="1"/>
  <c r="K167" i="46"/>
  <c r="AD175" i="46" s="1"/>
  <c r="X198" i="46" s="1"/>
  <c r="C46" i="30"/>
  <c r="AC175" i="57" l="1"/>
  <c r="X198" i="57" s="1"/>
  <c r="T8" i="56"/>
  <c r="Y168" i="57"/>
  <c r="X175" i="57" s="1"/>
  <c r="AC168" i="57"/>
  <c r="X177" i="57" s="1"/>
  <c r="V168" i="57"/>
  <c r="U167" i="46"/>
  <c r="BA9" i="48"/>
  <c r="BA41" i="48" s="1"/>
  <c r="E9" i="55"/>
  <c r="E8" i="55"/>
  <c r="E21" i="55"/>
  <c r="E19" i="55"/>
  <c r="E28" i="55"/>
  <c r="E7" i="55"/>
  <c r="E5" i="55"/>
  <c r="E36" i="55"/>
  <c r="E35" i="55"/>
  <c r="E33" i="55"/>
  <c r="E24" i="55"/>
  <c r="E32" i="55"/>
  <c r="E40" i="55"/>
  <c r="E17" i="55"/>
  <c r="E34" i="55"/>
  <c r="E37" i="55"/>
  <c r="E27" i="55"/>
  <c r="E30" i="55"/>
  <c r="E11" i="55"/>
  <c r="E6" i="55"/>
  <c r="E39" i="55"/>
  <c r="E25" i="55"/>
  <c r="E10" i="55"/>
  <c r="E18" i="55"/>
  <c r="E22" i="55"/>
  <c r="E38" i="55"/>
  <c r="E31" i="55"/>
  <c r="E26" i="55"/>
  <c r="E4" i="55"/>
  <c r="E20" i="55"/>
  <c r="E29" i="55"/>
  <c r="E23" i="55"/>
  <c r="N29" i="55"/>
  <c r="N21" i="55"/>
  <c r="N24" i="55"/>
  <c r="N6" i="55"/>
  <c r="N17" i="55"/>
  <c r="N27" i="55"/>
  <c r="N10" i="55"/>
  <c r="N40" i="55"/>
  <c r="N26" i="55"/>
  <c r="N28" i="55"/>
  <c r="N23" i="55"/>
  <c r="N32" i="55"/>
  <c r="N7" i="55"/>
  <c r="N18" i="55"/>
  <c r="N11" i="55"/>
  <c r="N19" i="55"/>
  <c r="N8" i="55"/>
  <c r="N35" i="55"/>
  <c r="N38" i="55"/>
  <c r="N5" i="55"/>
  <c r="N20" i="55"/>
  <c r="N31" i="55"/>
  <c r="N34" i="55"/>
  <c r="N39" i="55"/>
  <c r="N4" i="55"/>
  <c r="N37" i="55"/>
  <c r="N30" i="55"/>
  <c r="N33" i="55"/>
  <c r="N25" i="55"/>
  <c r="N36" i="55"/>
  <c r="N9" i="55"/>
  <c r="N22" i="55"/>
  <c r="L24" i="45"/>
  <c r="H24" i="45"/>
  <c r="I8" i="56"/>
  <c r="AH4" i="54"/>
  <c r="AH3" i="54"/>
  <c r="AC6" i="46"/>
  <c r="AC167" i="46" s="1"/>
  <c r="AC168" i="46" s="1"/>
  <c r="X177" i="46" s="1"/>
  <c r="C167" i="46"/>
  <c r="V168" i="46"/>
  <c r="AR168" i="57" l="1"/>
  <c r="BA168" i="57"/>
  <c r="X197" i="57" s="1"/>
  <c r="AL168" i="57"/>
  <c r="X186" i="57" s="1"/>
  <c r="AP168" i="57"/>
  <c r="X189" i="57" s="1"/>
  <c r="AI168" i="57"/>
  <c r="X183" i="57" s="1"/>
  <c r="AU168" i="57"/>
  <c r="X193" i="57" s="1"/>
  <c r="AF168" i="57"/>
  <c r="X180" i="57" s="1"/>
  <c r="BC168" i="57"/>
  <c r="AJ168" i="57"/>
  <c r="X184" i="57" s="1"/>
  <c r="AW168" i="57"/>
  <c r="X194" i="57" s="1"/>
  <c r="AS168" i="57"/>
  <c r="X191" i="57" s="1"/>
  <c r="AY168" i="57"/>
  <c r="AK168" i="57"/>
  <c r="X185" i="57" s="1"/>
  <c r="AH168" i="57"/>
  <c r="X182" i="57" s="1"/>
  <c r="BB168" i="57"/>
  <c r="X199" i="57" s="1"/>
  <c r="AO168" i="57"/>
  <c r="X188" i="57" s="1"/>
  <c r="AN168" i="57"/>
  <c r="X187" i="57" s="1"/>
  <c r="AM168" i="57"/>
  <c r="AQ168" i="57"/>
  <c r="X190" i="57" s="1"/>
  <c r="AZ168" i="57"/>
  <c r="AX168" i="57"/>
  <c r="AT168" i="57"/>
  <c r="X192" i="57" s="1"/>
  <c r="AG168" i="57"/>
  <c r="X181" i="57" s="1"/>
  <c r="AV168" i="57"/>
  <c r="X195" i="57" s="1"/>
  <c r="BB9" i="48"/>
  <c r="BB10" i="48" s="1"/>
  <c r="BB11" i="48" s="1"/>
  <c r="BB12" i="48" s="1"/>
  <c r="BB13" i="48" s="1"/>
  <c r="BB14" i="48" s="1"/>
  <c r="BB15" i="48" s="1"/>
  <c r="BB16" i="48" s="1"/>
  <c r="BB17" i="48" s="1"/>
  <c r="BB18" i="48" s="1"/>
  <c r="BB19" i="48" s="1"/>
  <c r="BB20" i="48" s="1"/>
  <c r="BB21" i="48" s="1"/>
  <c r="BB22" i="48" s="1"/>
  <c r="BB23" i="48" s="1"/>
  <c r="BB24" i="48" s="1"/>
  <c r="BB25" i="48" s="1"/>
  <c r="BB26" i="48" s="1"/>
  <c r="BB27" i="48" s="1"/>
  <c r="BB28" i="48" s="1"/>
  <c r="BB29" i="48" s="1"/>
  <c r="BB30" i="48" s="1"/>
  <c r="BB31" i="48" s="1"/>
  <c r="BB32" i="48" s="1"/>
  <c r="BB33" i="48" s="1"/>
  <c r="BB34" i="48" s="1"/>
  <c r="BB35" i="48" s="1"/>
  <c r="BB36" i="48" s="1"/>
  <c r="BB37" i="48" s="1"/>
  <c r="BB38" i="48" s="1"/>
  <c r="BB39" i="48" s="1"/>
  <c r="AZ168" i="46"/>
  <c r="BA168" i="46"/>
  <c r="X197" i="46" s="1"/>
  <c r="H25" i="45"/>
  <c r="H26" i="45" s="1"/>
  <c r="L25" i="45"/>
  <c r="L26" i="45" s="1"/>
  <c r="N16" i="55"/>
  <c r="T11" i="56"/>
  <c r="O12" i="55" s="1"/>
  <c r="P12" i="55" s="1"/>
  <c r="AJ168" i="46"/>
  <c r="X184" i="46" s="1"/>
  <c r="AX168" i="46"/>
  <c r="AI168" i="46"/>
  <c r="X183" i="46" s="1"/>
  <c r="AL168" i="46"/>
  <c r="X186" i="46" s="1"/>
  <c r="AR168" i="46"/>
  <c r="AK168" i="46"/>
  <c r="X185" i="46" s="1"/>
  <c r="AO168" i="46"/>
  <c r="X188" i="46" s="1"/>
  <c r="AG168" i="46"/>
  <c r="X181" i="46" s="1"/>
  <c r="AM168" i="46"/>
  <c r="AQ168" i="46"/>
  <c r="X190" i="46" s="1"/>
  <c r="AT168" i="46"/>
  <c r="X192" i="46" s="1"/>
  <c r="AF168" i="46"/>
  <c r="X180" i="46" s="1"/>
  <c r="AP168" i="46"/>
  <c r="X189" i="46" s="1"/>
  <c r="BB168" i="46"/>
  <c r="X199" i="46" s="1"/>
  <c r="AW168" i="46"/>
  <c r="X194" i="46" s="1"/>
  <c r="AY168" i="46"/>
  <c r="AN168" i="46"/>
  <c r="X187" i="46" s="1"/>
  <c r="AV168" i="46"/>
  <c r="X195" i="46" s="1"/>
  <c r="AH168" i="46"/>
  <c r="X182" i="46" s="1"/>
  <c r="AU168" i="46"/>
  <c r="X193" i="46" s="1"/>
  <c r="AS168" i="46"/>
  <c r="X191" i="46" s="1"/>
  <c r="BC168" i="46"/>
  <c r="I5" i="56"/>
  <c r="E16" i="55" s="1"/>
  <c r="F16" i="55" s="1"/>
  <c r="G16" i="55" s="1"/>
  <c r="X196" i="57" l="1"/>
  <c r="O11" i="55"/>
  <c r="P11" i="55" s="1"/>
  <c r="O31" i="55"/>
  <c r="O25" i="55"/>
  <c r="O8" i="55"/>
  <c r="P8" i="55" s="1"/>
  <c r="O32" i="55"/>
  <c r="O27" i="55"/>
  <c r="O29" i="55"/>
  <c r="O21" i="55"/>
  <c r="O39" i="55"/>
  <c r="O20" i="55"/>
  <c r="O18" i="55"/>
  <c r="O23" i="55"/>
  <c r="O40" i="55"/>
  <c r="O7" i="55"/>
  <c r="P7" i="55" s="1"/>
  <c r="O34" i="55"/>
  <c r="O22" i="55"/>
  <c r="O19" i="55"/>
  <c r="P19" i="55" s="1"/>
  <c r="O38" i="55"/>
  <c r="O24" i="55"/>
  <c r="O5" i="55"/>
  <c r="P5" i="55" s="1"/>
  <c r="O36" i="55"/>
  <c r="O33" i="55"/>
  <c r="O9" i="55"/>
  <c r="P9" i="55" s="1"/>
  <c r="O26" i="55"/>
  <c r="O6" i="55"/>
  <c r="P6" i="55" s="1"/>
  <c r="O10" i="55"/>
  <c r="P10" i="55" s="1"/>
  <c r="O37" i="55"/>
  <c r="O4" i="55"/>
  <c r="O28" i="55"/>
  <c r="O35" i="55"/>
  <c r="O30" i="55"/>
  <c r="O17" i="55"/>
  <c r="L27" i="45"/>
  <c r="H27" i="45"/>
  <c r="U5" i="56"/>
  <c r="O16" i="55" s="1"/>
  <c r="P16" i="55" s="1"/>
  <c r="X196" i="46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G37" i="54"/>
  <c r="AG36" i="54"/>
  <c r="AG35" i="54"/>
  <c r="AG34" i="54"/>
  <c r="AG33" i="54"/>
  <c r="AG32" i="54"/>
  <c r="AG31" i="54"/>
  <c r="AG30" i="54"/>
  <c r="AG29" i="54"/>
  <c r="AG28" i="54"/>
  <c r="AG27" i="54"/>
  <c r="AG26" i="54"/>
  <c r="AG25" i="54"/>
  <c r="AG24" i="54"/>
  <c r="AG23" i="54"/>
  <c r="AG22" i="54"/>
  <c r="AG21" i="54"/>
  <c r="AG20" i="54"/>
  <c r="AG19" i="54"/>
  <c r="AG18" i="54"/>
  <c r="AG17" i="54"/>
  <c r="AG16" i="54"/>
  <c r="AG15" i="54"/>
  <c r="AG14" i="54"/>
  <c r="AG13" i="54"/>
  <c r="AG12" i="54"/>
  <c r="AG11" i="54"/>
  <c r="AG10" i="54"/>
  <c r="AG9" i="54"/>
  <c r="AG8" i="54"/>
  <c r="AG7" i="54"/>
  <c r="AG6" i="54"/>
  <c r="P37" i="55" l="1"/>
  <c r="P17" i="55"/>
  <c r="P34" i="55"/>
  <c r="P32" i="55"/>
  <c r="P4" i="55"/>
  <c r="P25" i="55"/>
  <c r="P20" i="55"/>
  <c r="P39" i="55"/>
  <c r="Q39" i="55" s="1"/>
  <c r="H28" i="45"/>
  <c r="L28" i="45"/>
  <c r="Y167" i="46"/>
  <c r="AI3" i="54"/>
  <c r="AG39" i="54"/>
  <c r="Q25" i="55" l="1"/>
  <c r="Q4" i="55"/>
  <c r="L29" i="45"/>
  <c r="L30" i="45" s="1"/>
  <c r="H29" i="45"/>
  <c r="H30" i="45" s="1"/>
  <c r="Y169" i="46"/>
  <c r="Y168" i="46"/>
  <c r="X175" i="46" s="1"/>
  <c r="AH7" i="54"/>
  <c r="AH38" i="54"/>
  <c r="AH37" i="54"/>
  <c r="AH20" i="54"/>
  <c r="AH36" i="54"/>
  <c r="AH12" i="54"/>
  <c r="AH14" i="54"/>
  <c r="AH9" i="54"/>
  <c r="AH13" i="54"/>
  <c r="AH17" i="54"/>
  <c r="AH28" i="54"/>
  <c r="AH27" i="54"/>
  <c r="AH34" i="54"/>
  <c r="AH11" i="54"/>
  <c r="AH18" i="54"/>
  <c r="AH6" i="54"/>
  <c r="AH10" i="54"/>
  <c r="AH30" i="54"/>
  <c r="AH29" i="54"/>
  <c r="AH16" i="54"/>
  <c r="AH15" i="54"/>
  <c r="AH35" i="54"/>
  <c r="AH32" i="54"/>
  <c r="AH24" i="54"/>
  <c r="AH8" i="54"/>
  <c r="AH26" i="54"/>
  <c r="AH21" i="54"/>
  <c r="AH31" i="54"/>
  <c r="AH25" i="54"/>
  <c r="AH23" i="54"/>
  <c r="AH22" i="54"/>
  <c r="AH33" i="54"/>
  <c r="AH19" i="54"/>
  <c r="H31" i="45" l="1"/>
  <c r="L31" i="45"/>
  <c r="AH39" i="54"/>
  <c r="AP41" i="48"/>
  <c r="AQ39" i="48"/>
  <c r="AQ38" i="48"/>
  <c r="AQ37" i="48"/>
  <c r="AR37" i="48"/>
  <c r="AQ36" i="48"/>
  <c r="AR36" i="48"/>
  <c r="AQ35" i="48"/>
  <c r="AS35" i="48"/>
  <c r="AQ34" i="48"/>
  <c r="AS34" i="48"/>
  <c r="AQ33" i="48"/>
  <c r="AR33" i="48"/>
  <c r="AQ32" i="48"/>
  <c r="AS32" i="48"/>
  <c r="AQ31" i="48"/>
  <c r="AS31" i="48"/>
  <c r="AS25" i="48"/>
  <c r="AR24" i="48"/>
  <c r="AS23" i="48"/>
  <c r="AS22" i="48"/>
  <c r="AS21" i="48"/>
  <c r="AS20" i="48"/>
  <c r="AS19" i="48"/>
  <c r="AS18" i="48"/>
  <c r="AS17" i="48"/>
  <c r="AQ16" i="48"/>
  <c r="AS15" i="48"/>
  <c r="AR13" i="48"/>
  <c r="AQ13" i="48"/>
  <c r="AS13" i="48"/>
  <c r="AS12" i="48"/>
  <c r="AR12" i="48"/>
  <c r="AQ12" i="48"/>
  <c r="AS11" i="48"/>
  <c r="AR11" i="48"/>
  <c r="AQ11" i="48"/>
  <c r="AS10" i="48"/>
  <c r="AR10" i="48"/>
  <c r="AQ10" i="48"/>
  <c r="AS9" i="48"/>
  <c r="AR9" i="48"/>
  <c r="AQ9" i="48"/>
  <c r="L32" i="45" l="1"/>
  <c r="L33" i="45" s="1"/>
  <c r="L34" i="45" s="1"/>
  <c r="H32" i="45"/>
  <c r="H33" i="45" s="1"/>
  <c r="H34" i="45" s="1"/>
  <c r="AV38" i="48"/>
  <c r="AY38" i="48" s="1"/>
  <c r="AU38" i="48"/>
  <c r="AX38" i="48" s="1"/>
  <c r="AW38" i="48"/>
  <c r="AZ38" i="48" s="1"/>
  <c r="AV39" i="48"/>
  <c r="AY39" i="48" s="1"/>
  <c r="AU39" i="48"/>
  <c r="AX39" i="48" s="1"/>
  <c r="AW39" i="48"/>
  <c r="AZ39" i="48" s="1"/>
  <c r="AV32" i="48"/>
  <c r="AY32" i="48" s="1"/>
  <c r="AV13" i="48"/>
  <c r="AY13" i="48" s="1"/>
  <c r="AV12" i="48"/>
  <c r="AY12" i="48" s="1"/>
  <c r="AV9" i="48"/>
  <c r="AY9" i="48" s="1"/>
  <c r="AV34" i="48"/>
  <c r="AY34" i="48" s="1"/>
  <c r="AT11" i="48"/>
  <c r="AW11" i="48" s="1"/>
  <c r="AV31" i="48"/>
  <c r="AY31" i="48" s="1"/>
  <c r="AT13" i="48"/>
  <c r="AW13" i="48" s="1"/>
  <c r="AV35" i="48"/>
  <c r="AY35" i="48" s="1"/>
  <c r="AV10" i="48"/>
  <c r="AY10" i="48" s="1"/>
  <c r="AU10" i="48"/>
  <c r="AX10" i="48" s="1"/>
  <c r="AV11" i="48"/>
  <c r="AY11" i="48" s="1"/>
  <c r="AS14" i="48"/>
  <c r="AR14" i="48"/>
  <c r="AS28" i="48"/>
  <c r="AR28" i="48"/>
  <c r="AQ28" i="48"/>
  <c r="AU36" i="48"/>
  <c r="AX36" i="48" s="1"/>
  <c r="AT10" i="48"/>
  <c r="AW10" i="48" s="1"/>
  <c r="AU12" i="48"/>
  <c r="AX12" i="48" s="1"/>
  <c r="AT12" i="48"/>
  <c r="AW12" i="48" s="1"/>
  <c r="AQ14" i="48"/>
  <c r="AU37" i="48"/>
  <c r="AX37" i="48" s="1"/>
  <c r="AU9" i="48"/>
  <c r="AX9" i="48" s="1"/>
  <c r="AR18" i="48"/>
  <c r="AQ18" i="48"/>
  <c r="AV18" i="48" s="1"/>
  <c r="AY18" i="48" s="1"/>
  <c r="AR22" i="48"/>
  <c r="AQ22" i="48"/>
  <c r="AV22" i="48" s="1"/>
  <c r="AY22" i="48" s="1"/>
  <c r="AQ25" i="48"/>
  <c r="AV25" i="48" s="1"/>
  <c r="AY25" i="48" s="1"/>
  <c r="AR25" i="48"/>
  <c r="AU13" i="48"/>
  <c r="AX13" i="48" s="1"/>
  <c r="AR17" i="48"/>
  <c r="AQ17" i="48"/>
  <c r="AV17" i="48" s="1"/>
  <c r="AY17" i="48" s="1"/>
  <c r="AQ21" i="48"/>
  <c r="AV21" i="48" s="1"/>
  <c r="AY21" i="48" s="1"/>
  <c r="AR21" i="48"/>
  <c r="AS24" i="48"/>
  <c r="AT24" i="48" s="1"/>
  <c r="AQ24" i="48"/>
  <c r="AU24" i="48" s="1"/>
  <c r="AX24" i="48" s="1"/>
  <c r="AQ15" i="48"/>
  <c r="AV15" i="48" s="1"/>
  <c r="AY15" i="48" s="1"/>
  <c r="AR15" i="48"/>
  <c r="AT9" i="48"/>
  <c r="AW9" i="48" s="1"/>
  <c r="AZ9" i="48" s="1"/>
  <c r="AU11" i="48"/>
  <c r="AX11" i="48" s="1"/>
  <c r="AR16" i="48"/>
  <c r="AS16" i="48"/>
  <c r="AV16" i="48" s="1"/>
  <c r="AY16" i="48" s="1"/>
  <c r="AR19" i="48"/>
  <c r="AQ19" i="48"/>
  <c r="AV19" i="48" s="1"/>
  <c r="AY19" i="48" s="1"/>
  <c r="AR23" i="48"/>
  <c r="AQ23" i="48"/>
  <c r="AV23" i="48" s="1"/>
  <c r="AY23" i="48" s="1"/>
  <c r="AS30" i="48"/>
  <c r="AQ30" i="48"/>
  <c r="AU33" i="48"/>
  <c r="AX33" i="48" s="1"/>
  <c r="AS26" i="48"/>
  <c r="AR26" i="48"/>
  <c r="AQ26" i="48"/>
  <c r="AS27" i="48"/>
  <c r="AR27" i="48"/>
  <c r="AQ27" i="48"/>
  <c r="AS29" i="48"/>
  <c r="AR29" i="48"/>
  <c r="AQ29" i="48"/>
  <c r="AR20" i="48"/>
  <c r="AQ20" i="48"/>
  <c r="AV20" i="48" s="1"/>
  <c r="AY20" i="48" s="1"/>
  <c r="AR32" i="48"/>
  <c r="AR34" i="48"/>
  <c r="AR35" i="48"/>
  <c r="AS33" i="48"/>
  <c r="AV33" i="48" s="1"/>
  <c r="AY33" i="48" s="1"/>
  <c r="AS36" i="48"/>
  <c r="AV36" i="48" s="1"/>
  <c r="AY36" i="48" s="1"/>
  <c r="AS37" i="48"/>
  <c r="AV37" i="48" s="1"/>
  <c r="AY37" i="48" s="1"/>
  <c r="T37" i="48" l="1"/>
  <c r="T39" i="48"/>
  <c r="T38" i="48"/>
  <c r="T33" i="48"/>
  <c r="T36" i="48"/>
  <c r="T24" i="48"/>
  <c r="T13" i="48"/>
  <c r="T10" i="48"/>
  <c r="T12" i="48"/>
  <c r="T11" i="48"/>
  <c r="T9" i="48"/>
  <c r="H35" i="45"/>
  <c r="L35" i="45"/>
  <c r="AZ12" i="48"/>
  <c r="AW24" i="48"/>
  <c r="AZ13" i="48"/>
  <c r="AZ11" i="48"/>
  <c r="AZ10" i="48"/>
  <c r="AV30" i="48"/>
  <c r="AY30" i="48" s="1"/>
  <c r="AV14" i="48"/>
  <c r="AY14" i="48" s="1"/>
  <c r="AV24" i="48"/>
  <c r="AY24" i="48" s="1"/>
  <c r="AV27" i="48"/>
  <c r="AY27" i="48" s="1"/>
  <c r="AT30" i="48"/>
  <c r="AW30" i="48" s="1"/>
  <c r="AU30" i="48"/>
  <c r="AT18" i="48"/>
  <c r="AW18" i="48" s="1"/>
  <c r="AU18" i="48"/>
  <c r="AT36" i="48"/>
  <c r="AW36" i="48" s="1"/>
  <c r="AU16" i="48"/>
  <c r="AX16" i="48" s="1"/>
  <c r="AT16" i="48"/>
  <c r="AW16" i="48" s="1"/>
  <c r="AT26" i="48"/>
  <c r="AW26" i="48" s="1"/>
  <c r="AU26" i="48"/>
  <c r="AX26" i="48" s="1"/>
  <c r="AV26" i="48"/>
  <c r="AY26" i="48" s="1"/>
  <c r="AT15" i="48"/>
  <c r="AW15" i="48" s="1"/>
  <c r="AU15" i="48"/>
  <c r="AX15" i="48" s="1"/>
  <c r="AT37" i="48"/>
  <c r="AW37" i="48" s="1"/>
  <c r="AU32" i="48"/>
  <c r="AX32" i="48" s="1"/>
  <c r="AT32" i="48"/>
  <c r="AW32" i="48" s="1"/>
  <c r="AT21" i="48"/>
  <c r="AW21" i="48" s="1"/>
  <c r="AU21" i="48"/>
  <c r="AX21" i="48" s="1"/>
  <c r="AU31" i="48"/>
  <c r="AX31" i="48" s="1"/>
  <c r="AT31" i="48"/>
  <c r="AW31" i="48" s="1"/>
  <c r="AT20" i="48"/>
  <c r="AW20" i="48" s="1"/>
  <c r="AU20" i="48"/>
  <c r="AX20" i="48" s="1"/>
  <c r="AT19" i="48"/>
  <c r="AW19" i="48" s="1"/>
  <c r="AU19" i="48"/>
  <c r="AX19" i="48" s="1"/>
  <c r="AT25" i="48"/>
  <c r="AW25" i="48" s="1"/>
  <c r="AU25" i="48"/>
  <c r="AX25" i="48" s="1"/>
  <c r="AU28" i="48"/>
  <c r="AX28" i="48" s="1"/>
  <c r="AT28" i="48"/>
  <c r="AW28" i="48" s="1"/>
  <c r="AU35" i="48"/>
  <c r="AX35" i="48" s="1"/>
  <c r="AT35" i="48"/>
  <c r="AW35" i="48" s="1"/>
  <c r="AV29" i="48"/>
  <c r="AY29" i="48" s="1"/>
  <c r="AV28" i="48"/>
  <c r="AY28" i="48" s="1"/>
  <c r="AT27" i="48"/>
  <c r="AW27" i="48" s="1"/>
  <c r="AU27" i="48"/>
  <c r="AX27" i="48" s="1"/>
  <c r="AT22" i="48"/>
  <c r="AW22" i="48" s="1"/>
  <c r="AU22" i="48"/>
  <c r="AX22" i="48" s="1"/>
  <c r="AT23" i="48"/>
  <c r="AW23" i="48" s="1"/>
  <c r="AU23" i="48"/>
  <c r="AX23" i="48" s="1"/>
  <c r="AT17" i="48"/>
  <c r="AW17" i="48" s="1"/>
  <c r="AU17" i="48"/>
  <c r="AX17" i="48" s="1"/>
  <c r="AT29" i="48"/>
  <c r="AW29" i="48" s="1"/>
  <c r="AU29" i="48"/>
  <c r="AX29" i="48" s="1"/>
  <c r="AT33" i="48"/>
  <c r="AW33" i="48" s="1"/>
  <c r="AU34" i="48"/>
  <c r="AX34" i="48" s="1"/>
  <c r="AT34" i="48"/>
  <c r="AW34" i="48" s="1"/>
  <c r="AU14" i="48"/>
  <c r="AX14" i="48" s="1"/>
  <c r="AT14" i="48"/>
  <c r="AW14" i="48" s="1"/>
  <c r="T31" i="48" l="1"/>
  <c r="T27" i="48"/>
  <c r="T28" i="48"/>
  <c r="T32" i="48"/>
  <c r="T29" i="48"/>
  <c r="T35" i="48"/>
  <c r="T34" i="48"/>
  <c r="T20" i="48"/>
  <c r="T22" i="48"/>
  <c r="T21" i="48"/>
  <c r="T26" i="48"/>
  <c r="T23" i="48"/>
  <c r="T25" i="48"/>
  <c r="T17" i="48"/>
  <c r="T19" i="48"/>
  <c r="T16" i="48"/>
  <c r="T14" i="48"/>
  <c r="T15" i="48"/>
  <c r="L36" i="45"/>
  <c r="L37" i="45" s="1"/>
  <c r="L38" i="45" s="1"/>
  <c r="H36" i="45"/>
  <c r="H37" i="45" s="1"/>
  <c r="H38" i="45" s="1"/>
  <c r="AX18" i="48"/>
  <c r="AX30" i="48"/>
  <c r="AZ29" i="48"/>
  <c r="AZ23" i="48"/>
  <c r="AZ27" i="48"/>
  <c r="AZ25" i="48"/>
  <c r="AZ20" i="48"/>
  <c r="AZ21" i="48"/>
  <c r="AZ26" i="48"/>
  <c r="AZ30" i="48"/>
  <c r="AZ28" i="48"/>
  <c r="AZ31" i="48"/>
  <c r="AZ32" i="48"/>
  <c r="AZ15" i="48"/>
  <c r="AZ16" i="48"/>
  <c r="AZ18" i="48"/>
  <c r="AZ24" i="48"/>
  <c r="AZ34" i="48"/>
  <c r="AZ33" i="48"/>
  <c r="AZ17" i="48"/>
  <c r="AZ22" i="48"/>
  <c r="AZ19" i="48"/>
  <c r="AZ14" i="48"/>
  <c r="AZ35" i="48"/>
  <c r="AZ37" i="48"/>
  <c r="AZ36" i="48"/>
  <c r="T30" i="48" l="1"/>
  <c r="T18" i="48"/>
  <c r="AZ41" i="48"/>
  <c r="AX41" i="48"/>
  <c r="AY41" i="48"/>
  <c r="AY43" i="48" l="1"/>
  <c r="I43" i="33" l="1"/>
  <c r="I43" i="31"/>
  <c r="C36" i="2"/>
  <c r="BG42" i="2" l="1"/>
  <c r="AY42" i="2"/>
  <c r="AQ42" i="2"/>
  <c r="W42" i="2"/>
  <c r="X42" i="2" s="1"/>
  <c r="K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AE42" i="2"/>
  <c r="BC17" i="2"/>
  <c r="BC16" i="2"/>
  <c r="BC15" i="2"/>
  <c r="BC14" i="2"/>
  <c r="BC13" i="2"/>
  <c r="BC12" i="2"/>
  <c r="BC11" i="2"/>
  <c r="BI10" i="2"/>
  <c r="BI11" i="2" s="1"/>
  <c r="BA10" i="2"/>
  <c r="BA11" i="2" s="1"/>
  <c r="BA12" i="2" s="1"/>
  <c r="AU10" i="2"/>
  <c r="AU42" i="2" s="1"/>
  <c r="AS10" i="2"/>
  <c r="AS11" i="2" s="1"/>
  <c r="AI42" i="2"/>
  <c r="AG10" i="2"/>
  <c r="AG11" i="2" s="1"/>
  <c r="Y10" i="2"/>
  <c r="Q10" i="2"/>
  <c r="Q11" i="2" s="1"/>
  <c r="M10" i="2"/>
  <c r="M11" i="2" s="1"/>
  <c r="G42" i="2"/>
  <c r="BK38" i="2" l="1"/>
  <c r="AZ38" i="2" s="1"/>
  <c r="BK39" i="2"/>
  <c r="AR39" i="2" s="1"/>
  <c r="BK22" i="2"/>
  <c r="T22" i="2" s="1"/>
  <c r="BK36" i="2"/>
  <c r="BK12" i="2"/>
  <c r="BK15" i="2"/>
  <c r="AF15" i="2" s="1"/>
  <c r="BK17" i="2"/>
  <c r="M12" i="2"/>
  <c r="AS12" i="2"/>
  <c r="Q12" i="2"/>
  <c r="AG12" i="2"/>
  <c r="BI12" i="2"/>
  <c r="BA13" i="2"/>
  <c r="I10" i="2"/>
  <c r="I11" i="2" s="1"/>
  <c r="AW10" i="2"/>
  <c r="AA42" i="2"/>
  <c r="AC10" i="2"/>
  <c r="BC10" i="2"/>
  <c r="BK10" i="2" s="1"/>
  <c r="BK20" i="2"/>
  <c r="AN20" i="2" s="1"/>
  <c r="AK10" i="2"/>
  <c r="BK14" i="2"/>
  <c r="AF14" i="2" s="1"/>
  <c r="BK24" i="2"/>
  <c r="AN24" i="2" s="1"/>
  <c r="BK27" i="2"/>
  <c r="BK28" i="2"/>
  <c r="BK23" i="2"/>
  <c r="BK26" i="2"/>
  <c r="BK31" i="2"/>
  <c r="BK32" i="2"/>
  <c r="AF32" i="2" s="1"/>
  <c r="BK33" i="2"/>
  <c r="BK34" i="2"/>
  <c r="BK29" i="2"/>
  <c r="BK35" i="2"/>
  <c r="BK37" i="2"/>
  <c r="T38" i="2"/>
  <c r="BK40" i="2"/>
  <c r="P17" i="2" l="1"/>
  <c r="AF17" i="2"/>
  <c r="AJ12" i="2"/>
  <c r="AF12" i="2"/>
  <c r="AZ36" i="2"/>
  <c r="AB36" i="2"/>
  <c r="T36" i="2"/>
  <c r="BD39" i="2"/>
  <c r="L22" i="2"/>
  <c r="AR22" i="2"/>
  <c r="AF22" i="2"/>
  <c r="BD22" i="2"/>
  <c r="AV38" i="2"/>
  <c r="BH38" i="2"/>
  <c r="AF39" i="2"/>
  <c r="AV39" i="2"/>
  <c r="BD38" i="2"/>
  <c r="BH39" i="2"/>
  <c r="AR38" i="2"/>
  <c r="AN39" i="2"/>
  <c r="AJ39" i="2"/>
  <c r="H38" i="2"/>
  <c r="AN38" i="2"/>
  <c r="AJ38" i="2"/>
  <c r="L38" i="2"/>
  <c r="T39" i="2"/>
  <c r="P38" i="2"/>
  <c r="AF38" i="2"/>
  <c r="AB38" i="2"/>
  <c r="AB22" i="2"/>
  <c r="AV22" i="2"/>
  <c r="H22" i="2"/>
  <c r="AV36" i="2"/>
  <c r="AJ36" i="2"/>
  <c r="AR36" i="2"/>
  <c r="BD36" i="2"/>
  <c r="BH36" i="2"/>
  <c r="AN36" i="2"/>
  <c r="AF36" i="2"/>
  <c r="L12" i="2"/>
  <c r="AN12" i="2"/>
  <c r="AR12" i="2"/>
  <c r="AV12" i="2"/>
  <c r="AZ12" i="2"/>
  <c r="BD12" i="2"/>
  <c r="H12" i="2"/>
  <c r="P12" i="2"/>
  <c r="AN17" i="2"/>
  <c r="BH17" i="2"/>
  <c r="T17" i="2"/>
  <c r="AJ17" i="2"/>
  <c r="BH12" i="2"/>
  <c r="AZ17" i="2"/>
  <c r="T12" i="2"/>
  <c r="AB12" i="2"/>
  <c r="AN33" i="2"/>
  <c r="T28" i="2"/>
  <c r="AN34" i="2"/>
  <c r="T32" i="2"/>
  <c r="T20" i="2"/>
  <c r="L36" i="2"/>
  <c r="T37" i="2"/>
  <c r="BD31" i="2"/>
  <c r="T24" i="2"/>
  <c r="AN22" i="2"/>
  <c r="T23" i="2"/>
  <c r="T26" i="2"/>
  <c r="H15" i="2"/>
  <c r="AB15" i="2"/>
  <c r="AJ15" i="2"/>
  <c r="AN29" i="2"/>
  <c r="BD28" i="2"/>
  <c r="T33" i="2"/>
  <c r="BD26" i="2"/>
  <c r="P39" i="2"/>
  <c r="H39" i="2"/>
  <c r="L39" i="2"/>
  <c r="AB39" i="2"/>
  <c r="AZ39" i="2"/>
  <c r="BD37" i="2"/>
  <c r="BD33" i="2"/>
  <c r="AV15" i="2"/>
  <c r="BD15" i="2"/>
  <c r="P15" i="2"/>
  <c r="AZ15" i="2"/>
  <c r="AN28" i="2"/>
  <c r="BH15" i="2"/>
  <c r="AR15" i="2"/>
  <c r="T15" i="2"/>
  <c r="L15" i="2"/>
  <c r="AN15" i="2"/>
  <c r="AN31" i="2"/>
  <c r="AN26" i="2"/>
  <c r="AF20" i="2"/>
  <c r="BH22" i="2"/>
  <c r="P22" i="2"/>
  <c r="AJ22" i="2"/>
  <c r="AZ22" i="2"/>
  <c r="L17" i="2"/>
  <c r="AV17" i="2"/>
  <c r="AB17" i="2"/>
  <c r="AR17" i="2"/>
  <c r="BD17" i="2"/>
  <c r="H17" i="2"/>
  <c r="H36" i="2"/>
  <c r="P36" i="2"/>
  <c r="BD23" i="2"/>
  <c r="AF27" i="2"/>
  <c r="AN27" i="2"/>
  <c r="T27" i="2"/>
  <c r="AZ14" i="2"/>
  <c r="AR14" i="2"/>
  <c r="AJ14" i="2"/>
  <c r="P14" i="2"/>
  <c r="AV14" i="2"/>
  <c r="T14" i="2"/>
  <c r="H14" i="2"/>
  <c r="BH14" i="2"/>
  <c r="L14" i="2"/>
  <c r="BD14" i="2"/>
  <c r="AB14" i="2"/>
  <c r="I12" i="2"/>
  <c r="AZ40" i="2"/>
  <c r="AR40" i="2"/>
  <c r="AJ40" i="2"/>
  <c r="AB40" i="2"/>
  <c r="L40" i="2"/>
  <c r="BH40" i="2"/>
  <c r="AN40" i="2"/>
  <c r="AF40" i="2"/>
  <c r="P40" i="2"/>
  <c r="AV40" i="2"/>
  <c r="H40" i="2"/>
  <c r="BH35" i="2"/>
  <c r="AV35" i="2"/>
  <c r="AN35" i="2"/>
  <c r="AF35" i="2"/>
  <c r="P35" i="2"/>
  <c r="H35" i="2"/>
  <c r="AZ35" i="2"/>
  <c r="AR35" i="2"/>
  <c r="AJ35" i="2"/>
  <c r="AB35" i="2"/>
  <c r="L35" i="2"/>
  <c r="BD34" i="2"/>
  <c r="AZ34" i="2"/>
  <c r="AR34" i="2"/>
  <c r="AJ34" i="2"/>
  <c r="L34" i="2"/>
  <c r="BH34" i="2"/>
  <c r="AV34" i="2"/>
  <c r="AB34" i="2"/>
  <c r="P34" i="2"/>
  <c r="H34" i="2"/>
  <c r="BD32" i="2"/>
  <c r="AZ32" i="2"/>
  <c r="AR32" i="2"/>
  <c r="AJ32" i="2"/>
  <c r="BH32" i="2"/>
  <c r="AV32" i="2"/>
  <c r="AB32" i="2"/>
  <c r="P32" i="2"/>
  <c r="H32" i="2"/>
  <c r="L32" i="2"/>
  <c r="BD29" i="2"/>
  <c r="T40" i="2"/>
  <c r="AZ37" i="2"/>
  <c r="AR37" i="2"/>
  <c r="AJ37" i="2"/>
  <c r="AB37" i="2"/>
  <c r="L37" i="2"/>
  <c r="AV37" i="2"/>
  <c r="H37" i="2"/>
  <c r="BH37" i="2"/>
  <c r="AN37" i="2"/>
  <c r="AF37" i="2"/>
  <c r="P37" i="2"/>
  <c r="BD35" i="2"/>
  <c r="AF34" i="2"/>
  <c r="AN32" i="2"/>
  <c r="BK30" i="2"/>
  <c r="BH33" i="2"/>
  <c r="AV33" i="2"/>
  <c r="AF33" i="2"/>
  <c r="AB33" i="2"/>
  <c r="P33" i="2"/>
  <c r="H33" i="2"/>
  <c r="AZ33" i="2"/>
  <c r="AR33" i="2"/>
  <c r="AJ33" i="2"/>
  <c r="L33" i="2"/>
  <c r="BH26" i="2"/>
  <c r="AV26" i="2"/>
  <c r="AF26" i="2"/>
  <c r="AB26" i="2"/>
  <c r="AZ26" i="2"/>
  <c r="AR26" i="2"/>
  <c r="AJ26" i="2"/>
  <c r="L26" i="2"/>
  <c r="P26" i="2"/>
  <c r="H26" i="2"/>
  <c r="BK25" i="2"/>
  <c r="AZ23" i="2"/>
  <c r="AR23" i="2"/>
  <c r="AJ23" i="2"/>
  <c r="AV23" i="2"/>
  <c r="AF23" i="2"/>
  <c r="L23" i="2"/>
  <c r="BH23" i="2"/>
  <c r="AB23" i="2"/>
  <c r="P23" i="2"/>
  <c r="BH28" i="2"/>
  <c r="AV28" i="2"/>
  <c r="AF28" i="2"/>
  <c r="AB28" i="2"/>
  <c r="P28" i="2"/>
  <c r="H28" i="2"/>
  <c r="AZ28" i="2"/>
  <c r="AR28" i="2"/>
  <c r="AJ28" i="2"/>
  <c r="L28" i="2"/>
  <c r="BH24" i="2"/>
  <c r="AV24" i="2"/>
  <c r="AB24" i="2"/>
  <c r="L24" i="2"/>
  <c r="BD24" i="2"/>
  <c r="AR24" i="2"/>
  <c r="H24" i="2"/>
  <c r="AZ24" i="2"/>
  <c r="AJ24" i="2"/>
  <c r="P24" i="2"/>
  <c r="AF24" i="2"/>
  <c r="AN23" i="2"/>
  <c r="H23" i="2"/>
  <c r="BK16" i="2"/>
  <c r="AF16" i="2" s="1"/>
  <c r="BK13" i="2"/>
  <c r="AF13" i="2" s="1"/>
  <c r="BK11" i="2"/>
  <c r="AM42" i="2"/>
  <c r="AO10" i="2"/>
  <c r="S42" i="2"/>
  <c r="U10" i="2"/>
  <c r="U11" i="2" s="1"/>
  <c r="AN10" i="2"/>
  <c r="AW11" i="2"/>
  <c r="BI13" i="2"/>
  <c r="AG13" i="2"/>
  <c r="AS13" i="2"/>
  <c r="BD40" i="2"/>
  <c r="T35" i="2"/>
  <c r="AZ29" i="2"/>
  <c r="AR29" i="2"/>
  <c r="AJ29" i="2"/>
  <c r="AV29" i="2"/>
  <c r="AF29" i="2"/>
  <c r="L29" i="2"/>
  <c r="BH29" i="2"/>
  <c r="AB29" i="2"/>
  <c r="P29" i="2"/>
  <c r="H29" i="2"/>
  <c r="T34" i="2"/>
  <c r="AZ31" i="2"/>
  <c r="AR31" i="2"/>
  <c r="AJ31" i="2"/>
  <c r="L31" i="2"/>
  <c r="BH31" i="2"/>
  <c r="AB31" i="2"/>
  <c r="T31" i="2"/>
  <c r="P31" i="2"/>
  <c r="AV31" i="2"/>
  <c r="AF31" i="2"/>
  <c r="H31" i="2"/>
  <c r="T29" i="2"/>
  <c r="BD27" i="2"/>
  <c r="AZ27" i="2"/>
  <c r="AR27" i="2"/>
  <c r="AJ27" i="2"/>
  <c r="L27" i="2"/>
  <c r="BH27" i="2"/>
  <c r="AV27" i="2"/>
  <c r="AB27" i="2"/>
  <c r="P27" i="2"/>
  <c r="H27" i="2"/>
  <c r="BK21" i="2"/>
  <c r="BK19" i="2"/>
  <c r="BK18" i="2"/>
  <c r="T18" i="2" s="1"/>
  <c r="AN14" i="2"/>
  <c r="AK11" i="2"/>
  <c r="BD20" i="2"/>
  <c r="AZ20" i="2"/>
  <c r="AR20" i="2"/>
  <c r="AJ20" i="2"/>
  <c r="P20" i="2"/>
  <c r="H20" i="2"/>
  <c r="BH20" i="2"/>
  <c r="AV20" i="2"/>
  <c r="AB20" i="2"/>
  <c r="L20" i="2"/>
  <c r="BC42" i="2"/>
  <c r="BE10" i="2"/>
  <c r="BA14" i="2"/>
  <c r="Q13" i="2"/>
  <c r="AC11" i="2"/>
  <c r="M13" i="2"/>
  <c r="T11" i="2" l="1"/>
  <c r="AF11" i="2"/>
  <c r="T25" i="2"/>
  <c r="AN13" i="2"/>
  <c r="AN16" i="2"/>
  <c r="T30" i="2"/>
  <c r="T19" i="2"/>
  <c r="BD10" i="2"/>
  <c r="T13" i="2"/>
  <c r="T16" i="2"/>
  <c r="Q14" i="2"/>
  <c r="AK12" i="2"/>
  <c r="BH21" i="2"/>
  <c r="AV21" i="2"/>
  <c r="AF21" i="2"/>
  <c r="AB21" i="2"/>
  <c r="L21" i="2"/>
  <c r="AZ21" i="2"/>
  <c r="AR21" i="2"/>
  <c r="AJ21" i="2"/>
  <c r="P21" i="2"/>
  <c r="AN21" i="2"/>
  <c r="BD21" i="2"/>
  <c r="H21" i="2"/>
  <c r="M14" i="2"/>
  <c r="BE11" i="2"/>
  <c r="BD18" i="2"/>
  <c r="AZ18" i="2"/>
  <c r="AR18" i="2"/>
  <c r="AJ18" i="2"/>
  <c r="L18" i="2"/>
  <c r="BH18" i="2"/>
  <c r="AV18" i="2"/>
  <c r="P18" i="2"/>
  <c r="AN18" i="2"/>
  <c r="AF18" i="2"/>
  <c r="H18" i="2"/>
  <c r="AB18" i="2"/>
  <c r="BH19" i="2"/>
  <c r="AV19" i="2"/>
  <c r="AF19" i="2"/>
  <c r="AB19" i="2"/>
  <c r="L19" i="2"/>
  <c r="AZ19" i="2"/>
  <c r="AR19" i="2"/>
  <c r="AJ19" i="2"/>
  <c r="P19" i="2"/>
  <c r="AN19" i="2"/>
  <c r="BD19" i="2"/>
  <c r="H19" i="2"/>
  <c r="T21" i="2"/>
  <c r="T10" i="2"/>
  <c r="AZ11" i="2"/>
  <c r="AR11" i="2"/>
  <c r="AJ11" i="2"/>
  <c r="P11" i="2"/>
  <c r="BH11" i="2"/>
  <c r="AV11" i="2"/>
  <c r="L11" i="2"/>
  <c r="H11" i="2"/>
  <c r="AB11" i="2"/>
  <c r="BD11" i="2"/>
  <c r="AN11" i="2"/>
  <c r="BH13" i="2"/>
  <c r="AV13" i="2"/>
  <c r="L13" i="2"/>
  <c r="AZ13" i="2"/>
  <c r="AR13" i="2"/>
  <c r="AJ13" i="2"/>
  <c r="P13" i="2"/>
  <c r="H13" i="2"/>
  <c r="AB13" i="2"/>
  <c r="BD13" i="2"/>
  <c r="AZ16" i="2"/>
  <c r="AR16" i="2"/>
  <c r="AJ16" i="2"/>
  <c r="P16" i="2"/>
  <c r="BH16" i="2"/>
  <c r="AV16" i="2"/>
  <c r="L16" i="2"/>
  <c r="H16" i="2"/>
  <c r="AB16" i="2"/>
  <c r="BD16" i="2"/>
  <c r="AZ25" i="2"/>
  <c r="AR25" i="2"/>
  <c r="AJ25" i="2"/>
  <c r="P25" i="2"/>
  <c r="BH25" i="2"/>
  <c r="AB25" i="2"/>
  <c r="L25" i="2"/>
  <c r="AV25" i="2"/>
  <c r="AF25" i="2"/>
  <c r="H25" i="2"/>
  <c r="AN25" i="2"/>
  <c r="BD25" i="2"/>
  <c r="AC12" i="2"/>
  <c r="BA15" i="2"/>
  <c r="AS14" i="2"/>
  <c r="AG14" i="2"/>
  <c r="BI14" i="2"/>
  <c r="AW12" i="2"/>
  <c r="BK42" i="2"/>
  <c r="T42" i="2" s="1"/>
  <c r="AZ10" i="2"/>
  <c r="AB10" i="2"/>
  <c r="BL10" i="2"/>
  <c r="V10" i="2" s="1"/>
  <c r="BH10" i="2"/>
  <c r="AR10" i="2"/>
  <c r="AF10" i="2"/>
  <c r="X10" i="2"/>
  <c r="P10" i="2"/>
  <c r="L10" i="2"/>
  <c r="H10" i="2"/>
  <c r="AJ10" i="2"/>
  <c r="AV10" i="2"/>
  <c r="U12" i="2"/>
  <c r="AO11" i="2"/>
  <c r="BH30" i="2"/>
  <c r="AV30" i="2"/>
  <c r="AB30" i="2"/>
  <c r="P30" i="2"/>
  <c r="H30" i="2"/>
  <c r="AZ30" i="2"/>
  <c r="AJ30" i="2"/>
  <c r="L30" i="2"/>
  <c r="BD30" i="2"/>
  <c r="AR30" i="2"/>
  <c r="AN30" i="2"/>
  <c r="AF30" i="2"/>
  <c r="I13" i="2"/>
  <c r="AP10" i="2" l="1"/>
  <c r="AC13" i="2"/>
  <c r="I14" i="2"/>
  <c r="U13" i="2"/>
  <c r="N10" i="2"/>
  <c r="BB10" i="2"/>
  <c r="Z10" i="2"/>
  <c r="AT10" i="2"/>
  <c r="R10" i="2"/>
  <c r="AH10" i="2"/>
  <c r="BJ10" i="2"/>
  <c r="AD10" i="2"/>
  <c r="AX10" i="2"/>
  <c r="AL10" i="2"/>
  <c r="J10" i="2"/>
  <c r="BL42" i="2"/>
  <c r="AV42" i="2"/>
  <c r="AZ42" i="2"/>
  <c r="AR42" i="2"/>
  <c r="AJ42" i="2"/>
  <c r="H42" i="2"/>
  <c r="AF42" i="2"/>
  <c r="BH42" i="2"/>
  <c r="AB42" i="2"/>
  <c r="AW13" i="2"/>
  <c r="BI15" i="2"/>
  <c r="AG15" i="2"/>
  <c r="AS15" i="2"/>
  <c r="BA16" i="2"/>
  <c r="BL11" i="2"/>
  <c r="BF11" i="2" s="1"/>
  <c r="BD42" i="2"/>
  <c r="BF10" i="2"/>
  <c r="M15" i="2"/>
  <c r="AO12" i="2"/>
  <c r="BE12" i="2"/>
  <c r="AK13" i="2"/>
  <c r="Q15" i="2"/>
  <c r="AP11" i="2" l="1"/>
  <c r="Q16" i="2"/>
  <c r="AK14" i="2"/>
  <c r="M16" i="2"/>
  <c r="BI16" i="2"/>
  <c r="BE13" i="2"/>
  <c r="AO13" i="2"/>
  <c r="AT11" i="2"/>
  <c r="AH11" i="2"/>
  <c r="BJ11" i="2"/>
  <c r="BL12" i="2"/>
  <c r="BB11" i="2"/>
  <c r="N11" i="2"/>
  <c r="R11" i="2"/>
  <c r="J11" i="2"/>
  <c r="V11" i="2"/>
  <c r="AL11" i="2"/>
  <c r="AD11" i="2"/>
  <c r="AX11" i="2"/>
  <c r="BA17" i="2"/>
  <c r="AS16" i="2"/>
  <c r="AG16" i="2"/>
  <c r="AW14" i="2"/>
  <c r="U14" i="2"/>
  <c r="I15" i="2"/>
  <c r="AC14" i="2"/>
  <c r="AC15" i="2" l="1"/>
  <c r="I16" i="2"/>
  <c r="U15" i="2"/>
  <c r="AO14" i="2"/>
  <c r="BE14" i="2"/>
  <c r="Q17" i="2"/>
  <c r="AW15" i="2"/>
  <c r="AG17" i="2"/>
  <c r="AS17" i="2"/>
  <c r="BA18" i="2"/>
  <c r="BB12" i="2"/>
  <c r="N12" i="2"/>
  <c r="BJ12" i="2"/>
  <c r="AH12" i="2"/>
  <c r="AT12" i="2"/>
  <c r="R12" i="2"/>
  <c r="BL13" i="2"/>
  <c r="J12" i="2"/>
  <c r="AL12" i="2"/>
  <c r="AD12" i="2"/>
  <c r="V12" i="2"/>
  <c r="AX12" i="2"/>
  <c r="AP12" i="2"/>
  <c r="BF12" i="2"/>
  <c r="BI17" i="2"/>
  <c r="M17" i="2"/>
  <c r="AK15" i="2"/>
  <c r="AK16" i="2" l="1"/>
  <c r="BI18" i="2"/>
  <c r="M18" i="2"/>
  <c r="BL14" i="2"/>
  <c r="AP14" i="2" s="1"/>
  <c r="BB13" i="2"/>
  <c r="N13" i="2"/>
  <c r="R13" i="2"/>
  <c r="AT13" i="2"/>
  <c r="AH13" i="2"/>
  <c r="BJ13" i="2"/>
  <c r="J13" i="2"/>
  <c r="AL13" i="2"/>
  <c r="AX13" i="2"/>
  <c r="V13" i="2"/>
  <c r="AD13" i="2"/>
  <c r="BA19" i="2"/>
  <c r="BF13" i="2"/>
  <c r="AO15" i="2"/>
  <c r="AC16" i="2"/>
  <c r="AS18" i="2"/>
  <c r="AG18" i="2"/>
  <c r="AW16" i="2"/>
  <c r="Q18" i="2"/>
  <c r="BE15" i="2"/>
  <c r="AP13" i="2"/>
  <c r="U16" i="2"/>
  <c r="I17" i="2"/>
  <c r="BF14" i="2" l="1"/>
  <c r="I18" i="2"/>
  <c r="U17" i="2"/>
  <c r="Q19" i="2"/>
  <c r="AW17" i="2"/>
  <c r="AC17" i="2"/>
  <c r="AO16" i="2"/>
  <c r="BL15" i="2"/>
  <c r="AP15" i="2" s="1"/>
  <c r="BB14" i="2"/>
  <c r="BJ14" i="2"/>
  <c r="N14" i="2"/>
  <c r="R14" i="2"/>
  <c r="AH14" i="2"/>
  <c r="AT14" i="2"/>
  <c r="J14" i="2"/>
  <c r="AD14" i="2"/>
  <c r="V14" i="2"/>
  <c r="AX14" i="2"/>
  <c r="AL14" i="2"/>
  <c r="BE16" i="2"/>
  <c r="AG19" i="2"/>
  <c r="AS19" i="2"/>
  <c r="BA20" i="2"/>
  <c r="M19" i="2"/>
  <c r="BI19" i="2"/>
  <c r="AK17" i="2"/>
  <c r="BF15" i="2" l="1"/>
  <c r="AK18" i="2"/>
  <c r="AS20" i="2"/>
  <c r="M20" i="2"/>
  <c r="AG20" i="2"/>
  <c r="BE17" i="2"/>
  <c r="BL16" i="2"/>
  <c r="BF16" i="2" s="1"/>
  <c r="BB15" i="2"/>
  <c r="R15" i="2"/>
  <c r="N15" i="2"/>
  <c r="BJ15" i="2"/>
  <c r="AT15" i="2"/>
  <c r="AH15" i="2"/>
  <c r="J15" i="2"/>
  <c r="AD15" i="2"/>
  <c r="AX15" i="2"/>
  <c r="V15" i="2"/>
  <c r="AL15" i="2"/>
  <c r="AO17" i="2"/>
  <c r="AC18" i="2"/>
  <c r="U18" i="2"/>
  <c r="I19" i="2"/>
  <c r="BI20" i="2"/>
  <c r="BA21" i="2"/>
  <c r="AW18" i="2"/>
  <c r="Q20" i="2"/>
  <c r="AP16" i="2" l="1"/>
  <c r="Q21" i="2"/>
  <c r="BA22" i="2"/>
  <c r="BI21" i="2"/>
  <c r="I20" i="2"/>
  <c r="U19" i="2"/>
  <c r="AC19" i="2"/>
  <c r="AO18" i="2"/>
  <c r="BL17" i="2"/>
  <c r="AP17" i="2" s="1"/>
  <c r="BB16" i="2"/>
  <c r="R16" i="2"/>
  <c r="AH16" i="2"/>
  <c r="AT16" i="2"/>
  <c r="BJ16" i="2"/>
  <c r="N16" i="2"/>
  <c r="J16" i="2"/>
  <c r="V16" i="2"/>
  <c r="AD16" i="2"/>
  <c r="AX16" i="2"/>
  <c r="AL16" i="2"/>
  <c r="BE18" i="2"/>
  <c r="AG21" i="2"/>
  <c r="AK19" i="2"/>
  <c r="AW19" i="2"/>
  <c r="M21" i="2"/>
  <c r="AS21" i="2"/>
  <c r="BF17" i="2" l="1"/>
  <c r="AS22" i="2"/>
  <c r="AG22" i="2"/>
  <c r="BE19" i="2"/>
  <c r="BL18" i="2"/>
  <c r="BF18" i="2" s="1"/>
  <c r="BB17" i="2"/>
  <c r="BJ17" i="2"/>
  <c r="N17" i="2"/>
  <c r="AT17" i="2"/>
  <c r="AH17" i="2"/>
  <c r="R17" i="2"/>
  <c r="J17" i="2"/>
  <c r="AL17" i="2"/>
  <c r="AD17" i="2"/>
  <c r="V17" i="2"/>
  <c r="AX17" i="2"/>
  <c r="AO19" i="2"/>
  <c r="U20" i="2"/>
  <c r="I21" i="2"/>
  <c r="M22" i="2"/>
  <c r="AW20" i="2"/>
  <c r="AK20" i="2"/>
  <c r="AC20" i="2"/>
  <c r="BI22" i="2"/>
  <c r="BA23" i="2"/>
  <c r="Q22" i="2"/>
  <c r="AP18" i="2" l="1"/>
  <c r="Q23" i="2"/>
  <c r="BA24" i="2"/>
  <c r="AC21" i="2"/>
  <c r="AW21" i="2"/>
  <c r="M23" i="2"/>
  <c r="I22" i="2"/>
  <c r="U21" i="2"/>
  <c r="AO20" i="2"/>
  <c r="BL19" i="2"/>
  <c r="BF19" i="2" s="1"/>
  <c r="BB18" i="2"/>
  <c r="R18" i="2"/>
  <c r="AT18" i="2"/>
  <c r="BJ18" i="2"/>
  <c r="AH18" i="2"/>
  <c r="N18" i="2"/>
  <c r="J18" i="2"/>
  <c r="V18" i="2"/>
  <c r="AD18" i="2"/>
  <c r="AL18" i="2"/>
  <c r="AX18" i="2"/>
  <c r="BE20" i="2"/>
  <c r="AG23" i="2"/>
  <c r="BI23" i="2"/>
  <c r="AK21" i="2"/>
  <c r="AS23" i="2"/>
  <c r="AP19" i="2" l="1"/>
  <c r="AK22" i="2"/>
  <c r="AS24" i="2"/>
  <c r="AG24" i="2"/>
  <c r="BE21" i="2"/>
  <c r="BL20" i="2"/>
  <c r="BF20" i="2" s="1"/>
  <c r="BB19" i="2"/>
  <c r="AH19" i="2"/>
  <c r="AT19" i="2"/>
  <c r="N19" i="2"/>
  <c r="BJ19" i="2"/>
  <c r="R19" i="2"/>
  <c r="J19" i="2"/>
  <c r="V19" i="2"/>
  <c r="AX19" i="2"/>
  <c r="AL19" i="2"/>
  <c r="AD19" i="2"/>
  <c r="AO21" i="2"/>
  <c r="U22" i="2"/>
  <c r="I23" i="2"/>
  <c r="BI24" i="2"/>
  <c r="M24" i="2"/>
  <c r="AW22" i="2"/>
  <c r="AC22" i="2"/>
  <c r="BA25" i="2"/>
  <c r="Q24" i="2"/>
  <c r="AP20" i="2" l="1"/>
  <c r="AC23" i="2"/>
  <c r="AW23" i="2"/>
  <c r="M25" i="2"/>
  <c r="BA26" i="2"/>
  <c r="I24" i="2"/>
  <c r="U23" i="2"/>
  <c r="AO22" i="2"/>
  <c r="BL21" i="2"/>
  <c r="AP21" i="2" s="1"/>
  <c r="BB20" i="2"/>
  <c r="AH20" i="2"/>
  <c r="R20" i="2"/>
  <c r="BJ20" i="2"/>
  <c r="N20" i="2"/>
  <c r="AT20" i="2"/>
  <c r="J20" i="2"/>
  <c r="V20" i="2"/>
  <c r="AD20" i="2"/>
  <c r="AX20" i="2"/>
  <c r="AL20" i="2"/>
  <c r="BE22" i="2"/>
  <c r="Q25" i="2"/>
  <c r="BI25" i="2"/>
  <c r="AG25" i="2"/>
  <c r="AS25" i="2"/>
  <c r="AK23" i="2"/>
  <c r="BF21" i="2" l="1"/>
  <c r="BI26" i="2"/>
  <c r="AG26" i="2"/>
  <c r="BE23" i="2"/>
  <c r="BL22" i="2"/>
  <c r="AP22" i="2" s="1"/>
  <c r="BB21" i="2"/>
  <c r="AH21" i="2"/>
  <c r="AT21" i="2"/>
  <c r="N21" i="2"/>
  <c r="BJ21" i="2"/>
  <c r="R21" i="2"/>
  <c r="J21" i="2"/>
  <c r="V21" i="2"/>
  <c r="AL21" i="2"/>
  <c r="AX21" i="2"/>
  <c r="AD21" i="2"/>
  <c r="AO23" i="2"/>
  <c r="U24" i="2"/>
  <c r="I25" i="2"/>
  <c r="AK24" i="2"/>
  <c r="AS26" i="2"/>
  <c r="Q26" i="2"/>
  <c r="BA27" i="2"/>
  <c r="M26" i="2"/>
  <c r="AW24" i="2"/>
  <c r="AC24" i="2"/>
  <c r="I26" i="2" l="1"/>
  <c r="AO24" i="2"/>
  <c r="BL23" i="2"/>
  <c r="BF23" i="2" s="1"/>
  <c r="BB22" i="2"/>
  <c r="AH22" i="2"/>
  <c r="R22" i="2"/>
  <c r="N22" i="2"/>
  <c r="BJ22" i="2"/>
  <c r="AT22" i="2"/>
  <c r="J22" i="2"/>
  <c r="V22" i="2"/>
  <c r="AD22" i="2"/>
  <c r="AX22" i="2"/>
  <c r="AL22" i="2"/>
  <c r="BF22" i="2"/>
  <c r="AG27" i="2"/>
  <c r="AC25" i="2"/>
  <c r="AW25" i="2"/>
  <c r="M27" i="2"/>
  <c r="BA28" i="2"/>
  <c r="Q27" i="2"/>
  <c r="AS27" i="2"/>
  <c r="AK25" i="2"/>
  <c r="U25" i="2"/>
  <c r="BE24" i="2"/>
  <c r="BI27" i="2"/>
  <c r="BI28" i="2" l="1"/>
  <c r="AS28" i="2"/>
  <c r="Q28" i="2"/>
  <c r="BA29" i="2"/>
  <c r="M28" i="2"/>
  <c r="AW26" i="2"/>
  <c r="AC26" i="2"/>
  <c r="BL24" i="2"/>
  <c r="AP24" i="2" s="1"/>
  <c r="BB23" i="2"/>
  <c r="AT23" i="2"/>
  <c r="AH23" i="2"/>
  <c r="BJ23" i="2"/>
  <c r="N23" i="2"/>
  <c r="R23" i="2"/>
  <c r="J23" i="2"/>
  <c r="V23" i="2"/>
  <c r="AL23" i="2"/>
  <c r="AX23" i="2"/>
  <c r="AD23" i="2"/>
  <c r="AO25" i="2"/>
  <c r="I27" i="2"/>
  <c r="BE25" i="2"/>
  <c r="U26" i="2"/>
  <c r="AK26" i="2"/>
  <c r="AG28" i="2"/>
  <c r="AP23" i="2"/>
  <c r="BF24" i="2" l="1"/>
  <c r="AK27" i="2"/>
  <c r="I28" i="2"/>
  <c r="AG29" i="2"/>
  <c r="U27" i="2"/>
  <c r="BE26" i="2"/>
  <c r="AO26" i="2"/>
  <c r="BL25" i="2"/>
  <c r="BB24" i="2"/>
  <c r="N24" i="2"/>
  <c r="R24" i="2"/>
  <c r="BJ24" i="2"/>
  <c r="AT24" i="2"/>
  <c r="AH24" i="2"/>
  <c r="J24" i="2"/>
  <c r="AD24" i="2"/>
  <c r="AX24" i="2"/>
  <c r="AL24" i="2"/>
  <c r="V24" i="2"/>
  <c r="AC27" i="2"/>
  <c r="AW27" i="2"/>
  <c r="M29" i="2"/>
  <c r="BA30" i="2"/>
  <c r="Q29" i="2"/>
  <c r="AS29" i="2"/>
  <c r="BI29" i="2"/>
  <c r="BI30" i="2" l="1"/>
  <c r="BL26" i="2"/>
  <c r="AP26" i="2" s="1"/>
  <c r="BB25" i="2"/>
  <c r="AH25" i="2"/>
  <c r="BJ25" i="2"/>
  <c r="AT25" i="2"/>
  <c r="R25" i="2"/>
  <c r="N25" i="2"/>
  <c r="J25" i="2"/>
  <c r="V25" i="2"/>
  <c r="AX25" i="2"/>
  <c r="AD25" i="2"/>
  <c r="AL25" i="2"/>
  <c r="AO27" i="2"/>
  <c r="BE27" i="2"/>
  <c r="U28" i="2"/>
  <c r="AG30" i="2"/>
  <c r="AS30" i="2"/>
  <c r="Q30" i="2"/>
  <c r="BA31" i="2"/>
  <c r="M30" i="2"/>
  <c r="AW28" i="2"/>
  <c r="AC28" i="2"/>
  <c r="AP25" i="2"/>
  <c r="BF25" i="2"/>
  <c r="I29" i="2"/>
  <c r="AK28" i="2"/>
  <c r="BF26" i="2" l="1"/>
  <c r="AK29" i="2"/>
  <c r="AG31" i="2"/>
  <c r="U29" i="2"/>
  <c r="BE28" i="2"/>
  <c r="AO28" i="2"/>
  <c r="BL27" i="2"/>
  <c r="BB26" i="2"/>
  <c r="N26" i="2"/>
  <c r="R26" i="2"/>
  <c r="AT26" i="2"/>
  <c r="BJ26" i="2"/>
  <c r="AH26" i="2"/>
  <c r="J26" i="2"/>
  <c r="V26" i="2"/>
  <c r="AL26" i="2"/>
  <c r="AD26" i="2"/>
  <c r="AX26" i="2"/>
  <c r="BI31" i="2"/>
  <c r="I30" i="2"/>
  <c r="AC29" i="2"/>
  <c r="AW29" i="2"/>
  <c r="M31" i="2"/>
  <c r="BA32" i="2"/>
  <c r="Q31" i="2"/>
  <c r="AS31" i="2"/>
  <c r="BL28" i="2" l="1"/>
  <c r="AP28" i="2" s="1"/>
  <c r="BB27" i="2"/>
  <c r="BJ27" i="2"/>
  <c r="AT27" i="2"/>
  <c r="R27" i="2"/>
  <c r="N27" i="2"/>
  <c r="AH27" i="2"/>
  <c r="J27" i="2"/>
  <c r="V27" i="2"/>
  <c r="AX27" i="2"/>
  <c r="AD27" i="2"/>
  <c r="AL27" i="2"/>
  <c r="AO29" i="2"/>
  <c r="BE29" i="2"/>
  <c r="U30" i="2"/>
  <c r="AG32" i="2"/>
  <c r="AS32" i="2"/>
  <c r="Q32" i="2"/>
  <c r="BA33" i="2"/>
  <c r="M32" i="2"/>
  <c r="AW30" i="2"/>
  <c r="AC30" i="2"/>
  <c r="I31" i="2"/>
  <c r="BI32" i="2"/>
  <c r="AP27" i="2"/>
  <c r="BF27" i="2"/>
  <c r="AK30" i="2"/>
  <c r="BF28" i="2" l="1"/>
  <c r="AK31" i="2"/>
  <c r="I32" i="2"/>
  <c r="M33" i="2"/>
  <c r="AC31" i="2"/>
  <c r="AG33" i="2"/>
  <c r="U31" i="2"/>
  <c r="AO30" i="2"/>
  <c r="BL29" i="2"/>
  <c r="BF29" i="2" s="1"/>
  <c r="BB28" i="2"/>
  <c r="AH28" i="2"/>
  <c r="N28" i="2"/>
  <c r="R28" i="2"/>
  <c r="AT28" i="2"/>
  <c r="BJ28" i="2"/>
  <c r="J28" i="2"/>
  <c r="V28" i="2"/>
  <c r="AL28" i="2"/>
  <c r="AD28" i="2"/>
  <c r="AX28" i="2"/>
  <c r="BI33" i="2"/>
  <c r="AW31" i="2"/>
  <c r="BA34" i="2"/>
  <c r="Q33" i="2"/>
  <c r="AS33" i="2"/>
  <c r="BE30" i="2"/>
  <c r="BE31" i="2" l="1"/>
  <c r="BL30" i="2"/>
  <c r="AP30" i="2" s="1"/>
  <c r="BB29" i="2"/>
  <c r="BJ29" i="2"/>
  <c r="AH29" i="2"/>
  <c r="AT29" i="2"/>
  <c r="R29" i="2"/>
  <c r="N29" i="2"/>
  <c r="J29" i="2"/>
  <c r="V29" i="2"/>
  <c r="AX29" i="2"/>
  <c r="AL29" i="2"/>
  <c r="AD29" i="2"/>
  <c r="AO31" i="2"/>
  <c r="U32" i="2"/>
  <c r="AG34" i="2"/>
  <c r="AS34" i="2"/>
  <c r="Q34" i="2"/>
  <c r="BA35" i="2"/>
  <c r="AW32" i="2"/>
  <c r="BI34" i="2"/>
  <c r="AP29" i="2"/>
  <c r="AC32" i="2"/>
  <c r="M34" i="2"/>
  <c r="I33" i="2"/>
  <c r="AK32" i="2"/>
  <c r="AK33" i="2" l="1"/>
  <c r="I34" i="2"/>
  <c r="M35" i="2"/>
  <c r="AC33" i="2"/>
  <c r="AG35" i="2"/>
  <c r="U33" i="2"/>
  <c r="AO32" i="2"/>
  <c r="BL31" i="2"/>
  <c r="AP31" i="2" s="1"/>
  <c r="BB30" i="2"/>
  <c r="AH30" i="2"/>
  <c r="BJ30" i="2"/>
  <c r="N30" i="2"/>
  <c r="R30" i="2"/>
  <c r="AT30" i="2"/>
  <c r="J30" i="2"/>
  <c r="V30" i="2"/>
  <c r="AL30" i="2"/>
  <c r="AD30" i="2"/>
  <c r="AX30" i="2"/>
  <c r="BE32" i="2"/>
  <c r="BI35" i="2"/>
  <c r="AW33" i="2"/>
  <c r="BA36" i="2"/>
  <c r="Q35" i="2"/>
  <c r="AS35" i="2"/>
  <c r="BF30" i="2"/>
  <c r="BF31" i="2" l="1"/>
  <c r="BE33" i="2"/>
  <c r="BL32" i="2"/>
  <c r="AP32" i="2" s="1"/>
  <c r="BB31" i="2"/>
  <c r="AH31" i="2"/>
  <c r="AT31" i="2"/>
  <c r="R31" i="2"/>
  <c r="N31" i="2"/>
  <c r="BJ31" i="2"/>
  <c r="J31" i="2"/>
  <c r="V31" i="2"/>
  <c r="AX31" i="2"/>
  <c r="AD31" i="2"/>
  <c r="AL31" i="2"/>
  <c r="AO33" i="2"/>
  <c r="U34" i="2"/>
  <c r="AS36" i="2"/>
  <c r="Q36" i="2"/>
  <c r="BA37" i="2"/>
  <c r="AW34" i="2"/>
  <c r="BI36" i="2"/>
  <c r="AG36" i="2"/>
  <c r="AC34" i="2"/>
  <c r="M36" i="2"/>
  <c r="I35" i="2"/>
  <c r="AK34" i="2"/>
  <c r="I36" i="2" l="1"/>
  <c r="AC35" i="2"/>
  <c r="U35" i="2"/>
  <c r="AO34" i="2"/>
  <c r="BL33" i="2"/>
  <c r="BB32" i="2"/>
  <c r="AH32" i="2"/>
  <c r="N32" i="2"/>
  <c r="BJ32" i="2"/>
  <c r="R32" i="2"/>
  <c r="AT32" i="2"/>
  <c r="J32" i="2"/>
  <c r="V32" i="2"/>
  <c r="AL32" i="2"/>
  <c r="AD32" i="2"/>
  <c r="AX32" i="2"/>
  <c r="BE34" i="2"/>
  <c r="AK35" i="2"/>
  <c r="M37" i="2"/>
  <c r="AG37" i="2"/>
  <c r="BI37" i="2"/>
  <c r="AW35" i="2"/>
  <c r="BA38" i="2"/>
  <c r="Q37" i="2"/>
  <c r="AS37" i="2"/>
  <c r="BF32" i="2"/>
  <c r="AS38" i="2" l="1"/>
  <c r="BE35" i="2"/>
  <c r="BL34" i="2"/>
  <c r="BB33" i="2"/>
  <c r="AH33" i="2"/>
  <c r="AT33" i="2"/>
  <c r="R33" i="2"/>
  <c r="BJ33" i="2"/>
  <c r="N33" i="2"/>
  <c r="J33" i="2"/>
  <c r="V33" i="2"/>
  <c r="AX33" i="2"/>
  <c r="AD33" i="2"/>
  <c r="AL33" i="2"/>
  <c r="AO35" i="2"/>
  <c r="U36" i="2"/>
  <c r="Q38" i="2"/>
  <c r="BA39" i="2"/>
  <c r="AW36" i="2"/>
  <c r="BI38" i="2"/>
  <c r="AG38" i="2"/>
  <c r="M38" i="2"/>
  <c r="AK36" i="2"/>
  <c r="BF33" i="2"/>
  <c r="AP33" i="2"/>
  <c r="AC36" i="2"/>
  <c r="I37" i="2"/>
  <c r="AG39" i="2" l="1"/>
  <c r="BI39" i="2"/>
  <c r="U37" i="2"/>
  <c r="AO36" i="2"/>
  <c r="BL35" i="2"/>
  <c r="BB34" i="2"/>
  <c r="N34" i="2"/>
  <c r="AH34" i="2"/>
  <c r="BJ34" i="2"/>
  <c r="R34" i="2"/>
  <c r="AT34" i="2"/>
  <c r="J34" i="2"/>
  <c r="V34" i="2"/>
  <c r="AD34" i="2"/>
  <c r="AL34" i="2"/>
  <c r="AX34" i="2"/>
  <c r="BE36" i="2"/>
  <c r="I38" i="2"/>
  <c r="AC37" i="2"/>
  <c r="AK37" i="2"/>
  <c r="M39" i="2"/>
  <c r="AW37" i="2"/>
  <c r="BA40" i="2"/>
  <c r="Q39" i="2"/>
  <c r="AP34" i="2"/>
  <c r="BF34" i="2"/>
  <c r="AS39" i="2"/>
  <c r="AK38" i="2" l="1"/>
  <c r="BE37" i="2"/>
  <c r="BL36" i="2"/>
  <c r="BB35" i="2"/>
  <c r="AT35" i="2"/>
  <c r="R35" i="2"/>
  <c r="BJ35" i="2"/>
  <c r="AH35" i="2"/>
  <c r="N35" i="2"/>
  <c r="J35" i="2"/>
  <c r="V35" i="2"/>
  <c r="AX35" i="2"/>
  <c r="AL35" i="2"/>
  <c r="AD35" i="2"/>
  <c r="AO37" i="2"/>
  <c r="AS40" i="2"/>
  <c r="Q40" i="2"/>
  <c r="AW38" i="2"/>
  <c r="M40" i="2"/>
  <c r="AC38" i="2"/>
  <c r="I39" i="2"/>
  <c r="BF35" i="2"/>
  <c r="AP35" i="2"/>
  <c r="U38" i="2"/>
  <c r="BI40" i="2"/>
  <c r="AG40" i="2"/>
  <c r="I40" i="2" l="1"/>
  <c r="AC39" i="2"/>
  <c r="AO38" i="2"/>
  <c r="BL37" i="2"/>
  <c r="BF37" i="2" s="1"/>
  <c r="BB36" i="2"/>
  <c r="AT36" i="2"/>
  <c r="N36" i="2"/>
  <c r="AH36" i="2"/>
  <c r="BJ36" i="2"/>
  <c r="R36" i="2"/>
  <c r="J36" i="2"/>
  <c r="AL36" i="2"/>
  <c r="V36" i="2"/>
  <c r="AD36" i="2"/>
  <c r="AX36" i="2"/>
  <c r="BF36" i="2"/>
  <c r="U39" i="2"/>
  <c r="AW39" i="2"/>
  <c r="AP36" i="2"/>
  <c r="BE38" i="2"/>
  <c r="AK39" i="2"/>
  <c r="BE39" i="2" l="1"/>
  <c r="U40" i="2"/>
  <c r="AO39" i="2"/>
  <c r="AK40" i="2"/>
  <c r="AW40" i="2"/>
  <c r="BL38" i="2"/>
  <c r="BB37" i="2"/>
  <c r="BJ37" i="2"/>
  <c r="AH37" i="2"/>
  <c r="AT37" i="2"/>
  <c r="R37" i="2"/>
  <c r="N37" i="2"/>
  <c r="J37" i="2"/>
  <c r="AD37" i="2"/>
  <c r="AL37" i="2"/>
  <c r="AX37" i="2"/>
  <c r="V37" i="2"/>
  <c r="AP37" i="2"/>
  <c r="AC40" i="2"/>
  <c r="BL39" i="2" l="1"/>
  <c r="AP39" i="2" s="1"/>
  <c r="BB38" i="2"/>
  <c r="AH38" i="2"/>
  <c r="BJ38" i="2"/>
  <c r="N38" i="2"/>
  <c r="R38" i="2"/>
  <c r="AT38" i="2"/>
  <c r="J38" i="2"/>
  <c r="V38" i="2"/>
  <c r="AD38" i="2"/>
  <c r="AX38" i="2"/>
  <c r="AL38" i="2"/>
  <c r="AO40" i="2"/>
  <c r="BE40" i="2"/>
  <c r="AP38" i="2"/>
  <c r="BF38" i="2"/>
  <c r="BF39" i="2" l="1"/>
  <c r="BL40" i="2"/>
  <c r="BF40" i="2" s="1"/>
  <c r="BB39" i="2"/>
  <c r="R39" i="2"/>
  <c r="N39" i="2"/>
  <c r="BJ39" i="2"/>
  <c r="AH39" i="2"/>
  <c r="AT39" i="2"/>
  <c r="J39" i="2"/>
  <c r="AD39" i="2"/>
  <c r="V39" i="2"/>
  <c r="AL39" i="2"/>
  <c r="AX39" i="2"/>
  <c r="BB40" i="2" l="1"/>
  <c r="AH40" i="2"/>
  <c r="N40" i="2"/>
  <c r="AT40" i="2"/>
  <c r="BJ40" i="2"/>
  <c r="R40" i="2"/>
  <c r="J40" i="2"/>
  <c r="AD40" i="2"/>
  <c r="AL40" i="2"/>
  <c r="V40" i="2"/>
  <c r="AX40" i="2"/>
  <c r="AP40" i="2"/>
  <c r="G42" i="16" l="1"/>
  <c r="I37" i="16" s="1"/>
  <c r="F42" i="16"/>
  <c r="C43" i="16"/>
  <c r="G42" i="17" l="1"/>
  <c r="I37" i="17" s="1"/>
  <c r="F42" i="17"/>
  <c r="C43" i="18" l="1"/>
  <c r="C43" i="19" l="1"/>
  <c r="C40" i="24" l="1"/>
  <c r="C43" i="27" l="1"/>
  <c r="C43" i="29" l="1"/>
  <c r="C43" i="30" l="1"/>
  <c r="G42" i="31" l="1"/>
  <c r="I37" i="31" s="1"/>
  <c r="F42" i="31"/>
  <c r="I49" i="4" l="1"/>
  <c r="I49" i="6"/>
  <c r="I49" i="43" l="1"/>
  <c r="I49" i="37"/>
  <c r="C43" i="33" l="1"/>
  <c r="F23" i="33" l="1"/>
  <c r="C38" i="43"/>
  <c r="R24" i="43"/>
  <c r="U24" i="43" s="1"/>
  <c r="R15" i="43"/>
  <c r="U15" i="43" s="1"/>
  <c r="R24" i="4"/>
  <c r="U24" i="4" s="1"/>
  <c r="R15" i="4"/>
  <c r="U15" i="4" s="1"/>
  <c r="S8" i="4"/>
  <c r="R8" i="4"/>
  <c r="R7" i="4"/>
  <c r="U7" i="4" s="1"/>
  <c r="R24" i="37"/>
  <c r="U24" i="37" s="1"/>
  <c r="R15" i="37"/>
  <c r="U15" i="37" s="1"/>
  <c r="S8" i="37"/>
  <c r="R8" i="37"/>
  <c r="R7" i="37"/>
  <c r="U7" i="37" s="1"/>
  <c r="R24" i="6"/>
  <c r="U24" i="6" s="1"/>
  <c r="R15" i="6"/>
  <c r="U15" i="6" s="1"/>
  <c r="S8" i="6"/>
  <c r="R8" i="6"/>
  <c r="R7" i="6"/>
  <c r="U7" i="6" s="1"/>
  <c r="R24" i="13"/>
  <c r="U24" i="13" s="1"/>
  <c r="R15" i="13"/>
  <c r="U15" i="13" s="1"/>
  <c r="S8" i="13"/>
  <c r="R8" i="13"/>
  <c r="R7" i="13"/>
  <c r="U7" i="13" s="1"/>
  <c r="I43" i="30"/>
  <c r="C38" i="30"/>
  <c r="C38" i="31"/>
  <c r="C38" i="32"/>
  <c r="C38" i="33"/>
  <c r="U8" i="6" l="1"/>
  <c r="U8" i="37"/>
  <c r="U8" i="4"/>
  <c r="U8" i="13"/>
  <c r="D39" i="48" l="1"/>
  <c r="D38" i="48"/>
  <c r="E35" i="48"/>
  <c r="D35" i="48"/>
  <c r="D37" i="48"/>
  <c r="G42" i="6"/>
  <c r="I37" i="6" s="1"/>
  <c r="F42" i="6"/>
  <c r="D36" i="48" s="1"/>
  <c r="D34" i="48"/>
  <c r="D33" i="48"/>
  <c r="E32" i="48"/>
  <c r="D32" i="48"/>
  <c r="D31" i="48"/>
  <c r="D30" i="48"/>
  <c r="E29" i="48"/>
  <c r="D29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G42" i="19"/>
  <c r="I37" i="19" s="1"/>
  <c r="F42" i="19"/>
  <c r="D23" i="48" s="1"/>
  <c r="D22" i="48"/>
  <c r="D21" i="48"/>
  <c r="D20" i="48"/>
  <c r="I43" i="43"/>
  <c r="I44" i="43" s="1"/>
  <c r="I43" i="4"/>
  <c r="I43" i="37"/>
  <c r="I44" i="37" s="1"/>
  <c r="I43" i="6"/>
  <c r="I44" i="6" s="1"/>
  <c r="I43" i="7"/>
  <c r="I43" i="8"/>
  <c r="I44" i="8" s="1"/>
  <c r="I43" i="9"/>
  <c r="I44" i="9" s="1"/>
  <c r="I43" i="10"/>
  <c r="I44" i="10" s="1"/>
  <c r="I43" i="11"/>
  <c r="I43" i="12"/>
  <c r="I44" i="12" s="1"/>
  <c r="I43" i="13"/>
  <c r="I44" i="13" s="1"/>
  <c r="I43" i="14"/>
  <c r="I44" i="14" s="1"/>
  <c r="I43" i="15"/>
  <c r="I44" i="15" s="1"/>
  <c r="I43" i="16"/>
  <c r="I43" i="17"/>
  <c r="I44" i="17" s="1"/>
  <c r="I43" i="18"/>
  <c r="I43" i="19"/>
  <c r="I43" i="20"/>
  <c r="I44" i="20" s="1"/>
  <c r="I43" i="22"/>
  <c r="I44" i="22" s="1"/>
  <c r="I43" i="21"/>
  <c r="I44" i="21" s="1"/>
  <c r="I43" i="23"/>
  <c r="I44" i="23" s="1"/>
  <c r="I43" i="24"/>
  <c r="I44" i="24" s="1"/>
  <c r="I43" i="25"/>
  <c r="I44" i="25" s="1"/>
  <c r="I43" i="26"/>
  <c r="I44" i="26" s="1"/>
  <c r="I43" i="28"/>
  <c r="I43" i="27"/>
  <c r="I44" i="27" s="1"/>
  <c r="I43" i="29"/>
  <c r="I44" i="29" s="1"/>
  <c r="I44" i="30"/>
  <c r="I43" i="32"/>
  <c r="I44" i="32" s="1"/>
  <c r="J43" i="33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7" i="2" s="1"/>
  <c r="C38" i="2" s="1"/>
  <c r="C39" i="2" s="1"/>
  <c r="C40" i="2" s="1"/>
  <c r="C10" i="2" s="1"/>
  <c r="B11" i="2" s="1"/>
  <c r="B12" i="2" s="1"/>
  <c r="B13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6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10" i="2" s="1"/>
  <c r="P39" i="48"/>
  <c r="D39" i="1" s="1"/>
  <c r="P38" i="48"/>
  <c r="D38" i="1" s="1"/>
  <c r="P37" i="48"/>
  <c r="P36" i="48"/>
  <c r="P35" i="48"/>
  <c r="P34" i="48"/>
  <c r="P33" i="48"/>
  <c r="AB33" i="48" s="1"/>
  <c r="P32" i="48"/>
  <c r="G32" i="48" s="1"/>
  <c r="P31" i="48"/>
  <c r="P30" i="48"/>
  <c r="AB30" i="48" s="1"/>
  <c r="P29" i="48"/>
  <c r="P28" i="48"/>
  <c r="P27" i="48"/>
  <c r="P26" i="48"/>
  <c r="P25" i="48"/>
  <c r="P24" i="48"/>
  <c r="P23" i="48"/>
  <c r="P22" i="48"/>
  <c r="P21" i="48"/>
  <c r="P20" i="48"/>
  <c r="P19" i="48"/>
  <c r="H19" i="48" s="1"/>
  <c r="P18" i="48"/>
  <c r="P17" i="48"/>
  <c r="AB17" i="48" s="1"/>
  <c r="P16" i="48"/>
  <c r="P15" i="48"/>
  <c r="P14" i="48"/>
  <c r="B13" i="45" s="1"/>
  <c r="P13" i="48"/>
  <c r="B12" i="45" s="1"/>
  <c r="P12" i="48"/>
  <c r="B11" i="45" s="1"/>
  <c r="P11" i="48"/>
  <c r="B10" i="45" s="1"/>
  <c r="P10" i="48"/>
  <c r="B9" i="45" s="1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D19" i="48"/>
  <c r="D18" i="48"/>
  <c r="D16" i="48"/>
  <c r="D15" i="48"/>
  <c r="G42" i="27"/>
  <c r="I37" i="27" s="1"/>
  <c r="F42" i="27"/>
  <c r="D14" i="48" s="1"/>
  <c r="E13" i="48"/>
  <c r="D11" i="48"/>
  <c r="P9" i="48"/>
  <c r="D38" i="33"/>
  <c r="L34" i="26"/>
  <c r="D10" i="48"/>
  <c r="D9" i="48"/>
  <c r="I47" i="29"/>
  <c r="H4" i="43"/>
  <c r="C14" i="43"/>
  <c r="V7" i="43" s="1"/>
  <c r="W7" i="43" s="1"/>
  <c r="D14" i="43"/>
  <c r="E14" i="43"/>
  <c r="F14" i="43"/>
  <c r="C23" i="43"/>
  <c r="V15" i="43" s="1"/>
  <c r="W15" i="43" s="1"/>
  <c r="D23" i="43"/>
  <c r="E23" i="43"/>
  <c r="F23" i="43"/>
  <c r="C32" i="43"/>
  <c r="V24" i="43" s="1"/>
  <c r="W24" i="43" s="1"/>
  <c r="D32" i="43"/>
  <c r="E32" i="43"/>
  <c r="F32" i="43"/>
  <c r="K34" i="43"/>
  <c r="L34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V7" i="4" s="1"/>
  <c r="W7" i="4" s="1"/>
  <c r="D14" i="4"/>
  <c r="E14" i="4"/>
  <c r="F14" i="4"/>
  <c r="C23" i="4"/>
  <c r="D23" i="4"/>
  <c r="E23" i="4"/>
  <c r="F23" i="4"/>
  <c r="C32" i="4"/>
  <c r="V24" i="4" s="1"/>
  <c r="W24" i="4" s="1"/>
  <c r="D32" i="4"/>
  <c r="E32" i="4"/>
  <c r="F32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V24" i="37"/>
  <c r="W24" i="37" s="1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V7" i="6"/>
  <c r="W7" i="6" s="1"/>
  <c r="V15" i="6"/>
  <c r="W15" i="6" s="1"/>
  <c r="V24" i="6"/>
  <c r="W24" i="6" s="1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I44" i="7"/>
  <c r="C45" i="7"/>
  <c r="C46" i="7"/>
  <c r="C47" i="7"/>
  <c r="C48" i="7"/>
  <c r="C49" i="7"/>
  <c r="C50" i="7"/>
  <c r="C51" i="7"/>
  <c r="H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I44" i="11"/>
  <c r="C45" i="11"/>
  <c r="C46" i="11"/>
  <c r="C47" i="11"/>
  <c r="C48" i="11"/>
  <c r="C49" i="11"/>
  <c r="C50" i="11"/>
  <c r="C51" i="11"/>
  <c r="H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V7" i="13"/>
  <c r="W7" i="13" s="1"/>
  <c r="V15" i="13"/>
  <c r="W15" i="13" s="1"/>
  <c r="V24" i="13"/>
  <c r="W24" i="13" s="1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C51" i="16"/>
  <c r="H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H4" i="18"/>
  <c r="K34" i="18"/>
  <c r="L34" i="18"/>
  <c r="C38" i="18"/>
  <c r="C39" i="18"/>
  <c r="C40" i="18"/>
  <c r="C41" i="18"/>
  <c r="C42" i="18"/>
  <c r="C44" i="18"/>
  <c r="C45" i="18"/>
  <c r="C46" i="18"/>
  <c r="C47" i="18"/>
  <c r="C48" i="18"/>
  <c r="C49" i="18"/>
  <c r="C50" i="18"/>
  <c r="C51" i="18"/>
  <c r="H4" i="19"/>
  <c r="L34" i="19"/>
  <c r="C38" i="19"/>
  <c r="C39" i="19"/>
  <c r="C40" i="19"/>
  <c r="C41" i="19"/>
  <c r="C42" i="19"/>
  <c r="C44" i="19"/>
  <c r="I44" i="19"/>
  <c r="C45" i="19"/>
  <c r="C46" i="19"/>
  <c r="C47" i="19"/>
  <c r="C48" i="19"/>
  <c r="C49" i="19"/>
  <c r="C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C41" i="24"/>
  <c r="C42" i="24"/>
  <c r="C43" i="24"/>
  <c r="C44" i="24"/>
  <c r="C45" i="24"/>
  <c r="C46" i="24"/>
  <c r="C47" i="24"/>
  <c r="C48" i="24"/>
  <c r="C49" i="24"/>
  <c r="C50" i="24"/>
  <c r="C51" i="24"/>
  <c r="H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H4" i="28"/>
  <c r="L34" i="28"/>
  <c r="C38" i="28"/>
  <c r="C39" i="28"/>
  <c r="C40" i="28"/>
  <c r="C41" i="28"/>
  <c r="C42" i="28"/>
  <c r="C43" i="28"/>
  <c r="C44" i="28"/>
  <c r="I44" i="28"/>
  <c r="C45" i="28"/>
  <c r="C46" i="28"/>
  <c r="C47" i="28"/>
  <c r="C48" i="28"/>
  <c r="C49" i="28"/>
  <c r="C50" i="28"/>
  <c r="C51" i="28"/>
  <c r="H4" i="27"/>
  <c r="L34" i="27"/>
  <c r="C38" i="27"/>
  <c r="C39" i="27"/>
  <c r="C40" i="27"/>
  <c r="C41" i="27"/>
  <c r="C42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4" i="29"/>
  <c r="C45" i="29"/>
  <c r="C46" i="29"/>
  <c r="C47" i="29"/>
  <c r="C48" i="29"/>
  <c r="C49" i="29"/>
  <c r="C50" i="29"/>
  <c r="C51" i="29"/>
  <c r="H4" i="30"/>
  <c r="L34" i="30"/>
  <c r="C39" i="30"/>
  <c r="C40" i="30"/>
  <c r="C41" i="30"/>
  <c r="C42" i="30"/>
  <c r="C44" i="30"/>
  <c r="C45" i="30"/>
  <c r="C47" i="30"/>
  <c r="C48" i="30"/>
  <c r="C49" i="30"/>
  <c r="C50" i="30"/>
  <c r="C51" i="30"/>
  <c r="H4" i="31"/>
  <c r="L34" i="31"/>
  <c r="C39" i="31"/>
  <c r="C40" i="31"/>
  <c r="C41" i="31"/>
  <c r="C42" i="31"/>
  <c r="C43" i="31"/>
  <c r="C44" i="31"/>
  <c r="I44" i="31"/>
  <c r="C45" i="31"/>
  <c r="C46" i="31"/>
  <c r="C47" i="31"/>
  <c r="C48" i="31"/>
  <c r="C49" i="31"/>
  <c r="C50" i="31"/>
  <c r="C51" i="31"/>
  <c r="H4" i="32"/>
  <c r="J7" i="32"/>
  <c r="J7" i="31" s="1"/>
  <c r="J8" i="32"/>
  <c r="J9" i="32"/>
  <c r="J9" i="31" s="1"/>
  <c r="J10" i="32"/>
  <c r="J10" i="31" s="1"/>
  <c r="J11" i="32"/>
  <c r="J11" i="31" s="1"/>
  <c r="J12" i="32"/>
  <c r="J12" i="31" s="1"/>
  <c r="J13" i="32"/>
  <c r="J13" i="31" s="1"/>
  <c r="J14" i="32"/>
  <c r="J14" i="31" s="1"/>
  <c r="J15" i="32"/>
  <c r="J15" i="31" s="1"/>
  <c r="J16" i="32"/>
  <c r="J16" i="31" s="1"/>
  <c r="J17" i="32"/>
  <c r="J17" i="31" s="1"/>
  <c r="J18" i="32"/>
  <c r="J18" i="31" s="1"/>
  <c r="J19" i="32"/>
  <c r="J19" i="31" s="1"/>
  <c r="J20" i="32"/>
  <c r="J20" i="31" s="1"/>
  <c r="J21" i="32"/>
  <c r="J21" i="31" s="1"/>
  <c r="J22" i="32"/>
  <c r="J22" i="31" s="1"/>
  <c r="J23" i="32"/>
  <c r="J23" i="31" s="1"/>
  <c r="J24" i="32"/>
  <c r="J25" i="32"/>
  <c r="J26" i="32"/>
  <c r="J27" i="32"/>
  <c r="J28" i="32"/>
  <c r="J29" i="32"/>
  <c r="J30" i="32"/>
  <c r="J31" i="32"/>
  <c r="J32" i="32"/>
  <c r="J32" i="31" s="1"/>
  <c r="J32" i="30" s="1"/>
  <c r="J32" i="29" s="1"/>
  <c r="J32" i="27" s="1"/>
  <c r="J32" i="28" s="1"/>
  <c r="J32" i="26" s="1"/>
  <c r="L34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9" i="30" s="1"/>
  <c r="M9" i="29" s="1"/>
  <c r="M9" i="27" s="1"/>
  <c r="M9" i="28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D14" i="33"/>
  <c r="E14" i="33"/>
  <c r="F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C42" i="33"/>
  <c r="D42" i="33" s="1"/>
  <c r="E42" i="33" s="1"/>
  <c r="D43" i="33"/>
  <c r="C44" i="33"/>
  <c r="D44" i="33" s="1"/>
  <c r="C45" i="33"/>
  <c r="D45" i="33" s="1"/>
  <c r="C46" i="33"/>
  <c r="D46" i="33" s="1"/>
  <c r="C47" i="33"/>
  <c r="D47" i="33" s="1"/>
  <c r="C48" i="33"/>
  <c r="D48" i="33" s="1"/>
  <c r="E48" i="33" s="1"/>
  <c r="C49" i="33"/>
  <c r="D49" i="33" s="1"/>
  <c r="C50" i="33"/>
  <c r="D50" i="33" s="1"/>
  <c r="C51" i="33"/>
  <c r="D51" i="33" s="1"/>
  <c r="A4" i="47"/>
  <c r="A10" i="2" s="1"/>
  <c r="J46" i="33"/>
  <c r="I47" i="32"/>
  <c r="AF11" i="48"/>
  <c r="I47" i="27"/>
  <c r="AF15" i="48"/>
  <c r="AF16" i="48"/>
  <c r="AF17" i="48"/>
  <c r="AH17" i="48" s="1"/>
  <c r="AF19" i="48"/>
  <c r="I47" i="21"/>
  <c r="AF21" i="48"/>
  <c r="AH21" i="48" s="1"/>
  <c r="AF24" i="48"/>
  <c r="I47" i="17"/>
  <c r="I47" i="16"/>
  <c r="I47" i="15"/>
  <c r="AF29" i="48"/>
  <c r="AH29" i="48" s="1"/>
  <c r="AF30" i="48"/>
  <c r="AF33" i="48"/>
  <c r="AH33" i="48" s="1"/>
  <c r="I47" i="43"/>
  <c r="I50" i="37"/>
  <c r="I50" i="43"/>
  <c r="AF18" i="48"/>
  <c r="AB15" i="48"/>
  <c r="Q9" i="48"/>
  <c r="Z41" i="48"/>
  <c r="AB9" i="48"/>
  <c r="AB23" i="48"/>
  <c r="I44" i="33"/>
  <c r="AB21" i="48"/>
  <c r="H21" i="48"/>
  <c r="AB31" i="48"/>
  <c r="G15" i="48"/>
  <c r="G31" i="48"/>
  <c r="H15" i="48"/>
  <c r="H29" i="48"/>
  <c r="AB37" i="48"/>
  <c r="K7" i="6"/>
  <c r="G37" i="48"/>
  <c r="G29" i="48"/>
  <c r="G23" i="48"/>
  <c r="H37" i="48"/>
  <c r="AB39" i="48"/>
  <c r="H39" i="48"/>
  <c r="E28" i="48"/>
  <c r="G21" i="48"/>
  <c r="E18" i="48"/>
  <c r="E15" i="48"/>
  <c r="AF36" i="48"/>
  <c r="AF34" i="48"/>
  <c r="E30" i="48"/>
  <c r="W145" i="57" l="1"/>
  <c r="X145" i="57" s="1"/>
  <c r="W145" i="46"/>
  <c r="AA145" i="46" s="1"/>
  <c r="AB145" i="46" s="1"/>
  <c r="AH30" i="48"/>
  <c r="X145" i="46"/>
  <c r="AB14" i="48"/>
  <c r="C24" i="4"/>
  <c r="F18" i="48"/>
  <c r="I40" i="10"/>
  <c r="I45" i="10" s="1"/>
  <c r="F34" i="43"/>
  <c r="F30" i="48"/>
  <c r="G33" i="48"/>
  <c r="AH24" i="48"/>
  <c r="I44" i="16"/>
  <c r="AH16" i="48"/>
  <c r="M13" i="22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M12" i="22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11" i="22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4" i="22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G17" i="48"/>
  <c r="E36" i="48"/>
  <c r="J31" i="31"/>
  <c r="J31" i="30" s="1"/>
  <c r="J30" i="31"/>
  <c r="J30" i="30" s="1"/>
  <c r="J29" i="31"/>
  <c r="J29" i="30" s="1"/>
  <c r="J28" i="31"/>
  <c r="J28" i="30" s="1"/>
  <c r="J27" i="31"/>
  <c r="J27" i="30" s="1"/>
  <c r="J26" i="31"/>
  <c r="J26" i="30" s="1"/>
  <c r="J25" i="31"/>
  <c r="J25" i="30" s="1"/>
  <c r="A11" i="48"/>
  <c r="A9" i="45"/>
  <c r="J24" i="31"/>
  <c r="J24" i="30" s="1"/>
  <c r="C15" i="33"/>
  <c r="C24" i="33"/>
  <c r="C34" i="4"/>
  <c r="K15" i="4" s="1"/>
  <c r="AB32" i="48"/>
  <c r="E33" i="43"/>
  <c r="N12" i="45"/>
  <c r="F12" i="45"/>
  <c r="J12" i="45"/>
  <c r="Q12" i="45"/>
  <c r="N13" i="45"/>
  <c r="J13" i="45"/>
  <c r="F13" i="45"/>
  <c r="Q13" i="45"/>
  <c r="E46" i="33"/>
  <c r="F10" i="45"/>
  <c r="N10" i="45"/>
  <c r="J10" i="45"/>
  <c r="Q10" i="45"/>
  <c r="F11" i="45"/>
  <c r="J11" i="45"/>
  <c r="N11" i="45"/>
  <c r="Q11" i="45"/>
  <c r="F13" i="48"/>
  <c r="F9" i="45"/>
  <c r="J9" i="45"/>
  <c r="N9" i="45"/>
  <c r="Q9" i="45"/>
  <c r="F17" i="48"/>
  <c r="D11" i="1"/>
  <c r="D12" i="2" s="1"/>
  <c r="B18" i="45"/>
  <c r="Q18" i="45" s="1"/>
  <c r="D19" i="1"/>
  <c r="B26" i="45"/>
  <c r="Q26" i="45" s="1"/>
  <c r="D27" i="1"/>
  <c r="B34" i="45"/>
  <c r="Q34" i="45" s="1"/>
  <c r="D35" i="1"/>
  <c r="D12" i="1"/>
  <c r="D13" i="2" s="1"/>
  <c r="B19" i="45"/>
  <c r="Q19" i="45" s="1"/>
  <c r="D20" i="1"/>
  <c r="B27" i="45"/>
  <c r="Q27" i="45" s="1"/>
  <c r="D28" i="1"/>
  <c r="B35" i="45"/>
  <c r="Q35" i="45" s="1"/>
  <c r="D36" i="1"/>
  <c r="B33" i="45"/>
  <c r="Q33" i="45" s="1"/>
  <c r="D34" i="1"/>
  <c r="D13" i="1"/>
  <c r="B20" i="45"/>
  <c r="Q20" i="45" s="1"/>
  <c r="D21" i="1"/>
  <c r="B28" i="45"/>
  <c r="Q28" i="45" s="1"/>
  <c r="D29" i="1"/>
  <c r="B36" i="45"/>
  <c r="Q36" i="45" s="1"/>
  <c r="D37" i="1"/>
  <c r="D10" i="1"/>
  <c r="B8" i="45"/>
  <c r="Q8" i="45" s="1"/>
  <c r="D9" i="1"/>
  <c r="D14" i="1"/>
  <c r="B21" i="45"/>
  <c r="Q21" i="45" s="1"/>
  <c r="D22" i="1"/>
  <c r="B29" i="45"/>
  <c r="Q29" i="45" s="1"/>
  <c r="D30" i="1"/>
  <c r="F12" i="48"/>
  <c r="B25" i="45"/>
  <c r="Q25" i="45" s="1"/>
  <c r="D26" i="1"/>
  <c r="D24" i="4"/>
  <c r="B14" i="45"/>
  <c r="Q14" i="45" s="1"/>
  <c r="D15" i="1"/>
  <c r="B22" i="45"/>
  <c r="Q22" i="45" s="1"/>
  <c r="D23" i="1"/>
  <c r="B30" i="45"/>
  <c r="Q30" i="45" s="1"/>
  <c r="D31" i="1"/>
  <c r="B15" i="45"/>
  <c r="Q15" i="45" s="1"/>
  <c r="D16" i="1"/>
  <c r="B23" i="45"/>
  <c r="Q23" i="45" s="1"/>
  <c r="D24" i="1"/>
  <c r="B31" i="45"/>
  <c r="Q31" i="45" s="1"/>
  <c r="D32" i="1"/>
  <c r="B17" i="45"/>
  <c r="Q17" i="45" s="1"/>
  <c r="D18" i="1"/>
  <c r="B16" i="45"/>
  <c r="Q16" i="45" s="1"/>
  <c r="D17" i="1"/>
  <c r="B24" i="45"/>
  <c r="Q24" i="45" s="1"/>
  <c r="D25" i="1"/>
  <c r="B32" i="45"/>
  <c r="Q32" i="45" s="1"/>
  <c r="D33" i="1"/>
  <c r="AB35" i="48"/>
  <c r="AB11" i="48"/>
  <c r="K34" i="6"/>
  <c r="I40" i="6" s="1"/>
  <c r="I48" i="6" s="1"/>
  <c r="G19" i="48"/>
  <c r="AB19" i="48"/>
  <c r="AH19" i="48"/>
  <c r="K34" i="8"/>
  <c r="H18" i="48"/>
  <c r="AH34" i="48"/>
  <c r="AB34" i="48"/>
  <c r="AB27" i="48"/>
  <c r="C52" i="37"/>
  <c r="C53" i="37" s="1"/>
  <c r="C33" i="4"/>
  <c r="D34" i="4"/>
  <c r="N26" i="45"/>
  <c r="H27" i="48"/>
  <c r="G27" i="48"/>
  <c r="G11" i="48"/>
  <c r="G35" i="48"/>
  <c r="K34" i="17"/>
  <c r="E33" i="4"/>
  <c r="AB28" i="48"/>
  <c r="AB24" i="48"/>
  <c r="E23" i="48"/>
  <c r="F23" i="48" s="1"/>
  <c r="I40" i="22"/>
  <c r="R21" i="48" s="1"/>
  <c r="E21" i="1" s="1"/>
  <c r="C33" i="43"/>
  <c r="M9" i="26"/>
  <c r="J22" i="30"/>
  <c r="J14" i="30"/>
  <c r="J9" i="30"/>
  <c r="J9" i="27" s="1"/>
  <c r="J9" i="28" s="1"/>
  <c r="J9" i="26" s="1"/>
  <c r="J9" i="25" s="1"/>
  <c r="J9" i="24" s="1"/>
  <c r="J21" i="30"/>
  <c r="J8" i="30"/>
  <c r="J20" i="30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23" i="30"/>
  <c r="J19" i="30"/>
  <c r="J18" i="30"/>
  <c r="J13" i="30"/>
  <c r="J17" i="30"/>
  <c r="J12" i="30"/>
  <c r="J16" i="30"/>
  <c r="J11" i="30"/>
  <c r="J15" i="30"/>
  <c r="J10" i="30"/>
  <c r="J10" i="27" s="1"/>
  <c r="J10" i="28" s="1"/>
  <c r="J10" i="26" s="1"/>
  <c r="J10" i="25" s="1"/>
  <c r="J10" i="24" s="1"/>
  <c r="AB13" i="48"/>
  <c r="H13" i="48"/>
  <c r="G13" i="48"/>
  <c r="D15" i="33"/>
  <c r="C52" i="6"/>
  <c r="C53" i="6" s="1"/>
  <c r="F34" i="4"/>
  <c r="F29" i="48"/>
  <c r="C52" i="13"/>
  <c r="C53" i="13" s="1"/>
  <c r="C52" i="9"/>
  <c r="C53" i="9" s="1"/>
  <c r="E24" i="33"/>
  <c r="C34" i="43"/>
  <c r="H28" i="48"/>
  <c r="E15" i="43"/>
  <c r="J57" i="23"/>
  <c r="G20" i="48"/>
  <c r="D24" i="43"/>
  <c r="E24" i="43"/>
  <c r="C24" i="43"/>
  <c r="D15" i="43"/>
  <c r="I40" i="43"/>
  <c r="E34" i="4"/>
  <c r="E15" i="33"/>
  <c r="D33" i="4"/>
  <c r="B37" i="45"/>
  <c r="B38" i="45"/>
  <c r="Q38" i="45" s="1"/>
  <c r="E34" i="33"/>
  <c r="J57" i="33" s="1"/>
  <c r="AB25" i="48"/>
  <c r="D24" i="33"/>
  <c r="B27" i="2"/>
  <c r="B29" i="2"/>
  <c r="B25" i="2"/>
  <c r="AH36" i="48"/>
  <c r="V37" i="48"/>
  <c r="B28" i="2"/>
  <c r="B14" i="2"/>
  <c r="AB10" i="48"/>
  <c r="F32" i="48"/>
  <c r="C52" i="7"/>
  <c r="C53" i="7" s="1"/>
  <c r="H31" i="48"/>
  <c r="E33" i="48"/>
  <c r="C52" i="10"/>
  <c r="C53" i="10" s="1"/>
  <c r="C52" i="11"/>
  <c r="C53" i="11" s="1"/>
  <c r="I47" i="18"/>
  <c r="G30" i="48"/>
  <c r="C52" i="14"/>
  <c r="C53" i="14" s="1"/>
  <c r="E27" i="48"/>
  <c r="C52" i="15"/>
  <c r="C53" i="15" s="1"/>
  <c r="AB26" i="48"/>
  <c r="D27" i="2" s="1"/>
  <c r="I47" i="24"/>
  <c r="I40" i="18"/>
  <c r="R24" i="48" s="1"/>
  <c r="F25" i="48"/>
  <c r="H25" i="48"/>
  <c r="G25" i="48"/>
  <c r="C52" i="17"/>
  <c r="C53" i="17" s="1"/>
  <c r="I47" i="26"/>
  <c r="C52" i="19"/>
  <c r="C53" i="19" s="1"/>
  <c r="C52" i="20"/>
  <c r="C53" i="20" s="1"/>
  <c r="H22" i="48"/>
  <c r="G22" i="48"/>
  <c r="I47" i="25"/>
  <c r="K34" i="21"/>
  <c r="C52" i="21"/>
  <c r="C53" i="21" s="1"/>
  <c r="C52" i="23"/>
  <c r="C53" i="23" s="1"/>
  <c r="I47" i="28"/>
  <c r="AH18" i="48"/>
  <c r="I47" i="33"/>
  <c r="G16" i="48"/>
  <c r="C52" i="26"/>
  <c r="C53" i="26" s="1"/>
  <c r="C52" i="28"/>
  <c r="C53" i="28" s="1"/>
  <c r="AF9" i="48"/>
  <c r="AG9" i="48" s="1"/>
  <c r="C52" i="27"/>
  <c r="C53" i="27" s="1"/>
  <c r="AF10" i="48"/>
  <c r="AH10" i="48" s="1"/>
  <c r="C34" i="33"/>
  <c r="G10" i="48"/>
  <c r="E33" i="33"/>
  <c r="C52" i="29"/>
  <c r="C53" i="29" s="1"/>
  <c r="AF13" i="48"/>
  <c r="AH13" i="48" s="1"/>
  <c r="J38" i="31"/>
  <c r="J47" i="33"/>
  <c r="D51" i="32"/>
  <c r="D51" i="31" s="1"/>
  <c r="D49" i="32"/>
  <c r="D47" i="32"/>
  <c r="E47" i="32" s="1"/>
  <c r="D45" i="32"/>
  <c r="E49" i="33"/>
  <c r="H10" i="48"/>
  <c r="C52" i="31"/>
  <c r="C53" i="31" s="1"/>
  <c r="J46" i="32"/>
  <c r="J47" i="32" s="1"/>
  <c r="D44" i="32"/>
  <c r="D40" i="32"/>
  <c r="D34" i="33"/>
  <c r="C33" i="33"/>
  <c r="C52" i="32"/>
  <c r="C53" i="32" s="1"/>
  <c r="F15" i="48"/>
  <c r="F36" i="48"/>
  <c r="C52" i="22"/>
  <c r="C53" i="22" s="1"/>
  <c r="C52" i="18"/>
  <c r="C53" i="18" s="1"/>
  <c r="C52" i="16"/>
  <c r="C53" i="16" s="1"/>
  <c r="C52" i="12"/>
  <c r="C53" i="12" s="1"/>
  <c r="C52" i="8"/>
  <c r="C53" i="8" s="1"/>
  <c r="V15" i="37"/>
  <c r="W15" i="37" s="1"/>
  <c r="V7" i="37"/>
  <c r="W7" i="37" s="1"/>
  <c r="C52" i="4"/>
  <c r="C53" i="4" s="1"/>
  <c r="E24" i="4"/>
  <c r="E15" i="4"/>
  <c r="D15" i="4"/>
  <c r="C52" i="43"/>
  <c r="C53" i="43" s="1"/>
  <c r="E16" i="48"/>
  <c r="AB12" i="48"/>
  <c r="G12" i="48"/>
  <c r="G14" i="48"/>
  <c r="H14" i="48"/>
  <c r="AB18" i="48"/>
  <c r="G18" i="48"/>
  <c r="AB20" i="48"/>
  <c r="H20" i="48"/>
  <c r="AB22" i="48"/>
  <c r="G28" i="48"/>
  <c r="H30" i="48"/>
  <c r="H34" i="48"/>
  <c r="G34" i="48"/>
  <c r="V36" i="48"/>
  <c r="AB36" i="48"/>
  <c r="V38" i="48"/>
  <c r="AB38" i="48"/>
  <c r="G38" i="48"/>
  <c r="H38" i="48"/>
  <c r="J44" i="33"/>
  <c r="J43" i="32"/>
  <c r="I44" i="18"/>
  <c r="I44" i="4"/>
  <c r="C52" i="25"/>
  <c r="C53" i="25" s="1"/>
  <c r="C52" i="30"/>
  <c r="C53" i="30" s="1"/>
  <c r="C52" i="24"/>
  <c r="C53" i="24" s="1"/>
  <c r="D43" i="32"/>
  <c r="D43" i="31" s="1"/>
  <c r="D41" i="32"/>
  <c r="E41" i="32" s="1"/>
  <c r="F34" i="33"/>
  <c r="D33" i="33"/>
  <c r="I40" i="20"/>
  <c r="I48" i="20" s="1"/>
  <c r="E34" i="43"/>
  <c r="C15" i="43"/>
  <c r="V39" i="48"/>
  <c r="G39" i="48"/>
  <c r="E21" i="48"/>
  <c r="E22" i="48"/>
  <c r="E24" i="48"/>
  <c r="E39" i="48"/>
  <c r="C15" i="4"/>
  <c r="V15" i="4"/>
  <c r="W15" i="4" s="1"/>
  <c r="D33" i="43"/>
  <c r="D34" i="43"/>
  <c r="E20" i="48"/>
  <c r="E9" i="48"/>
  <c r="J37" i="33"/>
  <c r="E38" i="33"/>
  <c r="D38" i="32"/>
  <c r="E38" i="32" s="1"/>
  <c r="P41" i="48"/>
  <c r="E41" i="33"/>
  <c r="E45" i="33"/>
  <c r="D39" i="32"/>
  <c r="E43" i="33"/>
  <c r="E47" i="33"/>
  <c r="E44" i="33"/>
  <c r="C52" i="33"/>
  <c r="C53" i="33" s="1"/>
  <c r="E50" i="33"/>
  <c r="D50" i="32"/>
  <c r="E40" i="33"/>
  <c r="D48" i="32"/>
  <c r="E48" i="32" s="1"/>
  <c r="D52" i="33"/>
  <c r="D53" i="33" s="1"/>
  <c r="D42" i="32"/>
  <c r="D46" i="32"/>
  <c r="E51" i="33"/>
  <c r="A11" i="2"/>
  <c r="M20" i="11"/>
  <c r="M20" i="10" s="1"/>
  <c r="M20" i="9" s="1"/>
  <c r="M20" i="8" s="1"/>
  <c r="M20" i="7" s="1"/>
  <c r="M20" i="6" s="1"/>
  <c r="M20" i="37" s="1"/>
  <c r="M20" i="4" s="1"/>
  <c r="M20" i="43" s="1"/>
  <c r="E10" i="48"/>
  <c r="E11" i="48"/>
  <c r="E14" i="48"/>
  <c r="E19" i="48"/>
  <c r="E26" i="48"/>
  <c r="E34" i="48"/>
  <c r="E37" i="48"/>
  <c r="E38" i="48"/>
  <c r="E31" i="48"/>
  <c r="F35" i="48"/>
  <c r="G36" i="48"/>
  <c r="AH15" i="48"/>
  <c r="AB29" i="48"/>
  <c r="J32" i="25"/>
  <c r="J32" i="24"/>
  <c r="J32" i="23" s="1"/>
  <c r="F28" i="48"/>
  <c r="H35" i="48"/>
  <c r="H33" i="48"/>
  <c r="H23" i="48"/>
  <c r="G26" i="48"/>
  <c r="H11" i="48"/>
  <c r="Q10" i="48"/>
  <c r="AC9" i="48"/>
  <c r="I47" i="4"/>
  <c r="AF38" i="48"/>
  <c r="I47" i="37"/>
  <c r="AF37" i="48"/>
  <c r="I47" i="6"/>
  <c r="AF35" i="48"/>
  <c r="I47" i="8"/>
  <c r="I47" i="9"/>
  <c r="AF32" i="48"/>
  <c r="AF31" i="48"/>
  <c r="I47" i="12"/>
  <c r="I47" i="13"/>
  <c r="AF28" i="48"/>
  <c r="AF27" i="48"/>
  <c r="AF26" i="48"/>
  <c r="I47" i="19"/>
  <c r="AF23" i="48"/>
  <c r="AF22" i="48"/>
  <c r="I47" i="23"/>
  <c r="I47" i="30"/>
  <c r="AF12" i="48"/>
  <c r="AH12" i="48" s="1"/>
  <c r="H36" i="48"/>
  <c r="H32" i="48"/>
  <c r="H12" i="48"/>
  <c r="H17" i="48"/>
  <c r="G24" i="48"/>
  <c r="H24" i="48"/>
  <c r="I47" i="22"/>
  <c r="AF25" i="48"/>
  <c r="AF14" i="48"/>
  <c r="AF20" i="48"/>
  <c r="I47" i="20"/>
  <c r="I47" i="14"/>
  <c r="AF39" i="48"/>
  <c r="I47" i="10"/>
  <c r="I47" i="11"/>
  <c r="I47" i="7"/>
  <c r="AH11" i="48"/>
  <c r="I47" i="31"/>
  <c r="AB16" i="48"/>
  <c r="H16" i="48"/>
  <c r="H26" i="48"/>
  <c r="R32" i="48" l="1"/>
  <c r="D28" i="2"/>
  <c r="AA145" i="57"/>
  <c r="AB145" i="57" s="1"/>
  <c r="Z26" i="57"/>
  <c r="AA26" i="57" s="1"/>
  <c r="AB26" i="57" s="1"/>
  <c r="W6" i="57"/>
  <c r="AA6" i="57" s="1"/>
  <c r="Z21" i="57"/>
  <c r="AA21" i="57" s="1"/>
  <c r="AB21" i="57" s="1"/>
  <c r="Z16" i="57"/>
  <c r="AA16" i="57"/>
  <c r="AB16" i="57" s="1"/>
  <c r="M15" i="4"/>
  <c r="M15" i="43" s="1"/>
  <c r="W155" i="57"/>
  <c r="X6" i="57"/>
  <c r="I48" i="10"/>
  <c r="F14" i="45"/>
  <c r="W155" i="46"/>
  <c r="K34" i="4"/>
  <c r="I40" i="4" s="1"/>
  <c r="I48" i="4" s="1"/>
  <c r="D26" i="2"/>
  <c r="D25" i="2" s="1"/>
  <c r="D16" i="2"/>
  <c r="D23" i="2"/>
  <c r="D22" i="2" s="1"/>
  <c r="D35" i="4"/>
  <c r="D20" i="2"/>
  <c r="J27" i="45"/>
  <c r="N17" i="45"/>
  <c r="F17" i="45"/>
  <c r="J17" i="45"/>
  <c r="J30" i="45"/>
  <c r="F30" i="45"/>
  <c r="J26" i="29"/>
  <c r="J26" i="27" s="1"/>
  <c r="J26" i="28" s="1"/>
  <c r="J26" i="26" s="1"/>
  <c r="J25" i="29"/>
  <c r="J25" i="27" s="1"/>
  <c r="J25" i="28" s="1"/>
  <c r="J25" i="26" s="1"/>
  <c r="J27" i="29"/>
  <c r="J27" i="27" s="1"/>
  <c r="J27" i="28" s="1"/>
  <c r="J27" i="26" s="1"/>
  <c r="J28" i="29"/>
  <c r="J28" i="27" s="1"/>
  <c r="J28" i="28" s="1"/>
  <c r="J28" i="26" s="1"/>
  <c r="J29" i="29"/>
  <c r="J29" i="27" s="1"/>
  <c r="J29" i="28" s="1"/>
  <c r="J29" i="26" s="1"/>
  <c r="J24" i="29"/>
  <c r="J24" i="27" s="1"/>
  <c r="J24" i="28" s="1"/>
  <c r="J24" i="26" s="1"/>
  <c r="J30" i="29"/>
  <c r="J30" i="27" s="1"/>
  <c r="J30" i="28" s="1"/>
  <c r="J30" i="26" s="1"/>
  <c r="J31" i="29"/>
  <c r="J31" i="27" s="1"/>
  <c r="J31" i="28" s="1"/>
  <c r="J31" i="26" s="1"/>
  <c r="J22" i="29"/>
  <c r="J22" i="27" s="1"/>
  <c r="J22" i="28" s="1"/>
  <c r="J22" i="26" s="1"/>
  <c r="J22" i="25" s="1"/>
  <c r="J22" i="24" s="1"/>
  <c r="J22" i="23" s="1"/>
  <c r="J22" i="21" s="1"/>
  <c r="J22" i="22" s="1"/>
  <c r="J22" i="20" s="1"/>
  <c r="A12" i="48"/>
  <c r="A10" i="45"/>
  <c r="D21" i="2"/>
  <c r="J15" i="29"/>
  <c r="J15" i="27" s="1"/>
  <c r="J15" i="28" s="1"/>
  <c r="J15" i="26" s="1"/>
  <c r="J15" i="25" s="1"/>
  <c r="J15" i="24" s="1"/>
  <c r="J15" i="23" s="1"/>
  <c r="J15" i="21" s="1"/>
  <c r="J15" i="22" s="1"/>
  <c r="J15" i="20" s="1"/>
  <c r="J23" i="29"/>
  <c r="J23" i="27" s="1"/>
  <c r="J23" i="28" s="1"/>
  <c r="J23" i="26" s="1"/>
  <c r="J23" i="25" s="1"/>
  <c r="J23" i="24" s="1"/>
  <c r="J23" i="23" s="1"/>
  <c r="J23" i="21" s="1"/>
  <c r="J23" i="22" s="1"/>
  <c r="J23" i="20" s="1"/>
  <c r="J11" i="29"/>
  <c r="J11" i="27" s="1"/>
  <c r="J11" i="28" s="1"/>
  <c r="J11" i="26" s="1"/>
  <c r="J11" i="25" s="1"/>
  <c r="J11" i="24" s="1"/>
  <c r="J11" i="23" s="1"/>
  <c r="J11" i="21" s="1"/>
  <c r="J11" i="20" s="1"/>
  <c r="J15" i="45"/>
  <c r="N19" i="45"/>
  <c r="E39" i="32"/>
  <c r="Z16" i="46"/>
  <c r="AA16" i="46" s="1"/>
  <c r="AB16" i="46" s="1"/>
  <c r="D49" i="31"/>
  <c r="E49" i="31" s="1"/>
  <c r="Z26" i="46"/>
  <c r="AA26" i="46" s="1"/>
  <c r="AB26" i="46" s="1"/>
  <c r="J16" i="29"/>
  <c r="J16" i="27" s="1"/>
  <c r="J16" i="28" s="1"/>
  <c r="J16" i="26" s="1"/>
  <c r="J16" i="25" s="1"/>
  <c r="J16" i="24" s="1"/>
  <c r="J16" i="23" s="1"/>
  <c r="J16" i="21" s="1"/>
  <c r="J16" i="22" s="1"/>
  <c r="J16" i="20" s="1"/>
  <c r="J20" i="29"/>
  <c r="J20" i="27" s="1"/>
  <c r="J20" i="28" s="1"/>
  <c r="J20" i="26" s="1"/>
  <c r="J20" i="25" s="1"/>
  <c r="J20" i="24" s="1"/>
  <c r="J20" i="23" s="1"/>
  <c r="J20" i="21" s="1"/>
  <c r="J20" i="22" s="1"/>
  <c r="J20" i="20" s="1"/>
  <c r="F19" i="45"/>
  <c r="J14" i="29"/>
  <c r="J14" i="27" s="1"/>
  <c r="J14" i="28" s="1"/>
  <c r="J14" i="26" s="1"/>
  <c r="J14" i="25" s="1"/>
  <c r="J14" i="24" s="1"/>
  <c r="J14" i="23" s="1"/>
  <c r="J14" i="21" s="1"/>
  <c r="J14" i="22" s="1"/>
  <c r="J14" i="20" s="1"/>
  <c r="E44" i="32"/>
  <c r="Z21" i="46"/>
  <c r="AA21" i="46" s="1"/>
  <c r="AB21" i="46" s="1"/>
  <c r="J12" i="29"/>
  <c r="J12" i="27" s="1"/>
  <c r="J12" i="28" s="1"/>
  <c r="J12" i="26" s="1"/>
  <c r="J12" i="25" s="1"/>
  <c r="J12" i="24" s="1"/>
  <c r="J12" i="23" s="1"/>
  <c r="J12" i="21" s="1"/>
  <c r="J12" i="22" s="1"/>
  <c r="J8" i="29"/>
  <c r="J8" i="27" s="1"/>
  <c r="J8" i="28" s="1"/>
  <c r="J8" i="26" s="1"/>
  <c r="J8" i="25" s="1"/>
  <c r="J8" i="24" s="1"/>
  <c r="J8" i="23" s="1"/>
  <c r="J8" i="21" s="1"/>
  <c r="J8" i="22" s="1"/>
  <c r="J8" i="20" s="1"/>
  <c r="J19" i="45"/>
  <c r="J18" i="29"/>
  <c r="J18" i="27" s="1"/>
  <c r="J18" i="28" s="1"/>
  <c r="J18" i="26" s="1"/>
  <c r="J18" i="25" s="1"/>
  <c r="J18" i="24" s="1"/>
  <c r="J18" i="23" s="1"/>
  <c r="J18" i="21" s="1"/>
  <c r="J18" i="22" s="1"/>
  <c r="J18" i="20" s="1"/>
  <c r="J17" i="29"/>
  <c r="J17" i="27" s="1"/>
  <c r="J17" i="28" s="1"/>
  <c r="J17" i="26" s="1"/>
  <c r="J17" i="25" s="1"/>
  <c r="J17" i="24" s="1"/>
  <c r="J17" i="23" s="1"/>
  <c r="J17" i="21" s="1"/>
  <c r="J17" i="22" s="1"/>
  <c r="J17" i="20" s="1"/>
  <c r="J21" i="29"/>
  <c r="J21" i="27" s="1"/>
  <c r="J21" i="28" s="1"/>
  <c r="J21" i="26" s="1"/>
  <c r="J21" i="25" s="1"/>
  <c r="J21" i="24" s="1"/>
  <c r="J21" i="23" s="1"/>
  <c r="J21" i="21" s="1"/>
  <c r="J21" i="22" s="1"/>
  <c r="J21" i="20" s="1"/>
  <c r="J19" i="29"/>
  <c r="J19" i="27" s="1"/>
  <c r="J19" i="28" s="1"/>
  <c r="J19" i="26" s="1"/>
  <c r="J19" i="25" s="1"/>
  <c r="J19" i="24" s="1"/>
  <c r="J19" i="23" s="1"/>
  <c r="J19" i="21" s="1"/>
  <c r="J19" i="22" s="1"/>
  <c r="J19" i="20" s="1"/>
  <c r="K7" i="33"/>
  <c r="M7" i="33" s="1"/>
  <c r="M34" i="33" s="1"/>
  <c r="J40" i="33" s="1"/>
  <c r="J48" i="33" s="1"/>
  <c r="J13" i="29"/>
  <c r="J13" i="27" s="1"/>
  <c r="J13" i="28" s="1"/>
  <c r="J13" i="26" s="1"/>
  <c r="J13" i="25" s="1"/>
  <c r="J13" i="24" s="1"/>
  <c r="J13" i="23" s="1"/>
  <c r="J13" i="21" s="1"/>
  <c r="J13" i="22" s="1"/>
  <c r="J13" i="20" s="1"/>
  <c r="N18" i="45"/>
  <c r="D11" i="2"/>
  <c r="N14" i="45"/>
  <c r="J28" i="45"/>
  <c r="J14" i="45"/>
  <c r="F26" i="45"/>
  <c r="D29" i="2"/>
  <c r="N21" i="45"/>
  <c r="J26" i="45"/>
  <c r="F21" i="45"/>
  <c r="J23" i="45"/>
  <c r="F24" i="45"/>
  <c r="F36" i="45"/>
  <c r="N16" i="45"/>
  <c r="F18" i="45"/>
  <c r="J21" i="45"/>
  <c r="N36" i="45"/>
  <c r="F34" i="45"/>
  <c r="N15" i="45"/>
  <c r="J18" i="45"/>
  <c r="N20" i="45"/>
  <c r="F33" i="45"/>
  <c r="N33" i="45"/>
  <c r="D24" i="2"/>
  <c r="D33" i="2"/>
  <c r="J33" i="45"/>
  <c r="N29" i="45"/>
  <c r="J36" i="45"/>
  <c r="D31" i="2"/>
  <c r="N23" i="45"/>
  <c r="N24" i="45"/>
  <c r="D32" i="2"/>
  <c r="J25" i="45"/>
  <c r="D38" i="2"/>
  <c r="J20" i="45"/>
  <c r="F22" i="45"/>
  <c r="F27" i="45"/>
  <c r="J29" i="45"/>
  <c r="J22" i="45"/>
  <c r="F31" i="45"/>
  <c r="D35" i="2"/>
  <c r="N22" i="45"/>
  <c r="J31" i="45"/>
  <c r="E45" i="32"/>
  <c r="F25" i="45"/>
  <c r="N31" i="45"/>
  <c r="D19" i="2"/>
  <c r="N25" i="45"/>
  <c r="F32" i="45"/>
  <c r="D10" i="2"/>
  <c r="F20" i="45"/>
  <c r="N27" i="45"/>
  <c r="J34" i="45"/>
  <c r="N28" i="45"/>
  <c r="J24" i="45"/>
  <c r="N35" i="45"/>
  <c r="F35" i="45"/>
  <c r="N34" i="45"/>
  <c r="F23" i="45"/>
  <c r="F28" i="45"/>
  <c r="W6" i="46"/>
  <c r="N8" i="45"/>
  <c r="F8" i="45"/>
  <c r="J8" i="45"/>
  <c r="D39" i="2" s="1"/>
  <c r="D17" i="2"/>
  <c r="D30" i="2"/>
  <c r="D36" i="2"/>
  <c r="D41" i="1"/>
  <c r="C23" i="45"/>
  <c r="K23" i="45" s="1"/>
  <c r="E24" i="1"/>
  <c r="D37" i="2"/>
  <c r="D18" i="2"/>
  <c r="F16" i="45"/>
  <c r="N30" i="45"/>
  <c r="J35" i="45"/>
  <c r="D15" i="2"/>
  <c r="D40" i="2"/>
  <c r="Q37" i="45"/>
  <c r="J16" i="45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JB21" i="1"/>
  <c r="IA21" i="1"/>
  <c r="GZ21" i="1"/>
  <c r="FJ21" i="1"/>
  <c r="EI21" i="1"/>
  <c r="DH21" i="1"/>
  <c r="BR21" i="1"/>
  <c r="AQ21" i="1"/>
  <c r="P21" i="1"/>
  <c r="IM21" i="1"/>
  <c r="HL21" i="1"/>
  <c r="FV21" i="1"/>
  <c r="EU21" i="1"/>
  <c r="DT21" i="1"/>
  <c r="CD21" i="1"/>
  <c r="BC21" i="1"/>
  <c r="AB21" i="1"/>
  <c r="IY21" i="1"/>
  <c r="HX21" i="1"/>
  <c r="GH21" i="1"/>
  <c r="FG21" i="1"/>
  <c r="EF21" i="1"/>
  <c r="CP21" i="1"/>
  <c r="BO21" i="1"/>
  <c r="AN21" i="1"/>
  <c r="IJ21" i="1"/>
  <c r="GT21" i="1"/>
  <c r="FS21" i="1"/>
  <c r="ER21" i="1"/>
  <c r="DB21" i="1"/>
  <c r="CA21" i="1"/>
  <c r="AZ21" i="1"/>
  <c r="J21" i="1"/>
  <c r="IV21" i="1"/>
  <c r="HF21" i="1"/>
  <c r="GE21" i="1"/>
  <c r="FD21" i="1"/>
  <c r="DN21" i="1"/>
  <c r="CM21" i="1"/>
  <c r="BL21" i="1"/>
  <c r="V21" i="1"/>
  <c r="ID21" i="1"/>
  <c r="HC21" i="1"/>
  <c r="GB21" i="1"/>
  <c r="EL21" i="1"/>
  <c r="DK21" i="1"/>
  <c r="CJ21" i="1"/>
  <c r="AT21" i="1"/>
  <c r="S21" i="1"/>
  <c r="FP21" i="1"/>
  <c r="DZ21" i="1"/>
  <c r="AE21" i="1"/>
  <c r="IP21" i="1"/>
  <c r="G21" i="1"/>
  <c r="JH21" i="1"/>
  <c r="HR21" i="1"/>
  <c r="DW21" i="1"/>
  <c r="CY21" i="1"/>
  <c r="HO21" i="1"/>
  <c r="BX21" i="1"/>
  <c r="AH21" i="1"/>
  <c r="GQ21" i="1"/>
  <c r="EX21" i="1"/>
  <c r="GN21" i="1"/>
  <c r="BF21" i="1"/>
  <c r="CV21" i="1"/>
  <c r="F29" i="45"/>
  <c r="J32" i="45"/>
  <c r="C31" i="45"/>
  <c r="D34" i="2" s="1"/>
  <c r="E32" i="1"/>
  <c r="F15" i="45"/>
  <c r="N32" i="45"/>
  <c r="K34" i="37"/>
  <c r="I40" i="37" s="1"/>
  <c r="I48" i="37" s="1"/>
  <c r="J57" i="21"/>
  <c r="J57" i="22" s="1"/>
  <c r="J57" i="20" s="1"/>
  <c r="J57" i="19" s="1"/>
  <c r="J57" i="18" s="1"/>
  <c r="I40" i="8"/>
  <c r="K34" i="7"/>
  <c r="K34" i="9"/>
  <c r="I45" i="22"/>
  <c r="K34" i="12"/>
  <c r="K34" i="11"/>
  <c r="J57" i="32"/>
  <c r="J57" i="31" s="1"/>
  <c r="C35" i="13"/>
  <c r="I48" i="22"/>
  <c r="K34" i="16"/>
  <c r="K34" i="13"/>
  <c r="K34" i="14"/>
  <c r="I40" i="17"/>
  <c r="I48" i="17" s="1"/>
  <c r="K34" i="15"/>
  <c r="K34" i="19"/>
  <c r="C35" i="4"/>
  <c r="J9" i="23"/>
  <c r="J9" i="21" s="1"/>
  <c r="J9" i="22" s="1"/>
  <c r="J9" i="20" s="1"/>
  <c r="M9" i="25"/>
  <c r="M9" i="24" s="1"/>
  <c r="M9" i="23" s="1"/>
  <c r="M9" i="21" s="1"/>
  <c r="J10" i="23"/>
  <c r="J10" i="21" s="1"/>
  <c r="J10" i="22" s="1"/>
  <c r="J10" i="20" s="1"/>
  <c r="I40" i="21"/>
  <c r="R20" i="48" s="1"/>
  <c r="E20" i="1" s="1"/>
  <c r="K34" i="23"/>
  <c r="BC21" i="48"/>
  <c r="C20" i="45"/>
  <c r="K34" i="24"/>
  <c r="E35" i="4"/>
  <c r="K34" i="25"/>
  <c r="K34" i="26"/>
  <c r="C35" i="25"/>
  <c r="K34" i="28"/>
  <c r="D40" i="31"/>
  <c r="D40" i="30" s="1"/>
  <c r="K34" i="29"/>
  <c r="K34" i="30"/>
  <c r="E35" i="37"/>
  <c r="BC24" i="48"/>
  <c r="BC32" i="48"/>
  <c r="C35" i="37"/>
  <c r="D35" i="37"/>
  <c r="I51" i="43"/>
  <c r="R39" i="48"/>
  <c r="I45" i="43"/>
  <c r="I48" i="43"/>
  <c r="I32" i="48"/>
  <c r="K7" i="32"/>
  <c r="I51" i="6"/>
  <c r="I45" i="6"/>
  <c r="R36" i="48"/>
  <c r="E36" i="1" s="1"/>
  <c r="F38" i="45"/>
  <c r="J38" i="45"/>
  <c r="N38" i="45"/>
  <c r="J37" i="45"/>
  <c r="N37" i="45"/>
  <c r="F37" i="45"/>
  <c r="B40" i="45"/>
  <c r="J32" i="48"/>
  <c r="AD32" i="48"/>
  <c r="AG10" i="48"/>
  <c r="AG11" i="48" s="1"/>
  <c r="AG12" i="48" s="1"/>
  <c r="AG13" i="48" s="1"/>
  <c r="AG14" i="48" s="1"/>
  <c r="AG15" i="48" s="1"/>
  <c r="AG16" i="48" s="1"/>
  <c r="AG17" i="48" s="1"/>
  <c r="AG18" i="48" s="1"/>
  <c r="AG19" i="48" s="1"/>
  <c r="AG20" i="48" s="1"/>
  <c r="AG21" i="48" s="1"/>
  <c r="AG22" i="48" s="1"/>
  <c r="AG23" i="48" s="1"/>
  <c r="AG24" i="48" s="1"/>
  <c r="AG25" i="48" s="1"/>
  <c r="AG26" i="48" s="1"/>
  <c r="AG27" i="48" s="1"/>
  <c r="AG28" i="48" s="1"/>
  <c r="AG29" i="48" s="1"/>
  <c r="AG30" i="48" s="1"/>
  <c r="AG31" i="48" s="1"/>
  <c r="AG32" i="48" s="1"/>
  <c r="AG33" i="48" s="1"/>
  <c r="AG34" i="48" s="1"/>
  <c r="AG35" i="48" s="1"/>
  <c r="AG36" i="48" s="1"/>
  <c r="AG37" i="48" s="1"/>
  <c r="AG38" i="48" s="1"/>
  <c r="AG39" i="48" s="1"/>
  <c r="J56" i="33"/>
  <c r="J56" i="32" s="1"/>
  <c r="J56" i="31" s="1"/>
  <c r="E35" i="33"/>
  <c r="D35" i="13"/>
  <c r="C35" i="32"/>
  <c r="E35" i="28"/>
  <c r="M10" i="21"/>
  <c r="J24" i="48"/>
  <c r="F33" i="48"/>
  <c r="F27" i="48"/>
  <c r="AJ24" i="48"/>
  <c r="I45" i="18"/>
  <c r="I48" i="18"/>
  <c r="AD24" i="48"/>
  <c r="I24" i="48"/>
  <c r="AD21" i="48"/>
  <c r="D35" i="25"/>
  <c r="E35" i="25"/>
  <c r="J46" i="31"/>
  <c r="J47" i="31" s="1"/>
  <c r="E35" i="32"/>
  <c r="J38" i="30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D47" i="31"/>
  <c r="D47" i="30" s="1"/>
  <c r="D47" i="29" s="1"/>
  <c r="D45" i="31"/>
  <c r="D45" i="30" s="1"/>
  <c r="E45" i="30" s="1"/>
  <c r="E49" i="32"/>
  <c r="D35" i="32"/>
  <c r="M8" i="32"/>
  <c r="C35" i="33"/>
  <c r="E51" i="32"/>
  <c r="D39" i="31"/>
  <c r="D39" i="30" s="1"/>
  <c r="E39" i="30" s="1"/>
  <c r="E40" i="32"/>
  <c r="D41" i="31"/>
  <c r="E41" i="31" s="1"/>
  <c r="D44" i="31"/>
  <c r="D44" i="30" s="1"/>
  <c r="D44" i="29" s="1"/>
  <c r="AB41" i="48"/>
  <c r="E43" i="32"/>
  <c r="D35" i="33"/>
  <c r="E43" i="31"/>
  <c r="D43" i="30"/>
  <c r="D43" i="29" s="1"/>
  <c r="E43" i="29" s="1"/>
  <c r="F24" i="48"/>
  <c r="F22" i="48"/>
  <c r="F21" i="48"/>
  <c r="R22" i="48"/>
  <c r="E22" i="1" s="1"/>
  <c r="D35" i="28"/>
  <c r="C35" i="29"/>
  <c r="D35" i="29"/>
  <c r="I45" i="20"/>
  <c r="F39" i="48"/>
  <c r="C35" i="28"/>
  <c r="I21" i="48"/>
  <c r="AJ21" i="48"/>
  <c r="J21" i="48"/>
  <c r="E35" i="29"/>
  <c r="F20" i="48"/>
  <c r="D35" i="43"/>
  <c r="C35" i="43"/>
  <c r="I51" i="4"/>
  <c r="R38" i="48"/>
  <c r="E38" i="1" s="1"/>
  <c r="E35" i="43"/>
  <c r="E35" i="13"/>
  <c r="I45" i="4"/>
  <c r="J44" i="32"/>
  <c r="J43" i="31"/>
  <c r="F16" i="48"/>
  <c r="D48" i="31"/>
  <c r="E48" i="31" s="1"/>
  <c r="D52" i="32"/>
  <c r="D38" i="31"/>
  <c r="D38" i="30" s="1"/>
  <c r="E50" i="32"/>
  <c r="D50" i="31"/>
  <c r="E52" i="33"/>
  <c r="E53" i="33" s="1"/>
  <c r="D42" i="31"/>
  <c r="E42" i="32"/>
  <c r="D46" i="31"/>
  <c r="E46" i="32"/>
  <c r="E51" i="31"/>
  <c r="D51" i="30"/>
  <c r="A12" i="2"/>
  <c r="F38" i="48"/>
  <c r="F34" i="48"/>
  <c r="F19" i="48"/>
  <c r="F14" i="48"/>
  <c r="F10" i="48"/>
  <c r="J39" i="33"/>
  <c r="J37" i="32"/>
  <c r="F31" i="48"/>
  <c r="F37" i="48"/>
  <c r="F26" i="48"/>
  <c r="F11" i="48"/>
  <c r="F9" i="48"/>
  <c r="AH39" i="48"/>
  <c r="AH14" i="48"/>
  <c r="AF41" i="48"/>
  <c r="AH26" i="48"/>
  <c r="AJ32" i="48"/>
  <c r="AH32" i="48"/>
  <c r="AH35" i="48"/>
  <c r="Q11" i="48"/>
  <c r="AC10" i="48"/>
  <c r="AH20" i="48"/>
  <c r="AH25" i="48"/>
  <c r="AH22" i="48"/>
  <c r="AH27" i="48"/>
  <c r="AH28" i="48"/>
  <c r="AH31" i="48"/>
  <c r="AH37" i="48"/>
  <c r="AH23" i="48"/>
  <c r="AH38" i="48"/>
  <c r="W11" i="57" l="1"/>
  <c r="W167" i="57" s="1"/>
  <c r="X172" i="57" s="1"/>
  <c r="Z65" i="57"/>
  <c r="AA65" i="57" s="1"/>
  <c r="AB65" i="57" s="1"/>
  <c r="AB6" i="57"/>
  <c r="X11" i="57"/>
  <c r="AA11" i="57"/>
  <c r="AB11" i="57" s="1"/>
  <c r="X155" i="57"/>
  <c r="AA155" i="57"/>
  <c r="AB155" i="57" s="1"/>
  <c r="X6" i="46"/>
  <c r="AA6" i="46"/>
  <c r="AA155" i="46"/>
  <c r="AB155" i="46" s="1"/>
  <c r="X155" i="46"/>
  <c r="K31" i="45"/>
  <c r="M9" i="22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Z65" i="46"/>
  <c r="AA65" i="46" s="1"/>
  <c r="AB65" i="46" s="1"/>
  <c r="M10" i="22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D49" i="30"/>
  <c r="D49" i="29" s="1"/>
  <c r="D49" i="27" s="1"/>
  <c r="J30" i="25"/>
  <c r="J30" i="24"/>
  <c r="J30" i="23" s="1"/>
  <c r="J30" i="21" s="1"/>
  <c r="J30" i="22" s="1"/>
  <c r="J30" i="20" s="1"/>
  <c r="J24" i="25"/>
  <c r="J24" i="24"/>
  <c r="J24" i="23" s="1"/>
  <c r="J24" i="21" s="1"/>
  <c r="J24" i="22" s="1"/>
  <c r="J24" i="20" s="1"/>
  <c r="J29" i="25"/>
  <c r="J29" i="24"/>
  <c r="J29" i="23" s="1"/>
  <c r="J29" i="21" s="1"/>
  <c r="J29" i="22" s="1"/>
  <c r="J29" i="20" s="1"/>
  <c r="J29" i="19" s="1"/>
  <c r="J29" i="18" s="1"/>
  <c r="J29" i="17" s="1"/>
  <c r="J28" i="25"/>
  <c r="J28" i="24"/>
  <c r="J28" i="23" s="1"/>
  <c r="J28" i="21" s="1"/>
  <c r="J28" i="22" s="1"/>
  <c r="J28" i="20" s="1"/>
  <c r="J28" i="19" s="1"/>
  <c r="J28" i="18" s="1"/>
  <c r="J28" i="17" s="1"/>
  <c r="J27" i="25"/>
  <c r="J27" i="24"/>
  <c r="J27" i="23" s="1"/>
  <c r="J27" i="21" s="1"/>
  <c r="J27" i="22" s="1"/>
  <c r="J27" i="20" s="1"/>
  <c r="J25" i="25"/>
  <c r="J25" i="24"/>
  <c r="J31" i="25"/>
  <c r="J31" i="24"/>
  <c r="J31" i="23" s="1"/>
  <c r="J31" i="21" s="1"/>
  <c r="J31" i="22" s="1"/>
  <c r="J31" i="20" s="1"/>
  <c r="J31" i="19" s="1"/>
  <c r="J31" i="18" s="1"/>
  <c r="J31" i="17" s="1"/>
  <c r="J26" i="25"/>
  <c r="J26" i="24"/>
  <c r="J26" i="23" s="1"/>
  <c r="J26" i="21" s="1"/>
  <c r="J26" i="22" s="1"/>
  <c r="J26" i="20" s="1"/>
  <c r="J26" i="19" s="1"/>
  <c r="J26" i="18" s="1"/>
  <c r="J26" i="17" s="1"/>
  <c r="A13" i="48"/>
  <c r="A11" i="45"/>
  <c r="W11" i="46"/>
  <c r="G23" i="45"/>
  <c r="K34" i="33"/>
  <c r="I40" i="33" s="1"/>
  <c r="R9" i="48" s="1"/>
  <c r="S9" i="48" s="1"/>
  <c r="BD9" i="48" s="1"/>
  <c r="R23" i="45"/>
  <c r="O23" i="45"/>
  <c r="O31" i="45"/>
  <c r="I45" i="37"/>
  <c r="R37" i="48"/>
  <c r="E37" i="1" s="1"/>
  <c r="HX32" i="1"/>
  <c r="DN32" i="1"/>
  <c r="CV32" i="1"/>
  <c r="CD32" i="1"/>
  <c r="ID32" i="1"/>
  <c r="HL32" i="1"/>
  <c r="GT32" i="1"/>
  <c r="AT32" i="1"/>
  <c r="AB32" i="1"/>
  <c r="J32" i="1"/>
  <c r="FJ32" i="1"/>
  <c r="ER32" i="1"/>
  <c r="DZ32" i="1"/>
  <c r="IP32" i="1"/>
  <c r="CP32" i="1"/>
  <c r="BX32" i="1"/>
  <c r="BF32" i="1"/>
  <c r="IS32" i="1"/>
  <c r="HF32" i="1"/>
  <c r="GN32" i="1"/>
  <c r="FV32" i="1"/>
  <c r="V32" i="1"/>
  <c r="JB32" i="1"/>
  <c r="IJ32" i="1"/>
  <c r="HR32" i="1"/>
  <c r="BR32" i="1"/>
  <c r="AZ32" i="1"/>
  <c r="AH32" i="1"/>
  <c r="DT32" i="1"/>
  <c r="EL32" i="1"/>
  <c r="EX32" i="1"/>
  <c r="FP32" i="1"/>
  <c r="DB32" i="1"/>
  <c r="GH32" i="1"/>
  <c r="DH32" i="1"/>
  <c r="FD32" i="1"/>
  <c r="GZ32" i="1"/>
  <c r="AW32" i="1"/>
  <c r="EO32" i="1"/>
  <c r="IG32" i="1"/>
  <c r="BC32" i="1"/>
  <c r="EU32" i="1"/>
  <c r="IM32" i="1"/>
  <c r="IV32" i="1"/>
  <c r="AN32" i="1"/>
  <c r="CJ32" i="1"/>
  <c r="P32" i="1"/>
  <c r="GB32" i="1"/>
  <c r="BU32" i="1"/>
  <c r="FY32" i="1"/>
  <c r="JE32" i="1"/>
  <c r="AQ32" i="1"/>
  <c r="FG32" i="1"/>
  <c r="CG32" i="1"/>
  <c r="GK32" i="1"/>
  <c r="BO32" i="1"/>
  <c r="FS32" i="1"/>
  <c r="CS32" i="1"/>
  <c r="GW32" i="1"/>
  <c r="CA32" i="1"/>
  <c r="GE32" i="1"/>
  <c r="DE32" i="1"/>
  <c r="HI32" i="1"/>
  <c r="CM32" i="1"/>
  <c r="GQ32" i="1"/>
  <c r="EF32" i="1"/>
  <c r="M32" i="1"/>
  <c r="DQ32" i="1"/>
  <c r="HU32" i="1"/>
  <c r="CY32" i="1"/>
  <c r="HC32" i="1"/>
  <c r="BI32" i="1"/>
  <c r="S32" i="1"/>
  <c r="EC32" i="1"/>
  <c r="AE32" i="1"/>
  <c r="FA32" i="1"/>
  <c r="DK32" i="1"/>
  <c r="FM32" i="1"/>
  <c r="DW32" i="1"/>
  <c r="EI32" i="1"/>
  <c r="BL32" i="1"/>
  <c r="Y32" i="1"/>
  <c r="JH32" i="1"/>
  <c r="IA32" i="1"/>
  <c r="AK32" i="1"/>
  <c r="G32" i="1"/>
  <c r="IY32" i="1"/>
  <c r="HO32" i="1"/>
  <c r="HU24" i="1"/>
  <c r="GT24" i="1"/>
  <c r="FS24" i="1"/>
  <c r="EC24" i="1"/>
  <c r="DB24" i="1"/>
  <c r="CA24" i="1"/>
  <c r="IG24" i="1"/>
  <c r="HF24" i="1"/>
  <c r="GE24" i="1"/>
  <c r="EO24" i="1"/>
  <c r="DN24" i="1"/>
  <c r="CM24" i="1"/>
  <c r="AW24" i="1"/>
  <c r="AK24" i="1"/>
  <c r="Y24" i="1"/>
  <c r="M24" i="1"/>
  <c r="IS24" i="1"/>
  <c r="HR24" i="1"/>
  <c r="GQ24" i="1"/>
  <c r="FA24" i="1"/>
  <c r="DZ24" i="1"/>
  <c r="CY24" i="1"/>
  <c r="BI24" i="1"/>
  <c r="JE24" i="1"/>
  <c r="ID24" i="1"/>
  <c r="HC24" i="1"/>
  <c r="FM24" i="1"/>
  <c r="EL24" i="1"/>
  <c r="DK24" i="1"/>
  <c r="BU24" i="1"/>
  <c r="AT24" i="1"/>
  <c r="AH24" i="1"/>
  <c r="V24" i="1"/>
  <c r="J24" i="1"/>
  <c r="IP24" i="1"/>
  <c r="HO24" i="1"/>
  <c r="FY24" i="1"/>
  <c r="EX24" i="1"/>
  <c r="DW24" i="1"/>
  <c r="CG24" i="1"/>
  <c r="BF24" i="1"/>
  <c r="JB24" i="1"/>
  <c r="IA24" i="1"/>
  <c r="GK24" i="1"/>
  <c r="FJ24" i="1"/>
  <c r="EI24" i="1"/>
  <c r="CS24" i="1"/>
  <c r="BR24" i="1"/>
  <c r="AQ24" i="1"/>
  <c r="AE24" i="1"/>
  <c r="S24" i="1"/>
  <c r="G24" i="1"/>
  <c r="BO24" i="1"/>
  <c r="AB24" i="1"/>
  <c r="IM24" i="1"/>
  <c r="GW24" i="1"/>
  <c r="JH24" i="1"/>
  <c r="FG24" i="1"/>
  <c r="DQ24" i="1"/>
  <c r="CD24" i="1"/>
  <c r="AN24" i="1"/>
  <c r="IY24" i="1"/>
  <c r="HI24" i="1"/>
  <c r="FV24" i="1"/>
  <c r="EU24" i="1"/>
  <c r="P24" i="1"/>
  <c r="GH24" i="1"/>
  <c r="BC24" i="1"/>
  <c r="DE24" i="1"/>
  <c r="CP24" i="1"/>
  <c r="AZ24" i="1"/>
  <c r="ER24" i="1"/>
  <c r="IJ24" i="1"/>
  <c r="BL24" i="1"/>
  <c r="FD24" i="1"/>
  <c r="IV24" i="1"/>
  <c r="CJ24" i="1"/>
  <c r="GB24" i="1"/>
  <c r="CV24" i="1"/>
  <c r="HX24" i="1"/>
  <c r="DH24" i="1"/>
  <c r="DT24" i="1"/>
  <c r="EF24" i="1"/>
  <c r="FP24" i="1"/>
  <c r="GZ24" i="1"/>
  <c r="BX24" i="1"/>
  <c r="HL24" i="1"/>
  <c r="GN24" i="1"/>
  <c r="I51" i="37"/>
  <c r="G38" i="1"/>
  <c r="JB38" i="1"/>
  <c r="AW38" i="1"/>
  <c r="EO38" i="1"/>
  <c r="IG38" i="1"/>
  <c r="CJ38" i="1"/>
  <c r="GB38" i="1"/>
  <c r="CM38" i="1"/>
  <c r="GE38" i="1"/>
  <c r="BR38" i="1"/>
  <c r="FJ38" i="1"/>
  <c r="BU38" i="1"/>
  <c r="FM38" i="1"/>
  <c r="JE38" i="1"/>
  <c r="CG38" i="1"/>
  <c r="FY38" i="1"/>
  <c r="AB38" i="1"/>
  <c r="DT38" i="1"/>
  <c r="HL38" i="1"/>
  <c r="AK38" i="1"/>
  <c r="GW38" i="1"/>
  <c r="CV38" i="1"/>
  <c r="HX38" i="1"/>
  <c r="DK38" i="1"/>
  <c r="HO38" i="1"/>
  <c r="AT38" i="1"/>
  <c r="EX38" i="1"/>
  <c r="BI38" i="1"/>
  <c r="HI38" i="1"/>
  <c r="DH38" i="1"/>
  <c r="IJ38" i="1"/>
  <c r="S38" i="1"/>
  <c r="DW38" i="1"/>
  <c r="IA38" i="1"/>
  <c r="BF38" i="1"/>
  <c r="FV38" i="1"/>
  <c r="GH38" i="1"/>
  <c r="CS38" i="1"/>
  <c r="HU38" i="1"/>
  <c r="EF38" i="1"/>
  <c r="IV38" i="1"/>
  <c r="AE38" i="1"/>
  <c r="EI38" i="1"/>
  <c r="IM38" i="1"/>
  <c r="CD38" i="1"/>
  <c r="DE38" i="1"/>
  <c r="IS38" i="1"/>
  <c r="P38" i="1"/>
  <c r="ER38" i="1"/>
  <c r="EU38" i="1"/>
  <c r="CP38" i="1"/>
  <c r="GT38" i="1"/>
  <c r="JH38" i="1"/>
  <c r="AQ38" i="1"/>
  <c r="IY38" i="1"/>
  <c r="DQ38" i="1"/>
  <c r="AN38" i="1"/>
  <c r="FD38" i="1"/>
  <c r="BC38" i="1"/>
  <c r="FG38" i="1"/>
  <c r="DB38" i="1"/>
  <c r="HF38" i="1"/>
  <c r="M38" i="1"/>
  <c r="FA38" i="1"/>
  <c r="BL38" i="1"/>
  <c r="GN38" i="1"/>
  <c r="CA38" i="1"/>
  <c r="GQ38" i="1"/>
  <c r="V38" i="1"/>
  <c r="DZ38" i="1"/>
  <c r="ID38" i="1"/>
  <c r="Y38" i="1"/>
  <c r="GK38" i="1"/>
  <c r="BX38" i="1"/>
  <c r="GZ38" i="1"/>
  <c r="CY38" i="1"/>
  <c r="HC38" i="1"/>
  <c r="FP38" i="1"/>
  <c r="FS38" i="1"/>
  <c r="HR38" i="1"/>
  <c r="IP38" i="1"/>
  <c r="EC38" i="1"/>
  <c r="BO38" i="1"/>
  <c r="AZ38" i="1"/>
  <c r="J38" i="1"/>
  <c r="AH38" i="1"/>
  <c r="EL38" i="1"/>
  <c r="DN38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FS22" i="1"/>
  <c r="CA22" i="1"/>
  <c r="HC22" i="1"/>
  <c r="DK22" i="1"/>
  <c r="S22" i="1"/>
  <c r="IM22" i="1"/>
  <c r="EU22" i="1"/>
  <c r="BC22" i="1"/>
  <c r="GE22" i="1"/>
  <c r="CM22" i="1"/>
  <c r="HO22" i="1"/>
  <c r="DW22" i="1"/>
  <c r="AE22" i="1"/>
  <c r="GQ22" i="1"/>
  <c r="CY22" i="1"/>
  <c r="G22" i="1"/>
  <c r="IY22" i="1"/>
  <c r="IA22" i="1"/>
  <c r="FG22" i="1"/>
  <c r="BO22" i="1"/>
  <c r="EI22" i="1"/>
  <c r="AQ22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ID20" i="1"/>
  <c r="EL20" i="1"/>
  <c r="BX20" i="1"/>
  <c r="AW20" i="1"/>
  <c r="V20" i="1"/>
  <c r="FV20" i="1"/>
  <c r="CJ20" i="1"/>
  <c r="BI20" i="1"/>
  <c r="AH20" i="1"/>
  <c r="HF20" i="1"/>
  <c r="DN20" i="1"/>
  <c r="CV20" i="1"/>
  <c r="BU20" i="1"/>
  <c r="AT20" i="1"/>
  <c r="IP20" i="1"/>
  <c r="EX20" i="1"/>
  <c r="CG20" i="1"/>
  <c r="BF20" i="1"/>
  <c r="P20" i="1"/>
  <c r="GH20" i="1"/>
  <c r="CS20" i="1"/>
  <c r="BR20" i="1"/>
  <c r="AB20" i="1"/>
  <c r="JB20" i="1"/>
  <c r="FJ20" i="1"/>
  <c r="CP20" i="1"/>
  <c r="AZ20" i="1"/>
  <c r="Y20" i="1"/>
  <c r="DZ20" i="1"/>
  <c r="DB20" i="1"/>
  <c r="BL20" i="1"/>
  <c r="CD20" i="1"/>
  <c r="AN20" i="1"/>
  <c r="AK20" i="1"/>
  <c r="HR20" i="1"/>
  <c r="GT20" i="1"/>
  <c r="M20" i="1"/>
  <c r="J20" i="1"/>
  <c r="R31" i="45"/>
  <c r="GT36" i="1"/>
  <c r="AT36" i="1"/>
  <c r="AE36" i="1"/>
  <c r="HR36" i="1"/>
  <c r="FJ36" i="1"/>
  <c r="EL36" i="1"/>
  <c r="CD36" i="1"/>
  <c r="AQ36" i="1"/>
  <c r="JB36" i="1"/>
  <c r="Y36" i="1"/>
  <c r="J36" i="1"/>
  <c r="ID36" i="1"/>
  <c r="FV36" i="1"/>
  <c r="DN36" i="1"/>
  <c r="HF36" i="1"/>
  <c r="CP36" i="1"/>
  <c r="BR36" i="1"/>
  <c r="IY36" i="1"/>
  <c r="DZ36" i="1"/>
  <c r="V36" i="1"/>
  <c r="GH36" i="1"/>
  <c r="AK36" i="1"/>
  <c r="S36" i="1"/>
  <c r="BF36" i="1"/>
  <c r="G36" i="1"/>
  <c r="EX36" i="1"/>
  <c r="AH36" i="1"/>
  <c r="IP36" i="1"/>
  <c r="DB36" i="1"/>
  <c r="DE36" i="1"/>
  <c r="GW36" i="1"/>
  <c r="CV36" i="1"/>
  <c r="GN36" i="1"/>
  <c r="M36" i="1"/>
  <c r="DQ36" i="1"/>
  <c r="HI36" i="1"/>
  <c r="P36" i="1"/>
  <c r="DH36" i="1"/>
  <c r="GZ36" i="1"/>
  <c r="BO36" i="1"/>
  <c r="FG36" i="1"/>
  <c r="EC36" i="1"/>
  <c r="HU36" i="1"/>
  <c r="DT36" i="1"/>
  <c r="HL36" i="1"/>
  <c r="AW36" i="1"/>
  <c r="EO36" i="1"/>
  <c r="IG36" i="1"/>
  <c r="AN36" i="1"/>
  <c r="EF36" i="1"/>
  <c r="HX36" i="1"/>
  <c r="CM36" i="1"/>
  <c r="GE36" i="1"/>
  <c r="BI36" i="1"/>
  <c r="FA36" i="1"/>
  <c r="IS36" i="1"/>
  <c r="AZ36" i="1"/>
  <c r="ER36" i="1"/>
  <c r="IJ36" i="1"/>
  <c r="CY36" i="1"/>
  <c r="GQ36" i="1"/>
  <c r="BU36" i="1"/>
  <c r="IV36" i="1"/>
  <c r="FS36" i="1"/>
  <c r="CG36" i="1"/>
  <c r="AB36" i="1"/>
  <c r="JH36" i="1"/>
  <c r="HC36" i="1"/>
  <c r="CS36" i="1"/>
  <c r="BL36" i="1"/>
  <c r="BC36" i="1"/>
  <c r="HO36" i="1"/>
  <c r="FM36" i="1"/>
  <c r="BX36" i="1"/>
  <c r="CA36" i="1"/>
  <c r="IA36" i="1"/>
  <c r="FY36" i="1"/>
  <c r="CJ36" i="1"/>
  <c r="DK36" i="1"/>
  <c r="IM36" i="1"/>
  <c r="JE36" i="1"/>
  <c r="FP36" i="1"/>
  <c r="EI36" i="1"/>
  <c r="GB36" i="1"/>
  <c r="EU36" i="1"/>
  <c r="FD36" i="1"/>
  <c r="GK36" i="1"/>
  <c r="DW36" i="1"/>
  <c r="BC39" i="48"/>
  <c r="E39" i="1"/>
  <c r="G31" i="45"/>
  <c r="I40" i="9"/>
  <c r="I48" i="9" s="1"/>
  <c r="R34" i="48"/>
  <c r="E34" i="1" s="1"/>
  <c r="I45" i="8"/>
  <c r="I48" i="8"/>
  <c r="I40" i="7"/>
  <c r="BC36" i="48"/>
  <c r="C35" i="45"/>
  <c r="E40" i="31"/>
  <c r="I45" i="17"/>
  <c r="I48" i="21"/>
  <c r="R25" i="48"/>
  <c r="AD25" i="48" s="1"/>
  <c r="I45" i="21"/>
  <c r="I40" i="13"/>
  <c r="I40" i="12"/>
  <c r="AJ39" i="48"/>
  <c r="I40" i="11"/>
  <c r="I40" i="19"/>
  <c r="I40" i="16"/>
  <c r="I40" i="15"/>
  <c r="I40" i="14"/>
  <c r="J15" i="19"/>
  <c r="J15" i="18" s="1"/>
  <c r="J15" i="17" s="1"/>
  <c r="J17" i="19"/>
  <c r="J17" i="18" s="1"/>
  <c r="J17" i="17" s="1"/>
  <c r="J30" i="19"/>
  <c r="J30" i="18" s="1"/>
  <c r="J30" i="17" s="1"/>
  <c r="J18" i="19"/>
  <c r="J18" i="18" s="1"/>
  <c r="J18" i="17" s="1"/>
  <c r="J14" i="19"/>
  <c r="J14" i="18" s="1"/>
  <c r="J14" i="17" s="1"/>
  <c r="J27" i="19"/>
  <c r="J27" i="18" s="1"/>
  <c r="J27" i="17" s="1"/>
  <c r="J20" i="19"/>
  <c r="J20" i="18" s="1"/>
  <c r="J20" i="17" s="1"/>
  <c r="J9" i="19"/>
  <c r="J9" i="18" s="1"/>
  <c r="J9" i="17" s="1"/>
  <c r="J19" i="19"/>
  <c r="J19" i="18" s="1"/>
  <c r="J19" i="17" s="1"/>
  <c r="J21" i="19"/>
  <c r="J21" i="18" s="1"/>
  <c r="J21" i="17" s="1"/>
  <c r="J23" i="19"/>
  <c r="J23" i="18" s="1"/>
  <c r="J23" i="17" s="1"/>
  <c r="J10" i="19"/>
  <c r="J10" i="18" s="1"/>
  <c r="J10" i="17" s="1"/>
  <c r="J11" i="19"/>
  <c r="J11" i="18" s="1"/>
  <c r="J11" i="17" s="1"/>
  <c r="J16" i="19"/>
  <c r="J16" i="18" s="1"/>
  <c r="J16" i="17" s="1"/>
  <c r="K57" i="33"/>
  <c r="J45" i="33"/>
  <c r="J13" i="18"/>
  <c r="J13" i="17" s="1"/>
  <c r="J24" i="19"/>
  <c r="J24" i="18" s="1"/>
  <c r="J24" i="17" s="1"/>
  <c r="J8" i="19"/>
  <c r="J8" i="18" s="1"/>
  <c r="J8" i="17" s="1"/>
  <c r="J12" i="19"/>
  <c r="J12" i="18" s="1"/>
  <c r="J12" i="17" s="1"/>
  <c r="J41" i="33"/>
  <c r="J22" i="19"/>
  <c r="J22" i="18" s="1"/>
  <c r="J22" i="17" s="1"/>
  <c r="I40" i="24"/>
  <c r="R18" i="48" s="1"/>
  <c r="C17" i="45" s="1"/>
  <c r="I40" i="23"/>
  <c r="I40" i="25"/>
  <c r="K56" i="33"/>
  <c r="BC20" i="48"/>
  <c r="C19" i="45"/>
  <c r="BC22" i="48"/>
  <c r="C21" i="45"/>
  <c r="K20" i="45"/>
  <c r="O20" i="45"/>
  <c r="G20" i="45"/>
  <c r="R20" i="45"/>
  <c r="AD20" i="48"/>
  <c r="I40" i="26"/>
  <c r="K34" i="27"/>
  <c r="I40" i="28"/>
  <c r="I40" i="29"/>
  <c r="I40" i="30"/>
  <c r="K34" i="31"/>
  <c r="AB6" i="46"/>
  <c r="E25" i="2"/>
  <c r="BM25" i="2" s="1"/>
  <c r="E33" i="2"/>
  <c r="BM33" i="2" s="1"/>
  <c r="AJ38" i="48"/>
  <c r="BC38" i="48"/>
  <c r="I39" i="48"/>
  <c r="AD39" i="48"/>
  <c r="C38" i="45"/>
  <c r="X39" i="48"/>
  <c r="J39" i="48"/>
  <c r="M7" i="32"/>
  <c r="M7" i="31" s="1"/>
  <c r="M7" i="30" s="1"/>
  <c r="M7" i="29" s="1"/>
  <c r="M7" i="27" s="1"/>
  <c r="D53" i="32"/>
  <c r="J46" i="30"/>
  <c r="J46" i="29" s="1"/>
  <c r="K34" i="32"/>
  <c r="J40" i="45"/>
  <c r="N40" i="45"/>
  <c r="F40" i="45"/>
  <c r="Q40" i="45"/>
  <c r="AJ20" i="48"/>
  <c r="I36" i="48"/>
  <c r="AD36" i="48"/>
  <c r="AJ36" i="48"/>
  <c r="J36" i="48"/>
  <c r="X36" i="48"/>
  <c r="C37" i="45"/>
  <c r="E22" i="2"/>
  <c r="BM22" i="2" s="1"/>
  <c r="AJ22" i="48"/>
  <c r="I49" i="33"/>
  <c r="J20" i="48"/>
  <c r="I20" i="48"/>
  <c r="E45" i="31"/>
  <c r="D45" i="29"/>
  <c r="D45" i="27" s="1"/>
  <c r="E45" i="27" s="1"/>
  <c r="E47" i="31"/>
  <c r="E47" i="30"/>
  <c r="D39" i="29"/>
  <c r="D39" i="27" s="1"/>
  <c r="E39" i="27" s="1"/>
  <c r="M8" i="31"/>
  <c r="E39" i="31"/>
  <c r="E44" i="31"/>
  <c r="D43" i="27"/>
  <c r="E43" i="27" s="1"/>
  <c r="E43" i="30"/>
  <c r="D41" i="30"/>
  <c r="E41" i="30" s="1"/>
  <c r="E44" i="30"/>
  <c r="D48" i="30"/>
  <c r="E48" i="30" s="1"/>
  <c r="J56" i="30"/>
  <c r="I38" i="48"/>
  <c r="J38" i="48"/>
  <c r="X38" i="48"/>
  <c r="AD38" i="48"/>
  <c r="J43" i="30"/>
  <c r="J44" i="31"/>
  <c r="I22" i="48"/>
  <c r="J22" i="48"/>
  <c r="AD22" i="48"/>
  <c r="L41" i="48"/>
  <c r="H41" i="48" s="1"/>
  <c r="E38" i="31"/>
  <c r="E38" i="30"/>
  <c r="D38" i="29"/>
  <c r="E50" i="31"/>
  <c r="D50" i="30"/>
  <c r="D47" i="27"/>
  <c r="E47" i="29"/>
  <c r="D42" i="30"/>
  <c r="E42" i="31"/>
  <c r="D52" i="31"/>
  <c r="D53" i="31" s="1"/>
  <c r="E46" i="31"/>
  <c r="D46" i="30"/>
  <c r="E52" i="32"/>
  <c r="E53" i="32" s="1"/>
  <c r="D44" i="27"/>
  <c r="E44" i="29"/>
  <c r="D40" i="29"/>
  <c r="E40" i="30"/>
  <c r="D51" i="29"/>
  <c r="E51" i="30"/>
  <c r="A13" i="2" s="1"/>
  <c r="J57" i="30"/>
  <c r="J37" i="31"/>
  <c r="J39" i="32"/>
  <c r="AH41" i="48"/>
  <c r="J57" i="17"/>
  <c r="AC11" i="48"/>
  <c r="Q12" i="48"/>
  <c r="X170" i="57" l="1"/>
  <c r="X167" i="57"/>
  <c r="O42" i="55" s="1"/>
  <c r="I45" i="33"/>
  <c r="Z167" i="57"/>
  <c r="AA167" i="57"/>
  <c r="AB167" i="57"/>
  <c r="E49" i="29"/>
  <c r="E49" i="30"/>
  <c r="BC37" i="48"/>
  <c r="C8" i="45"/>
  <c r="O8" i="45" s="1"/>
  <c r="AD9" i="48"/>
  <c r="AA11" i="46"/>
  <c r="AB11" i="46" s="1"/>
  <c r="X11" i="46"/>
  <c r="AJ9" i="48"/>
  <c r="E9" i="1"/>
  <c r="CV9" i="1" s="1"/>
  <c r="D14" i="2"/>
  <c r="D42" i="2" s="1"/>
  <c r="J25" i="23"/>
  <c r="J25" i="21" s="1"/>
  <c r="J25" i="22" s="1"/>
  <c r="J25" i="20" s="1"/>
  <c r="J25" i="19" s="1"/>
  <c r="J25" i="18" s="1"/>
  <c r="J25" i="17" s="1"/>
  <c r="BC9" i="48"/>
  <c r="A14" i="48"/>
  <c r="A12" i="45"/>
  <c r="I48" i="33"/>
  <c r="I9" i="48"/>
  <c r="AJ37" i="48"/>
  <c r="J37" i="48"/>
  <c r="X37" i="48"/>
  <c r="AD37" i="48"/>
  <c r="I37" i="48"/>
  <c r="I45" i="9"/>
  <c r="C36" i="45"/>
  <c r="G36" i="45" s="1"/>
  <c r="AJ25" i="48"/>
  <c r="J25" i="48"/>
  <c r="I25" i="48"/>
  <c r="R33" i="48"/>
  <c r="E33" i="1" s="1"/>
  <c r="C24" i="45"/>
  <c r="O24" i="45" s="1"/>
  <c r="E25" i="1"/>
  <c r="BC18" i="48"/>
  <c r="E18" i="1"/>
  <c r="JB39" i="1"/>
  <c r="BU39" i="1"/>
  <c r="FM39" i="1"/>
  <c r="JE39" i="1"/>
  <c r="P39" i="1"/>
  <c r="DH39" i="1"/>
  <c r="GZ39" i="1"/>
  <c r="S39" i="1"/>
  <c r="DK39" i="1"/>
  <c r="HC39" i="1"/>
  <c r="J39" i="1"/>
  <c r="DB39" i="1"/>
  <c r="GT39" i="1"/>
  <c r="CS39" i="1"/>
  <c r="GK39" i="1"/>
  <c r="M39" i="1"/>
  <c r="DE39" i="1"/>
  <c r="GW39" i="1"/>
  <c r="AZ39" i="1"/>
  <c r="ER39" i="1"/>
  <c r="CG39" i="1"/>
  <c r="IG39" i="1"/>
  <c r="CJ39" i="1"/>
  <c r="HL39" i="1"/>
  <c r="BO39" i="1"/>
  <c r="FS39" i="1"/>
  <c r="V39" i="1"/>
  <c r="DZ39" i="1"/>
  <c r="ID39" i="1"/>
  <c r="DQ39" i="1"/>
  <c r="IS39" i="1"/>
  <c r="CV39" i="1"/>
  <c r="HX39" i="1"/>
  <c r="CA39" i="1"/>
  <c r="GE39" i="1"/>
  <c r="AH39" i="1"/>
  <c r="EL39" i="1"/>
  <c r="IP39" i="1"/>
  <c r="CY39" i="1"/>
  <c r="EC39" i="1"/>
  <c r="DT39" i="1"/>
  <c r="IJ39" i="1"/>
  <c r="CM39" i="1"/>
  <c r="GQ39" i="1"/>
  <c r="AT39" i="1"/>
  <c r="EX39" i="1"/>
  <c r="EF39" i="1"/>
  <c r="IV39" i="1"/>
  <c r="HO39" i="1"/>
  <c r="FJ39" i="1"/>
  <c r="EO39" i="1"/>
  <c r="BF39" i="1"/>
  <c r="Y39" i="1"/>
  <c r="FA39" i="1"/>
  <c r="AB39" i="1"/>
  <c r="FD39" i="1"/>
  <c r="JH39" i="1"/>
  <c r="G39" i="1"/>
  <c r="DW39" i="1"/>
  <c r="IA39" i="1"/>
  <c r="BR39" i="1"/>
  <c r="FV39" i="1"/>
  <c r="AW39" i="1"/>
  <c r="HI39" i="1"/>
  <c r="BL39" i="1"/>
  <c r="GB39" i="1"/>
  <c r="AQ39" i="1"/>
  <c r="EU39" i="1"/>
  <c r="IY39" i="1"/>
  <c r="CP39" i="1"/>
  <c r="HF39" i="1"/>
  <c r="BI39" i="1"/>
  <c r="HU39" i="1"/>
  <c r="BX39" i="1"/>
  <c r="GN39" i="1"/>
  <c r="AN39" i="1"/>
  <c r="AE39" i="1"/>
  <c r="BC39" i="1"/>
  <c r="CD39" i="1"/>
  <c r="IM39" i="1"/>
  <c r="FP39" i="1"/>
  <c r="EI39" i="1"/>
  <c r="DN39" i="1"/>
  <c r="FY39" i="1"/>
  <c r="HR39" i="1"/>
  <c r="AK39" i="1"/>
  <c r="FG39" i="1"/>
  <c r="GH39" i="1"/>
  <c r="IP34" i="1"/>
  <c r="HR34" i="1"/>
  <c r="GE34" i="1"/>
  <c r="EX34" i="1"/>
  <c r="EI34" i="1"/>
  <c r="DB34" i="1"/>
  <c r="CM34" i="1"/>
  <c r="BF34" i="1"/>
  <c r="AQ34" i="1"/>
  <c r="J34" i="1"/>
  <c r="JB34" i="1"/>
  <c r="FJ34" i="1"/>
  <c r="EU34" i="1"/>
  <c r="DN34" i="1"/>
  <c r="CY34" i="1"/>
  <c r="BR34" i="1"/>
  <c r="BC34" i="1"/>
  <c r="V34" i="1"/>
  <c r="G34" i="1"/>
  <c r="ID34" i="1"/>
  <c r="IY34" i="1"/>
  <c r="HF34" i="1"/>
  <c r="DW34" i="1"/>
  <c r="AE34" i="1"/>
  <c r="FG34" i="1"/>
  <c r="EL34" i="1"/>
  <c r="BO34" i="1"/>
  <c r="AT34" i="1"/>
  <c r="FV34" i="1"/>
  <c r="CD34" i="1"/>
  <c r="FS34" i="1"/>
  <c r="CA34" i="1"/>
  <c r="GH34" i="1"/>
  <c r="DK34" i="1"/>
  <c r="CP34" i="1"/>
  <c r="S34" i="1"/>
  <c r="DZ34" i="1"/>
  <c r="AH34" i="1"/>
  <c r="GT34" i="1"/>
  <c r="CS34" i="1"/>
  <c r="GK34" i="1"/>
  <c r="AZ34" i="1"/>
  <c r="ER34" i="1"/>
  <c r="IJ34" i="1"/>
  <c r="M34" i="1"/>
  <c r="DE34" i="1"/>
  <c r="GW34" i="1"/>
  <c r="BL34" i="1"/>
  <c r="FD34" i="1"/>
  <c r="IV34" i="1"/>
  <c r="GQ34" i="1"/>
  <c r="Y34" i="1"/>
  <c r="DQ34" i="1"/>
  <c r="HI34" i="1"/>
  <c r="BX34" i="1"/>
  <c r="FP34" i="1"/>
  <c r="JH34" i="1"/>
  <c r="AK34" i="1"/>
  <c r="EC34" i="1"/>
  <c r="HU34" i="1"/>
  <c r="CJ34" i="1"/>
  <c r="GB34" i="1"/>
  <c r="HO34" i="1"/>
  <c r="AW34" i="1"/>
  <c r="EO34" i="1"/>
  <c r="IG34" i="1"/>
  <c r="CV34" i="1"/>
  <c r="GN34" i="1"/>
  <c r="IA34" i="1"/>
  <c r="JE34" i="1"/>
  <c r="AB34" i="1"/>
  <c r="BI34" i="1"/>
  <c r="AN34" i="1"/>
  <c r="HC34" i="1"/>
  <c r="BU34" i="1"/>
  <c r="DH34" i="1"/>
  <c r="IM34" i="1"/>
  <c r="DT34" i="1"/>
  <c r="CG34" i="1"/>
  <c r="FA34" i="1"/>
  <c r="EF34" i="1"/>
  <c r="FY34" i="1"/>
  <c r="HL34" i="1"/>
  <c r="IS34" i="1"/>
  <c r="P34" i="1"/>
  <c r="HX34" i="1"/>
  <c r="FM34" i="1"/>
  <c r="GZ34" i="1"/>
  <c r="JH33" i="1"/>
  <c r="ID33" i="1"/>
  <c r="HO33" i="1"/>
  <c r="GH33" i="1"/>
  <c r="FS33" i="1"/>
  <c r="EL33" i="1"/>
  <c r="DW33" i="1"/>
  <c r="CP33" i="1"/>
  <c r="CA33" i="1"/>
  <c r="AT33" i="1"/>
  <c r="AE33" i="1"/>
  <c r="IP33" i="1"/>
  <c r="IA33" i="1"/>
  <c r="GT33" i="1"/>
  <c r="GE33" i="1"/>
  <c r="EX33" i="1"/>
  <c r="EI33" i="1"/>
  <c r="DB33" i="1"/>
  <c r="CM33" i="1"/>
  <c r="BF33" i="1"/>
  <c r="AQ33" i="1"/>
  <c r="J33" i="1"/>
  <c r="HC33" i="1"/>
  <c r="DK33" i="1"/>
  <c r="S33" i="1"/>
  <c r="IM33" i="1"/>
  <c r="HR33" i="1"/>
  <c r="EU33" i="1"/>
  <c r="DZ33" i="1"/>
  <c r="BC33" i="1"/>
  <c r="AH33" i="1"/>
  <c r="JB33" i="1"/>
  <c r="FJ33" i="1"/>
  <c r="BR33" i="1"/>
  <c r="IY33" i="1"/>
  <c r="FG33" i="1"/>
  <c r="BO33" i="1"/>
  <c r="GQ33" i="1"/>
  <c r="FV33" i="1"/>
  <c r="CY33" i="1"/>
  <c r="CD33" i="1"/>
  <c r="G33" i="1"/>
  <c r="V33" i="1"/>
  <c r="HF33" i="1"/>
  <c r="DN33" i="1"/>
  <c r="AK33" i="1"/>
  <c r="BU33" i="1"/>
  <c r="FM33" i="1"/>
  <c r="JE33" i="1"/>
  <c r="P33" i="1"/>
  <c r="DH33" i="1"/>
  <c r="GZ33" i="1"/>
  <c r="CG33" i="1"/>
  <c r="FY33" i="1"/>
  <c r="AB33" i="1"/>
  <c r="DT33" i="1"/>
  <c r="HL33" i="1"/>
  <c r="CS33" i="1"/>
  <c r="GK33" i="1"/>
  <c r="AN33" i="1"/>
  <c r="EF33" i="1"/>
  <c r="HX33" i="1"/>
  <c r="DE33" i="1"/>
  <c r="GW33" i="1"/>
  <c r="AZ33" i="1"/>
  <c r="ER33" i="1"/>
  <c r="IJ33" i="1"/>
  <c r="M33" i="1"/>
  <c r="DQ33" i="1"/>
  <c r="HI33" i="1"/>
  <c r="BL33" i="1"/>
  <c r="FD33" i="1"/>
  <c r="IV33" i="1"/>
  <c r="Y33" i="1"/>
  <c r="IS33" i="1"/>
  <c r="CV33" i="1"/>
  <c r="AW33" i="1"/>
  <c r="BX33" i="1"/>
  <c r="BI33" i="1"/>
  <c r="CJ33" i="1"/>
  <c r="EC33" i="1"/>
  <c r="EO33" i="1"/>
  <c r="FP33" i="1"/>
  <c r="HU33" i="1"/>
  <c r="GN33" i="1"/>
  <c r="IG33" i="1"/>
  <c r="FA33" i="1"/>
  <c r="GB33" i="1"/>
  <c r="FJ37" i="1"/>
  <c r="DB37" i="1"/>
  <c r="AT37" i="1"/>
  <c r="HF37" i="1"/>
  <c r="BI37" i="1"/>
  <c r="V37" i="1"/>
  <c r="EI37" i="1"/>
  <c r="BX37" i="1"/>
  <c r="EX37" i="1"/>
  <c r="CM37" i="1"/>
  <c r="AK37" i="1"/>
  <c r="M37" i="1"/>
  <c r="BR37" i="1"/>
  <c r="J37" i="1"/>
  <c r="AH37" i="1"/>
  <c r="Y37" i="1"/>
  <c r="AW37" i="1"/>
  <c r="CY37" i="1"/>
  <c r="AB37" i="1"/>
  <c r="IY37" i="1"/>
  <c r="FG37" i="1"/>
  <c r="GB37" i="1"/>
  <c r="CJ37" i="1"/>
  <c r="FY37" i="1"/>
  <c r="CG37" i="1"/>
  <c r="DN37" i="1"/>
  <c r="AN37" i="1"/>
  <c r="IM37" i="1"/>
  <c r="JH37" i="1"/>
  <c r="FP37" i="1"/>
  <c r="JE37" i="1"/>
  <c r="FM37" i="1"/>
  <c r="BU37" i="1"/>
  <c r="G37" i="1"/>
  <c r="BF37" i="1"/>
  <c r="EU37" i="1"/>
  <c r="AZ37" i="1"/>
  <c r="IA37" i="1"/>
  <c r="IV37" i="1"/>
  <c r="FD37" i="1"/>
  <c r="IS37" i="1"/>
  <c r="FA37" i="1"/>
  <c r="CA37" i="1"/>
  <c r="BL37" i="1"/>
  <c r="HO37" i="1"/>
  <c r="IJ37" i="1"/>
  <c r="ER37" i="1"/>
  <c r="IG37" i="1"/>
  <c r="EO37" i="1"/>
  <c r="CP37" i="1"/>
  <c r="AE37" i="1"/>
  <c r="JB37" i="1"/>
  <c r="HC37" i="1"/>
  <c r="HX37" i="1"/>
  <c r="EF37" i="1"/>
  <c r="HU37" i="1"/>
  <c r="EC37" i="1"/>
  <c r="DW37" i="1"/>
  <c r="AQ37" i="1"/>
  <c r="CD37" i="1"/>
  <c r="FS37" i="1"/>
  <c r="GW37" i="1"/>
  <c r="IP37" i="1"/>
  <c r="HL37" i="1"/>
  <c r="GK37" i="1"/>
  <c r="P37" i="1"/>
  <c r="GZ37" i="1"/>
  <c r="DQ37" i="1"/>
  <c r="GN37" i="1"/>
  <c r="DE37" i="1"/>
  <c r="ID37" i="1"/>
  <c r="DT37" i="1"/>
  <c r="CS37" i="1"/>
  <c r="GQ37" i="1"/>
  <c r="CV37" i="1"/>
  <c r="FV37" i="1"/>
  <c r="BC37" i="1"/>
  <c r="DZ37" i="1"/>
  <c r="GH37" i="1"/>
  <c r="GE37" i="1"/>
  <c r="HI37" i="1"/>
  <c r="BO37" i="1"/>
  <c r="GT37" i="1"/>
  <c r="S37" i="1"/>
  <c r="HR37" i="1"/>
  <c r="DH37" i="1"/>
  <c r="EL37" i="1"/>
  <c r="DK37" i="1"/>
  <c r="BC25" i="48"/>
  <c r="R24" i="45"/>
  <c r="G24" i="45"/>
  <c r="K24" i="45"/>
  <c r="C33" i="45"/>
  <c r="I34" i="48"/>
  <c r="J34" i="48"/>
  <c r="BC34" i="48"/>
  <c r="AD34" i="48"/>
  <c r="AJ34" i="48"/>
  <c r="O35" i="45"/>
  <c r="G35" i="45"/>
  <c r="K35" i="45"/>
  <c r="R35" i="45"/>
  <c r="R35" i="48"/>
  <c r="E35" i="1" s="1"/>
  <c r="I48" i="7"/>
  <c r="I45" i="7"/>
  <c r="I48" i="24"/>
  <c r="BC33" i="48"/>
  <c r="C32" i="45"/>
  <c r="AJ33" i="48"/>
  <c r="AD33" i="48"/>
  <c r="I33" i="48"/>
  <c r="J33" i="48"/>
  <c r="I48" i="11"/>
  <c r="I45" i="11"/>
  <c r="R31" i="48"/>
  <c r="E31" i="1" s="1"/>
  <c r="I45" i="13"/>
  <c r="R29" i="48"/>
  <c r="E29" i="1" s="1"/>
  <c r="I48" i="13"/>
  <c r="I48" i="12"/>
  <c r="I45" i="12"/>
  <c r="R30" i="48"/>
  <c r="W167" i="46"/>
  <c r="J10" i="16"/>
  <c r="J10" i="15" s="1"/>
  <c r="J10" i="14" s="1"/>
  <c r="J25" i="16"/>
  <c r="J25" i="15" s="1"/>
  <c r="J25" i="14" s="1"/>
  <c r="J23" i="16"/>
  <c r="J23" i="15" s="1"/>
  <c r="J23" i="14" s="1"/>
  <c r="J14" i="16"/>
  <c r="J14" i="15" s="1"/>
  <c r="J14" i="14" s="1"/>
  <c r="J14" i="12" s="1"/>
  <c r="J28" i="16"/>
  <c r="J28" i="15" s="1"/>
  <c r="J28" i="14" s="1"/>
  <c r="J24" i="16"/>
  <c r="J24" i="15" s="1"/>
  <c r="J24" i="14" s="1"/>
  <c r="J21" i="16"/>
  <c r="J21" i="15" s="1"/>
  <c r="J21" i="14" s="1"/>
  <c r="J18" i="16"/>
  <c r="J18" i="15" s="1"/>
  <c r="J18" i="14" s="1"/>
  <c r="I45" i="16"/>
  <c r="I48" i="16"/>
  <c r="R26" i="48"/>
  <c r="E26" i="1" s="1"/>
  <c r="J31" i="16"/>
  <c r="J31" i="15" s="1"/>
  <c r="J31" i="14" s="1"/>
  <c r="J13" i="16"/>
  <c r="J13" i="15" s="1"/>
  <c r="J13" i="14" s="1"/>
  <c r="J19" i="16"/>
  <c r="J19" i="15" s="1"/>
  <c r="J19" i="14" s="1"/>
  <c r="J30" i="16"/>
  <c r="J30" i="15" s="1"/>
  <c r="J30" i="14" s="1"/>
  <c r="J22" i="16"/>
  <c r="J22" i="15" s="1"/>
  <c r="J22" i="14" s="1"/>
  <c r="J26" i="16"/>
  <c r="J26" i="15" s="1"/>
  <c r="J26" i="14" s="1"/>
  <c r="J29" i="16"/>
  <c r="J29" i="15" s="1"/>
  <c r="J29" i="14" s="1"/>
  <c r="J8" i="16"/>
  <c r="J8" i="15" s="1"/>
  <c r="J8" i="14" s="1"/>
  <c r="J9" i="16"/>
  <c r="J9" i="15" s="1"/>
  <c r="J9" i="14" s="1"/>
  <c r="J17" i="16"/>
  <c r="J17" i="15" s="1"/>
  <c r="J17" i="14" s="1"/>
  <c r="I48" i="19"/>
  <c r="R23" i="48"/>
  <c r="E23" i="1" s="1"/>
  <c r="I45" i="19"/>
  <c r="J16" i="16"/>
  <c r="J16" i="15" s="1"/>
  <c r="J16" i="14" s="1"/>
  <c r="J20" i="16"/>
  <c r="J20" i="15" s="1"/>
  <c r="J20" i="14" s="1"/>
  <c r="J15" i="16"/>
  <c r="J15" i="15" s="1"/>
  <c r="J15" i="14" s="1"/>
  <c r="I45" i="15"/>
  <c r="R27" i="48"/>
  <c r="E27" i="1" s="1"/>
  <c r="I48" i="15"/>
  <c r="J12" i="16"/>
  <c r="J12" i="15" s="1"/>
  <c r="J12" i="14" s="1"/>
  <c r="J11" i="16"/>
  <c r="J11" i="15" s="1"/>
  <c r="J11" i="14" s="1"/>
  <c r="J27" i="16"/>
  <c r="J27" i="15" s="1"/>
  <c r="J27" i="14" s="1"/>
  <c r="I48" i="14"/>
  <c r="R28" i="48"/>
  <c r="E28" i="1" s="1"/>
  <c r="I45" i="14"/>
  <c r="I45" i="24"/>
  <c r="R17" i="48"/>
  <c r="E17" i="1" s="1"/>
  <c r="I45" i="25"/>
  <c r="I48" i="25"/>
  <c r="G19" i="45"/>
  <c r="O19" i="45"/>
  <c r="K19" i="45"/>
  <c r="R19" i="45"/>
  <c r="AD18" i="48"/>
  <c r="J18" i="48"/>
  <c r="I18" i="48"/>
  <c r="AJ18" i="48"/>
  <c r="R19" i="48"/>
  <c r="E19" i="1" s="1"/>
  <c r="I45" i="23"/>
  <c r="I48" i="23"/>
  <c r="E21" i="2"/>
  <c r="BM21" i="2" s="1"/>
  <c r="O21" i="45"/>
  <c r="G21" i="45"/>
  <c r="K21" i="45"/>
  <c r="R21" i="45"/>
  <c r="O17" i="45"/>
  <c r="K17" i="45"/>
  <c r="G17" i="45"/>
  <c r="R17" i="45"/>
  <c r="I48" i="26"/>
  <c r="R16" i="48"/>
  <c r="E16" i="1" s="1"/>
  <c r="I45" i="26"/>
  <c r="R15" i="48"/>
  <c r="I45" i="28"/>
  <c r="I48" i="28"/>
  <c r="I40" i="27"/>
  <c r="I40" i="32"/>
  <c r="I45" i="32" s="1"/>
  <c r="I40" i="31"/>
  <c r="R11" i="48" s="1"/>
  <c r="I45" i="29"/>
  <c r="R13" i="48"/>
  <c r="I48" i="29"/>
  <c r="I48" i="30"/>
  <c r="R12" i="48"/>
  <c r="I45" i="30"/>
  <c r="M34" i="32"/>
  <c r="AK9" i="48"/>
  <c r="P42" i="55"/>
  <c r="Q42" i="55" s="1"/>
  <c r="AE9" i="48"/>
  <c r="J47" i="30"/>
  <c r="E26" i="2"/>
  <c r="BM26" i="2" s="1"/>
  <c r="E23" i="2"/>
  <c r="BM23" i="2" s="1"/>
  <c r="E40" i="2"/>
  <c r="BM40" i="2" s="1"/>
  <c r="E39" i="2"/>
  <c r="BM39" i="2" s="1"/>
  <c r="R38" i="45"/>
  <c r="G38" i="45"/>
  <c r="O38" i="45"/>
  <c r="K38" i="45"/>
  <c r="G8" i="45"/>
  <c r="R8" i="45"/>
  <c r="K8" i="45"/>
  <c r="E37" i="2"/>
  <c r="BM37" i="2" s="1"/>
  <c r="E38" i="2"/>
  <c r="BM38" i="2" s="1"/>
  <c r="G37" i="45"/>
  <c r="O37" i="45"/>
  <c r="K37" i="45"/>
  <c r="R37" i="45"/>
  <c r="H9" i="48"/>
  <c r="I50" i="33"/>
  <c r="J49" i="33"/>
  <c r="I51" i="33"/>
  <c r="U9" i="48"/>
  <c r="V9" i="48"/>
  <c r="X9" i="48"/>
  <c r="I49" i="31"/>
  <c r="E45" i="29"/>
  <c r="M9" i="48"/>
  <c r="K9" i="48" s="1"/>
  <c r="J9" i="48"/>
  <c r="AH9" i="48"/>
  <c r="J5" i="56"/>
  <c r="I49" i="8"/>
  <c r="I49" i="17"/>
  <c r="I49" i="18"/>
  <c r="I49" i="28"/>
  <c r="I49" i="29"/>
  <c r="D45" i="28"/>
  <c r="D45" i="26" s="1"/>
  <c r="I49" i="30"/>
  <c r="E39" i="29"/>
  <c r="D39" i="28"/>
  <c r="E39" i="28" s="1"/>
  <c r="D43" i="28"/>
  <c r="E43" i="28" s="1"/>
  <c r="M8" i="30"/>
  <c r="M34" i="31"/>
  <c r="D48" i="29"/>
  <c r="E48" i="29" s="1"/>
  <c r="D41" i="29"/>
  <c r="J43" i="29"/>
  <c r="J44" i="30"/>
  <c r="J56" i="29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G9" i="48"/>
  <c r="N41" i="48"/>
  <c r="G41" i="48" s="1"/>
  <c r="E52" i="31"/>
  <c r="E53" i="31" s="1"/>
  <c r="D38" i="27"/>
  <c r="E38" i="29"/>
  <c r="D50" i="29"/>
  <c r="E50" i="30"/>
  <c r="D42" i="29"/>
  <c r="E42" i="30"/>
  <c r="D47" i="28"/>
  <c r="E47" i="27"/>
  <c r="D52" i="30"/>
  <c r="D53" i="30" s="1"/>
  <c r="D46" i="29"/>
  <c r="E46" i="30"/>
  <c r="D51" i="27"/>
  <c r="E51" i="29"/>
  <c r="D40" i="27"/>
  <c r="E40" i="29"/>
  <c r="E44" i="27"/>
  <c r="D44" i="28"/>
  <c r="A14" i="2" s="1"/>
  <c r="J39" i="31"/>
  <c r="J37" i="30"/>
  <c r="J57" i="29"/>
  <c r="D49" i="28"/>
  <c r="E49" i="27"/>
  <c r="J57" i="16"/>
  <c r="M7" i="28"/>
  <c r="AC12" i="48"/>
  <c r="Q13" i="48"/>
  <c r="J47" i="29"/>
  <c r="J46" i="27"/>
  <c r="AB168" i="57" l="1"/>
  <c r="X179" i="57" s="1"/>
  <c r="T4" i="56"/>
  <c r="AA168" i="57"/>
  <c r="X178" i="57" s="1"/>
  <c r="T3" i="56"/>
  <c r="Z168" i="57"/>
  <c r="X176" i="57" s="1"/>
  <c r="T2" i="56"/>
  <c r="X200" i="57"/>
  <c r="X203" i="57" s="1"/>
  <c r="X167" i="46"/>
  <c r="F42" i="55" s="1"/>
  <c r="G42" i="55" s="1"/>
  <c r="H42" i="55" s="1"/>
  <c r="R36" i="45"/>
  <c r="K36" i="45"/>
  <c r="O36" i="45"/>
  <c r="E30" i="1"/>
  <c r="J20" i="13"/>
  <c r="J20" i="12" s="1"/>
  <c r="J20" i="11" s="1"/>
  <c r="J20" i="10" s="1"/>
  <c r="J20" i="9" s="1"/>
  <c r="J20" i="8" s="1"/>
  <c r="J29" i="13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25" i="13"/>
  <c r="J25" i="12" s="1"/>
  <c r="J25" i="11" s="1"/>
  <c r="J25" i="10" s="1"/>
  <c r="J25" i="9" s="1"/>
  <c r="J25" i="8" s="1"/>
  <c r="J25" i="7" s="1"/>
  <c r="J25" i="6" s="1"/>
  <c r="J25" i="37" s="1"/>
  <c r="J25" i="4" s="1"/>
  <c r="J25" i="43" s="1"/>
  <c r="J27" i="13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J16" i="13"/>
  <c r="J16" i="12" s="1"/>
  <c r="J16" i="11" s="1"/>
  <c r="J16" i="10" s="1"/>
  <c r="J26" i="13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J10" i="13"/>
  <c r="J10" i="12" s="1"/>
  <c r="J10" i="11" s="1"/>
  <c r="J10" i="10" s="1"/>
  <c r="J11" i="13"/>
  <c r="J11" i="12" s="1"/>
  <c r="J11" i="11" s="1"/>
  <c r="J11" i="10" s="1"/>
  <c r="J22" i="13"/>
  <c r="J22" i="12" s="1"/>
  <c r="J22" i="11" s="1"/>
  <c r="J22" i="10" s="1"/>
  <c r="J22" i="9" s="1"/>
  <c r="J22" i="8" s="1"/>
  <c r="J22" i="7" s="1"/>
  <c r="J22" i="6" s="1"/>
  <c r="J22" i="37" s="1"/>
  <c r="J22" i="4" s="1"/>
  <c r="J22" i="43" s="1"/>
  <c r="J18" i="13"/>
  <c r="J18" i="12" s="1"/>
  <c r="J18" i="11" s="1"/>
  <c r="J18" i="10" s="1"/>
  <c r="J12" i="13"/>
  <c r="J12" i="12" s="1"/>
  <c r="J12" i="11" s="1"/>
  <c r="J12" i="10" s="1"/>
  <c r="J30" i="13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21" i="13"/>
  <c r="J21" i="12" s="1"/>
  <c r="J21" i="11" s="1"/>
  <c r="J21" i="10" s="1"/>
  <c r="J21" i="9" s="1"/>
  <c r="J21" i="8" s="1"/>
  <c r="J23" i="13"/>
  <c r="J23" i="12" s="1"/>
  <c r="J23" i="11" s="1"/>
  <c r="J23" i="10" s="1"/>
  <c r="J23" i="9" s="1"/>
  <c r="J23" i="8" s="1"/>
  <c r="J23" i="7" s="1"/>
  <c r="J23" i="6" s="1"/>
  <c r="J23" i="37" s="1"/>
  <c r="J23" i="4" s="1"/>
  <c r="J23" i="43" s="1"/>
  <c r="J19" i="13"/>
  <c r="J19" i="12" s="1"/>
  <c r="J19" i="11" s="1"/>
  <c r="J19" i="10" s="1"/>
  <c r="J24" i="13"/>
  <c r="J24" i="12" s="1"/>
  <c r="J24" i="11" s="1"/>
  <c r="J24" i="10" s="1"/>
  <c r="J24" i="9" s="1"/>
  <c r="J24" i="8" s="1"/>
  <c r="J24" i="7" s="1"/>
  <c r="J24" i="6" s="1"/>
  <c r="J24" i="37" s="1"/>
  <c r="J24" i="4" s="1"/>
  <c r="J24" i="43" s="1"/>
  <c r="J8" i="13"/>
  <c r="J8" i="12" s="1"/>
  <c r="J8" i="11" s="1"/>
  <c r="J8" i="10" s="1"/>
  <c r="J8" i="9" s="1"/>
  <c r="J8" i="8" s="1"/>
  <c r="J17" i="13"/>
  <c r="J17" i="12" s="1"/>
  <c r="J17" i="11" s="1"/>
  <c r="J17" i="10" s="1"/>
  <c r="J13" i="13"/>
  <c r="J13" i="12" s="1"/>
  <c r="J13" i="11" s="1"/>
  <c r="J13" i="10" s="1"/>
  <c r="J28" i="13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15" i="13"/>
  <c r="J15" i="12" s="1"/>
  <c r="J15" i="11" s="1"/>
  <c r="J15" i="10" s="1"/>
  <c r="J9" i="13"/>
  <c r="J9" i="12" s="1"/>
  <c r="J9" i="11" s="1"/>
  <c r="J9" i="10" s="1"/>
  <c r="J9" i="9" s="1"/>
  <c r="J9" i="8" s="1"/>
  <c r="J31" i="13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EC9" i="1"/>
  <c r="GB9" i="1"/>
  <c r="CY9" i="1"/>
  <c r="HR9" i="1"/>
  <c r="DQ9" i="1"/>
  <c r="DN9" i="1"/>
  <c r="EU9" i="1"/>
  <c r="EX9" i="1"/>
  <c r="CG9" i="1"/>
  <c r="CP9" i="1"/>
  <c r="EF9" i="1"/>
  <c r="HC9" i="1"/>
  <c r="IG9" i="1"/>
  <c r="FG9" i="1"/>
  <c r="GK9" i="1"/>
  <c r="DW9" i="1"/>
  <c r="ER9" i="1"/>
  <c r="HL9" i="1"/>
  <c r="ID9" i="1"/>
  <c r="IY9" i="1"/>
  <c r="BF9" i="1"/>
  <c r="HF9" i="1"/>
  <c r="AK9" i="1"/>
  <c r="BC9" i="1"/>
  <c r="DH9" i="1"/>
  <c r="GT9" i="1"/>
  <c r="FP9" i="1"/>
  <c r="IP9" i="1"/>
  <c r="GE9" i="1"/>
  <c r="EO9" i="1"/>
  <c r="BO9" i="1"/>
  <c r="CS9" i="1"/>
  <c r="AE9" i="1"/>
  <c r="HX9" i="1"/>
  <c r="J9" i="1"/>
  <c r="BR9" i="1"/>
  <c r="V9" i="1"/>
  <c r="FD9" i="1"/>
  <c r="JB9" i="1"/>
  <c r="E10" i="2"/>
  <c r="F10" i="2" s="1"/>
  <c r="BN10" i="2" s="1"/>
  <c r="G9" i="1"/>
  <c r="HO9" i="1"/>
  <c r="AN9" i="1"/>
  <c r="FA9" i="1"/>
  <c r="IS9" i="1"/>
  <c r="AW9" i="1"/>
  <c r="GW9" i="1"/>
  <c r="IA9" i="1"/>
  <c r="JE9" i="1"/>
  <c r="AT9" i="1"/>
  <c r="BX9" i="1"/>
  <c r="DT9" i="1"/>
  <c r="CJ9" i="1"/>
  <c r="FV9" i="1"/>
  <c r="A15" i="48"/>
  <c r="A13" i="45"/>
  <c r="BI9" i="1"/>
  <c r="DK9" i="1"/>
  <c r="FS9" i="1"/>
  <c r="DE9" i="1"/>
  <c r="EI9" i="1"/>
  <c r="FM9" i="1"/>
  <c r="JH9" i="1"/>
  <c r="DZ9" i="1"/>
  <c r="GH9" i="1"/>
  <c r="DB9" i="1"/>
  <c r="IJ9" i="1"/>
  <c r="FJ9" i="1"/>
  <c r="CM9" i="1"/>
  <c r="HU9" i="1"/>
  <c r="CA9" i="1"/>
  <c r="M9" i="1"/>
  <c r="AQ9" i="1"/>
  <c r="BU9" i="1"/>
  <c r="P9" i="1"/>
  <c r="BL9" i="1"/>
  <c r="IV9" i="1"/>
  <c r="EL9" i="1"/>
  <c r="AZ9" i="1"/>
  <c r="Y9" i="1"/>
  <c r="S9" i="1"/>
  <c r="GQ9" i="1"/>
  <c r="HI9" i="1"/>
  <c r="IM9" i="1"/>
  <c r="FY9" i="1"/>
  <c r="AB9" i="1"/>
  <c r="CD9" i="1"/>
  <c r="AH9" i="1"/>
  <c r="GN9" i="1"/>
  <c r="GZ9" i="1"/>
  <c r="E13" i="1"/>
  <c r="GZ13" i="1" s="1"/>
  <c r="C12" i="45"/>
  <c r="E12" i="1"/>
  <c r="CP12" i="1" s="1"/>
  <c r="C11" i="45"/>
  <c r="E11" i="1"/>
  <c r="CY11" i="1" s="1"/>
  <c r="C10" i="45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GN16" i="1"/>
  <c r="CV16" i="1"/>
  <c r="HX16" i="1"/>
  <c r="EF16" i="1"/>
  <c r="AN16" i="1"/>
  <c r="JH16" i="1"/>
  <c r="FP16" i="1"/>
  <c r="BX16" i="1"/>
  <c r="GZ16" i="1"/>
  <c r="DH16" i="1"/>
  <c r="P16" i="1"/>
  <c r="IJ16" i="1"/>
  <c r="ER16" i="1"/>
  <c r="AZ16" i="1"/>
  <c r="HL16" i="1"/>
  <c r="DT16" i="1"/>
  <c r="AB16" i="1"/>
  <c r="GB16" i="1"/>
  <c r="FD16" i="1"/>
  <c r="CJ16" i="1"/>
  <c r="BL16" i="1"/>
  <c r="IV16" i="1"/>
  <c r="JB23" i="1"/>
  <c r="IA23" i="1"/>
  <c r="GK23" i="1"/>
  <c r="FJ23" i="1"/>
  <c r="IM23" i="1"/>
  <c r="GW23" i="1"/>
  <c r="FV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IY23" i="1"/>
  <c r="HI23" i="1"/>
  <c r="GH23" i="1"/>
  <c r="FG23" i="1"/>
  <c r="HU23" i="1"/>
  <c r="GT23" i="1"/>
  <c r="FS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IG23" i="1"/>
  <c r="HF23" i="1"/>
  <c r="GE23" i="1"/>
  <c r="IS23" i="1"/>
  <c r="HR23" i="1"/>
  <c r="GQ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BR23" i="1"/>
  <c r="JE23" i="1"/>
  <c r="DB23" i="1"/>
  <c r="J23" i="1"/>
  <c r="HO23" i="1"/>
  <c r="FY23" i="1"/>
  <c r="EL23" i="1"/>
  <c r="AT23" i="1"/>
  <c r="CD23" i="1"/>
  <c r="JH23" i="1"/>
  <c r="ID23" i="1"/>
  <c r="DN23" i="1"/>
  <c r="V23" i="1"/>
  <c r="CP23" i="1"/>
  <c r="IP23" i="1"/>
  <c r="EX23" i="1"/>
  <c r="FM23" i="1"/>
  <c r="BF23" i="1"/>
  <c r="DZ23" i="1"/>
  <c r="AH23" i="1"/>
  <c r="HC23" i="1"/>
  <c r="FD23" i="1"/>
  <c r="IV23" i="1"/>
  <c r="FP23" i="1"/>
  <c r="GB23" i="1"/>
  <c r="GZ23" i="1"/>
  <c r="GN23" i="1"/>
  <c r="HL23" i="1"/>
  <c r="IJ23" i="1"/>
  <c r="HX23" i="1"/>
  <c r="JB30" i="1"/>
  <c r="DN30" i="1"/>
  <c r="HL30" i="1"/>
  <c r="AB30" i="1"/>
  <c r="BR30" i="1"/>
  <c r="GN30" i="1"/>
  <c r="HF30" i="1"/>
  <c r="V30" i="1"/>
  <c r="FJ30" i="1"/>
  <c r="DT30" i="1"/>
  <c r="CV30" i="1"/>
  <c r="GW30" i="1"/>
  <c r="DE30" i="1"/>
  <c r="M30" i="1"/>
  <c r="FS30" i="1"/>
  <c r="CA30" i="1"/>
  <c r="GB30" i="1"/>
  <c r="AH30" i="1"/>
  <c r="GT30" i="1"/>
  <c r="GK30" i="1"/>
  <c r="CS30" i="1"/>
  <c r="IY30" i="1"/>
  <c r="FG30" i="1"/>
  <c r="BO30" i="1"/>
  <c r="EF30" i="1"/>
  <c r="IV30" i="1"/>
  <c r="EX30" i="1"/>
  <c r="FY30" i="1"/>
  <c r="CG30" i="1"/>
  <c r="IM30" i="1"/>
  <c r="EU30" i="1"/>
  <c r="BC30" i="1"/>
  <c r="CJ30" i="1"/>
  <c r="GZ30" i="1"/>
  <c r="DB30" i="1"/>
  <c r="FP30" i="1"/>
  <c r="IS30" i="1"/>
  <c r="FA30" i="1"/>
  <c r="BI30" i="1"/>
  <c r="HO30" i="1"/>
  <c r="DW30" i="1"/>
  <c r="AE30" i="1"/>
  <c r="HR30" i="1"/>
  <c r="DH30" i="1"/>
  <c r="J30" i="1"/>
  <c r="AZ30" i="1"/>
  <c r="HU30" i="1"/>
  <c r="EC30" i="1"/>
  <c r="AK30" i="1"/>
  <c r="GQ30" i="1"/>
  <c r="CY30" i="1"/>
  <c r="G30" i="1"/>
  <c r="DZ30" i="1"/>
  <c r="P30" i="1"/>
  <c r="EL30" i="1"/>
  <c r="IG30" i="1"/>
  <c r="IA30" i="1"/>
  <c r="HX30" i="1"/>
  <c r="AT30" i="1"/>
  <c r="ER30" i="1"/>
  <c r="HI30" i="1"/>
  <c r="HC30" i="1"/>
  <c r="AN30" i="1"/>
  <c r="ID30" i="1"/>
  <c r="IJ30" i="1"/>
  <c r="FM30" i="1"/>
  <c r="GE30" i="1"/>
  <c r="FV30" i="1"/>
  <c r="BX30" i="1"/>
  <c r="EO30" i="1"/>
  <c r="EI30" i="1"/>
  <c r="CD30" i="1"/>
  <c r="JH30" i="1"/>
  <c r="DQ30" i="1"/>
  <c r="DK30" i="1"/>
  <c r="FD30" i="1"/>
  <c r="AW30" i="1"/>
  <c r="AQ30" i="1"/>
  <c r="IP30" i="1"/>
  <c r="GH30" i="1"/>
  <c r="JE30" i="1"/>
  <c r="BU30" i="1"/>
  <c r="Y30" i="1"/>
  <c r="CM30" i="1"/>
  <c r="S30" i="1"/>
  <c r="BF30" i="1"/>
  <c r="CP30" i="1"/>
  <c r="BL30" i="1"/>
  <c r="CA11" i="1"/>
  <c r="BO11" i="1"/>
  <c r="GQ11" i="1"/>
  <c r="EI11" i="1"/>
  <c r="CJ11" i="1"/>
  <c r="BX11" i="1"/>
  <c r="AZ11" i="1"/>
  <c r="HX11" i="1"/>
  <c r="GZ11" i="1"/>
  <c r="FD11" i="1"/>
  <c r="EF11" i="1"/>
  <c r="BI11" i="1"/>
  <c r="AK11" i="1"/>
  <c r="Y11" i="1"/>
  <c r="IP11" i="1"/>
  <c r="FM11" i="1"/>
  <c r="V11" i="1"/>
  <c r="IG11" i="1"/>
  <c r="P11" i="1"/>
  <c r="FJ11" i="1"/>
  <c r="DN11" i="1"/>
  <c r="BF11" i="1"/>
  <c r="GW11" i="1"/>
  <c r="GK11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IY17" i="1"/>
  <c r="HI17" i="1"/>
  <c r="GH17" i="1"/>
  <c r="FG17" i="1"/>
  <c r="DQ17" i="1"/>
  <c r="CP17" i="1"/>
  <c r="BO17" i="1"/>
  <c r="Y17" i="1"/>
  <c r="HU17" i="1"/>
  <c r="GT17" i="1"/>
  <c r="FS17" i="1"/>
  <c r="EC17" i="1"/>
  <c r="DB17" i="1"/>
  <c r="CA17" i="1"/>
  <c r="AK17" i="1"/>
  <c r="J17" i="1"/>
  <c r="IG17" i="1"/>
  <c r="HF17" i="1"/>
  <c r="GE17" i="1"/>
  <c r="EO17" i="1"/>
  <c r="DN17" i="1"/>
  <c r="CM17" i="1"/>
  <c r="AW17" i="1"/>
  <c r="V17" i="1"/>
  <c r="IS17" i="1"/>
  <c r="HR17" i="1"/>
  <c r="GQ17" i="1"/>
  <c r="FA17" i="1"/>
  <c r="DZ17" i="1"/>
  <c r="CY17" i="1"/>
  <c r="BI17" i="1"/>
  <c r="AH17" i="1"/>
  <c r="G17" i="1"/>
  <c r="JE17" i="1"/>
  <c r="ID17" i="1"/>
  <c r="HC17" i="1"/>
  <c r="FM17" i="1"/>
  <c r="EL17" i="1"/>
  <c r="DK17" i="1"/>
  <c r="BU17" i="1"/>
  <c r="AT17" i="1"/>
  <c r="S17" i="1"/>
  <c r="JB17" i="1"/>
  <c r="IA17" i="1"/>
  <c r="GK17" i="1"/>
  <c r="FJ17" i="1"/>
  <c r="EI17" i="1"/>
  <c r="CS17" i="1"/>
  <c r="BR17" i="1"/>
  <c r="AQ17" i="1"/>
  <c r="BF17" i="1"/>
  <c r="FV17" i="1"/>
  <c r="EX17" i="1"/>
  <c r="BC17" i="1"/>
  <c r="M17" i="1"/>
  <c r="DW17" i="1"/>
  <c r="AE17" i="1"/>
  <c r="IP17" i="1"/>
  <c r="EU17" i="1"/>
  <c r="DE17" i="1"/>
  <c r="CG17" i="1"/>
  <c r="IM17" i="1"/>
  <c r="GW17" i="1"/>
  <c r="HO17" i="1"/>
  <c r="FY17" i="1"/>
  <c r="CD17" i="1"/>
  <c r="C14" i="45"/>
  <c r="K14" i="45" s="1"/>
  <c r="E15" i="1"/>
  <c r="CM27" i="1"/>
  <c r="V27" i="1"/>
  <c r="IG27" i="1"/>
  <c r="HO27" i="1"/>
  <c r="EO27" i="1"/>
  <c r="DW27" i="1"/>
  <c r="BR27" i="1"/>
  <c r="GQ27" i="1"/>
  <c r="FY27" i="1"/>
  <c r="CY27" i="1"/>
  <c r="AH27" i="1"/>
  <c r="CG27" i="1"/>
  <c r="AW27" i="1"/>
  <c r="HU27" i="1"/>
  <c r="EU27" i="1"/>
  <c r="EC27" i="1"/>
  <c r="AQ27" i="1"/>
  <c r="G27" i="1"/>
  <c r="AE27" i="1"/>
  <c r="FS27" i="1"/>
  <c r="BI27" i="1"/>
  <c r="GK27" i="1"/>
  <c r="BF27" i="1"/>
  <c r="CS27" i="1"/>
  <c r="IV27" i="1"/>
  <c r="FD27" i="1"/>
  <c r="BL27" i="1"/>
  <c r="HR27" i="1"/>
  <c r="DZ27" i="1"/>
  <c r="IY27" i="1"/>
  <c r="J27" i="1"/>
  <c r="IJ27" i="1"/>
  <c r="ER27" i="1"/>
  <c r="AZ27" i="1"/>
  <c r="HF27" i="1"/>
  <c r="DN27" i="1"/>
  <c r="AK27" i="1"/>
  <c r="HX27" i="1"/>
  <c r="EF27" i="1"/>
  <c r="AN27" i="1"/>
  <c r="GT27" i="1"/>
  <c r="S27" i="1"/>
  <c r="CA27" i="1"/>
  <c r="EI27" i="1"/>
  <c r="DE27" i="1"/>
  <c r="GZ27" i="1"/>
  <c r="DH27" i="1"/>
  <c r="P27" i="1"/>
  <c r="FV27" i="1"/>
  <c r="BU27" i="1"/>
  <c r="DQ27" i="1"/>
  <c r="GB27" i="1"/>
  <c r="CJ27" i="1"/>
  <c r="IP27" i="1"/>
  <c r="EX27" i="1"/>
  <c r="FG27" i="1"/>
  <c r="IM27" i="1"/>
  <c r="HI27" i="1"/>
  <c r="DT27" i="1"/>
  <c r="EL27" i="1"/>
  <c r="DB27" i="1"/>
  <c r="Y27" i="1"/>
  <c r="IS27" i="1"/>
  <c r="CV27" i="1"/>
  <c r="AT27" i="1"/>
  <c r="FM27" i="1"/>
  <c r="BO27" i="1"/>
  <c r="BX27" i="1"/>
  <c r="DK27" i="1"/>
  <c r="JE27" i="1"/>
  <c r="CP27" i="1"/>
  <c r="M27" i="1"/>
  <c r="AB27" i="1"/>
  <c r="HC27" i="1"/>
  <c r="GE27" i="1"/>
  <c r="BC27" i="1"/>
  <c r="JH27" i="1"/>
  <c r="JB27" i="1"/>
  <c r="IA27" i="1"/>
  <c r="CD27" i="1"/>
  <c r="GN27" i="1"/>
  <c r="GH27" i="1"/>
  <c r="GW27" i="1"/>
  <c r="HL27" i="1"/>
  <c r="FP27" i="1"/>
  <c r="FJ27" i="1"/>
  <c r="FA27" i="1"/>
  <c r="ID27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HL13" i="1"/>
  <c r="Y13" i="1"/>
  <c r="DW13" i="1"/>
  <c r="CM13" i="1"/>
  <c r="JH31" i="1"/>
  <c r="GT31" i="1"/>
  <c r="GB31" i="1"/>
  <c r="FJ31" i="1"/>
  <c r="J31" i="1"/>
  <c r="DZ31" i="1"/>
  <c r="DH31" i="1"/>
  <c r="CP31" i="1"/>
  <c r="IP31" i="1"/>
  <c r="HX31" i="1"/>
  <c r="HF31" i="1"/>
  <c r="BF31" i="1"/>
  <c r="AN31" i="1"/>
  <c r="V31" i="1"/>
  <c r="JE31" i="1"/>
  <c r="FV31" i="1"/>
  <c r="FD31" i="1"/>
  <c r="EL31" i="1"/>
  <c r="JB31" i="1"/>
  <c r="DB31" i="1"/>
  <c r="CJ31" i="1"/>
  <c r="BR31" i="1"/>
  <c r="EX31" i="1"/>
  <c r="EF31" i="1"/>
  <c r="DN31" i="1"/>
  <c r="AT31" i="1"/>
  <c r="BL31" i="1"/>
  <c r="ID31" i="1"/>
  <c r="CD31" i="1"/>
  <c r="IV31" i="1"/>
  <c r="P31" i="1"/>
  <c r="GH31" i="1"/>
  <c r="AH31" i="1"/>
  <c r="GZ31" i="1"/>
  <c r="HR31" i="1"/>
  <c r="DT31" i="1"/>
  <c r="AZ31" i="1"/>
  <c r="FP31" i="1"/>
  <c r="CV31" i="1"/>
  <c r="HL31" i="1"/>
  <c r="S31" i="1"/>
  <c r="DK31" i="1"/>
  <c r="HC31" i="1"/>
  <c r="Y31" i="1"/>
  <c r="DQ31" i="1"/>
  <c r="HI31" i="1"/>
  <c r="ER31" i="1"/>
  <c r="GN31" i="1"/>
  <c r="AB31" i="1"/>
  <c r="CY31" i="1"/>
  <c r="HO31" i="1"/>
  <c r="CG31" i="1"/>
  <c r="GK31" i="1"/>
  <c r="G31" i="1"/>
  <c r="DW31" i="1"/>
  <c r="IA31" i="1"/>
  <c r="CS31" i="1"/>
  <c r="GW31" i="1"/>
  <c r="AE31" i="1"/>
  <c r="EI31" i="1"/>
  <c r="IM31" i="1"/>
  <c r="DE31" i="1"/>
  <c r="HU31" i="1"/>
  <c r="BX31" i="1"/>
  <c r="AQ31" i="1"/>
  <c r="EU31" i="1"/>
  <c r="IY31" i="1"/>
  <c r="M31" i="1"/>
  <c r="EC31" i="1"/>
  <c r="IG31" i="1"/>
  <c r="BC31" i="1"/>
  <c r="FG31" i="1"/>
  <c r="AK31" i="1"/>
  <c r="EO31" i="1"/>
  <c r="IS31" i="1"/>
  <c r="IJ31" i="1"/>
  <c r="BO31" i="1"/>
  <c r="BU31" i="1"/>
  <c r="CA31" i="1"/>
  <c r="AW31" i="1"/>
  <c r="CM31" i="1"/>
  <c r="BI31" i="1"/>
  <c r="FS31" i="1"/>
  <c r="GE31" i="1"/>
  <c r="FA31" i="1"/>
  <c r="FY31" i="1"/>
  <c r="FM31" i="1"/>
  <c r="GQ31" i="1"/>
  <c r="EI28" i="1"/>
  <c r="IM28" i="1"/>
  <c r="G28" i="1"/>
  <c r="GQ28" i="1"/>
  <c r="CM28" i="1"/>
  <c r="EU28" i="1"/>
  <c r="AQ28" i="1"/>
  <c r="CY28" i="1"/>
  <c r="BC28" i="1"/>
  <c r="IV28" i="1"/>
  <c r="FD28" i="1"/>
  <c r="BL28" i="1"/>
  <c r="HR28" i="1"/>
  <c r="DZ28" i="1"/>
  <c r="AH28" i="1"/>
  <c r="GE28" i="1"/>
  <c r="BI28" i="1"/>
  <c r="AE28" i="1"/>
  <c r="IJ28" i="1"/>
  <c r="ER28" i="1"/>
  <c r="AZ28" i="1"/>
  <c r="HF28" i="1"/>
  <c r="DN28" i="1"/>
  <c r="V28" i="1"/>
  <c r="Y28" i="1"/>
  <c r="IA28" i="1"/>
  <c r="DE28" i="1"/>
  <c r="CA28" i="1"/>
  <c r="HX28" i="1"/>
  <c r="EF28" i="1"/>
  <c r="AN28" i="1"/>
  <c r="GT28" i="1"/>
  <c r="DB28" i="1"/>
  <c r="J28" i="1"/>
  <c r="BU28" i="1"/>
  <c r="FA28" i="1"/>
  <c r="DW28" i="1"/>
  <c r="FG28" i="1"/>
  <c r="HL28" i="1"/>
  <c r="DT28" i="1"/>
  <c r="AB28" i="1"/>
  <c r="GH28" i="1"/>
  <c r="CP28" i="1"/>
  <c r="AK28" i="1"/>
  <c r="GZ28" i="1"/>
  <c r="DH28" i="1"/>
  <c r="P28" i="1"/>
  <c r="FV28" i="1"/>
  <c r="CD28" i="1"/>
  <c r="CG28" i="1"/>
  <c r="FM28" i="1"/>
  <c r="IS28" i="1"/>
  <c r="HO28" i="1"/>
  <c r="GB28" i="1"/>
  <c r="CJ28" i="1"/>
  <c r="IP28" i="1"/>
  <c r="EX28" i="1"/>
  <c r="BF28" i="1"/>
  <c r="FY28" i="1"/>
  <c r="JE28" i="1"/>
  <c r="FP28" i="1"/>
  <c r="AT28" i="1"/>
  <c r="GK28" i="1"/>
  <c r="CV28" i="1"/>
  <c r="EC28" i="1"/>
  <c r="IG28" i="1"/>
  <c r="S28" i="1"/>
  <c r="BX28" i="1"/>
  <c r="HU28" i="1"/>
  <c r="BO28" i="1"/>
  <c r="JB28" i="1"/>
  <c r="FS28" i="1"/>
  <c r="DK28" i="1"/>
  <c r="ID28" i="1"/>
  <c r="DQ28" i="1"/>
  <c r="M28" i="1"/>
  <c r="HC28" i="1"/>
  <c r="JH28" i="1"/>
  <c r="EL28" i="1"/>
  <c r="CS28" i="1"/>
  <c r="GN28" i="1"/>
  <c r="FJ28" i="1"/>
  <c r="IY28" i="1"/>
  <c r="BR28" i="1"/>
  <c r="EO28" i="1"/>
  <c r="HI28" i="1"/>
  <c r="GW28" i="1"/>
  <c r="AW28" i="1"/>
  <c r="IY26" i="1"/>
  <c r="IG26" i="1"/>
  <c r="DN26" i="1"/>
  <c r="AK26" i="1"/>
  <c r="V26" i="1"/>
  <c r="G26" i="1"/>
  <c r="GE26" i="1"/>
  <c r="FJ26" i="1"/>
  <c r="BO26" i="1"/>
  <c r="IP26" i="1"/>
  <c r="HI26" i="1"/>
  <c r="GQ26" i="1"/>
  <c r="DZ26" i="1"/>
  <c r="CS26" i="1"/>
  <c r="CD26" i="1"/>
  <c r="AW26" i="1"/>
  <c r="AH26" i="1"/>
  <c r="DQ26" i="1"/>
  <c r="CY26" i="1"/>
  <c r="J26" i="1"/>
  <c r="FA26" i="1"/>
  <c r="EI26" i="1"/>
  <c r="Y26" i="1"/>
  <c r="HF26" i="1"/>
  <c r="GK26" i="1"/>
  <c r="BI26" i="1"/>
  <c r="AQ26" i="1"/>
  <c r="IS26" i="1"/>
  <c r="GH26" i="1"/>
  <c r="CP26" i="1"/>
  <c r="BC26" i="1"/>
  <c r="HR26" i="1"/>
  <c r="CM26" i="1"/>
  <c r="BR26" i="1"/>
  <c r="DE26" i="1"/>
  <c r="EO26" i="1"/>
  <c r="FG26" i="1"/>
  <c r="M26" i="1"/>
  <c r="CA26" i="1"/>
  <c r="DB26" i="1"/>
  <c r="EC26" i="1"/>
  <c r="EU26" i="1"/>
  <c r="CG26" i="1"/>
  <c r="IJ26" i="1"/>
  <c r="ER26" i="1"/>
  <c r="AZ26" i="1"/>
  <c r="EL26" i="1"/>
  <c r="FS26" i="1"/>
  <c r="GW26" i="1"/>
  <c r="HU26" i="1"/>
  <c r="IA26" i="1"/>
  <c r="IV26" i="1"/>
  <c r="EF26" i="1"/>
  <c r="AB26" i="1"/>
  <c r="ID26" i="1"/>
  <c r="HX26" i="1"/>
  <c r="DT26" i="1"/>
  <c r="P26" i="1"/>
  <c r="JE26" i="1"/>
  <c r="FV26" i="1"/>
  <c r="AE26" i="1"/>
  <c r="HL26" i="1"/>
  <c r="DH26" i="1"/>
  <c r="S26" i="1"/>
  <c r="GT26" i="1"/>
  <c r="IM26" i="1"/>
  <c r="BF26" i="1"/>
  <c r="GZ26" i="1"/>
  <c r="CV26" i="1"/>
  <c r="AT26" i="1"/>
  <c r="DW26" i="1"/>
  <c r="GN26" i="1"/>
  <c r="CJ26" i="1"/>
  <c r="BU26" i="1"/>
  <c r="FY26" i="1"/>
  <c r="FP26" i="1"/>
  <c r="BL26" i="1"/>
  <c r="FM26" i="1"/>
  <c r="JH26" i="1"/>
  <c r="JB26" i="1"/>
  <c r="GB26" i="1"/>
  <c r="FD26" i="1"/>
  <c r="EX26" i="1"/>
  <c r="BX26" i="1"/>
  <c r="HO26" i="1"/>
  <c r="AN26" i="1"/>
  <c r="HC26" i="1"/>
  <c r="DK26" i="1"/>
  <c r="JH29" i="1"/>
  <c r="M29" i="1"/>
  <c r="BO29" i="1"/>
  <c r="AW29" i="1"/>
  <c r="GN29" i="1"/>
  <c r="DZ29" i="1"/>
  <c r="FP29" i="1"/>
  <c r="FV29" i="1"/>
  <c r="BI29" i="1"/>
  <c r="AQ29" i="1"/>
  <c r="S29" i="1"/>
  <c r="HR29" i="1"/>
  <c r="CV29" i="1"/>
  <c r="CA29" i="1"/>
  <c r="HU29" i="1"/>
  <c r="EC29" i="1"/>
  <c r="HC29" i="1"/>
  <c r="DK29" i="1"/>
  <c r="GB29" i="1"/>
  <c r="P29" i="1"/>
  <c r="DH29" i="1"/>
  <c r="AK29" i="1"/>
  <c r="EX29" i="1"/>
  <c r="HI29" i="1"/>
  <c r="DQ29" i="1"/>
  <c r="GQ29" i="1"/>
  <c r="CY29" i="1"/>
  <c r="EF29" i="1"/>
  <c r="JB29" i="1"/>
  <c r="CD29" i="1"/>
  <c r="CG29" i="1"/>
  <c r="IP29" i="1"/>
  <c r="GW29" i="1"/>
  <c r="DE29" i="1"/>
  <c r="GE29" i="1"/>
  <c r="CM29" i="1"/>
  <c r="CJ29" i="1"/>
  <c r="HF29" i="1"/>
  <c r="BR29" i="1"/>
  <c r="DT29" i="1"/>
  <c r="G29" i="1"/>
  <c r="FY29" i="1"/>
  <c r="IY29" i="1"/>
  <c r="FG29" i="1"/>
  <c r="GH29" i="1"/>
  <c r="BL29" i="1"/>
  <c r="DN29" i="1"/>
  <c r="AT29" i="1"/>
  <c r="IS29" i="1"/>
  <c r="FA29" i="1"/>
  <c r="IA29" i="1"/>
  <c r="EI29" i="1"/>
  <c r="EO29" i="1"/>
  <c r="EL29" i="1"/>
  <c r="IV29" i="1"/>
  <c r="ER29" i="1"/>
  <c r="CS29" i="1"/>
  <c r="CP29" i="1"/>
  <c r="GZ29" i="1"/>
  <c r="IJ29" i="1"/>
  <c r="IM29" i="1"/>
  <c r="HX29" i="1"/>
  <c r="FD29" i="1"/>
  <c r="BC29" i="1"/>
  <c r="HO29" i="1"/>
  <c r="BX29" i="1"/>
  <c r="BF29" i="1"/>
  <c r="DB29" i="1"/>
  <c r="JE29" i="1"/>
  <c r="FS29" i="1"/>
  <c r="AZ29" i="1"/>
  <c r="AH29" i="1"/>
  <c r="GT29" i="1"/>
  <c r="AE29" i="1"/>
  <c r="GK29" i="1"/>
  <c r="DW29" i="1"/>
  <c r="AB29" i="1"/>
  <c r="J29" i="1"/>
  <c r="V29" i="1"/>
  <c r="HL29" i="1"/>
  <c r="IG29" i="1"/>
  <c r="Y29" i="1"/>
  <c r="FM29" i="1"/>
  <c r="BU29" i="1"/>
  <c r="EU29" i="1"/>
  <c r="AN29" i="1"/>
  <c r="FJ29" i="1"/>
  <c r="ID29" i="1"/>
  <c r="IS25" i="1"/>
  <c r="HR25" i="1"/>
  <c r="GQ25" i="1"/>
  <c r="FA25" i="1"/>
  <c r="DZ25" i="1"/>
  <c r="CY25" i="1"/>
  <c r="JE25" i="1"/>
  <c r="ID25" i="1"/>
  <c r="HC25" i="1"/>
  <c r="FM25" i="1"/>
  <c r="EL25" i="1"/>
  <c r="DK25" i="1"/>
  <c r="BU25" i="1"/>
  <c r="AT25" i="1"/>
  <c r="S25" i="1"/>
  <c r="GW25" i="1"/>
  <c r="GH25" i="1"/>
  <c r="EO25" i="1"/>
  <c r="CS25" i="1"/>
  <c r="BC25" i="1"/>
  <c r="Y25" i="1"/>
  <c r="J25" i="1"/>
  <c r="IP25" i="1"/>
  <c r="IA25" i="1"/>
  <c r="FS25" i="1"/>
  <c r="DW25" i="1"/>
  <c r="CD25" i="1"/>
  <c r="BO25" i="1"/>
  <c r="AK25" i="1"/>
  <c r="HI25" i="1"/>
  <c r="GT25" i="1"/>
  <c r="GE25" i="1"/>
  <c r="DE25" i="1"/>
  <c r="CP25" i="1"/>
  <c r="V25" i="1"/>
  <c r="G25" i="1"/>
  <c r="JB25" i="1"/>
  <c r="IM25" i="1"/>
  <c r="EX25" i="1"/>
  <c r="EI25" i="1"/>
  <c r="CA25" i="1"/>
  <c r="AW25" i="1"/>
  <c r="AH25" i="1"/>
  <c r="JH25" i="1"/>
  <c r="HU25" i="1"/>
  <c r="HF25" i="1"/>
  <c r="DQ25" i="1"/>
  <c r="DB25" i="1"/>
  <c r="CM25" i="1"/>
  <c r="BI25" i="1"/>
  <c r="IY25" i="1"/>
  <c r="FY25" i="1"/>
  <c r="FJ25" i="1"/>
  <c r="EU25" i="1"/>
  <c r="AE25" i="1"/>
  <c r="HO25" i="1"/>
  <c r="DN25" i="1"/>
  <c r="M25" i="1"/>
  <c r="IG25" i="1"/>
  <c r="FV25" i="1"/>
  <c r="EC25" i="1"/>
  <c r="BR25" i="1"/>
  <c r="GK25" i="1"/>
  <c r="CG25" i="1"/>
  <c r="FG25" i="1"/>
  <c r="AQ25" i="1"/>
  <c r="BF25" i="1"/>
  <c r="CJ25" i="1"/>
  <c r="CV25" i="1"/>
  <c r="GN25" i="1"/>
  <c r="AB25" i="1"/>
  <c r="EF25" i="1"/>
  <c r="IJ25" i="1"/>
  <c r="P25" i="1"/>
  <c r="ER25" i="1"/>
  <c r="IV25" i="1"/>
  <c r="AN25" i="1"/>
  <c r="FD25" i="1"/>
  <c r="AZ25" i="1"/>
  <c r="FP25" i="1"/>
  <c r="BL25" i="1"/>
  <c r="GB25" i="1"/>
  <c r="DH25" i="1"/>
  <c r="HL25" i="1"/>
  <c r="DT25" i="1"/>
  <c r="GZ25" i="1"/>
  <c r="HX25" i="1"/>
  <c r="BX25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D19" i="1"/>
  <c r="HC19" i="1"/>
  <c r="GB19" i="1"/>
  <c r="EL19" i="1"/>
  <c r="DK19" i="1"/>
  <c r="CJ19" i="1"/>
  <c r="AT19" i="1"/>
  <c r="S19" i="1"/>
  <c r="IP19" i="1"/>
  <c r="HO19" i="1"/>
  <c r="GN19" i="1"/>
  <c r="EX19" i="1"/>
  <c r="DW19" i="1"/>
  <c r="CV19" i="1"/>
  <c r="BF19" i="1"/>
  <c r="AE19" i="1"/>
  <c r="JB19" i="1"/>
  <c r="IA19" i="1"/>
  <c r="GZ19" i="1"/>
  <c r="FJ19" i="1"/>
  <c r="EI19" i="1"/>
  <c r="DH19" i="1"/>
  <c r="BR19" i="1"/>
  <c r="AQ19" i="1"/>
  <c r="P19" i="1"/>
  <c r="IM19" i="1"/>
  <c r="HL19" i="1"/>
  <c r="FV19" i="1"/>
  <c r="EU19" i="1"/>
  <c r="DT19" i="1"/>
  <c r="CD19" i="1"/>
  <c r="BC19" i="1"/>
  <c r="AB19" i="1"/>
  <c r="IY19" i="1"/>
  <c r="HX19" i="1"/>
  <c r="GH19" i="1"/>
  <c r="FG19" i="1"/>
  <c r="EF19" i="1"/>
  <c r="CP19" i="1"/>
  <c r="BO19" i="1"/>
  <c r="AN19" i="1"/>
  <c r="IV19" i="1"/>
  <c r="HF19" i="1"/>
  <c r="GE19" i="1"/>
  <c r="FD19" i="1"/>
  <c r="DN19" i="1"/>
  <c r="CM19" i="1"/>
  <c r="BL19" i="1"/>
  <c r="V19" i="1"/>
  <c r="AZ19" i="1"/>
  <c r="J19" i="1"/>
  <c r="FP19" i="1"/>
  <c r="DZ19" i="1"/>
  <c r="ER19" i="1"/>
  <c r="DB19" i="1"/>
  <c r="G19" i="1"/>
  <c r="JH19" i="1"/>
  <c r="HR19" i="1"/>
  <c r="IJ19" i="1"/>
  <c r="GT19" i="1"/>
  <c r="CY19" i="1"/>
  <c r="CA19" i="1"/>
  <c r="GQ19" i="1"/>
  <c r="FS19" i="1"/>
  <c r="BX19" i="1"/>
  <c r="AH19" i="1"/>
  <c r="GH35" i="1"/>
  <c r="DN35" i="1"/>
  <c r="CY35" i="1"/>
  <c r="BR35" i="1"/>
  <c r="BC35" i="1"/>
  <c r="HF35" i="1"/>
  <c r="EX35" i="1"/>
  <c r="G35" i="1"/>
  <c r="DZ35" i="1"/>
  <c r="DK35" i="1"/>
  <c r="CD35" i="1"/>
  <c r="BO35" i="1"/>
  <c r="AH35" i="1"/>
  <c r="S35" i="1"/>
  <c r="IY35" i="1"/>
  <c r="IP35" i="1"/>
  <c r="HR35" i="1"/>
  <c r="FJ35" i="1"/>
  <c r="DW35" i="1"/>
  <c r="CP35" i="1"/>
  <c r="CA35" i="1"/>
  <c r="AT35" i="1"/>
  <c r="AE35" i="1"/>
  <c r="JB35" i="1"/>
  <c r="GT35" i="1"/>
  <c r="DB35" i="1"/>
  <c r="CM35" i="1"/>
  <c r="BF35" i="1"/>
  <c r="AQ35" i="1"/>
  <c r="FV35" i="1"/>
  <c r="M35" i="1"/>
  <c r="J35" i="1"/>
  <c r="Y35" i="1"/>
  <c r="ID35" i="1"/>
  <c r="EL35" i="1"/>
  <c r="AW35" i="1"/>
  <c r="EO35" i="1"/>
  <c r="IG35" i="1"/>
  <c r="BX35" i="1"/>
  <c r="FP35" i="1"/>
  <c r="JH35" i="1"/>
  <c r="BI35" i="1"/>
  <c r="FA35" i="1"/>
  <c r="IS35" i="1"/>
  <c r="CJ35" i="1"/>
  <c r="GB35" i="1"/>
  <c r="FS35" i="1"/>
  <c r="BU35" i="1"/>
  <c r="FM35" i="1"/>
  <c r="JE35" i="1"/>
  <c r="CV35" i="1"/>
  <c r="GN35" i="1"/>
  <c r="CG35" i="1"/>
  <c r="FY35" i="1"/>
  <c r="P35" i="1"/>
  <c r="DH35" i="1"/>
  <c r="GZ35" i="1"/>
  <c r="GQ35" i="1"/>
  <c r="CS35" i="1"/>
  <c r="GK35" i="1"/>
  <c r="AB35" i="1"/>
  <c r="DT35" i="1"/>
  <c r="HL35" i="1"/>
  <c r="HC35" i="1"/>
  <c r="AN35" i="1"/>
  <c r="IV35" i="1"/>
  <c r="IA35" i="1"/>
  <c r="EI35" i="1"/>
  <c r="AK35" i="1"/>
  <c r="AZ35" i="1"/>
  <c r="IM35" i="1"/>
  <c r="DE35" i="1"/>
  <c r="BL35" i="1"/>
  <c r="DQ35" i="1"/>
  <c r="EF35" i="1"/>
  <c r="EC35" i="1"/>
  <c r="ER35" i="1"/>
  <c r="EU35" i="1"/>
  <c r="HI35" i="1"/>
  <c r="HX35" i="1"/>
  <c r="GE35" i="1"/>
  <c r="V35" i="1"/>
  <c r="HU35" i="1"/>
  <c r="IJ35" i="1"/>
  <c r="HO35" i="1"/>
  <c r="FG35" i="1"/>
  <c r="GW35" i="1"/>
  <c r="FD35" i="1"/>
  <c r="BC35" i="48"/>
  <c r="I35" i="48"/>
  <c r="AJ35" i="48"/>
  <c r="AD35" i="48"/>
  <c r="C34" i="45"/>
  <c r="J35" i="48"/>
  <c r="E35" i="2"/>
  <c r="BM35" i="2" s="1"/>
  <c r="K33" i="45"/>
  <c r="O33" i="45"/>
  <c r="R33" i="45"/>
  <c r="G33" i="45"/>
  <c r="X172" i="46"/>
  <c r="K32" i="45"/>
  <c r="O32" i="45"/>
  <c r="G32" i="45"/>
  <c r="R32" i="45"/>
  <c r="E34" i="2"/>
  <c r="BM34" i="2" s="1"/>
  <c r="R10" i="48"/>
  <c r="C9" i="45" s="1"/>
  <c r="J40" i="32"/>
  <c r="K57" i="32" s="1"/>
  <c r="I48" i="32"/>
  <c r="X170" i="46"/>
  <c r="AJ29" i="48"/>
  <c r="I29" i="48"/>
  <c r="BC29" i="48"/>
  <c r="AD29" i="48"/>
  <c r="C28" i="45"/>
  <c r="J29" i="48"/>
  <c r="AJ30" i="48"/>
  <c r="J30" i="48"/>
  <c r="I30" i="48"/>
  <c r="AD30" i="48"/>
  <c r="BC30" i="48"/>
  <c r="C29" i="45"/>
  <c r="AJ31" i="48"/>
  <c r="I31" i="48"/>
  <c r="AD31" i="48"/>
  <c r="J31" i="48"/>
  <c r="C30" i="45"/>
  <c r="BC31" i="48"/>
  <c r="J14" i="11"/>
  <c r="J14" i="10" s="1"/>
  <c r="AJ27" i="48"/>
  <c r="I27" i="48"/>
  <c r="C26" i="45"/>
  <c r="BC27" i="48"/>
  <c r="J27" i="48"/>
  <c r="AD27" i="48"/>
  <c r="C22" i="45"/>
  <c r="AD23" i="48"/>
  <c r="BC23" i="48"/>
  <c r="AJ23" i="48"/>
  <c r="I23" i="48"/>
  <c r="J23" i="48"/>
  <c r="C25" i="45"/>
  <c r="J26" i="48"/>
  <c r="I26" i="48"/>
  <c r="AJ26" i="48"/>
  <c r="BC26" i="48"/>
  <c r="AD26" i="48"/>
  <c r="BC28" i="48"/>
  <c r="C27" i="45"/>
  <c r="J28" i="48"/>
  <c r="AJ28" i="48"/>
  <c r="I28" i="48"/>
  <c r="AD28" i="48"/>
  <c r="E19" i="2"/>
  <c r="BM19" i="2" s="1"/>
  <c r="C18" i="45"/>
  <c r="I19" i="48"/>
  <c r="AD19" i="48"/>
  <c r="AJ19" i="48"/>
  <c r="J19" i="48"/>
  <c r="BC19" i="48"/>
  <c r="C16" i="45"/>
  <c r="BC17" i="48"/>
  <c r="AD17" i="48"/>
  <c r="J17" i="48"/>
  <c r="I17" i="48"/>
  <c r="AJ17" i="48"/>
  <c r="G14" i="45"/>
  <c r="BC16" i="48"/>
  <c r="C15" i="45"/>
  <c r="AJ16" i="48"/>
  <c r="I16" i="48"/>
  <c r="AD16" i="48"/>
  <c r="J16" i="48"/>
  <c r="I45" i="31"/>
  <c r="I48" i="31"/>
  <c r="I48" i="27"/>
  <c r="I45" i="27"/>
  <c r="R14" i="48"/>
  <c r="C13" i="45" s="1"/>
  <c r="BC15" i="48"/>
  <c r="AJ15" i="48"/>
  <c r="I15" i="48"/>
  <c r="J15" i="48"/>
  <c r="AD15" i="48"/>
  <c r="BC13" i="48"/>
  <c r="J13" i="48"/>
  <c r="I13" i="48"/>
  <c r="AD13" i="48"/>
  <c r="AJ13" i="48"/>
  <c r="I12" i="48"/>
  <c r="AJ12" i="48"/>
  <c r="J12" i="48"/>
  <c r="BC12" i="48"/>
  <c r="AD12" i="48"/>
  <c r="BC11" i="48"/>
  <c r="AD11" i="48"/>
  <c r="I11" i="48"/>
  <c r="AJ11" i="48"/>
  <c r="J11" i="48"/>
  <c r="AI9" i="48"/>
  <c r="M10" i="48"/>
  <c r="I50" i="18"/>
  <c r="I51" i="18"/>
  <c r="I50" i="28"/>
  <c r="I51" i="28"/>
  <c r="I50" i="17"/>
  <c r="I51" i="17"/>
  <c r="I50" i="8"/>
  <c r="I51" i="8"/>
  <c r="I50" i="29"/>
  <c r="I51" i="29"/>
  <c r="I50" i="30"/>
  <c r="I51" i="30"/>
  <c r="J50" i="33"/>
  <c r="J51" i="33"/>
  <c r="I50" i="31"/>
  <c r="I51" i="31"/>
  <c r="W9" i="48"/>
  <c r="Y9" i="48"/>
  <c r="I49" i="32"/>
  <c r="I51" i="32" s="1"/>
  <c r="V11" i="48"/>
  <c r="X11" i="48"/>
  <c r="I49" i="7"/>
  <c r="I11" i="56"/>
  <c r="F12" i="55" s="1"/>
  <c r="G12" i="55" s="1"/>
  <c r="V34" i="48"/>
  <c r="X34" i="48"/>
  <c r="V25" i="48"/>
  <c r="X25" i="48"/>
  <c r="X24" i="48"/>
  <c r="V24" i="48"/>
  <c r="I49" i="22"/>
  <c r="X15" i="48"/>
  <c r="V15" i="48"/>
  <c r="V13" i="48"/>
  <c r="X13" i="48"/>
  <c r="D43" i="26"/>
  <c r="D43" i="25" s="1"/>
  <c r="E45" i="28"/>
  <c r="V12" i="48"/>
  <c r="X12" i="48"/>
  <c r="D39" i="26"/>
  <c r="D39" i="25" s="1"/>
  <c r="D48" i="27"/>
  <c r="E48" i="27" s="1"/>
  <c r="M8" i="29"/>
  <c r="M34" i="30"/>
  <c r="E41" i="29"/>
  <c r="D41" i="27"/>
  <c r="J43" i="27"/>
  <c r="J44" i="29"/>
  <c r="J56" i="27"/>
  <c r="D38" i="28"/>
  <c r="E38" i="27"/>
  <c r="D52" i="29"/>
  <c r="D53" i="29" s="1"/>
  <c r="E50" i="29"/>
  <c r="D50" i="27"/>
  <c r="E52" i="30"/>
  <c r="E53" i="30" s="1"/>
  <c r="E46" i="29"/>
  <c r="D46" i="27"/>
  <c r="D47" i="26"/>
  <c r="E47" i="28"/>
  <c r="E42" i="29"/>
  <c r="D42" i="27"/>
  <c r="E45" i="26"/>
  <c r="D45" i="25"/>
  <c r="D51" i="28"/>
  <c r="E51" i="27"/>
  <c r="E44" i="28"/>
  <c r="D44" i="26"/>
  <c r="E40" i="27"/>
  <c r="D40" i="28"/>
  <c r="A15" i="2" s="1"/>
  <c r="E49" i="28"/>
  <c r="D49" i="26"/>
  <c r="J57" i="27"/>
  <c r="J37" i="29"/>
  <c r="J39" i="30"/>
  <c r="J47" i="27"/>
  <c r="J46" i="28"/>
  <c r="AC13" i="48"/>
  <c r="Q14" i="48"/>
  <c r="M7" i="26"/>
  <c r="J57" i="15"/>
  <c r="AQ12" i="1" l="1"/>
  <c r="HR12" i="1"/>
  <c r="IS11" i="1"/>
  <c r="EO11" i="1"/>
  <c r="M11" i="1"/>
  <c r="ER11" i="1"/>
  <c r="BL11" i="1"/>
  <c r="HC11" i="1"/>
  <c r="DB11" i="1"/>
  <c r="EC11" i="1"/>
  <c r="EX11" i="1"/>
  <c r="AW11" i="1"/>
  <c r="HL11" i="1"/>
  <c r="CV11" i="1"/>
  <c r="CP11" i="1"/>
  <c r="FY11" i="1"/>
  <c r="GT11" i="1"/>
  <c r="DE11" i="1"/>
  <c r="IJ11" i="1"/>
  <c r="EU11" i="1"/>
  <c r="FA11" i="1"/>
  <c r="ID11" i="1"/>
  <c r="HI11" i="1"/>
  <c r="DT11" i="1"/>
  <c r="IV11" i="1"/>
  <c r="FG11" i="1"/>
  <c r="BO13" i="1"/>
  <c r="DT13" i="1"/>
  <c r="HF12" i="1"/>
  <c r="HO13" i="1"/>
  <c r="GZ12" i="1"/>
  <c r="FJ13" i="1"/>
  <c r="HU12" i="1"/>
  <c r="JB13" i="1"/>
  <c r="IS12" i="1"/>
  <c r="CP13" i="1"/>
  <c r="AB12" i="1"/>
  <c r="GK13" i="1"/>
  <c r="CV12" i="1"/>
  <c r="IJ12" i="1"/>
  <c r="FG12" i="1"/>
  <c r="V12" i="1"/>
  <c r="HI12" i="1"/>
  <c r="GE12" i="1"/>
  <c r="DB12" i="1"/>
  <c r="R14" i="45"/>
  <c r="HL12" i="1"/>
  <c r="IM12" i="1"/>
  <c r="O14" i="45"/>
  <c r="AK12" i="1"/>
  <c r="CA12" i="1"/>
  <c r="P12" i="1"/>
  <c r="DZ12" i="1"/>
  <c r="BM10" i="2"/>
  <c r="EI13" i="1"/>
  <c r="AK13" i="1"/>
  <c r="AE13" i="1"/>
  <c r="G13" i="1"/>
  <c r="EU13" i="1"/>
  <c r="IM13" i="1"/>
  <c r="GH13" i="1"/>
  <c r="V13" i="1"/>
  <c r="DQ13" i="1"/>
  <c r="HI13" i="1"/>
  <c r="AW13" i="1"/>
  <c r="ER13" i="1"/>
  <c r="IJ13" i="1"/>
  <c r="EF13" i="1"/>
  <c r="BL13" i="1"/>
  <c r="AN13" i="1"/>
  <c r="FG13" i="1"/>
  <c r="IY13" i="1"/>
  <c r="GT13" i="1"/>
  <c r="AH13" i="1"/>
  <c r="EC13" i="1"/>
  <c r="HU13" i="1"/>
  <c r="BI13" i="1"/>
  <c r="FD13" i="1"/>
  <c r="IV13" i="1"/>
  <c r="P13" i="1"/>
  <c r="CA13" i="1"/>
  <c r="BC13" i="1"/>
  <c r="FS13" i="1"/>
  <c r="DN13" i="1"/>
  <c r="HF13" i="1"/>
  <c r="AT13" i="1"/>
  <c r="EO13" i="1"/>
  <c r="IG13" i="1"/>
  <c r="BU13" i="1"/>
  <c r="FP13" i="1"/>
  <c r="JH13" i="1"/>
  <c r="A16" i="48"/>
  <c r="A14" i="45"/>
  <c r="IA13" i="1"/>
  <c r="J13" i="1"/>
  <c r="HX13" i="1"/>
  <c r="AB13" i="1"/>
  <c r="DH13" i="1"/>
  <c r="CJ13" i="1"/>
  <c r="GE13" i="1"/>
  <c r="DZ13" i="1"/>
  <c r="HR13" i="1"/>
  <c r="BF13" i="1"/>
  <c r="FA13" i="1"/>
  <c r="IS13" i="1"/>
  <c r="CG13" i="1"/>
  <c r="GB13" i="1"/>
  <c r="FV13" i="1"/>
  <c r="GW13" i="1"/>
  <c r="AQ13" i="1"/>
  <c r="S13" i="1"/>
  <c r="CY13" i="1"/>
  <c r="GQ13" i="1"/>
  <c r="EL13" i="1"/>
  <c r="ID13" i="1"/>
  <c r="BR13" i="1"/>
  <c r="FM13" i="1"/>
  <c r="JE13" i="1"/>
  <c r="CS13" i="1"/>
  <c r="GN13" i="1"/>
  <c r="CV13" i="1"/>
  <c r="DB13" i="1"/>
  <c r="BX13" i="1"/>
  <c r="AZ13" i="1"/>
  <c r="DK13" i="1"/>
  <c r="HC13" i="1"/>
  <c r="EX13" i="1"/>
  <c r="IP13" i="1"/>
  <c r="CD13" i="1"/>
  <c r="FY13" i="1"/>
  <c r="M13" i="1"/>
  <c r="DE13" i="1"/>
  <c r="GH11" i="1"/>
  <c r="AH11" i="1"/>
  <c r="HF11" i="1"/>
  <c r="FV11" i="1"/>
  <c r="JE11" i="1"/>
  <c r="BU11" i="1"/>
  <c r="FP11" i="1"/>
  <c r="JH11" i="1"/>
  <c r="DH11" i="1"/>
  <c r="HO11" i="1"/>
  <c r="BR11" i="1"/>
  <c r="DZ11" i="1"/>
  <c r="HU11" i="1"/>
  <c r="CD11" i="1"/>
  <c r="J11" i="1"/>
  <c r="CG11" i="1"/>
  <c r="GB11" i="1"/>
  <c r="AB11" i="1"/>
  <c r="DK11" i="1"/>
  <c r="IA11" i="1"/>
  <c r="EL11" i="1"/>
  <c r="HR11" i="1"/>
  <c r="JB11" i="1"/>
  <c r="DQ11" i="1"/>
  <c r="AT11" i="1"/>
  <c r="CS11" i="1"/>
  <c r="GN11" i="1"/>
  <c r="AN11" i="1"/>
  <c r="DW11" i="1"/>
  <c r="IY11" i="1"/>
  <c r="IM11" i="1"/>
  <c r="FS11" i="1"/>
  <c r="G11" i="1"/>
  <c r="GE11" i="1"/>
  <c r="S11" i="1"/>
  <c r="AE11" i="1"/>
  <c r="AQ11" i="1"/>
  <c r="BC11" i="1"/>
  <c r="CM11" i="1"/>
  <c r="O13" i="45"/>
  <c r="R13" i="45"/>
  <c r="K13" i="45"/>
  <c r="G13" i="45"/>
  <c r="O12" i="45"/>
  <c r="G12" i="45"/>
  <c r="K12" i="45"/>
  <c r="R12" i="45"/>
  <c r="EO12" i="1"/>
  <c r="DQ12" i="1"/>
  <c r="M12" i="1"/>
  <c r="BL12" i="1"/>
  <c r="GQ12" i="1"/>
  <c r="CM12" i="1"/>
  <c r="ID12" i="1"/>
  <c r="GK12" i="1"/>
  <c r="GB12" i="1"/>
  <c r="Y12" i="1"/>
  <c r="BX12" i="1"/>
  <c r="HC12" i="1"/>
  <c r="DN12" i="1"/>
  <c r="J12" i="1"/>
  <c r="IG12" i="1"/>
  <c r="JE12" i="1"/>
  <c r="BU12" i="1"/>
  <c r="DH12" i="1"/>
  <c r="IY12" i="1"/>
  <c r="EL12" i="1"/>
  <c r="AT12" i="1"/>
  <c r="ER12" i="1"/>
  <c r="DT12" i="1"/>
  <c r="CG12" i="1"/>
  <c r="DK12" i="1"/>
  <c r="S12" i="1"/>
  <c r="FV12" i="1"/>
  <c r="BF12" i="1"/>
  <c r="FY12" i="1"/>
  <c r="FA12" i="1"/>
  <c r="DE12" i="1"/>
  <c r="EU12" i="1"/>
  <c r="AE12" i="1"/>
  <c r="GH12" i="1"/>
  <c r="BR12" i="1"/>
  <c r="FD12" i="1"/>
  <c r="GN12" i="1"/>
  <c r="HX12" i="1"/>
  <c r="JH12" i="1"/>
  <c r="CS12" i="1"/>
  <c r="CJ12" i="1"/>
  <c r="FS12" i="1"/>
  <c r="G12" i="1"/>
  <c r="CY12" i="1"/>
  <c r="GT12" i="1"/>
  <c r="AH12" i="1"/>
  <c r="IV12" i="1"/>
  <c r="EF12" i="1"/>
  <c r="FP12" i="1"/>
  <c r="AW12" i="1"/>
  <c r="AN12" i="1"/>
  <c r="DW12" i="1"/>
  <c r="HO12" i="1"/>
  <c r="BC12" i="1"/>
  <c r="EX12" i="1"/>
  <c r="IP12" i="1"/>
  <c r="CD12" i="1"/>
  <c r="EC12" i="1"/>
  <c r="FM12" i="1"/>
  <c r="GW12" i="1"/>
  <c r="BI12" i="1"/>
  <c r="AZ12" i="1"/>
  <c r="EI12" i="1"/>
  <c r="IA12" i="1"/>
  <c r="BO12" i="1"/>
  <c r="FJ12" i="1"/>
  <c r="JB12" i="1"/>
  <c r="O11" i="45"/>
  <c r="G11" i="45"/>
  <c r="K11" i="45"/>
  <c r="R11" i="45"/>
  <c r="O10" i="45"/>
  <c r="G10" i="45"/>
  <c r="K10" i="45"/>
  <c r="R10" i="45"/>
  <c r="K9" i="45"/>
  <c r="O9" i="45"/>
  <c r="G9" i="45"/>
  <c r="R9" i="45"/>
  <c r="R41" i="48"/>
  <c r="BC41" i="48" s="1"/>
  <c r="E14" i="1"/>
  <c r="E15" i="2" s="1"/>
  <c r="BM15" i="2" s="1"/>
  <c r="F5" i="55"/>
  <c r="G5" i="55" s="1"/>
  <c r="F4" i="55"/>
  <c r="F33" i="55"/>
  <c r="F19" i="55"/>
  <c r="G19" i="55" s="1"/>
  <c r="F28" i="55"/>
  <c r="F30" i="55"/>
  <c r="F7" i="55"/>
  <c r="G7" i="55" s="1"/>
  <c r="F24" i="55"/>
  <c r="F17" i="55"/>
  <c r="F40" i="55"/>
  <c r="F25" i="55"/>
  <c r="F37" i="55"/>
  <c r="F21" i="55"/>
  <c r="F39" i="55"/>
  <c r="F9" i="55"/>
  <c r="G9" i="55" s="1"/>
  <c r="F29" i="55"/>
  <c r="F22" i="55"/>
  <c r="F10" i="55"/>
  <c r="G10" i="55" s="1"/>
  <c r="F18" i="55"/>
  <c r="F6" i="55"/>
  <c r="G6" i="55" s="1"/>
  <c r="F26" i="55"/>
  <c r="F20" i="55"/>
  <c r="F32" i="55"/>
  <c r="F31" i="55"/>
  <c r="F36" i="55"/>
  <c r="F35" i="55"/>
  <c r="F38" i="55"/>
  <c r="F8" i="55"/>
  <c r="G8" i="55" s="1"/>
  <c r="F11" i="55"/>
  <c r="G11" i="55" s="1"/>
  <c r="F27" i="55"/>
  <c r="F34" i="55"/>
  <c r="F23" i="55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IP15" i="1"/>
  <c r="GZ15" i="1"/>
  <c r="FY15" i="1"/>
  <c r="EX15" i="1"/>
  <c r="DH15" i="1"/>
  <c r="JB15" i="1"/>
  <c r="HL15" i="1"/>
  <c r="GK15" i="1"/>
  <c r="FJ15" i="1"/>
  <c r="DT15" i="1"/>
  <c r="CS15" i="1"/>
  <c r="CG15" i="1"/>
  <c r="BU15" i="1"/>
  <c r="BI15" i="1"/>
  <c r="AW15" i="1"/>
  <c r="AK15" i="1"/>
  <c r="Y15" i="1"/>
  <c r="M15" i="1"/>
  <c r="HX15" i="1"/>
  <c r="GW15" i="1"/>
  <c r="FV15" i="1"/>
  <c r="EF15" i="1"/>
  <c r="DE15" i="1"/>
  <c r="IJ15" i="1"/>
  <c r="HI15" i="1"/>
  <c r="GH15" i="1"/>
  <c r="ER15" i="1"/>
  <c r="DQ15" i="1"/>
  <c r="CP15" i="1"/>
  <c r="CD15" i="1"/>
  <c r="BR15" i="1"/>
  <c r="BF15" i="1"/>
  <c r="AT15" i="1"/>
  <c r="AH15" i="1"/>
  <c r="V15" i="1"/>
  <c r="J15" i="1"/>
  <c r="IV15" i="1"/>
  <c r="HU15" i="1"/>
  <c r="GT15" i="1"/>
  <c r="FD15" i="1"/>
  <c r="EC15" i="1"/>
  <c r="DB15" i="1"/>
  <c r="IS15" i="1"/>
  <c r="HR15" i="1"/>
  <c r="GB15" i="1"/>
  <c r="FA15" i="1"/>
  <c r="DZ15" i="1"/>
  <c r="IG15" i="1"/>
  <c r="EL15" i="1"/>
  <c r="CV15" i="1"/>
  <c r="BO15" i="1"/>
  <c r="AZ15" i="1"/>
  <c r="S15" i="1"/>
  <c r="DN15" i="1"/>
  <c r="FM15" i="1"/>
  <c r="JE15" i="1"/>
  <c r="ID15" i="1"/>
  <c r="GN15" i="1"/>
  <c r="CA15" i="1"/>
  <c r="BL15" i="1"/>
  <c r="AE15" i="1"/>
  <c r="P15" i="1"/>
  <c r="JH15" i="1"/>
  <c r="HF15" i="1"/>
  <c r="FP15" i="1"/>
  <c r="CM15" i="1"/>
  <c r="BX15" i="1"/>
  <c r="AQ15" i="1"/>
  <c r="AB15" i="1"/>
  <c r="EO15" i="1"/>
  <c r="CJ15" i="1"/>
  <c r="BC15" i="1"/>
  <c r="AN15" i="1"/>
  <c r="G15" i="1"/>
  <c r="I10" i="48"/>
  <c r="E10" i="1"/>
  <c r="E11" i="2" s="1"/>
  <c r="BM11" i="2" s="1"/>
  <c r="G34" i="45"/>
  <c r="K34" i="45"/>
  <c r="R34" i="45"/>
  <c r="O34" i="45"/>
  <c r="E36" i="2"/>
  <c r="BM36" i="2" s="1"/>
  <c r="J20" i="7"/>
  <c r="J20" i="6" s="1"/>
  <c r="J20" i="37" s="1"/>
  <c r="J20" i="4" s="1"/>
  <c r="J20" i="43" s="1"/>
  <c r="K56" i="32"/>
  <c r="J8" i="7"/>
  <c r="J8" i="6" s="1"/>
  <c r="J8" i="37" s="1"/>
  <c r="J8" i="4" s="1"/>
  <c r="J8" i="43" s="1"/>
  <c r="J41" i="32"/>
  <c r="J21" i="7"/>
  <c r="J21" i="6" s="1"/>
  <c r="J21" i="37" s="1"/>
  <c r="J21" i="4" s="1"/>
  <c r="J21" i="43" s="1"/>
  <c r="J9" i="7"/>
  <c r="J9" i="6" s="1"/>
  <c r="J9" i="37" s="1"/>
  <c r="J9" i="4" s="1"/>
  <c r="J9" i="43" s="1"/>
  <c r="J18" i="9"/>
  <c r="J18" i="8" s="1"/>
  <c r="J18" i="7" s="1"/>
  <c r="J18" i="6" s="1"/>
  <c r="J18" i="37" s="1"/>
  <c r="J18" i="4" s="1"/>
  <c r="J18" i="43" s="1"/>
  <c r="J16" i="9"/>
  <c r="J16" i="8" s="1"/>
  <c r="J16" i="7" s="1"/>
  <c r="J16" i="6" s="1"/>
  <c r="J16" i="37" s="1"/>
  <c r="J16" i="4" s="1"/>
  <c r="J16" i="43" s="1"/>
  <c r="J12" i="9"/>
  <c r="J12" i="8" s="1"/>
  <c r="J12" i="7" s="1"/>
  <c r="J12" i="6" s="1"/>
  <c r="J12" i="37" s="1"/>
  <c r="J12" i="4" s="1"/>
  <c r="J12" i="43" s="1"/>
  <c r="J40" i="31"/>
  <c r="J40" i="30" s="1"/>
  <c r="J45" i="30" s="1"/>
  <c r="AJ10" i="48"/>
  <c r="BC10" i="48"/>
  <c r="J11" i="9"/>
  <c r="J11" i="8" s="1"/>
  <c r="J11" i="7" s="1"/>
  <c r="J11" i="6" s="1"/>
  <c r="J11" i="37" s="1"/>
  <c r="J11" i="4" s="1"/>
  <c r="J11" i="43" s="1"/>
  <c r="J19" i="9"/>
  <c r="J19" i="8" s="1"/>
  <c r="J19" i="7" s="1"/>
  <c r="J19" i="6" s="1"/>
  <c r="J19" i="37" s="1"/>
  <c r="J19" i="4" s="1"/>
  <c r="J19" i="43" s="1"/>
  <c r="AD10" i="48"/>
  <c r="J48" i="32"/>
  <c r="J14" i="9"/>
  <c r="J14" i="8" s="1"/>
  <c r="J14" i="7" s="1"/>
  <c r="J14" i="6" s="1"/>
  <c r="J14" i="37" s="1"/>
  <c r="J14" i="4" s="1"/>
  <c r="J14" i="43" s="1"/>
  <c r="J17" i="9"/>
  <c r="J17" i="8" s="1"/>
  <c r="J17" i="7" s="1"/>
  <c r="J17" i="6" s="1"/>
  <c r="J17" i="37" s="1"/>
  <c r="J17" i="4" s="1"/>
  <c r="J17" i="43" s="1"/>
  <c r="S10" i="48"/>
  <c r="BD10" i="48" s="1"/>
  <c r="J15" i="9"/>
  <c r="J15" i="8" s="1"/>
  <c r="J15" i="7" s="1"/>
  <c r="J15" i="6" s="1"/>
  <c r="J15" i="4" s="1"/>
  <c r="J15" i="43" s="1"/>
  <c r="J45" i="32"/>
  <c r="J10" i="48"/>
  <c r="J13" i="9"/>
  <c r="J13" i="8" s="1"/>
  <c r="J13" i="7" s="1"/>
  <c r="J13" i="6" s="1"/>
  <c r="J13" i="37" s="1"/>
  <c r="J13" i="4" s="1"/>
  <c r="J13" i="43" s="1"/>
  <c r="J10" i="9"/>
  <c r="J10" i="8" s="1"/>
  <c r="J10" i="7" s="1"/>
  <c r="J10" i="6" s="1"/>
  <c r="J10" i="37" s="1"/>
  <c r="J10" i="4" s="1"/>
  <c r="J10" i="43" s="1"/>
  <c r="E30" i="2"/>
  <c r="BM30" i="2" s="1"/>
  <c r="G28" i="45"/>
  <c r="K28" i="45"/>
  <c r="R28" i="45"/>
  <c r="O28" i="45"/>
  <c r="G30" i="45"/>
  <c r="O30" i="45"/>
  <c r="K30" i="45"/>
  <c r="R30" i="45"/>
  <c r="E32" i="2"/>
  <c r="BM32" i="2" s="1"/>
  <c r="E31" i="2"/>
  <c r="BM31" i="2" s="1"/>
  <c r="R29" i="45"/>
  <c r="G29" i="45"/>
  <c r="O29" i="45"/>
  <c r="K29" i="45"/>
  <c r="K26" i="45"/>
  <c r="R26" i="45"/>
  <c r="O26" i="45"/>
  <c r="G26" i="45"/>
  <c r="O25" i="45"/>
  <c r="G25" i="45"/>
  <c r="K25" i="45"/>
  <c r="R25" i="45"/>
  <c r="R22" i="45"/>
  <c r="O22" i="45"/>
  <c r="G22" i="45"/>
  <c r="K22" i="45"/>
  <c r="E24" i="2"/>
  <c r="BM24" i="2" s="1"/>
  <c r="E28" i="2"/>
  <c r="BM28" i="2" s="1"/>
  <c r="E27" i="2"/>
  <c r="BM27" i="2" s="1"/>
  <c r="G27" i="45"/>
  <c r="K27" i="45"/>
  <c r="O27" i="45"/>
  <c r="R27" i="45"/>
  <c r="E29" i="2"/>
  <c r="BM29" i="2" s="1"/>
  <c r="G16" i="45"/>
  <c r="K16" i="45"/>
  <c r="O16" i="45"/>
  <c r="R16" i="45"/>
  <c r="K18" i="45"/>
  <c r="G18" i="45"/>
  <c r="O18" i="45"/>
  <c r="R18" i="45"/>
  <c r="E20" i="2"/>
  <c r="BM20" i="2" s="1"/>
  <c r="E18" i="2"/>
  <c r="BM18" i="2" s="1"/>
  <c r="E17" i="2"/>
  <c r="BM17" i="2" s="1"/>
  <c r="K15" i="45"/>
  <c r="G15" i="45"/>
  <c r="O15" i="45"/>
  <c r="R15" i="45"/>
  <c r="E16" i="2"/>
  <c r="BM16" i="2" s="1"/>
  <c r="C40" i="45"/>
  <c r="G40" i="45" s="1"/>
  <c r="BC14" i="48"/>
  <c r="J14" i="48"/>
  <c r="AJ14" i="48"/>
  <c r="AD14" i="48"/>
  <c r="I14" i="48"/>
  <c r="E14" i="2"/>
  <c r="BM14" i="2" s="1"/>
  <c r="E13" i="2"/>
  <c r="BM13" i="2" s="1"/>
  <c r="E12" i="2"/>
  <c r="BM12" i="2" s="1"/>
  <c r="AI10" i="48"/>
  <c r="M11" i="48"/>
  <c r="M12" i="48" s="1"/>
  <c r="J49" i="32"/>
  <c r="J50" i="32" s="1"/>
  <c r="I50" i="22"/>
  <c r="I51" i="22"/>
  <c r="I50" i="7"/>
  <c r="I51" i="7"/>
  <c r="U10" i="48"/>
  <c r="W10" i="48" s="1"/>
  <c r="V10" i="48"/>
  <c r="X10" i="48"/>
  <c r="V35" i="48"/>
  <c r="X35" i="48"/>
  <c r="V21" i="48"/>
  <c r="X21" i="48"/>
  <c r="E43" i="26"/>
  <c r="E39" i="26"/>
  <c r="D48" i="28"/>
  <c r="E48" i="28" s="1"/>
  <c r="M8" i="27"/>
  <c r="M8" i="28" s="1"/>
  <c r="M34" i="29"/>
  <c r="D41" i="28"/>
  <c r="E41" i="28" s="1"/>
  <c r="E41" i="27"/>
  <c r="J56" i="28"/>
  <c r="J56" i="26" s="1"/>
  <c r="J43" i="28"/>
  <c r="J44" i="28" s="1"/>
  <c r="J44" i="27"/>
  <c r="D38" i="26"/>
  <c r="D38" i="25" s="1"/>
  <c r="E38" i="28"/>
  <c r="E52" i="29"/>
  <c r="E53" i="29" s="1"/>
  <c r="E50" i="27"/>
  <c r="D50" i="28"/>
  <c r="E50" i="28" s="1"/>
  <c r="D43" i="24"/>
  <c r="E43" i="24" s="1"/>
  <c r="E43" i="25"/>
  <c r="E42" i="27"/>
  <c r="D42" i="28"/>
  <c r="D42" i="26" s="1"/>
  <c r="D52" i="27"/>
  <c r="D53" i="27" s="1"/>
  <c r="D47" i="25"/>
  <c r="D47" i="24" s="1"/>
  <c r="E47" i="26"/>
  <c r="E46" i="27"/>
  <c r="D46" i="28"/>
  <c r="E46" i="28" s="1"/>
  <c r="D51" i="26"/>
  <c r="E51" i="26" s="1"/>
  <c r="E51" i="28"/>
  <c r="D40" i="26"/>
  <c r="D40" i="25" s="1"/>
  <c r="E40" i="28"/>
  <c r="D44" i="25"/>
  <c r="E44" i="25" s="1"/>
  <c r="E44" i="26"/>
  <c r="D45" i="24"/>
  <c r="D45" i="23" s="1"/>
  <c r="E45" i="25"/>
  <c r="A16" i="2" s="1"/>
  <c r="J37" i="27"/>
  <c r="J39" i="27" s="1"/>
  <c r="J39" i="29"/>
  <c r="J57" i="28"/>
  <c r="J57" i="26" s="1"/>
  <c r="D49" i="25"/>
  <c r="E49" i="25" s="1"/>
  <c r="E49" i="26"/>
  <c r="D39" i="24"/>
  <c r="E39" i="24" s="1"/>
  <c r="E39" i="25"/>
  <c r="M7" i="25"/>
  <c r="M7" i="24" s="1"/>
  <c r="J47" i="28"/>
  <c r="J46" i="26"/>
  <c r="J47" i="26" s="1"/>
  <c r="J57" i="14"/>
  <c r="J57" i="13" s="1"/>
  <c r="AC14" i="48"/>
  <c r="Q15" i="48"/>
  <c r="AC15" i="48" s="1"/>
  <c r="J41" i="31" l="1"/>
  <c r="A17" i="48"/>
  <c r="A15" i="45"/>
  <c r="AI11" i="48"/>
  <c r="J43" i="26"/>
  <c r="J43" i="25" s="1"/>
  <c r="J43" i="24" s="1"/>
  <c r="D48" i="26"/>
  <c r="D48" i="25" s="1"/>
  <c r="E48" i="25" s="1"/>
  <c r="J37" i="28"/>
  <c r="J37" i="26" s="1"/>
  <c r="J37" i="25" s="1"/>
  <c r="AE10" i="48"/>
  <c r="AJ41" i="48"/>
  <c r="I41" i="48"/>
  <c r="AD41" i="48"/>
  <c r="J41" i="48"/>
  <c r="J48" i="30"/>
  <c r="J41" i="30"/>
  <c r="K56" i="31"/>
  <c r="J45" i="31"/>
  <c r="K57" i="30"/>
  <c r="D43" i="23"/>
  <c r="E43" i="23" s="1"/>
  <c r="J40" i="29"/>
  <c r="J41" i="29" s="1"/>
  <c r="K57" i="31"/>
  <c r="K56" i="30"/>
  <c r="J48" i="31"/>
  <c r="D46" i="26"/>
  <c r="E46" i="26" s="1"/>
  <c r="D51" i="25"/>
  <c r="E51" i="25" s="1"/>
  <c r="AK10" i="48"/>
  <c r="S11" i="48"/>
  <c r="K11" i="48" s="1"/>
  <c r="K10" i="48"/>
  <c r="J46" i="25"/>
  <c r="J46" i="24" s="1"/>
  <c r="J47" i="24" s="1"/>
  <c r="Y10" i="48"/>
  <c r="G34" i="55"/>
  <c r="G39" i="55"/>
  <c r="H39" i="55" s="1"/>
  <c r="G37" i="55"/>
  <c r="G32" i="55"/>
  <c r="U11" i="48"/>
  <c r="W11" i="48" s="1"/>
  <c r="E47" i="25"/>
  <c r="E38" i="26"/>
  <c r="D49" i="24"/>
  <c r="E49" i="24" s="1"/>
  <c r="R40" i="45"/>
  <c r="G20" i="55"/>
  <c r="D44" i="24"/>
  <c r="A17" i="2" s="1"/>
  <c r="G25" i="55"/>
  <c r="J49" i="31"/>
  <c r="J51" i="31" s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E10" i="1"/>
  <c r="CS10" i="1"/>
  <c r="CG10" i="1"/>
  <c r="BU10" i="1"/>
  <c r="BI10" i="1"/>
  <c r="AW10" i="1"/>
  <c r="AK10" i="1"/>
  <c r="Y10" i="1"/>
  <c r="JE10" i="1"/>
  <c r="IS10" i="1"/>
  <c r="IG10" i="1"/>
  <c r="HU10" i="1"/>
  <c r="HR10" i="1"/>
  <c r="GB10" i="1"/>
  <c r="FA10" i="1"/>
  <c r="DZ10" i="1"/>
  <c r="CV10" i="1"/>
  <c r="BF10" i="1"/>
  <c r="AE10" i="1"/>
  <c r="DN10" i="1"/>
  <c r="AT10" i="1"/>
  <c r="G10" i="1"/>
  <c r="IV10" i="1"/>
  <c r="GN10" i="1"/>
  <c r="FM10" i="1"/>
  <c r="EL10" i="1"/>
  <c r="DH10" i="1"/>
  <c r="BR10" i="1"/>
  <c r="AQ10" i="1"/>
  <c r="P10" i="1"/>
  <c r="HX10" i="1"/>
  <c r="J10" i="1"/>
  <c r="FP10" i="1"/>
  <c r="ID10" i="1"/>
  <c r="GZ10" i="1"/>
  <c r="FY10" i="1"/>
  <c r="EX10" i="1"/>
  <c r="CD10" i="1"/>
  <c r="BC10" i="1"/>
  <c r="AB10" i="1"/>
  <c r="HI10" i="1"/>
  <c r="ER10" i="1"/>
  <c r="CM10" i="1"/>
  <c r="JH10" i="1"/>
  <c r="HL10" i="1"/>
  <c r="GK10" i="1"/>
  <c r="FJ10" i="1"/>
  <c r="DT10" i="1"/>
  <c r="CP10" i="1"/>
  <c r="BO10" i="1"/>
  <c r="AN10" i="1"/>
  <c r="M10" i="1"/>
  <c r="BL10" i="1"/>
  <c r="IP10" i="1"/>
  <c r="GW10" i="1"/>
  <c r="FV10" i="1"/>
  <c r="EF10" i="1"/>
  <c r="DB10" i="1"/>
  <c r="CA10" i="1"/>
  <c r="AZ10" i="1"/>
  <c r="GH10" i="1"/>
  <c r="DQ10" i="1"/>
  <c r="IJ10" i="1"/>
  <c r="HF10" i="1"/>
  <c r="CJ10" i="1"/>
  <c r="S10" i="1"/>
  <c r="JB10" i="1"/>
  <c r="GT10" i="1"/>
  <c r="FD10" i="1"/>
  <c r="EC10" i="1"/>
  <c r="CY10" i="1"/>
  <c r="BX10" i="1"/>
  <c r="AH10" i="1"/>
  <c r="EO10" i="1"/>
  <c r="G4" i="55"/>
  <c r="H4" i="55" s="1"/>
  <c r="O40" i="45"/>
  <c r="K40" i="45"/>
  <c r="Q16" i="48"/>
  <c r="Q17" i="48" s="1"/>
  <c r="E45" i="24"/>
  <c r="D41" i="26"/>
  <c r="D41" i="25" s="1"/>
  <c r="J51" i="32"/>
  <c r="E52" i="27"/>
  <c r="E53" i="27" s="1"/>
  <c r="G17" i="55"/>
  <c r="D39" i="23"/>
  <c r="D39" i="21" s="1"/>
  <c r="E39" i="21" s="1"/>
  <c r="D50" i="26"/>
  <c r="D50" i="25" s="1"/>
  <c r="E50" i="25" s="1"/>
  <c r="M34" i="27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IY14" i="1"/>
  <c r="HC14" i="1"/>
  <c r="FG14" i="1"/>
  <c r="DK14" i="1"/>
  <c r="CY14" i="1"/>
  <c r="CM14" i="1"/>
  <c r="CA14" i="1"/>
  <c r="BO14" i="1"/>
  <c r="BC14" i="1"/>
  <c r="AQ14" i="1"/>
  <c r="AE14" i="1"/>
  <c r="S14" i="1"/>
  <c r="G14" i="1"/>
  <c r="IG14" i="1"/>
  <c r="GK14" i="1"/>
  <c r="EO14" i="1"/>
  <c r="HO14" i="1"/>
  <c r="FS14" i="1"/>
  <c r="DW14" i="1"/>
  <c r="DH14" i="1"/>
  <c r="CV14" i="1"/>
  <c r="CJ14" i="1"/>
  <c r="BX14" i="1"/>
  <c r="BL14" i="1"/>
  <c r="AZ14" i="1"/>
  <c r="AN14" i="1"/>
  <c r="P14" i="1"/>
  <c r="IS14" i="1"/>
  <c r="GW14" i="1"/>
  <c r="FA14" i="1"/>
  <c r="IA14" i="1"/>
  <c r="GE14" i="1"/>
  <c r="EI14" i="1"/>
  <c r="DE14" i="1"/>
  <c r="CS14" i="1"/>
  <c r="CG14" i="1"/>
  <c r="BU14" i="1"/>
  <c r="BI14" i="1"/>
  <c r="AW14" i="1"/>
  <c r="AK14" i="1"/>
  <c r="Y14" i="1"/>
  <c r="M14" i="1"/>
  <c r="IM14" i="1"/>
  <c r="GQ14" i="1"/>
  <c r="EU14" i="1"/>
  <c r="DB14" i="1"/>
  <c r="CP14" i="1"/>
  <c r="CD14" i="1"/>
  <c r="BR14" i="1"/>
  <c r="BF14" i="1"/>
  <c r="AT14" i="1"/>
  <c r="AH14" i="1"/>
  <c r="V14" i="1"/>
  <c r="J14" i="1"/>
  <c r="HI14" i="1"/>
  <c r="FY14" i="1"/>
  <c r="FM14" i="1"/>
  <c r="HU14" i="1"/>
  <c r="EC14" i="1"/>
  <c r="DQ14" i="1"/>
  <c r="JE14" i="1"/>
  <c r="E40" i="26"/>
  <c r="E42" i="28"/>
  <c r="E52" i="28" s="1"/>
  <c r="E53" i="28" s="1"/>
  <c r="D52" i="28"/>
  <c r="D53" i="28" s="1"/>
  <c r="F11" i="2"/>
  <c r="BN11" i="2" s="1"/>
  <c r="E42" i="2"/>
  <c r="BM42" i="2" s="1"/>
  <c r="AI12" i="48"/>
  <c r="M13" i="48"/>
  <c r="AI13" i="48" s="1"/>
  <c r="M8" i="26"/>
  <c r="M8" i="25" s="1"/>
  <c r="M34" i="28"/>
  <c r="J56" i="25"/>
  <c r="J56" i="24" s="1"/>
  <c r="D38" i="24"/>
  <c r="E38" i="24" s="1"/>
  <c r="E38" i="25"/>
  <c r="E42" i="26"/>
  <c r="D42" i="25"/>
  <c r="D42" i="24" s="1"/>
  <c r="D47" i="23"/>
  <c r="E47" i="23" s="1"/>
  <c r="E47" i="24"/>
  <c r="D40" i="24"/>
  <c r="E40" i="24" s="1"/>
  <c r="E40" i="25"/>
  <c r="E45" i="23"/>
  <c r="D45" i="21"/>
  <c r="A18" i="2" s="1"/>
  <c r="J57" i="25"/>
  <c r="M7" i="23"/>
  <c r="M7" i="21" s="1"/>
  <c r="M7" i="22" s="1"/>
  <c r="J57" i="12"/>
  <c r="J57" i="11" s="1"/>
  <c r="J44" i="26" l="1"/>
  <c r="D48" i="24"/>
  <c r="D48" i="23" s="1"/>
  <c r="E48" i="26"/>
  <c r="A18" i="48"/>
  <c r="A16" i="45"/>
  <c r="J39" i="28"/>
  <c r="D44" i="23"/>
  <c r="D44" i="21" s="1"/>
  <c r="D44" i="22" s="1"/>
  <c r="E44" i="24"/>
  <c r="D51" i="24"/>
  <c r="E51" i="24" s="1"/>
  <c r="D43" i="21"/>
  <c r="D43" i="22" s="1"/>
  <c r="E43" i="22" s="1"/>
  <c r="K56" i="29"/>
  <c r="K57" i="29"/>
  <c r="J40" i="27"/>
  <c r="J45" i="27" s="1"/>
  <c r="J48" i="29"/>
  <c r="J45" i="29"/>
  <c r="M34" i="26"/>
  <c r="D46" i="25"/>
  <c r="E46" i="25" s="1"/>
  <c r="J47" i="25"/>
  <c r="BD11" i="48"/>
  <c r="AK11" i="48"/>
  <c r="S12" i="48"/>
  <c r="AE11" i="48"/>
  <c r="Y11" i="48"/>
  <c r="E39" i="23"/>
  <c r="D49" i="23"/>
  <c r="E49" i="23" s="1"/>
  <c r="J46" i="23"/>
  <c r="J47" i="23" s="1"/>
  <c r="F12" i="2"/>
  <c r="BN12" i="2" s="1"/>
  <c r="J49" i="30"/>
  <c r="J51" i="30" s="1"/>
  <c r="U12" i="48"/>
  <c r="J50" i="31"/>
  <c r="J44" i="25"/>
  <c r="H25" i="55"/>
  <c r="D45" i="22"/>
  <c r="E45" i="22" s="1"/>
  <c r="E41" i="26"/>
  <c r="D47" i="21"/>
  <c r="D47" i="22" s="1"/>
  <c r="E42" i="25"/>
  <c r="Q18" i="48"/>
  <c r="AC18" i="48" s="1"/>
  <c r="AC17" i="48"/>
  <c r="AC16" i="48"/>
  <c r="G145" i="56" s="1"/>
  <c r="J39" i="26"/>
  <c r="D52" i="26"/>
  <c r="D53" i="26" s="1"/>
  <c r="E50" i="26"/>
  <c r="E41" i="25"/>
  <c r="D41" i="24"/>
  <c r="D41" i="23" s="1"/>
  <c r="D50" i="24"/>
  <c r="E50" i="24" s="1"/>
  <c r="D38" i="23"/>
  <c r="E38" i="23" s="1"/>
  <c r="M14" i="48"/>
  <c r="M15" i="48" s="1"/>
  <c r="E45" i="21"/>
  <c r="D40" i="23"/>
  <c r="D40" i="21" s="1"/>
  <c r="D39" i="22"/>
  <c r="D39" i="20" s="1"/>
  <c r="M8" i="24"/>
  <c r="M34" i="25"/>
  <c r="J56" i="23"/>
  <c r="J44" i="24"/>
  <c r="J43" i="23"/>
  <c r="E42" i="24"/>
  <c r="D42" i="23"/>
  <c r="E48" i="23"/>
  <c r="D48" i="21"/>
  <c r="J37" i="24"/>
  <c r="J39" i="25"/>
  <c r="AC32" i="25" s="1"/>
  <c r="AD32" i="25" s="1"/>
  <c r="J57" i="10"/>
  <c r="E48" i="24" l="1"/>
  <c r="A19" i="48"/>
  <c r="A17" i="45"/>
  <c r="E44" i="21"/>
  <c r="A20" i="2" s="1"/>
  <c r="E44" i="23"/>
  <c r="A19" i="2" s="1"/>
  <c r="D51" i="23"/>
  <c r="E51" i="23" s="1"/>
  <c r="Q19" i="48"/>
  <c r="AC19" i="48" s="1"/>
  <c r="J48" i="27"/>
  <c r="D43" i="20"/>
  <c r="D43" i="19" s="1"/>
  <c r="E43" i="21"/>
  <c r="D52" i="25"/>
  <c r="D53" i="25" s="1"/>
  <c r="D49" i="21"/>
  <c r="D49" i="22" s="1"/>
  <c r="E49" i="22" s="1"/>
  <c r="D46" i="24"/>
  <c r="D46" i="23" s="1"/>
  <c r="E46" i="23" s="1"/>
  <c r="Y12" i="48"/>
  <c r="K56" i="27"/>
  <c r="J41" i="27"/>
  <c r="J40" i="28"/>
  <c r="J45" i="28" s="1"/>
  <c r="K57" i="27"/>
  <c r="E52" i="25"/>
  <c r="E53" i="25" s="1"/>
  <c r="F13" i="2"/>
  <c r="F14" i="2" s="1"/>
  <c r="BN14" i="2" s="1"/>
  <c r="BD12" i="48"/>
  <c r="AE12" i="48"/>
  <c r="AK12" i="48"/>
  <c r="S13" i="48"/>
  <c r="K12" i="48"/>
  <c r="D50" i="23"/>
  <c r="D45" i="20"/>
  <c r="E45" i="20" s="1"/>
  <c r="E52" i="26"/>
  <c r="E53" i="26" s="1"/>
  <c r="E47" i="21"/>
  <c r="D38" i="21"/>
  <c r="D38" i="22" s="1"/>
  <c r="J49" i="29"/>
  <c r="J51" i="29" s="1"/>
  <c r="J50" i="30"/>
  <c r="J46" i="21"/>
  <c r="J47" i="21" s="1"/>
  <c r="U13" i="48"/>
  <c r="W12" i="48"/>
  <c r="AI14" i="48"/>
  <c r="E39" i="22"/>
  <c r="E41" i="24"/>
  <c r="E40" i="23"/>
  <c r="AI15" i="48"/>
  <c r="M16" i="48"/>
  <c r="M8" i="23"/>
  <c r="M34" i="24"/>
  <c r="E41" i="23"/>
  <c r="D41" i="21"/>
  <c r="J44" i="23"/>
  <c r="J43" i="21"/>
  <c r="J56" i="21"/>
  <c r="D47" i="20"/>
  <c r="E47" i="22"/>
  <c r="E48" i="21"/>
  <c r="D48" i="22"/>
  <c r="D42" i="21"/>
  <c r="E42" i="23"/>
  <c r="D44" i="20"/>
  <c r="E44" i="22"/>
  <c r="D40" i="22"/>
  <c r="E40" i="21"/>
  <c r="A21" i="2" s="1"/>
  <c r="J39" i="24"/>
  <c r="J37" i="23"/>
  <c r="E39" i="20"/>
  <c r="D39" i="19"/>
  <c r="Q20" i="48"/>
  <c r="J57" i="9"/>
  <c r="M7" i="20"/>
  <c r="D51" i="21" l="1"/>
  <c r="D51" i="22" s="1"/>
  <c r="A20" i="48"/>
  <c r="A18" i="45"/>
  <c r="E43" i="20"/>
  <c r="D49" i="20"/>
  <c r="D49" i="19" s="1"/>
  <c r="E49" i="21"/>
  <c r="D46" i="21"/>
  <c r="D46" i="22" s="1"/>
  <c r="D52" i="24"/>
  <c r="D53" i="24" s="1"/>
  <c r="E46" i="24"/>
  <c r="E52" i="24" s="1"/>
  <c r="E53" i="24" s="1"/>
  <c r="D52" i="23"/>
  <c r="D53" i="23" s="1"/>
  <c r="K56" i="28"/>
  <c r="J48" i="28"/>
  <c r="J41" i="28"/>
  <c r="J40" i="26"/>
  <c r="J40" i="25" s="1"/>
  <c r="K57" i="28"/>
  <c r="F15" i="2"/>
  <c r="F16" i="2" s="1"/>
  <c r="BN13" i="2"/>
  <c r="Y13" i="48"/>
  <c r="E50" i="23"/>
  <c r="E52" i="23" s="1"/>
  <c r="E53" i="23" s="1"/>
  <c r="D50" i="21"/>
  <c r="D50" i="22" s="1"/>
  <c r="D45" i="19"/>
  <c r="E45" i="19" s="1"/>
  <c r="W13" i="48"/>
  <c r="BD13" i="48"/>
  <c r="AE13" i="48"/>
  <c r="S14" i="48"/>
  <c r="K13" i="48"/>
  <c r="AK13" i="48"/>
  <c r="J50" i="29"/>
  <c r="E38" i="21"/>
  <c r="E51" i="21"/>
  <c r="J46" i="22"/>
  <c r="J47" i="22" s="1"/>
  <c r="AI16" i="48"/>
  <c r="M17" i="48"/>
  <c r="M18" i="48" s="1"/>
  <c r="M19" i="48" s="1"/>
  <c r="M8" i="21"/>
  <c r="M8" i="22" s="1"/>
  <c r="M34" i="23"/>
  <c r="D41" i="22"/>
  <c r="E41" i="21"/>
  <c r="J56" i="22"/>
  <c r="J43" i="22"/>
  <c r="J44" i="21"/>
  <c r="E38" i="22"/>
  <c r="D38" i="20"/>
  <c r="E43" i="19"/>
  <c r="D43" i="18"/>
  <c r="E48" i="22"/>
  <c r="D48" i="20"/>
  <c r="D47" i="19"/>
  <c r="E47" i="20"/>
  <c r="E42" i="21"/>
  <c r="D42" i="22"/>
  <c r="E40" i="22"/>
  <c r="D40" i="20"/>
  <c r="D44" i="19"/>
  <c r="E44" i="20"/>
  <c r="D51" i="20"/>
  <c r="E51" i="22"/>
  <c r="A22" i="2" s="1"/>
  <c r="J37" i="21"/>
  <c r="J39" i="23"/>
  <c r="M7" i="19"/>
  <c r="J57" i="8"/>
  <c r="Q21" i="48"/>
  <c r="AC20" i="48"/>
  <c r="D39" i="18"/>
  <c r="E39" i="19"/>
  <c r="E49" i="20" l="1"/>
  <c r="A21" i="48"/>
  <c r="A19" i="45"/>
  <c r="E50" i="21"/>
  <c r="E46" i="21"/>
  <c r="BN15" i="2"/>
  <c r="J48" i="26"/>
  <c r="D45" i="18"/>
  <c r="E45" i="18" s="1"/>
  <c r="K57" i="26"/>
  <c r="J45" i="26"/>
  <c r="J48" i="25"/>
  <c r="K57" i="25"/>
  <c r="J41" i="25"/>
  <c r="J45" i="25"/>
  <c r="J40" i="24"/>
  <c r="J41" i="24" s="1"/>
  <c r="K56" i="25"/>
  <c r="K56" i="26"/>
  <c r="J41" i="26"/>
  <c r="D52" i="21"/>
  <c r="D53" i="21" s="1"/>
  <c r="BD14" i="48"/>
  <c r="AK14" i="48"/>
  <c r="S15" i="48"/>
  <c r="AE14" i="48"/>
  <c r="K14" i="48"/>
  <c r="J46" i="20"/>
  <c r="J47" i="20" s="1"/>
  <c r="AI18" i="48"/>
  <c r="AI17" i="48"/>
  <c r="BN16" i="2"/>
  <c r="F17" i="2"/>
  <c r="M34" i="21"/>
  <c r="E41" i="22"/>
  <c r="D41" i="20"/>
  <c r="J43" i="20"/>
  <c r="J44" i="22"/>
  <c r="J56" i="20"/>
  <c r="E38" i="20"/>
  <c r="D38" i="19"/>
  <c r="E50" i="22"/>
  <c r="D50" i="20"/>
  <c r="D43" i="17"/>
  <c r="E43" i="18"/>
  <c r="E42" i="22"/>
  <c r="D42" i="20"/>
  <c r="E46" i="22"/>
  <c r="D46" i="20"/>
  <c r="E47" i="19"/>
  <c r="D47" i="18"/>
  <c r="D52" i="22"/>
  <c r="D53" i="22" s="1"/>
  <c r="D48" i="19"/>
  <c r="E48" i="20"/>
  <c r="D44" i="18"/>
  <c r="E44" i="19"/>
  <c r="D40" i="19"/>
  <c r="E40" i="20"/>
  <c r="E51" i="20"/>
  <c r="D51" i="19"/>
  <c r="D49" i="18"/>
  <c r="E49" i="19"/>
  <c r="J39" i="21"/>
  <c r="J37" i="22"/>
  <c r="D39" i="17"/>
  <c r="E39" i="18"/>
  <c r="Q22" i="48"/>
  <c r="AC21" i="48"/>
  <c r="M20" i="48"/>
  <c r="AI19" i="48"/>
  <c r="M7" i="18"/>
  <c r="J57" i="7"/>
  <c r="E52" i="21" l="1"/>
  <c r="E53" i="21" s="1"/>
  <c r="A22" i="48"/>
  <c r="A20" i="45"/>
  <c r="K56" i="24"/>
  <c r="K57" i="24"/>
  <c r="J48" i="24"/>
  <c r="J45" i="24"/>
  <c r="J40" i="23"/>
  <c r="J45" i="23" s="1"/>
  <c r="D45" i="17"/>
  <c r="A23" i="2" s="1"/>
  <c r="J46" i="19"/>
  <c r="J47" i="19" s="1"/>
  <c r="AK15" i="48"/>
  <c r="K15" i="48"/>
  <c r="BD15" i="48"/>
  <c r="S16" i="48"/>
  <c r="AE15" i="48"/>
  <c r="BN17" i="2"/>
  <c r="F18" i="2"/>
  <c r="D52" i="20"/>
  <c r="D53" i="20" s="1"/>
  <c r="M8" i="20"/>
  <c r="M34" i="22"/>
  <c r="D41" i="19"/>
  <c r="E41" i="20"/>
  <c r="J56" i="19"/>
  <c r="J43" i="19"/>
  <c r="J44" i="20"/>
  <c r="E38" i="19"/>
  <c r="D38" i="18"/>
  <c r="E52" i="22"/>
  <c r="E53" i="22" s="1"/>
  <c r="E50" i="20"/>
  <c r="D50" i="19"/>
  <c r="D43" i="16"/>
  <c r="E43" i="17"/>
  <c r="D48" i="18"/>
  <c r="E48" i="19"/>
  <c r="D47" i="17"/>
  <c r="E47" i="18"/>
  <c r="D46" i="19"/>
  <c r="E46" i="20"/>
  <c r="D42" i="19"/>
  <c r="E42" i="20"/>
  <c r="D51" i="18"/>
  <c r="E51" i="19"/>
  <c r="D40" i="18"/>
  <c r="E40" i="19"/>
  <c r="D44" i="17"/>
  <c r="E44" i="18"/>
  <c r="A24" i="2" s="1"/>
  <c r="J39" i="22"/>
  <c r="J37" i="20"/>
  <c r="D49" i="17"/>
  <c r="E49" i="18"/>
  <c r="Q23" i="48"/>
  <c r="AC22" i="48"/>
  <c r="J57" i="6"/>
  <c r="M7" i="17"/>
  <c r="M21" i="48"/>
  <c r="AI20" i="48"/>
  <c r="D39" i="16"/>
  <c r="E39" i="17"/>
  <c r="A23" i="48" l="1"/>
  <c r="A21" i="45"/>
  <c r="J40" i="21"/>
  <c r="J48" i="21" s="1"/>
  <c r="K56" i="23"/>
  <c r="K57" i="23"/>
  <c r="J48" i="23"/>
  <c r="D45" i="16"/>
  <c r="D45" i="15" s="1"/>
  <c r="J41" i="23"/>
  <c r="E45" i="17"/>
  <c r="J46" i="18"/>
  <c r="J47" i="18" s="1"/>
  <c r="BD16" i="48"/>
  <c r="AK16" i="48"/>
  <c r="K16" i="48"/>
  <c r="S17" i="48"/>
  <c r="AE16" i="48"/>
  <c r="F19" i="2"/>
  <c r="BN18" i="2"/>
  <c r="M8" i="19"/>
  <c r="M34" i="20"/>
  <c r="D41" i="18"/>
  <c r="E41" i="19"/>
  <c r="J44" i="19"/>
  <c r="J43" i="18"/>
  <c r="J56" i="18"/>
  <c r="E38" i="18"/>
  <c r="D38" i="17"/>
  <c r="D52" i="19"/>
  <c r="D53" i="19" s="1"/>
  <c r="E52" i="20"/>
  <c r="E53" i="20" s="1"/>
  <c r="D50" i="18"/>
  <c r="E50" i="19"/>
  <c r="E43" i="16"/>
  <c r="D43" i="15"/>
  <c r="E42" i="19"/>
  <c r="D42" i="18"/>
  <c r="D46" i="18"/>
  <c r="E46" i="19"/>
  <c r="D47" i="16"/>
  <c r="E47" i="17"/>
  <c r="D48" i="17"/>
  <c r="E48" i="18"/>
  <c r="D40" i="17"/>
  <c r="E40" i="18"/>
  <c r="D51" i="17"/>
  <c r="E51" i="18"/>
  <c r="D44" i="16"/>
  <c r="E44" i="17"/>
  <c r="A25" i="2" s="1"/>
  <c r="J37" i="19"/>
  <c r="J39" i="20"/>
  <c r="E49" i="17"/>
  <c r="D49" i="16"/>
  <c r="J57" i="37"/>
  <c r="D39" i="15"/>
  <c r="E39" i="16"/>
  <c r="AI21" i="48"/>
  <c r="M22" i="48"/>
  <c r="M7" i="16"/>
  <c r="Q24" i="48"/>
  <c r="AC23" i="48"/>
  <c r="K56" i="21" l="1"/>
  <c r="J41" i="21"/>
  <c r="K57" i="21"/>
  <c r="J40" i="22"/>
  <c r="K56" i="22" s="1"/>
  <c r="J45" i="21"/>
  <c r="A24" i="48"/>
  <c r="A22" i="45"/>
  <c r="E45" i="16"/>
  <c r="J46" i="17"/>
  <c r="J47" i="17" s="1"/>
  <c r="AK17" i="48"/>
  <c r="K17" i="48"/>
  <c r="BD17" i="48"/>
  <c r="S18" i="48"/>
  <c r="AE17" i="48"/>
  <c r="J48" i="22"/>
  <c r="J45" i="22"/>
  <c r="BN19" i="2"/>
  <c r="F20" i="2"/>
  <c r="M8" i="18"/>
  <c r="M34" i="19"/>
  <c r="D41" i="17"/>
  <c r="E41" i="18"/>
  <c r="J56" i="17"/>
  <c r="J43" i="17"/>
  <c r="J44" i="18"/>
  <c r="E52" i="19"/>
  <c r="E53" i="19" s="1"/>
  <c r="E38" i="17"/>
  <c r="D38" i="16"/>
  <c r="E50" i="18"/>
  <c r="D50" i="17"/>
  <c r="D43" i="14"/>
  <c r="E43" i="15"/>
  <c r="D48" i="16"/>
  <c r="E48" i="17"/>
  <c r="E47" i="16"/>
  <c r="D47" i="15"/>
  <c r="E46" i="18"/>
  <c r="D46" i="17"/>
  <c r="D52" i="18"/>
  <c r="D53" i="18" s="1"/>
  <c r="E42" i="18"/>
  <c r="D42" i="17"/>
  <c r="D45" i="14"/>
  <c r="E45" i="15"/>
  <c r="E40" i="17"/>
  <c r="D40" i="16"/>
  <c r="E44" i="16"/>
  <c r="D44" i="15"/>
  <c r="D51" i="16"/>
  <c r="E51" i="17"/>
  <c r="A26" i="2" s="1"/>
  <c r="D49" i="15"/>
  <c r="E49" i="16"/>
  <c r="J37" i="18"/>
  <c r="J39" i="19"/>
  <c r="Q25" i="48"/>
  <c r="AC24" i="48"/>
  <c r="M7" i="15"/>
  <c r="E39" i="15"/>
  <c r="D39" i="14"/>
  <c r="J57" i="4"/>
  <c r="AI22" i="48"/>
  <c r="M23" i="48"/>
  <c r="J46" i="16" l="1"/>
  <c r="J47" i="16" s="1"/>
  <c r="J40" i="20"/>
  <c r="J41" i="20" s="1"/>
  <c r="K57" i="22"/>
  <c r="J41" i="22"/>
  <c r="A25" i="48"/>
  <c r="A23" i="45"/>
  <c r="S19" i="48"/>
  <c r="BD18" i="48"/>
  <c r="AK18" i="48"/>
  <c r="AE18" i="48"/>
  <c r="K18" i="48"/>
  <c r="J48" i="20"/>
  <c r="J45" i="20"/>
  <c r="K57" i="20"/>
  <c r="F21" i="2"/>
  <c r="BN20" i="2"/>
  <c r="M8" i="17"/>
  <c r="M34" i="18"/>
  <c r="E41" i="17"/>
  <c r="D41" i="16"/>
  <c r="J43" i="16"/>
  <c r="J44" i="17"/>
  <c r="J56" i="16"/>
  <c r="D38" i="15"/>
  <c r="E38" i="16"/>
  <c r="E50" i="17"/>
  <c r="D50" i="16"/>
  <c r="E52" i="18"/>
  <c r="E53" i="18" s="1"/>
  <c r="E43" i="14"/>
  <c r="D43" i="13"/>
  <c r="E42" i="17"/>
  <c r="D42" i="16"/>
  <c r="D48" i="15"/>
  <c r="E48" i="16"/>
  <c r="D52" i="17"/>
  <c r="D53" i="17" s="1"/>
  <c r="E46" i="17"/>
  <c r="D46" i="16"/>
  <c r="E47" i="15"/>
  <c r="D47" i="14"/>
  <c r="E44" i="15"/>
  <c r="D44" i="14"/>
  <c r="D45" i="13"/>
  <c r="E45" i="14"/>
  <c r="E51" i="16"/>
  <c r="D51" i="15"/>
  <c r="D40" i="15"/>
  <c r="E40" i="16"/>
  <c r="A27" i="2" s="1"/>
  <c r="J37" i="17"/>
  <c r="J39" i="18"/>
  <c r="D49" i="14"/>
  <c r="E49" i="15"/>
  <c r="J57" i="43"/>
  <c r="E39" i="14"/>
  <c r="D39" i="13"/>
  <c r="Q26" i="48"/>
  <c r="AC25" i="48"/>
  <c r="AI23" i="48"/>
  <c r="M24" i="48"/>
  <c r="M7" i="14"/>
  <c r="J46" i="15" l="1"/>
  <c r="J47" i="15" s="1"/>
  <c r="J40" i="19"/>
  <c r="J41" i="19" s="1"/>
  <c r="Z167" i="46"/>
  <c r="K56" i="20"/>
  <c r="A26" i="48"/>
  <c r="A24" i="45"/>
  <c r="AK19" i="48"/>
  <c r="K19" i="48"/>
  <c r="S20" i="48"/>
  <c r="BD19" i="48"/>
  <c r="AE19" i="48"/>
  <c r="BN21" i="2"/>
  <c r="F22" i="2"/>
  <c r="M8" i="16"/>
  <c r="M34" i="17"/>
  <c r="D41" i="15"/>
  <c r="E41" i="16"/>
  <c r="J56" i="15"/>
  <c r="J43" i="15"/>
  <c r="J44" i="16"/>
  <c r="E38" i="15"/>
  <c r="D38" i="14"/>
  <c r="D52" i="16"/>
  <c r="D53" i="16" s="1"/>
  <c r="E52" i="17"/>
  <c r="E53" i="17" s="1"/>
  <c r="D50" i="15"/>
  <c r="E50" i="16"/>
  <c r="D43" i="12"/>
  <c r="E43" i="13"/>
  <c r="E47" i="14"/>
  <c r="D47" i="13"/>
  <c r="D46" i="15"/>
  <c r="E46" i="16"/>
  <c r="E48" i="15"/>
  <c r="D48" i="14"/>
  <c r="E42" i="16"/>
  <c r="D42" i="15"/>
  <c r="E51" i="15"/>
  <c r="D51" i="14"/>
  <c r="E40" i="15"/>
  <c r="D40" i="14"/>
  <c r="D45" i="12"/>
  <c r="E45" i="13"/>
  <c r="E44" i="14"/>
  <c r="D44" i="13"/>
  <c r="A28" i="2" s="1"/>
  <c r="J39" i="17"/>
  <c r="J37" i="16"/>
  <c r="E49" i="14"/>
  <c r="D49" i="13"/>
  <c r="M7" i="13"/>
  <c r="M25" i="48"/>
  <c r="AI24" i="48"/>
  <c r="D39" i="12"/>
  <c r="E39" i="13"/>
  <c r="AC26" i="48"/>
  <c r="Q27" i="48"/>
  <c r="J46" i="14"/>
  <c r="K56" i="19" l="1"/>
  <c r="J48" i="19"/>
  <c r="J45" i="19"/>
  <c r="K57" i="19"/>
  <c r="J40" i="18"/>
  <c r="J40" i="17" s="1"/>
  <c r="Z168" i="46"/>
  <c r="X176" i="46" s="1"/>
  <c r="I2" i="56"/>
  <c r="AB167" i="46"/>
  <c r="AA167" i="46"/>
  <c r="A27" i="48"/>
  <c r="A25" i="45"/>
  <c r="BD20" i="48"/>
  <c r="AK20" i="48"/>
  <c r="AE20" i="48"/>
  <c r="K20" i="48"/>
  <c r="S21" i="48"/>
  <c r="F23" i="2"/>
  <c r="BN22" i="2"/>
  <c r="M8" i="15"/>
  <c r="M34" i="16"/>
  <c r="D41" i="14"/>
  <c r="E41" i="15"/>
  <c r="J43" i="14"/>
  <c r="J44" i="15"/>
  <c r="J56" i="14"/>
  <c r="D52" i="15"/>
  <c r="D53" i="15" s="1"/>
  <c r="E38" i="14"/>
  <c r="D38" i="13"/>
  <c r="E52" i="16"/>
  <c r="E53" i="16" s="1"/>
  <c r="D50" i="14"/>
  <c r="E50" i="15"/>
  <c r="E43" i="12"/>
  <c r="D43" i="11"/>
  <c r="E42" i="15"/>
  <c r="D42" i="14"/>
  <c r="E46" i="15"/>
  <c r="D46" i="14"/>
  <c r="E48" i="14"/>
  <c r="D48" i="13"/>
  <c r="D47" i="12"/>
  <c r="E47" i="13"/>
  <c r="D45" i="11"/>
  <c r="E45" i="12"/>
  <c r="D40" i="13"/>
  <c r="E40" i="14"/>
  <c r="D51" i="13"/>
  <c r="E51" i="14"/>
  <c r="E44" i="13"/>
  <c r="D44" i="12"/>
  <c r="A29" i="2" s="1"/>
  <c r="D49" i="12"/>
  <c r="E49" i="13"/>
  <c r="J37" i="15"/>
  <c r="J39" i="16"/>
  <c r="J47" i="14"/>
  <c r="J46" i="13"/>
  <c r="D39" i="11"/>
  <c r="E39" i="12"/>
  <c r="M26" i="48"/>
  <c r="AI25" i="48"/>
  <c r="AC27" i="48"/>
  <c r="Q28" i="48"/>
  <c r="M7" i="12"/>
  <c r="K57" i="18" l="1"/>
  <c r="J45" i="18"/>
  <c r="K56" i="18"/>
  <c r="J41" i="18"/>
  <c r="J48" i="18"/>
  <c r="I4" i="56"/>
  <c r="AB168" i="46"/>
  <c r="X179" i="46" s="1"/>
  <c r="E13" i="55"/>
  <c r="J2" i="56"/>
  <c r="AA168" i="46"/>
  <c r="I3" i="56"/>
  <c r="N13" i="55"/>
  <c r="U2" i="56"/>
  <c r="O13" i="55" s="1"/>
  <c r="A28" i="48"/>
  <c r="A26" i="45"/>
  <c r="AK21" i="48"/>
  <c r="BD21" i="48"/>
  <c r="K21" i="48"/>
  <c r="AE21" i="48"/>
  <c r="S22" i="48"/>
  <c r="J48" i="17"/>
  <c r="J45" i="17"/>
  <c r="J41" i="17"/>
  <c r="K57" i="17"/>
  <c r="J40" i="16"/>
  <c r="K56" i="17"/>
  <c r="BN23" i="2"/>
  <c r="F24" i="2"/>
  <c r="M8" i="14"/>
  <c r="M34" i="15"/>
  <c r="D41" i="13"/>
  <c r="E41" i="14"/>
  <c r="J56" i="13"/>
  <c r="J43" i="13"/>
  <c r="J44" i="14"/>
  <c r="E38" i="13"/>
  <c r="D38" i="12"/>
  <c r="E52" i="15"/>
  <c r="E53" i="15" s="1"/>
  <c r="E50" i="14"/>
  <c r="D50" i="13"/>
  <c r="D43" i="10"/>
  <c r="E43" i="11"/>
  <c r="E48" i="13"/>
  <c r="D48" i="12"/>
  <c r="E46" i="14"/>
  <c r="D46" i="13"/>
  <c r="D42" i="13"/>
  <c r="E42" i="14"/>
  <c r="D52" i="14"/>
  <c r="D53" i="14" s="1"/>
  <c r="D47" i="11"/>
  <c r="E47" i="12"/>
  <c r="E51" i="13"/>
  <c r="D51" i="12"/>
  <c r="E44" i="12"/>
  <c r="D44" i="11"/>
  <c r="D40" i="12"/>
  <c r="E40" i="13"/>
  <c r="D45" i="10"/>
  <c r="E45" i="11"/>
  <c r="A30" i="2" s="1"/>
  <c r="J39" i="15"/>
  <c r="J37" i="14"/>
  <c r="D49" i="11"/>
  <c r="E49" i="12"/>
  <c r="M7" i="11"/>
  <c r="AC28" i="48"/>
  <c r="Q29" i="48"/>
  <c r="M27" i="48"/>
  <c r="AI26" i="48"/>
  <c r="E39" i="11"/>
  <c r="D39" i="10"/>
  <c r="J47" i="13"/>
  <c r="J46" i="12"/>
  <c r="X178" i="46" l="1"/>
  <c r="X200" i="46" s="1"/>
  <c r="X203" i="46" s="1"/>
  <c r="P13" i="55"/>
  <c r="E14" i="55"/>
  <c r="F14" i="55" s="1"/>
  <c r="G14" i="55" s="1"/>
  <c r="J3" i="56"/>
  <c r="R144" i="56" s="1"/>
  <c r="N14" i="55"/>
  <c r="U3" i="56"/>
  <c r="O14" i="55" s="1"/>
  <c r="P14" i="55" s="1"/>
  <c r="F13" i="55"/>
  <c r="N15" i="55"/>
  <c r="U4" i="56"/>
  <c r="O15" i="55" s="1"/>
  <c r="P15" i="55" s="1"/>
  <c r="Q15" i="55" s="1"/>
  <c r="E15" i="55"/>
  <c r="F15" i="55" s="1"/>
  <c r="G15" i="55" s="1"/>
  <c r="H15" i="55" s="1"/>
  <c r="J4" i="56"/>
  <c r="A29" i="48"/>
  <c r="A27" i="45"/>
  <c r="S23" i="48"/>
  <c r="K22" i="48"/>
  <c r="AK22" i="48"/>
  <c r="BD22" i="48"/>
  <c r="AE22" i="48"/>
  <c r="BN24" i="2"/>
  <c r="F25" i="2"/>
  <c r="J48" i="16"/>
  <c r="K56" i="16"/>
  <c r="K57" i="16"/>
  <c r="J45" i="16"/>
  <c r="J41" i="16"/>
  <c r="J40" i="15"/>
  <c r="M8" i="13"/>
  <c r="M34" i="14"/>
  <c r="E41" i="13"/>
  <c r="D41" i="12"/>
  <c r="J56" i="12"/>
  <c r="J44" i="13"/>
  <c r="J43" i="12"/>
  <c r="E38" i="12"/>
  <c r="D38" i="11"/>
  <c r="E50" i="13"/>
  <c r="D50" i="12"/>
  <c r="D52" i="13"/>
  <c r="D53" i="13" s="1"/>
  <c r="E43" i="10"/>
  <c r="D43" i="9"/>
  <c r="E52" i="14"/>
  <c r="E53" i="14" s="1"/>
  <c r="D47" i="10"/>
  <c r="E47" i="11"/>
  <c r="D46" i="12"/>
  <c r="E46" i="13"/>
  <c r="E48" i="12"/>
  <c r="D48" i="11"/>
  <c r="E42" i="13"/>
  <c r="D42" i="12"/>
  <c r="E45" i="10"/>
  <c r="D45" i="9"/>
  <c r="E44" i="11"/>
  <c r="D44" i="10"/>
  <c r="D51" i="11"/>
  <c r="E51" i="12"/>
  <c r="D40" i="11"/>
  <c r="E40" i="12"/>
  <c r="A31" i="2" s="1"/>
  <c r="D49" i="10"/>
  <c r="E49" i="11"/>
  <c r="J37" i="13"/>
  <c r="J39" i="14"/>
  <c r="J47" i="12"/>
  <c r="J46" i="11"/>
  <c r="M28" i="48"/>
  <c r="AI27" i="48"/>
  <c r="D39" i="9"/>
  <c r="E39" i="10"/>
  <c r="AC29" i="48"/>
  <c r="Q30" i="48"/>
  <c r="M7" i="10"/>
  <c r="N41" i="55" l="1"/>
  <c r="G13" i="55"/>
  <c r="F41" i="55"/>
  <c r="F43" i="55" s="1"/>
  <c r="O41" i="55"/>
  <c r="O43" i="55" s="1"/>
  <c r="E41" i="55"/>
  <c r="P41" i="55"/>
  <c r="P43" i="55" s="1"/>
  <c r="Q13" i="55"/>
  <c r="Q41" i="55" s="1"/>
  <c r="Q43" i="55" s="1"/>
  <c r="R15" i="56" s="1"/>
  <c r="A30" i="48"/>
  <c r="A28" i="45"/>
  <c r="BD23" i="48"/>
  <c r="S24" i="48"/>
  <c r="AE23" i="48"/>
  <c r="K23" i="48"/>
  <c r="AK23" i="48"/>
  <c r="BN25" i="2"/>
  <c r="F26" i="2"/>
  <c r="J48" i="15"/>
  <c r="J45" i="15"/>
  <c r="J40" i="14"/>
  <c r="J41" i="15"/>
  <c r="K57" i="15"/>
  <c r="K56" i="15"/>
  <c r="M8" i="12"/>
  <c r="M34" i="13"/>
  <c r="E41" i="12"/>
  <c r="D41" i="11"/>
  <c r="J44" i="12"/>
  <c r="J43" i="11"/>
  <c r="J56" i="11"/>
  <c r="D38" i="10"/>
  <c r="E38" i="11"/>
  <c r="E52" i="13"/>
  <c r="E53" i="13" s="1"/>
  <c r="E50" i="12"/>
  <c r="D50" i="11"/>
  <c r="D43" i="8"/>
  <c r="E43" i="9"/>
  <c r="E42" i="12"/>
  <c r="D42" i="11"/>
  <c r="E46" i="12"/>
  <c r="D46" i="11"/>
  <c r="D47" i="9"/>
  <c r="E47" i="10"/>
  <c r="D52" i="12"/>
  <c r="D53" i="12" s="1"/>
  <c r="E48" i="11"/>
  <c r="D48" i="10"/>
  <c r="D44" i="9"/>
  <c r="E44" i="10"/>
  <c r="E45" i="9"/>
  <c r="D45" i="8"/>
  <c r="D40" i="10"/>
  <c r="E40" i="11"/>
  <c r="D51" i="10"/>
  <c r="E51" i="11"/>
  <c r="A32" i="2" s="1"/>
  <c r="J39" i="13"/>
  <c r="J37" i="12"/>
  <c r="E49" i="10"/>
  <c r="D49" i="9"/>
  <c r="Q31" i="48"/>
  <c r="AC30" i="48"/>
  <c r="D39" i="8"/>
  <c r="E39" i="9"/>
  <c r="M29" i="48"/>
  <c r="AI28" i="48"/>
  <c r="M7" i="9"/>
  <c r="J47" i="11"/>
  <c r="J46" i="10"/>
  <c r="G41" i="55" l="1"/>
  <c r="G43" i="55" s="1"/>
  <c r="H13" i="55"/>
  <c r="H41" i="55" s="1"/>
  <c r="H43" i="55" s="1"/>
  <c r="G15" i="56" s="1"/>
  <c r="A31" i="48"/>
  <c r="A29" i="45"/>
  <c r="AK24" i="48"/>
  <c r="S25" i="48"/>
  <c r="K24" i="48"/>
  <c r="BD24" i="48"/>
  <c r="AE24" i="48"/>
  <c r="F27" i="2"/>
  <c r="BN26" i="2"/>
  <c r="J48" i="14"/>
  <c r="J41" i="14"/>
  <c r="K56" i="14"/>
  <c r="J45" i="14"/>
  <c r="K57" i="14"/>
  <c r="J40" i="13"/>
  <c r="M8" i="11"/>
  <c r="M34" i="12"/>
  <c r="D41" i="10"/>
  <c r="E41" i="11"/>
  <c r="J44" i="11"/>
  <c r="J43" i="10"/>
  <c r="J56" i="10"/>
  <c r="D38" i="9"/>
  <c r="E38" i="10"/>
  <c r="E52" i="12"/>
  <c r="E53" i="12" s="1"/>
  <c r="D52" i="11"/>
  <c r="D53" i="11" s="1"/>
  <c r="E50" i="11"/>
  <c r="D50" i="10"/>
  <c r="E43" i="8"/>
  <c r="D43" i="7"/>
  <c r="E46" i="11"/>
  <c r="D46" i="10"/>
  <c r="D42" i="10"/>
  <c r="E42" i="11"/>
  <c r="E48" i="10"/>
  <c r="D48" i="9"/>
  <c r="D47" i="8"/>
  <c r="E47" i="9"/>
  <c r="D40" i="9"/>
  <c r="E40" i="10"/>
  <c r="D44" i="8"/>
  <c r="E44" i="9"/>
  <c r="E51" i="10"/>
  <c r="D51" i="9"/>
  <c r="D45" i="7"/>
  <c r="E45" i="8"/>
  <c r="A33" i="2" s="1"/>
  <c r="D49" i="8"/>
  <c r="E49" i="9"/>
  <c r="J37" i="11"/>
  <c r="J39" i="12"/>
  <c r="J47" i="10"/>
  <c r="J46" i="9"/>
  <c r="M30" i="48"/>
  <c r="AI29" i="48"/>
  <c r="M7" i="8"/>
  <c r="D39" i="7"/>
  <c r="E39" i="8"/>
  <c r="Q32" i="48"/>
  <c r="AC31" i="48"/>
  <c r="A32" i="48" l="1"/>
  <c r="A30" i="45"/>
  <c r="AE25" i="48"/>
  <c r="AK25" i="48"/>
  <c r="S26" i="48"/>
  <c r="K25" i="48"/>
  <c r="BD25" i="48"/>
  <c r="BN27" i="2"/>
  <c r="F28" i="2"/>
  <c r="J48" i="13"/>
  <c r="K56" i="13"/>
  <c r="K57" i="13"/>
  <c r="J40" i="12"/>
  <c r="J41" i="13"/>
  <c r="J45" i="13"/>
  <c r="M8" i="10"/>
  <c r="M34" i="11"/>
  <c r="E41" i="10"/>
  <c r="D41" i="9"/>
  <c r="J56" i="9"/>
  <c r="J43" i="9"/>
  <c r="J44" i="10"/>
  <c r="E38" i="9"/>
  <c r="D38" i="8"/>
  <c r="D52" i="10"/>
  <c r="D53" i="10" s="1"/>
  <c r="E50" i="10"/>
  <c r="D50" i="9"/>
  <c r="D43" i="6"/>
  <c r="E43" i="7"/>
  <c r="E52" i="11"/>
  <c r="E53" i="11" s="1"/>
  <c r="E47" i="8"/>
  <c r="D47" i="7"/>
  <c r="E42" i="10"/>
  <c r="D42" i="9"/>
  <c r="D48" i="8"/>
  <c r="E48" i="9"/>
  <c r="D46" i="9"/>
  <c r="E46" i="10"/>
  <c r="D45" i="6"/>
  <c r="E45" i="7"/>
  <c r="E51" i="9"/>
  <c r="D51" i="8"/>
  <c r="D40" i="8"/>
  <c r="E40" i="9"/>
  <c r="D44" i="7"/>
  <c r="E44" i="8"/>
  <c r="A34" i="2" s="1"/>
  <c r="J39" i="11"/>
  <c r="J37" i="10"/>
  <c r="E49" i="8"/>
  <c r="D49" i="7"/>
  <c r="D39" i="6"/>
  <c r="E39" i="7"/>
  <c r="M7" i="7"/>
  <c r="J47" i="9"/>
  <c r="J46" i="8"/>
  <c r="Q33" i="48"/>
  <c r="AC32" i="48"/>
  <c r="M31" i="48"/>
  <c r="AI30" i="48"/>
  <c r="Z171" i="46" l="1"/>
  <c r="Z171" i="57"/>
  <c r="A33" i="48"/>
  <c r="A31" i="45"/>
  <c r="AK26" i="48"/>
  <c r="BD26" i="48"/>
  <c r="S27" i="48"/>
  <c r="K26" i="48"/>
  <c r="AE26" i="48"/>
  <c r="F29" i="2"/>
  <c r="BN28" i="2"/>
  <c r="J48" i="12"/>
  <c r="J41" i="12"/>
  <c r="J40" i="11"/>
  <c r="K56" i="12"/>
  <c r="J45" i="12"/>
  <c r="K57" i="12"/>
  <c r="M8" i="9"/>
  <c r="M34" i="10"/>
  <c r="D41" i="8"/>
  <c r="E41" i="9"/>
  <c r="J56" i="8"/>
  <c r="J43" i="8"/>
  <c r="J44" i="9"/>
  <c r="D52" i="9"/>
  <c r="D53" i="9" s="1"/>
  <c r="D38" i="7"/>
  <c r="E38" i="8"/>
  <c r="E52" i="10"/>
  <c r="E53" i="10" s="1"/>
  <c r="E50" i="9"/>
  <c r="D50" i="8"/>
  <c r="D43" i="37"/>
  <c r="E43" i="6"/>
  <c r="D46" i="8"/>
  <c r="E46" i="9"/>
  <c r="D48" i="7"/>
  <c r="E48" i="8"/>
  <c r="E42" i="9"/>
  <c r="D42" i="8"/>
  <c r="E47" i="7"/>
  <c r="D47" i="6"/>
  <c r="D40" i="7"/>
  <c r="E40" i="8"/>
  <c r="E45" i="6"/>
  <c r="D45" i="37"/>
  <c r="E44" i="7"/>
  <c r="D44" i="6"/>
  <c r="E51" i="8"/>
  <c r="D51" i="7"/>
  <c r="A35" i="2" s="1"/>
  <c r="D49" i="6"/>
  <c r="E49" i="7"/>
  <c r="J37" i="9"/>
  <c r="J39" i="10"/>
  <c r="M32" i="48"/>
  <c r="AI31" i="48"/>
  <c r="Q34" i="48"/>
  <c r="AC33" i="48"/>
  <c r="J47" i="8"/>
  <c r="J46" i="7"/>
  <c r="D39" i="37"/>
  <c r="E39" i="6"/>
  <c r="M7" i="6"/>
  <c r="A34" i="48" l="1"/>
  <c r="A32" i="45"/>
  <c r="S28" i="48"/>
  <c r="K27" i="48"/>
  <c r="BD27" i="48"/>
  <c r="AE27" i="48"/>
  <c r="AK27" i="48"/>
  <c r="BN29" i="2"/>
  <c r="F30" i="2"/>
  <c r="J48" i="11"/>
  <c r="K56" i="11"/>
  <c r="J40" i="10"/>
  <c r="K57" i="11"/>
  <c r="J41" i="11"/>
  <c r="J45" i="11"/>
  <c r="M8" i="8"/>
  <c r="M34" i="9"/>
  <c r="D41" i="7"/>
  <c r="E41" i="8"/>
  <c r="J56" i="7"/>
  <c r="J43" i="7"/>
  <c r="J44" i="8"/>
  <c r="D52" i="8"/>
  <c r="D53" i="8" s="1"/>
  <c r="D38" i="6"/>
  <c r="E38" i="7"/>
  <c r="E52" i="9"/>
  <c r="E53" i="9" s="1"/>
  <c r="D50" i="7"/>
  <c r="E50" i="8"/>
  <c r="D43" i="4"/>
  <c r="E43" i="37"/>
  <c r="D48" i="6"/>
  <c r="E48" i="7"/>
  <c r="D46" i="7"/>
  <c r="E46" i="8"/>
  <c r="E47" i="6"/>
  <c r="D47" i="37"/>
  <c r="E42" i="8"/>
  <c r="D42" i="7"/>
  <c r="D51" i="6"/>
  <c r="E51" i="7"/>
  <c r="D44" i="37"/>
  <c r="E44" i="6"/>
  <c r="D45" i="4"/>
  <c r="E45" i="37"/>
  <c r="D40" i="6"/>
  <c r="E40" i="7"/>
  <c r="A36" i="2" s="1"/>
  <c r="J39" i="9"/>
  <c r="J37" i="8"/>
  <c r="D49" i="37"/>
  <c r="E49" i="6"/>
  <c r="J47" i="7"/>
  <c r="J46" i="6"/>
  <c r="AC34" i="48"/>
  <c r="Q35" i="48"/>
  <c r="M7" i="37"/>
  <c r="E39" i="37"/>
  <c r="D39" i="4"/>
  <c r="M33" i="48"/>
  <c r="AI32" i="48"/>
  <c r="A35" i="48" l="1"/>
  <c r="A33" i="45"/>
  <c r="AE28" i="48"/>
  <c r="AK28" i="48"/>
  <c r="S29" i="48"/>
  <c r="K28" i="48"/>
  <c r="BD28" i="48"/>
  <c r="BN30" i="2"/>
  <c r="F31" i="2"/>
  <c r="J48" i="10"/>
  <c r="J40" i="9"/>
  <c r="K57" i="10"/>
  <c r="J41" i="10"/>
  <c r="J45" i="10"/>
  <c r="K56" i="10"/>
  <c r="M8" i="7"/>
  <c r="M34" i="8"/>
  <c r="E41" i="7"/>
  <c r="D41" i="6"/>
  <c r="J56" i="6"/>
  <c r="J43" i="6"/>
  <c r="J44" i="7"/>
  <c r="D38" i="37"/>
  <c r="E38" i="6"/>
  <c r="E52" i="8"/>
  <c r="E53" i="8" s="1"/>
  <c r="E50" i="7"/>
  <c r="D50" i="6"/>
  <c r="E43" i="4"/>
  <c r="D43" i="43"/>
  <c r="E43" i="43" s="1"/>
  <c r="E42" i="7"/>
  <c r="D42" i="6"/>
  <c r="E47" i="37"/>
  <c r="D47" i="4"/>
  <c r="E46" i="7"/>
  <c r="D46" i="6"/>
  <c r="D48" i="37"/>
  <c r="E48" i="6"/>
  <c r="D52" i="7"/>
  <c r="D53" i="7" s="1"/>
  <c r="E51" i="6"/>
  <c r="D51" i="37"/>
  <c r="D40" i="37"/>
  <c r="E40" i="6"/>
  <c r="E45" i="4"/>
  <c r="D45" i="43"/>
  <c r="E45" i="43" s="1"/>
  <c r="D44" i="4"/>
  <c r="E44" i="37"/>
  <c r="A37" i="2" s="1"/>
  <c r="E49" i="37"/>
  <c r="D49" i="4"/>
  <c r="J39" i="8"/>
  <c r="J37" i="7"/>
  <c r="M34" i="48"/>
  <c r="AI33" i="48"/>
  <c r="J47" i="6"/>
  <c r="J46" i="37"/>
  <c r="D39" i="43"/>
  <c r="E39" i="43" s="1"/>
  <c r="E39" i="4"/>
  <c r="M7" i="4"/>
  <c r="Q36" i="48"/>
  <c r="AC35" i="48"/>
  <c r="A36" i="48" l="1"/>
  <c r="A34" i="45"/>
  <c r="AE29" i="48"/>
  <c r="AK29" i="48"/>
  <c r="BD29" i="48"/>
  <c r="K29" i="48"/>
  <c r="S30" i="48"/>
  <c r="BN31" i="2"/>
  <c r="F32" i="2"/>
  <c r="J48" i="9"/>
  <c r="K57" i="9"/>
  <c r="J45" i="9"/>
  <c r="J40" i="8"/>
  <c r="K56" i="9"/>
  <c r="J41" i="9"/>
  <c r="D52" i="6"/>
  <c r="D53" i="6" s="1"/>
  <c r="M8" i="6"/>
  <c r="M34" i="7"/>
  <c r="D41" i="37"/>
  <c r="E41" i="6"/>
  <c r="J44" i="6"/>
  <c r="J43" i="37"/>
  <c r="J56" i="37"/>
  <c r="E38" i="37"/>
  <c r="D38" i="4"/>
  <c r="D50" i="37"/>
  <c r="E50" i="6"/>
  <c r="E52" i="7"/>
  <c r="E53" i="7" s="1"/>
  <c r="D46" i="37"/>
  <c r="E46" i="6"/>
  <c r="E47" i="4"/>
  <c r="D47" i="43"/>
  <c r="E47" i="43" s="1"/>
  <c r="E42" i="6"/>
  <c r="D42" i="37"/>
  <c r="E48" i="37"/>
  <c r="D48" i="4"/>
  <c r="D40" i="4"/>
  <c r="E40" i="37"/>
  <c r="D44" i="43"/>
  <c r="E44" i="43" s="1"/>
  <c r="E44" i="4"/>
  <c r="E51" i="37"/>
  <c r="D51" i="4"/>
  <c r="A38" i="2" s="1"/>
  <c r="J39" i="7"/>
  <c r="J37" i="6"/>
  <c r="D49" i="43"/>
  <c r="E49" i="43" s="1"/>
  <c r="E49" i="4"/>
  <c r="M7" i="43"/>
  <c r="M35" i="48"/>
  <c r="AI34" i="48"/>
  <c r="AC36" i="48"/>
  <c r="Q37" i="48"/>
  <c r="J47" i="37"/>
  <c r="J46" i="4"/>
  <c r="A37" i="48" l="1"/>
  <c r="A35" i="45"/>
  <c r="AK30" i="48"/>
  <c r="BD30" i="48"/>
  <c r="K30" i="48"/>
  <c r="S31" i="48"/>
  <c r="AE30" i="48"/>
  <c r="J48" i="8"/>
  <c r="K57" i="8"/>
  <c r="J41" i="8"/>
  <c r="J40" i="7"/>
  <c r="K56" i="8"/>
  <c r="J45" i="8"/>
  <c r="BN32" i="2"/>
  <c r="F33" i="2"/>
  <c r="M8" i="37"/>
  <c r="M34" i="6"/>
  <c r="E41" i="37"/>
  <c r="D41" i="4"/>
  <c r="J43" i="4"/>
  <c r="J44" i="37"/>
  <c r="J56" i="4"/>
  <c r="E38" i="4"/>
  <c r="D38" i="43"/>
  <c r="E38" i="43" s="1"/>
  <c r="D52" i="37"/>
  <c r="D53" i="37" s="1"/>
  <c r="E50" i="37"/>
  <c r="D50" i="4"/>
  <c r="E52" i="6"/>
  <c r="E53" i="6" s="1"/>
  <c r="D46" i="4"/>
  <c r="E46" i="37"/>
  <c r="D48" i="43"/>
  <c r="E48" i="43" s="1"/>
  <c r="E48" i="4"/>
  <c r="E42" i="37"/>
  <c r="D42" i="4"/>
  <c r="E40" i="4"/>
  <c r="D40" i="43"/>
  <c r="D51" i="43"/>
  <c r="E51" i="43" s="1"/>
  <c r="E51" i="4"/>
  <c r="A39" i="2" s="1"/>
  <c r="J39" i="6"/>
  <c r="J37" i="37"/>
  <c r="M36" i="48"/>
  <c r="AI35" i="48"/>
  <c r="J47" i="4"/>
  <c r="J46" i="43"/>
  <c r="AC37" i="48"/>
  <c r="Q38" i="48"/>
  <c r="A38" i="48" l="1"/>
  <c r="A36" i="45"/>
  <c r="AK31" i="48"/>
  <c r="AE31" i="48"/>
  <c r="K31" i="48"/>
  <c r="S32" i="48"/>
  <c r="BD31" i="48"/>
  <c r="J48" i="7"/>
  <c r="K56" i="7"/>
  <c r="J41" i="7"/>
  <c r="J40" i="6"/>
  <c r="J45" i="7"/>
  <c r="K57" i="7"/>
  <c r="BN33" i="2"/>
  <c r="F34" i="2"/>
  <c r="M8" i="4"/>
  <c r="M34" i="37"/>
  <c r="D41" i="43"/>
  <c r="E41" i="43" s="1"/>
  <c r="E41" i="4"/>
  <c r="J56" i="43"/>
  <c r="J43" i="43"/>
  <c r="J44" i="4"/>
  <c r="D52" i="4"/>
  <c r="D53" i="4" s="1"/>
  <c r="E52" i="37"/>
  <c r="E53" i="37" s="1"/>
  <c r="E50" i="4"/>
  <c r="D50" i="43"/>
  <c r="E50" i="43" s="1"/>
  <c r="D46" i="43"/>
  <c r="E46" i="43" s="1"/>
  <c r="E46" i="4"/>
  <c r="D42" i="43"/>
  <c r="E42" i="43" s="1"/>
  <c r="E42" i="4"/>
  <c r="E40" i="43"/>
  <c r="A40" i="2" s="1"/>
  <c r="J37" i="4"/>
  <c r="J39" i="37"/>
  <c r="Q39" i="48"/>
  <c r="AC38" i="48"/>
  <c r="J47" i="43"/>
  <c r="M37" i="48"/>
  <c r="AI36" i="48"/>
  <c r="A39" i="48" l="1"/>
  <c r="A38" i="45" s="1"/>
  <c r="A37" i="45"/>
  <c r="AK32" i="48"/>
  <c r="K32" i="48"/>
  <c r="S33" i="48"/>
  <c r="BD32" i="48"/>
  <c r="AE32" i="48"/>
  <c r="J48" i="6"/>
  <c r="J41" i="6"/>
  <c r="K57" i="6"/>
  <c r="K56" i="6"/>
  <c r="J45" i="6"/>
  <c r="J40" i="37"/>
  <c r="BN34" i="2"/>
  <c r="F35" i="2"/>
  <c r="M8" i="43"/>
  <c r="M34" i="43" s="1"/>
  <c r="M34" i="4"/>
  <c r="J44" i="43"/>
  <c r="E52" i="43"/>
  <c r="E53" i="43" s="1"/>
  <c r="E52" i="4"/>
  <c r="E53" i="4" s="1"/>
  <c r="D52" i="43"/>
  <c r="J37" i="43"/>
  <c r="J39" i="43" s="1"/>
  <c r="J39" i="4"/>
  <c r="M38" i="48"/>
  <c r="AI37" i="48"/>
  <c r="AC39" i="48"/>
  <c r="Y45" i="43" l="1"/>
  <c r="AK33" i="48"/>
  <c r="K33" i="48"/>
  <c r="BD33" i="48"/>
  <c r="S34" i="48"/>
  <c r="AE33" i="48"/>
  <c r="D53" i="43"/>
  <c r="F36" i="2"/>
  <c r="BN35" i="2"/>
  <c r="J48" i="37"/>
  <c r="K57" i="37"/>
  <c r="J40" i="4"/>
  <c r="K56" i="37"/>
  <c r="J41" i="37"/>
  <c r="J45" i="37"/>
  <c r="M39" i="48"/>
  <c r="AI38" i="48"/>
  <c r="BD34" i="48" l="1"/>
  <c r="AE34" i="48"/>
  <c r="S35" i="48"/>
  <c r="AK34" i="48"/>
  <c r="K34" i="48"/>
  <c r="J48" i="4"/>
  <c r="K57" i="4"/>
  <c r="J41" i="4"/>
  <c r="J40" i="43"/>
  <c r="K56" i="4"/>
  <c r="J45" i="4"/>
  <c r="BN36" i="2"/>
  <c r="F37" i="2"/>
  <c r="AI39" i="48"/>
  <c r="AE35" i="48" l="1"/>
  <c r="S36" i="48"/>
  <c r="K35" i="48"/>
  <c r="AK35" i="48"/>
  <c r="BD35" i="48"/>
  <c r="BN37" i="2"/>
  <c r="F38" i="2"/>
  <c r="J48" i="43"/>
  <c r="J45" i="43"/>
  <c r="J41" i="43"/>
  <c r="K56" i="43"/>
  <c r="K57" i="43"/>
  <c r="I49" i="27"/>
  <c r="AK36" i="48" l="1"/>
  <c r="S37" i="48"/>
  <c r="K36" i="48"/>
  <c r="BD36" i="48"/>
  <c r="AE36" i="48"/>
  <c r="BN38" i="2"/>
  <c r="F39" i="2"/>
  <c r="I50" i="27"/>
  <c r="I51" i="27"/>
  <c r="J49" i="27"/>
  <c r="X14" i="48"/>
  <c r="V14" i="48"/>
  <c r="U14" i="48"/>
  <c r="AK37" i="48" l="1"/>
  <c r="S38" i="48"/>
  <c r="K37" i="48"/>
  <c r="BD37" i="48"/>
  <c r="AE37" i="48"/>
  <c r="BN39" i="2"/>
  <c r="F40" i="2"/>
  <c r="BN40" i="2" s="1"/>
  <c r="J50" i="27"/>
  <c r="J49" i="28"/>
  <c r="J51" i="27"/>
  <c r="Y14" i="48"/>
  <c r="W14" i="48"/>
  <c r="U15" i="48"/>
  <c r="K38" i="48" l="1"/>
  <c r="AE38" i="48"/>
  <c r="AK38" i="48"/>
  <c r="BD38" i="48"/>
  <c r="S39" i="48"/>
  <c r="J50" i="28"/>
  <c r="J51" i="28"/>
  <c r="Y15" i="48"/>
  <c r="W15" i="48"/>
  <c r="AK39" i="48" l="1"/>
  <c r="K39" i="48"/>
  <c r="AE39" i="48"/>
  <c r="BD39" i="48"/>
  <c r="I49" i="26"/>
  <c r="I50" i="26" l="1"/>
  <c r="I51" i="26"/>
  <c r="J49" i="26"/>
  <c r="X16" i="48"/>
  <c r="V16" i="48"/>
  <c r="U16" i="48"/>
  <c r="J50" i="26" l="1"/>
  <c r="J51" i="26"/>
  <c r="Y16" i="48"/>
  <c r="W16" i="48"/>
  <c r="I49" i="24" l="1"/>
  <c r="I49" i="25"/>
  <c r="I50" i="25" l="1"/>
  <c r="I51" i="25"/>
  <c r="J49" i="25"/>
  <c r="J49" i="24" s="1"/>
  <c r="I50" i="24"/>
  <c r="I51" i="24"/>
  <c r="X18" i="48"/>
  <c r="V18" i="48"/>
  <c r="X17" i="48"/>
  <c r="V17" i="48"/>
  <c r="U17" i="48"/>
  <c r="J50" i="25" l="1"/>
  <c r="J51" i="25"/>
  <c r="J50" i="24"/>
  <c r="J51" i="24"/>
  <c r="W17" i="48"/>
  <c r="U18" i="48"/>
  <c r="Y17" i="48"/>
  <c r="W18" i="48" l="1"/>
  <c r="Y18" i="48"/>
  <c r="I49" i="23" l="1"/>
  <c r="I50" i="23" l="1"/>
  <c r="I51" i="23"/>
  <c r="J49" i="23"/>
  <c r="X19" i="48"/>
  <c r="V19" i="48"/>
  <c r="U19" i="48"/>
  <c r="J50" i="23" l="1"/>
  <c r="J51" i="23"/>
  <c r="W19" i="48"/>
  <c r="Y19" i="48"/>
  <c r="I49" i="21" l="1"/>
  <c r="I50" i="21" l="1"/>
  <c r="I51" i="21"/>
  <c r="J49" i="21"/>
  <c r="X20" i="48"/>
  <c r="V20" i="48"/>
  <c r="U20" i="48"/>
  <c r="J49" i="22" l="1"/>
  <c r="J50" i="21"/>
  <c r="J51" i="21"/>
  <c r="W20" i="48"/>
  <c r="Y20" i="48"/>
  <c r="U21" i="48"/>
  <c r="J50" i="22" l="1"/>
  <c r="J51" i="22"/>
  <c r="W21" i="48"/>
  <c r="Y21" i="48"/>
  <c r="I49" i="20" l="1"/>
  <c r="I50" i="20" l="1"/>
  <c r="I51" i="20"/>
  <c r="J49" i="20"/>
  <c r="X22" i="48"/>
  <c r="V22" i="48"/>
  <c r="U22" i="48"/>
  <c r="J50" i="20" l="1"/>
  <c r="J51" i="20"/>
  <c r="W22" i="48"/>
  <c r="Y22" i="48"/>
  <c r="I49" i="19" l="1"/>
  <c r="I50" i="19" l="1"/>
  <c r="I51" i="19"/>
  <c r="J49" i="19"/>
  <c r="X23" i="48"/>
  <c r="V23" i="48"/>
  <c r="U23" i="48"/>
  <c r="J50" i="19" l="1"/>
  <c r="J49" i="18"/>
  <c r="J51" i="19"/>
  <c r="W23" i="48"/>
  <c r="Y23" i="48"/>
  <c r="U24" i="48"/>
  <c r="J49" i="17" l="1"/>
  <c r="J50" i="18"/>
  <c r="J51" i="18"/>
  <c r="U25" i="48"/>
  <c r="W24" i="48"/>
  <c r="Y24" i="48"/>
  <c r="J50" i="17" l="1"/>
  <c r="J51" i="17"/>
  <c r="W25" i="48"/>
  <c r="Y25" i="48"/>
  <c r="I49" i="16" l="1"/>
  <c r="I50" i="16" l="1"/>
  <c r="I51" i="16"/>
  <c r="J49" i="16"/>
  <c r="V26" i="48"/>
  <c r="X26" i="48"/>
  <c r="U26" i="48"/>
  <c r="J50" i="16" l="1"/>
  <c r="J51" i="16"/>
  <c r="W26" i="48"/>
  <c r="Y26" i="48"/>
  <c r="I49" i="15" l="1"/>
  <c r="I50" i="15" l="1"/>
  <c r="I51" i="15"/>
  <c r="J49" i="15"/>
  <c r="V27" i="48"/>
  <c r="X27" i="48"/>
  <c r="U27" i="48"/>
  <c r="J50" i="15" l="1"/>
  <c r="J51" i="15"/>
  <c r="W27" i="48"/>
  <c r="Y27" i="48"/>
  <c r="I49" i="14" l="1"/>
  <c r="I50" i="14" l="1"/>
  <c r="I51" i="14"/>
  <c r="J49" i="14"/>
  <c r="X28" i="48"/>
  <c r="V28" i="48"/>
  <c r="U28" i="48"/>
  <c r="J50" i="14" l="1"/>
  <c r="J51" i="14"/>
  <c r="Y28" i="48"/>
  <c r="W28" i="48"/>
  <c r="I49" i="13" l="1"/>
  <c r="I50" i="13" l="1"/>
  <c r="I51" i="13"/>
  <c r="J49" i="13"/>
  <c r="V29" i="48"/>
  <c r="X29" i="48"/>
  <c r="U29" i="48"/>
  <c r="J50" i="13" l="1"/>
  <c r="J51" i="13"/>
  <c r="W29" i="48"/>
  <c r="Y29" i="48"/>
  <c r="I49" i="12" l="1"/>
  <c r="I50" i="12" l="1"/>
  <c r="I51" i="12"/>
  <c r="J49" i="12"/>
  <c r="V30" i="48"/>
  <c r="X30" i="48"/>
  <c r="U30" i="48"/>
  <c r="J50" i="12" l="1"/>
  <c r="J51" i="12"/>
  <c r="W30" i="48"/>
  <c r="Y30" i="48"/>
  <c r="I49" i="10" l="1"/>
  <c r="I50" i="10" l="1"/>
  <c r="I51" i="10"/>
  <c r="V32" i="48"/>
  <c r="X32" i="48"/>
  <c r="I49" i="11"/>
  <c r="I50" i="11" l="1"/>
  <c r="I51" i="11"/>
  <c r="J49" i="11"/>
  <c r="X31" i="48"/>
  <c r="V31" i="48"/>
  <c r="U31" i="48"/>
  <c r="J50" i="11" l="1"/>
  <c r="J51" i="11"/>
  <c r="J49" i="10"/>
  <c r="W31" i="48"/>
  <c r="U32" i="48"/>
  <c r="Y31" i="48"/>
  <c r="J50" i="10" l="1"/>
  <c r="J51" i="10"/>
  <c r="W32" i="48"/>
  <c r="Y32" i="48"/>
  <c r="I49" i="9" l="1"/>
  <c r="I50" i="9" l="1"/>
  <c r="I51" i="9"/>
  <c r="J49" i="9"/>
  <c r="V33" i="48"/>
  <c r="X33" i="48"/>
  <c r="T41" i="48"/>
  <c r="U33" i="48"/>
  <c r="J49" i="8" l="1"/>
  <c r="J50" i="9"/>
  <c r="J51" i="9"/>
  <c r="U34" i="48"/>
  <c r="Y33" i="48"/>
  <c r="W33" i="48"/>
  <c r="X41" i="48"/>
  <c r="V41" i="48"/>
  <c r="J50" i="8" l="1"/>
  <c r="J49" i="7"/>
  <c r="J51" i="8"/>
  <c r="W34" i="48"/>
  <c r="Y34" i="48"/>
  <c r="U35" i="48"/>
  <c r="J50" i="7" l="1"/>
  <c r="J49" i="6"/>
  <c r="J51" i="7"/>
  <c r="Y35" i="48"/>
  <c r="U36" i="48"/>
  <c r="W35" i="48"/>
  <c r="J49" i="37" l="1"/>
  <c r="J50" i="6"/>
  <c r="J51" i="6"/>
  <c r="U37" i="48"/>
  <c r="Y36" i="48"/>
  <c r="W36" i="48"/>
  <c r="J49" i="4" l="1"/>
  <c r="J50" i="37"/>
  <c r="J51" i="37"/>
  <c r="U38" i="48"/>
  <c r="Y37" i="48"/>
  <c r="W37" i="48"/>
  <c r="J49" i="43" l="1"/>
  <c r="J50" i="4"/>
  <c r="J51" i="4"/>
  <c r="U39" i="48"/>
  <c r="Y38" i="48"/>
  <c r="W38" i="48"/>
  <c r="J50" i="43" l="1"/>
  <c r="J51" i="43"/>
  <c r="W39" i="48"/>
  <c r="Y39" i="48"/>
  <c r="U41" i="1" l="1"/>
  <c r="W10" i="1"/>
  <c r="KT10" i="1" s="1"/>
  <c r="V10" i="1"/>
  <c r="W41" i="1" l="1"/>
  <c r="V41" i="1"/>
  <c r="AA41" i="1" l="1"/>
  <c r="AB14" i="1"/>
  <c r="AC14" i="1"/>
  <c r="KT14" i="1" s="1"/>
  <c r="AB41" i="1" l="1"/>
  <c r="KV41" i="1"/>
  <c r="AC41" i="1"/>
  <c r="KT41" i="1" s="1"/>
  <c r="C24" i="19"/>
  <c r="E24" i="19"/>
  <c r="D15" i="19"/>
  <c r="E15" i="19"/>
  <c r="D24" i="19" l="1"/>
  <c r="C34" i="19"/>
  <c r="D35" i="19" l="1"/>
  <c r="E35" i="19"/>
  <c r="C35" i="19"/>
  <c r="T8" i="46" l="1"/>
  <c r="T167" i="46"/>
  <c r="T167" i="57"/>
  <c r="T8" i="57"/>
</calcChain>
</file>

<file path=xl/comments1.xml><?xml version="1.0" encoding="utf-8"?>
<comments xmlns="http://schemas.openxmlformats.org/spreadsheetml/2006/main">
  <authors>
    <author>Produksi-PM</author>
  </authors>
  <commentList>
    <comment ref="G115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18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23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28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34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40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45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50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G115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18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23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28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34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40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45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  <comment ref="G150" authorId="0" shapeId="0">
      <text>
        <r>
          <rPr>
            <b/>
            <sz val="9"/>
            <color indexed="81"/>
            <rFont val="Tahoma"/>
          </rPr>
          <t>Produksi-PM:</t>
        </r>
        <r>
          <rPr>
            <sz val="9"/>
            <color indexed="81"/>
            <rFont val="Tahoma"/>
          </rPr>
          <t xml:space="preserve">
Spek Khusus cust Korea</t>
        </r>
      </text>
    </comment>
  </commentList>
</comments>
</file>

<file path=xl/comments3.xml><?xml version="1.0" encoding="utf-8"?>
<comments xmlns="http://schemas.openxmlformats.org/spreadsheetml/2006/main">
  <authors>
    <author>win10</author>
  </authors>
  <commentList>
    <comment ref="X22" authorId="0" shape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<sst xmlns="http://schemas.openxmlformats.org/spreadsheetml/2006/main" count="6288" uniqueCount="732">
  <si>
    <t xml:space="preserve">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</si>
  <si>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</si>
  <si>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</si>
  <si>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</si>
  <si>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</si>
  <si>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</si>
  <si>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</si>
  <si>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</si>
  <si>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</si>
  <si>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</si>
  <si>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</si>
  <si>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</si>
  <si>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</si>
  <si>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</si>
  <si>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</si>
  <si>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</si>
  <si>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</si>
  <si>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</si>
  <si>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</si>
  <si>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</si>
  <si>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</si>
  <si>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</si>
  <si>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</si>
  <si>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</si>
  <si>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</si>
  <si>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</si>
  <si>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</si>
  <si>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</si>
  <si>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</si>
  <si>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</si>
  <si>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</si>
  <si>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</si>
  <si>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</si>
  <si>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</si>
  <si>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</si>
  <si>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</si>
  <si>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</si>
  <si>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</si>
  <si>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</si>
  <si>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</si>
  <si>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</si>
  <si>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</si>
  <si>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</si>
  <si>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</si>
  <si>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</si>
  <si>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</si>
  <si>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</si>
  <si>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</si>
  <si>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</si>
  <si>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</si>
  <si>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</si>
  <si>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</si>
  <si>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</si>
  <si>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</si>
  <si>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</si>
  <si>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</si>
  <si>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</si>
  <si>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</si>
  <si>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</si>
  <si>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</si>
  <si>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</si>
  <si>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</si>
  <si>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</si>
  <si>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</si>
  <si>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</si>
  <si>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</si>
  <si>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</si>
  <si>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</si>
  <si>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</si>
  <si>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</si>
  <si>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</si>
  <si>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</si>
  <si>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</si>
  <si>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</si>
  <si>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</si>
  <si>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</si>
  <si>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</si>
  <si>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</si>
  <si>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</si>
  <si>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</si>
  <si>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</si>
  <si>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</si>
  <si>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</si>
  <si>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</si>
  <si>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</si>
  <si>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</si>
  <si>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</si>
  <si>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</si>
  <si>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</si>
  <si>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</si>
  <si>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</si>
  <si>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</si>
  <si>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</si>
  <si>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</si>
  <si>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</si>
  <si>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</si>
  <si>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</si>
  <si>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</si>
  <si>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</si>
  <si>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</si>
  <si>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</si>
  <si>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</si>
  <si>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</si>
  <si>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</si>
  <si>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</si>
  <si>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</si>
  <si>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</si>
  <si>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</si>
  <si>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</si>
  <si>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</si>
  <si>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</si>
  <si>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</si>
  <si>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</si>
  <si>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</si>
  <si>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</si>
  <si>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</si>
  <si>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</si>
  <si>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</si>
  <si>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</si>
  <si>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</si>
  <si>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</si>
  <si>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</si>
  <si>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</si>
  <si>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</si>
  <si>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</si>
  <si>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</si>
  <si>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</si>
  <si>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</si>
  <si>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</si>
  <si>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</si>
  <si>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</si>
  <si>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</si>
  <si>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</si>
  <si>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</si>
  <si>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</si>
  <si>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</si>
  <si>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</si>
  <si>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</si>
  <si>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</si>
  <si>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</si>
  <si>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</si>
  <si>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</si>
  <si>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</si>
  <si>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</si>
  <si>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</si>
  <si>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DOUBLE A</t>
  </si>
  <si>
    <t>EBKP MONDE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</si>
  <si>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</si>
  <si>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</si>
  <si>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</si>
  <si>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</si>
  <si>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</si>
  <si>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</si>
  <si>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</si>
  <si>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</si>
  <si>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</si>
  <si>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</si>
  <si>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</si>
  <si>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</si>
  <si>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</si>
  <si>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</si>
  <si>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</si>
  <si>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</si>
  <si>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</si>
  <si>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</si>
  <si>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</si>
  <si>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</si>
  <si>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</si>
  <si>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</si>
  <si>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</si>
  <si>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</si>
  <si>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</si>
  <si>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</si>
  <si>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</si>
  <si>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</si>
  <si>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</si>
  <si>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</si>
  <si>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</si>
  <si>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</si>
  <si>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</si>
  <si>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</si>
  <si>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</si>
  <si>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</si>
  <si>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</si>
  <si>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</si>
  <si>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</si>
  <si>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</si>
  <si>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</si>
  <si>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</si>
  <si>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</si>
  <si>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</si>
  <si>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</si>
  <si>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</si>
  <si>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</si>
  <si>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</si>
  <si>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</si>
  <si>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</si>
  <si>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</si>
  <si>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</si>
  <si>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</si>
  <si>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</si>
  <si>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</si>
  <si>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</si>
  <si>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</si>
  <si>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</si>
  <si>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</si>
  <si>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</si>
  <si>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</si>
  <si>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</si>
  <si>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</si>
  <si>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</si>
  <si>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</si>
  <si>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</si>
  <si>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</si>
  <si>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</si>
  <si>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</si>
  <si>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</si>
  <si>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</si>
  <si>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</si>
  <si>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Kertas melipat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</si>
  <si>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</si>
  <si>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</si>
  <si>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</si>
  <si>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</si>
  <si>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</si>
  <si>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</si>
  <si>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</si>
  <si>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</si>
  <si>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</si>
  <si>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</si>
  <si>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</si>
  <si>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</si>
  <si>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</si>
  <si>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</si>
  <si>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</si>
  <si>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</si>
  <si>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</si>
  <si>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</si>
  <si>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</si>
  <si>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</si>
  <si>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</si>
  <si>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</si>
  <si>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</si>
  <si>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</si>
  <si>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</si>
  <si>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</si>
  <si>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</si>
  <si>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</si>
  <si>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</si>
  <si>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</si>
  <si>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</si>
  <si>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</si>
  <si>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</si>
  <si>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</si>
  <si>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</si>
  <si>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</si>
  <si>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</si>
  <si>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</si>
  <si>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</si>
  <si>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</si>
  <si>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</si>
  <si>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</si>
  <si>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</si>
  <si>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</si>
  <si>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</si>
  <si>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</si>
  <si>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</si>
  <si>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</si>
  <si>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</si>
  <si>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</si>
  <si>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</si>
  <si>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</si>
  <si>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</si>
  <si>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</si>
  <si>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</si>
  <si>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</si>
  <si>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</si>
  <si>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</si>
  <si>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</si>
  <si>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</si>
  <si>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</si>
  <si>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</si>
  <si>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</si>
  <si>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</si>
  <si>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</si>
  <si>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</si>
  <si>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</si>
  <si>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</si>
  <si>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</si>
  <si>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</si>
  <si>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</si>
  <si>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</si>
  <si>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</si>
  <si>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</si>
  <si>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</si>
  <si>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</si>
  <si>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</si>
  <si>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</si>
  <si>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</si>
  <si>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</si>
  <si>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</si>
  <si>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</si>
  <si>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</si>
  <si>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</si>
  <si>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</si>
  <si>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</si>
  <si>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</si>
  <si>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</si>
  <si>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</si>
  <si>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</si>
  <si>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</si>
  <si>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</si>
  <si>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</si>
  <si>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</si>
  <si>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</si>
  <si>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</si>
  <si>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</si>
  <si>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</si>
  <si>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</si>
  <si>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</si>
  <si>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</si>
  <si>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</si>
  <si>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</si>
  <si>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</si>
  <si>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</si>
  <si>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</si>
  <si>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</si>
  <si>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</si>
  <si>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</si>
  <si>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</si>
  <si>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</si>
  <si>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</si>
  <si>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</si>
  <si>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</si>
  <si>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</si>
  <si>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</si>
  <si>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</si>
  <si>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</si>
  <si>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</si>
  <si>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</si>
  <si>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</si>
  <si>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</si>
  <si>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</si>
  <si>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</si>
  <si>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</si>
  <si>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</si>
  <si>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</si>
  <si>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</si>
  <si>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</si>
  <si>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</si>
  <si>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</si>
  <si>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</si>
  <si>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</si>
  <si>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</si>
  <si>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</si>
  <si>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</si>
  <si>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</si>
  <si>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</si>
  <si>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</si>
  <si>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</si>
  <si>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</si>
  <si>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</si>
  <si>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</si>
  <si>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</si>
  <si>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</si>
  <si>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</si>
  <si>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</si>
  <si>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</si>
  <si>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</si>
  <si>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</si>
  <si>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</si>
  <si>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</si>
  <si>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</si>
  <si>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</si>
  <si>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</si>
  <si>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</si>
  <si>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</si>
  <si>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</si>
  <si>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- Cleaning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</si>
  <si>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</si>
  <si>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</si>
  <si>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</si>
  <si>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</si>
  <si>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</si>
  <si>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</si>
  <si>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</si>
  <si>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- Change Spool (8x)</t>
  </si>
  <si>
    <t>- Change Blade (3x)</t>
  </si>
  <si>
    <t>- Change Spool (10x)</t>
  </si>
  <si>
    <t>Ariko P</t>
  </si>
  <si>
    <t>F 12 VP OW</t>
  </si>
  <si>
    <t>Erwin R</t>
  </si>
  <si>
    <t>SUZANO</t>
  </si>
  <si>
    <t>SS</t>
  </si>
  <si>
    <t>JANUARI</t>
  </si>
  <si>
    <t>PHP PM</t>
  </si>
  <si>
    <t>Steam, &amp; gangguan sinergy (X)</t>
  </si>
  <si>
    <t>Freq, Trip PLN (X)</t>
  </si>
  <si>
    <t>Cleaning Holes (X)</t>
  </si>
  <si>
    <t>Per hari</t>
  </si>
  <si>
    <t>.01.26</t>
  </si>
  <si>
    <t>23:15  temperatur hood dry drop tidak sesuai setpoint selisih 200°c , kertas lembab , speed 1150mpm
23:58 temperatur hood dry oke..speed up 1170 mpm</t>
  </si>
  <si>
    <t>- jr awal shift &amp; backlog thic rendah, rew stop tunggu jr spec acc
- setting temp hood, load refiner &amp; backflow nlbkp line
- 18.19 jr turun spec acc
- 19.23 rew start gulung mix jr thic rendah</t>
  </si>
  <si>
    <t>- Awal Shift PM Produksi  T 13
Speed 1180 /24%</t>
  </si>
  <si>
    <t>T 13</t>
  </si>
  <si>
    <t>1180/896,8</t>
  </si>
  <si>
    <t>1176,17/893,89</t>
  </si>
  <si>
    <t>- Change Blade (4x)</t>
  </si>
  <si>
    <t>- Change Blade (1x)</t>
  </si>
  <si>
    <t>- Change Spool (9x)</t>
  </si>
  <si>
    <t>Toilet</t>
  </si>
  <si>
    <t>13</t>
  </si>
  <si>
    <t>- Change Blade (8x)</t>
  </si>
  <si>
    <t>- Change Spool (27x)</t>
  </si>
  <si>
    <t>Agus K</t>
  </si>
  <si>
    <t>T 13 VP OW</t>
  </si>
  <si>
    <t>129*2</t>
  </si>
  <si>
    <t xml:space="preserve">T 13 </t>
  </si>
  <si>
    <t>EBKP CAKRAWALA/GHN</t>
  </si>
  <si>
    <t>- Awal Shift PM Produksi T13 
Speed actual: 1180/-26%</t>
  </si>
  <si>
    <t>- Awal Shift PM Produksi T13
Speed 1180mpm/-26%</t>
  </si>
  <si>
    <t>1180/873,2</t>
  </si>
  <si>
    <t>1168,52/864,71</t>
  </si>
  <si>
    <t>- Awal Shift PM Produksi T 13
Speed 1170 /26%</t>
  </si>
  <si>
    <t>- Awal Shift PM Produksi T13 3ply
Speed 1230mpm/-26% 
Actuall speed 1170mpm</t>
  </si>
  <si>
    <t>1170/865,8</t>
  </si>
  <si>
    <t>- Change Spool (7x)</t>
  </si>
  <si>
    <t>- Change Blade (0x)</t>
  </si>
  <si>
    <t>- Sheet Breaks (3x)</t>
  </si>
  <si>
    <t>- Sheet Breaks (6x)</t>
  </si>
  <si>
    <t>- Change Spool (26x)</t>
  </si>
  <si>
    <t>Hadi F</t>
  </si>
  <si>
    <t>SODIUM HYPOCHLORID</t>
  </si>
  <si>
    <t>Detac DC779F</t>
  </si>
  <si>
    <t xml:space="preserve">- Awal Shift PM Produksi  F12
Speed 1230mpm/-24% </t>
  </si>
  <si>
    <t>- Awal Shift PM Produksi  F12
Speed 1230mpm/-24%</t>
  </si>
  <si>
    <t>Nb: sprai coating release sering buntu , ganti nozle dan karet , pm mulai lancar</t>
  </si>
  <si>
    <t>- Awal Shift PM Produksi  F 12
Speed 1230 /24%</t>
  </si>
  <si>
    <t>- Awal Shift PM Produksi F12
Speed 1230mpm/-24%</t>
  </si>
  <si>
    <t>07:11 kertas susah sambung tail cutter tekanan kurang 
07:22 kertas sambung</t>
  </si>
  <si>
    <t>F 12</t>
  </si>
  <si>
    <t>- Awal Shift PM Produksi F12 
Speed actual: 1230/-25%</t>
  </si>
  <si>
    <t>1230/934,8</t>
  </si>
  <si>
    <t>1230/922,5</t>
  </si>
  <si>
    <t>1216,67/916,5</t>
  </si>
  <si>
    <t>- Sheet Breaks (2x)</t>
  </si>
  <si>
    <t>- Change Spool (11x)</t>
  </si>
  <si>
    <t>Facial</t>
  </si>
  <si>
    <t>12</t>
  </si>
  <si>
    <t>- Change Spool (29x)</t>
  </si>
  <si>
    <t>- 7:10 Change Grade F 12</t>
  </si>
  <si>
    <t>- Awal Shift PM Produksi T 13
Speed 1190 /25%</t>
  </si>
  <si>
    <t>1189,58/891,944</t>
  </si>
  <si>
    <t>140+122,5</t>
  </si>
  <si>
    <t>Toilet/Facial</t>
  </si>
  <si>
    <t>13/12</t>
  </si>
  <si>
    <t xml:space="preserve">- Awal Shift PM Produksi  F12,5
Speed 1230mpm/-24% </t>
  </si>
  <si>
    <t>23:29 pressure steam drop 11 bar
0:20 pressure steam ok</t>
  </si>
  <si>
    <t>08:20 Change grade F13, 5
         Speed 1200mpm/-20%
13:30 amisoft on
13:52 Change grade F12, 5
         Speed 1230mpm/-24%</t>
  </si>
  <si>
    <t>F 13,5</t>
  </si>
  <si>
    <t>F 12,5</t>
  </si>
  <si>
    <t>1209,25/952,23</t>
  </si>
  <si>
    <t>1223,08/940,61</t>
  </si>
  <si>
    <t>12/13,5/12,5</t>
  </si>
  <si>
    <t>- Sheet Breaks (9x)</t>
  </si>
  <si>
    <t>- Change Spool (31x)</t>
  </si>
  <si>
    <t>F 13,5 VP OW</t>
  </si>
  <si>
    <t>F 12,5 VP OW</t>
  </si>
  <si>
    <t>133*2</t>
  </si>
  <si>
    <t>- Awal Shift PM Produksi  F12,5
Speed 1230mpm/-24%</t>
  </si>
  <si>
    <t>20:32 Change grade F12
           Speed 1230mpm/-24%
           Amisoft off</t>
  </si>
  <si>
    <t>- Awal Shift PM Produksi  F12.5 
Speed actual: 1230/-24%</t>
  </si>
  <si>
    <t>12,5/12</t>
  </si>
  <si>
    <t>180+77,5</t>
  </si>
  <si>
    <t xml:space="preserve">- Awal Shift PM Produksi F12
Speed 1230mpm/-24% </t>
  </si>
  <si>
    <t>- Awal Shift PM Produksi  F12 
Speed actual: 1230/-24%</t>
  </si>
  <si>
    <t>1230/934</t>
  </si>
  <si>
    <t>- Awal Shift PM Produksi F 12
Speed 1230 /24%</t>
  </si>
  <si>
    <t>- Awal Shift PM Produksi F12*Hb
Speed 1230mpm/-24%</t>
  </si>
  <si>
    <t>Nb: sprai coating release sering buntu, ganti nozle dan karet</t>
  </si>
  <si>
    <t>- Awal Shift PM Produksi F12 
Speed actual: 1230/-24%</t>
  </si>
  <si>
    <t>- Change Spool (28x)</t>
  </si>
  <si>
    <t>120+140</t>
  </si>
  <si>
    <t>awal shift pm stop presure gas dari PGN drop 
-cleaning jalur pipa coating release dengan air soda 
-cleaning filter air coating release
-cleaning filter coating release 
-cleaning nozel coting release dengan air soda 
-cleaning area pm 
-cleaning silo + cek bagian dalam pipa fun pump 
02:09 presure gas mulai naik 266.7 mbar
03:05 mekanik ganti bearing fun pum
04:00 presure gas 585.2 mbar
06:00 presure gas 963.0 mbar
06:40 mekanik selsai ganti bearing
06:45 start hud 
06:50 isi air silo 
Backlog: 1100 kg
Rew: 1655</t>
  </si>
  <si>
    <t>- Awal Shift PM Produksi  F13,5
Speed 1200mpm/-24%</t>
  </si>
  <si>
    <t>15:00 awal shift pressure gas PGN drop dan temperatur hood juga drop , speed yankee turun sampai 700mpm menyesuaikan pressure gas
21:57 Burner hood wet dan dry trip , pressure gas terlalu rendah ( 51mbar) pm stop
Nb: MED cek gen packing pump machine chest , pump dump chest , pump ww tank to krofta dan pump sirkulasi krofta</t>
  </si>
  <si>
    <t>- Awal Shift PM Produksi F 12 
Speed actual: 1230/-24%</t>
  </si>
  <si>
    <t>Down Time PGN</t>
  </si>
  <si>
    <t>11.20 pm 14 change grade F13,5 speed 1170 mpm
12.00 pressure gas mulai turun</t>
  </si>
  <si>
    <t>950,6/722,46</t>
  </si>
  <si>
    <t>1207,08/917,38</t>
  </si>
  <si>
    <t>STOP</t>
  </si>
  <si>
    <t>1087,85/826,76</t>
  </si>
  <si>
    <t>- Change Spool (0x)</t>
  </si>
  <si>
    <t>12/13,5</t>
  </si>
  <si>
    <t>- Change Spool (15x)</t>
  </si>
  <si>
    <t>- 21:57 Burner hood wet dan dry trip , pressure gas terlalu rendah ( 51mbar) pm stop</t>
  </si>
  <si>
    <t>PGN &amp; efek PGN</t>
  </si>
  <si>
    <t>- Awal Shift PM Produksi F 13,5
Speed 1200/24%</t>
  </si>
  <si>
    <t xml:space="preserve">- Awal Shift PM Produksi F13,5
Speed 1200mpm/-24% </t>
  </si>
  <si>
    <t>Awal shift kertas muncul hole bagian Ds 
Nyalakan amiclean dan sikat bagian yang hole 
Bagian yang disikat, kertas keriput turun speed 30mpm</t>
  </si>
  <si>
    <t>- Awal Shift PM Produksi  F13.5 
Speed actual: 1200/-24%</t>
  </si>
  <si>
    <t>23:14 speed up 1160
00:43 tail cuter buntu ( flushing ) 
00:50 kertas sambung 
01:04 speed up 1170
04:12 tail cutter buntu lagi ( flushing )
04:17 kertas sambung 
05:05 speed up 1200
NB : akhir shift presure tail cutter aman tidak buntu</t>
  </si>
  <si>
    <t xml:space="preserve">- Awal Shift PM Produksi  F13,5
Speed 900mpm/-24% </t>
  </si>
  <si>
    <t>Speed naik perlahan menyesuaikan presure gas
Akhir shift pm speed 1160mpm</t>
  </si>
  <si>
    <t>- Awal Shift PM Produksi  F12 
Speed actual: 1000/-24%</t>
  </si>
  <si>
    <t>-08.00 pm 14 start up speed 1000mpm
-Su turun hole + dirt rata 
-Drain ww cw 
-Drain couchpit
-09.10 kertas turun ACC F12 
-14.00 pm 14 change grade F13.5</t>
  </si>
  <si>
    <t>LT</t>
  </si>
  <si>
    <t>DT</t>
  </si>
  <si>
    <t>- Awal Shift PM Produksi  F 13,5
Speed 1150 /24%</t>
  </si>
  <si>
    <t>1174,31/892,478</t>
  </si>
  <si>
    <t>1030/782,8</t>
  </si>
  <si>
    <t>996,992/757,714</t>
  </si>
  <si>
    <t>1071,28/814,17</t>
  </si>
  <si>
    <t>- Change Blade (5x)</t>
  </si>
  <si>
    <t>1200/912</t>
  </si>
  <si>
    <t>13,5</t>
  </si>
  <si>
    <t>speed real</t>
  </si>
  <si>
    <t>speed target</t>
  </si>
  <si>
    <t>- Loss Speed Efek PGN</t>
  </si>
  <si>
    <t>- Stop Pressure gas dari PGN</t>
  </si>
  <si>
    <t>- Awal Shift PM Produksi F 12
1230 /24%</t>
  </si>
  <si>
    <t>- valve air utm macet ganggu proses sambung kertas ( info EID )
- kalibrasi coating release 
- presure coating dijadikan 2,2 bar ( indikasi coating di yankee gak jadi )
06:30 kertas sambung marking hilang sementara presure bar coating dijadikan 2,2 bar sampai normal</t>
  </si>
  <si>
    <t>- Awal Shift PM Produksi F13,5
Speed aktual 1200mpm/-23%</t>
  </si>
  <si>
    <t>14:02 Change grade F12
            Speed 1230mpm/-24%
            Amisoft off</t>
  </si>
  <si>
    <t>1203,63/925,31</t>
  </si>
  <si>
    <t>1221,21/931,64</t>
  </si>
  <si>
    <t>13,5/12</t>
  </si>
  <si>
    <t>129,5*2</t>
  </si>
  <si>
    <t>- 17:38 change grade F12 speed 1230/-24%</t>
  </si>
  <si>
    <t>- Awal Shift PM Produksi F12
Speed aktual 1230mpm/-24%</t>
  </si>
  <si>
    <t>Pm
09:07 Change grade F14 off rell high bulky
            Speed 1180mpm/-28%</t>
  </si>
  <si>
    <t>F 14</t>
  </si>
  <si>
    <t>1193,23/872,14</t>
  </si>
  <si>
    <t>1212,26/909,74</t>
  </si>
  <si>
    <t>- Change Spool (12x)</t>
  </si>
  <si>
    <t>12/14</t>
  </si>
  <si>
    <t>- Change Blade (9x)</t>
  </si>
  <si>
    <t>- Change Spool (33x)</t>
  </si>
  <si>
    <t>274*1</t>
  </si>
  <si>
    <t>F 14 VP OW</t>
  </si>
  <si>
    <t>- Awal Shift PM Produksi F14
Speed 1180mpm/-28%</t>
  </si>
  <si>
    <t>1213,54/906,755</t>
  </si>
  <si>
    <t xml:space="preserve">- Awal Shift PM Produksi  F13
Speed 1230mpm/-24% </t>
  </si>
  <si>
    <t>- Awal Shift PM Produksi  F12 
Speed actual: 1230/-24%
Deckle : 2.59cm</t>
  </si>
  <si>
    <t>-21:00 change grade F12 speed 1230/-24%</t>
  </si>
  <si>
    <t>08:15 Change grade F13
            Speed 1210mpm/-24%
11:12 Speed up 1230mpm</t>
  </si>
  <si>
    <t>F 13</t>
  </si>
  <si>
    <t>1222,63/929,2</t>
  </si>
  <si>
    <t>1227,54/932,93</t>
  </si>
  <si>
    <t>- Sheet Breaks (4x)</t>
  </si>
  <si>
    <t>12/13</t>
  </si>
  <si>
    <t>- Sheet Breaks (8x)</t>
  </si>
  <si>
    <t>- Change Spool (30x)</t>
  </si>
  <si>
    <t>F 13 VP OW</t>
  </si>
  <si>
    <t>- Awal Shift PM Produksi  F13 
Speed actual: 1210/-24%</t>
  </si>
  <si>
    <t>- Awal Shift PM Produksi F 13
Speed 1210/25%</t>
  </si>
  <si>
    <t>- Awal Shift PM Produksi  F16*ultra soft
Speed 1080mpm/-26%</t>
  </si>
  <si>
    <t>12:37 Change grade F13
            Speed 1200mpm/-24%
            Purifec off
13:36 Speed up 1210mpm</t>
  </si>
  <si>
    <t>- Awal Shift PM Produksi  F16 
Speed actual: 1080/-26%
Deckle : 2.75cm</t>
  </si>
  <si>
    <t xml:space="preserve">- Awal Shift PM Produksi  F16
Speed 1080mpm/-26% </t>
  </si>
  <si>
    <t>- 21:30 jumbo turun pending bw drop, setting flow bw, ok</t>
  </si>
  <si>
    <t>- Awal Shift PM Produksi   F12*Hb
Speed aktual 1230mpm/-24%</t>
  </si>
  <si>
    <t>10:44 Change grade F16
            Speed 1050mpm/-26%
12:37 Change grade F13
            Speed 1200mpm/-24%
14:00 Change grade F16 ultra soft
            Speed 1080mpm/-26%</t>
  </si>
  <si>
    <t>F 16</t>
  </si>
  <si>
    <t>1163,69/876,76</t>
  </si>
  <si>
    <t>1080/799,2</t>
  </si>
  <si>
    <t>1107,9/825,05</t>
  </si>
  <si>
    <t>- Change Spool (13x)</t>
  </si>
  <si>
    <t>1210/919,6</t>
  </si>
  <si>
    <t>1210/907,5</t>
  </si>
  <si>
    <t>1117,5/834,14</t>
  </si>
  <si>
    <t>1179,17/887,08</t>
  </si>
  <si>
    <t>12/13/16</t>
  </si>
  <si>
    <t>16/13</t>
  </si>
  <si>
    <t>- Change Spool (32x)</t>
  </si>
  <si>
    <t>F 16 VP OW</t>
  </si>
  <si>
    <t>275*1</t>
  </si>
  <si>
    <t>140+126</t>
  </si>
  <si>
    <t>- Awal Shift PM Produksi  F13.5 
Speed actual: 1230/-24%</t>
  </si>
  <si>
    <t>- 06.38 Flow fresh water eror</t>
  </si>
  <si>
    <t>- 13:03 Speed up 1230mpm</t>
  </si>
  <si>
    <t>1214,88/923,31</t>
  </si>
  <si>
    <t>1224,96/930,97</t>
  </si>
  <si>
    <t>- Awal Shift PM Produksi F13
Speed 1210mpm/-24%</t>
  </si>
  <si>
    <t>- Awal Shift PM Produksi F13
Speed 1230mpm/-24%</t>
  </si>
  <si>
    <t>- Awal Shift PM Produksi : F13,5
Speed: 1230 mpm</t>
  </si>
  <si>
    <t>- Awal Shift PM Produksi  F13
Speed 1230mpm/-24% 
Deckle 2,6cm</t>
  </si>
  <si>
    <t>13/13,5</t>
  </si>
  <si>
    <t>SOFTENER PURIFEC</t>
  </si>
  <si>
    <t>CHEMZYME CL</t>
  </si>
  <si>
    <t>awal shift burner hud dry trip speed 1000
15:19 burner hood dry nyala speed up secara perlahan 
15:50 speed up max 1230/24%</t>
  </si>
  <si>
    <t xml:space="preserve">- Awal Shift PM Produksi F13,5
Speed 1230mpm/-24% </t>
  </si>
  <si>
    <t xml:space="preserve">13:15 Dry hood off, eid ganti motor combutian.
Pm turun speed 1050 mpm (loss speed ikut eid) </t>
  </si>
  <si>
    <t>1206,04/916,59</t>
  </si>
  <si>
    <t>1190,63/904,88</t>
  </si>
  <si>
    <t>- Loss speed karena EID</t>
  </si>
  <si>
    <t>- Awal Shift PM Produksi  F 13,5
Speed 1230/24%</t>
  </si>
  <si>
    <t xml:space="preserve">- Awal Shift PM Produksi   F13,5
Speed 1230mpm/-24% </t>
  </si>
  <si>
    <t>10:18 dry hood trip cek eid, Pm turun speed jadi 1050mpm
10:33 dry hood on, pm naik speed perlahan 
10:55 pm speed 1230mpm</t>
  </si>
  <si>
    <t>- Awal Shift PM Produksi   F13
Speed 1230mpm/-24%</t>
  </si>
  <si>
    <t>23:00 change grade F13
           Speed 1230mpm/-24%.
23.00 amisoft stop</t>
  </si>
  <si>
    <t>1216,13/924,26</t>
  </si>
  <si>
    <t>1225,38/931,29</t>
  </si>
  <si>
    <t>13,5/13</t>
  </si>
  <si>
    <t>116+140</t>
  </si>
  <si>
    <t xml:space="preserve">23:24 Change grade F11
           Speed 1230mpm/-23%
06.28 wsr off
06:30 Change grade F14
            Speed 1150/-23.5% ( peralihan facial ke toilet) </t>
  </si>
  <si>
    <t>- Awal Shift PM Produksi   F 13
Speed 1230 /24%</t>
  </si>
  <si>
    <t>F 11</t>
  </si>
  <si>
    <t>1225/931</t>
  </si>
  <si>
    <t>1228,33/933,53</t>
  </si>
  <si>
    <t>13/11/14</t>
  </si>
  <si>
    <t>- Change Spool (22x)</t>
  </si>
  <si>
    <t>F 11 VP OW</t>
  </si>
  <si>
    <t>- 09:40 change grade T 13, speed 1230/-24%</t>
  </si>
  <si>
    <t>- Awal Shift PM Produksi F14 Speed 1150mpm/-24%</t>
  </si>
  <si>
    <t>- Awal Shift PM Produksi T 13 speed 1230/-24%</t>
  </si>
  <si>
    <t>- 22.20 muncul marking bag ts, change blade marking hilang</t>
  </si>
  <si>
    <t>1203/914</t>
  </si>
  <si>
    <t>1221/928</t>
  </si>
  <si>
    <t>Loss speed karena EID</t>
  </si>
  <si>
    <t>Facial/Toilet</t>
  </si>
  <si>
    <t>14/13</t>
  </si>
  <si>
    <t xml:space="preserve">- Awal Shift PM Produksi T13
Speed 1230mpm/-24% </t>
  </si>
  <si>
    <t>- Awal Shift PM Produksi T13
Speed target 1230mpm/-24%
Speed aktual 900mpm/-24%</t>
  </si>
  <si>
    <t>- 23:00 awal shift pressure gas dari PGN rendah 140mbar-300mbar , Speed 900mpm menyesuaikan pressure gas
- level reject tank tidak baca , cek EID
07:00 akhir shift pressure gas mulai naik 400mbar</t>
  </si>
  <si>
    <t>- Awal Shift PM Produksi  T13
Speed :1230mpm/-24%
Speed actual : 900mpm</t>
  </si>
  <si>
    <t>15.00 presure gas mulai turun 
15.50 pm turun speed kertas kriput mati (presure gas turun )
17.20 pm turun speed sampai 900 mpm kertas membaik</t>
  </si>
  <si>
    <t>900/684</t>
  </si>
  <si>
    <t>996,25/757,15</t>
  </si>
  <si>
    <t>1042,08/791,98</t>
  </si>
  <si>
    <t>- Change Spool (24x)</t>
  </si>
  <si>
    <t>- Awal Shift PM Produksi T13
Speed :1230mpm/-24%
Speed akhir actual : 1100mpm</t>
  </si>
  <si>
    <t>15.00 speed 1030
15.15 speed up 1070
17.00 speed up 1100
Akhir sift speed 1100
speed tidak bisa maksimal, pressure gas drop
flow meter fresh water error</t>
  </si>
  <si>
    <t>- Awal Shift PM Produksi T 13
Speed 1230/24%
Speed aktual 1060/24%</t>
  </si>
  <si>
    <t>10:05 pm trip ( sinergy problem )
- cleaning area pm bagian depan dan belakang 
- cleaning nozel2 sower yang buntu
- cuci felt wire dengan air soda 
- drain couch pit + ganti air
12:14 bilas felt wire 
12:25 start up 
12:54 on reel 1100
13:15 turun speed 1000 presure gas drop lagi
14:07 speed up 1020 temperatur mulai stabil 
14:28 speed up 1030 up pelan2 mengikuti temperatur hud</t>
  </si>
  <si>
    <t>- Awal Shift PM Produksi T13
Speed target 1230mpm/-24%
Speed aktual 1050mpm/-24%</t>
  </si>
  <si>
    <t xml:space="preserve">23:00 awal shift speed 1050 mpm  pressure gas dari PGN rendah 200mbar-300mbar. menyesuaikan pressure gas
03:26 Pressure gas mulai naik 600mbar-700mbar , speed up perlahan sampai 1160mpm
07:00 akhir shift speed 1160mpm
</t>
  </si>
  <si>
    <t>- Awal Shift PM Produksi T13
Speed :1230m pm/-24%
Speed akhir actual : 1160 mpm</t>
  </si>
  <si>
    <t>15.33 presure PGN mulai naik speed pm naik perlahan 
16.03 speed up 820
17.33 speed up 950
19.00 speed up 1100
20.30 speed up 1160 
Akhir sift speed 1160</t>
  </si>
  <si>
    <t>- Awal Shift PM Produksi T 13
Speed 900/24%</t>
  </si>
  <si>
    <t>awal shift speed 900 ( presure gas dari PGN masih drop )
08:44 speed down 800 ( presure gas semakin drop )
NB: akhir shift speed bertahan di 800 mpm sambil pantau presure gas PGN</t>
  </si>
  <si>
    <t>989,22/751,8</t>
  </si>
  <si>
    <t>1099,04/835,27</t>
  </si>
  <si>
    <t>1046,94/795,67</t>
  </si>
  <si>
    <t>821,67/624,47</t>
  </si>
  <si>
    <t>- Awal Shift PM Produksi T13
Speed target 1230mpm/-24%
Speed aktual 1120mpm/-24%
Lost Speed 110mpm(8,9%)</t>
  </si>
  <si>
    <t>23:00 awal shift pressure gas dari PGN rendah 400mbar-500mbar, Speed 1120mpm menyesuaikan pressure gas
00:24 Pressure gas mulai naik 1800mbar , speed up perlahan sampai 1200mpm
07:00 akhir shift speed 1200mpm, pressure gas turun 900mbar</t>
  </si>
  <si>
    <t>1186/901,36</t>
  </si>
  <si>
    <t>1091,25/829,35</t>
  </si>
  <si>
    <t>1046,88/795,63</t>
  </si>
  <si>
    <t>1116,18/848,29</t>
  </si>
  <si>
    <t>- Change Blade (2x)</t>
  </si>
  <si>
    <t>- Sheet Breaks (5x)</t>
  </si>
  <si>
    <t>- 10:05 pm trip ( sinergy problem )</t>
  </si>
  <si>
    <t>- Awal Shift PM Produksi  T13
Speed :1230mpm/-24%
Speed akhir actual : 820 mpm</t>
  </si>
  <si>
    <t>Presure Gas dr PGN masih rendah</t>
  </si>
  <si>
    <t>- Awal Shift PM Produksi T13
Speed 820mpm/-24% pres gas rendah</t>
  </si>
  <si>
    <t xml:space="preserve">Pressure gas dari PGN masih rendah </t>
  </si>
  <si>
    <t>- Awal Shift PM Produksi  T 13
Speed target 1230/24%
Speed aktual 800/24%</t>
  </si>
  <si>
    <t>masalah: 
12:43 burner hud mati ( presure PGN drop )
- pm stop 
- cleaning area pm 
13:18 pindah power ke sinergy 
13:37 persiapan jalan 
13:52 on reel</t>
  </si>
  <si>
    <t>800/608</t>
  </si>
  <si>
    <t>820/623,2</t>
  </si>
  <si>
    <t>841/618,64</t>
  </si>
  <si>
    <t>- Change Spool (3x)</t>
  </si>
  <si>
    <t>- Change Spool (6x)</t>
  </si>
  <si>
    <t>- 12:43 burner hud mati ( presure PGN drop )</t>
  </si>
  <si>
    <t>- Awal Shift PM Produksi  T13
Speed 800mpm/-24%  pres gas rendah</t>
  </si>
  <si>
    <t>Pressure gas dari PGN masih rendah 
Pm coba naik speed perlahan 
1:46 pm speed 920mpm
6:38 pressure gas turun lagi, pm turun speed jadi 880mpm</t>
  </si>
  <si>
    <t>- Awal Shift PM Produksi T13
Speed :1230mpm/-24%
Speed akhir actual : 800 mpm</t>
  </si>
  <si>
    <t>15.00 speed pm 740 mpm
16.00 naik speed 750
19.00 naik speed 780
20.40 naik speed 800
Gas dr PGN presure masih rendah ( belum stabil )
Akhir sift pm speed 800mpm</t>
  </si>
  <si>
    <t>awal shift speed 820 presure gas drop 
07:44 turun speed kertas marking indikasi temperatur panas kurang speed menyesuaikan temperatur ( PGN masih drop )
09:01 speed turun 750 menyesuaikan temperatur gas 
10:15 burner wet mati turun speed 650 ( info EID )
10:21 burner wet nyala speed up 700
akhir shift speed 740 
NB : speed masih menyesuaikan temperatur</t>
  </si>
  <si>
    <t>876,67/666,27</t>
  </si>
  <si>
    <t>769,58/584,88</t>
  </si>
  <si>
    <t>748,92/569,18</t>
  </si>
  <si>
    <t>798,39/606,78</t>
  </si>
  <si>
    <t>- Change Spool (23x)</t>
  </si>
  <si>
    <t>- Awal Shift PM Produksi T13
Speed target 1230mpm/-24%
Speed aktual 680mpm/-24%
Lost Speed 550mpm(44,7%)</t>
  </si>
  <si>
    <t>15:00 awal shift pressure gas dari PGN rendah 51,9 mbar, Speed 680mpm menyesuaikan pressure gas
19:40 Speed up 700mpm
23:00 akhir shift speed 700mpm, pressure gas mulai naik 71mbar</t>
  </si>
  <si>
    <t>- Awal Shift PM Produksi T 13
Speed 1230/24%
Speed aktual 680/24%</t>
  </si>
  <si>
    <t>awal shift speed 880 presure gas drop 
08:24  turun speed 680 kertas marking indikasi temperatur panas kurang, speed menyesuaikan temperatur ( PGN masih drop )
akhir shift  speed 680 menyesuaikan temperatur gas
NB : speed masih menyesuaikan temperatur</t>
  </si>
  <si>
    <t>- Awal Shift PM Produksi  T13
Speed 800mpm/-24% pres gas rendah</t>
  </si>
  <si>
    <t>Pressure gas dari PGN masih rendah 
Kertas sering marking, ganti blade marking hilang 
Pm coba naik speed perlahan 
Akhir shift pm speed 840mpm</t>
  </si>
  <si>
    <t>688,33/523,13</t>
  </si>
  <si>
    <t>715/543,4</t>
  </si>
  <si>
    <t>741,11/563,24</t>
  </si>
  <si>
    <t>- Change Spool (20x)</t>
  </si>
  <si>
    <t>- Awal Shift PM Produksi T12,5
Speed act 860mpm/24% press gas rendah</t>
  </si>
  <si>
    <t>Pressure gas dari PGN masih rendah 
Kertas ada marking, ganti blade marking hilang 
Pm coba naik speed perlahan 
Akhir shift pm speed 910mpm</t>
  </si>
  <si>
    <t>- Awal Shift PM Produksi T12,5
Speed target 1230mpm/-24%
Speed aktual 700mpm/-24%</t>
  </si>
  <si>
    <t>15:00 awal shift pressure gas dari PGN rendah 185bar, Speed 700mpm menyesuaikan pressure gas
18:13 pressure gas naik 500bar, Speed up perlahan sampai 830mpm
22:01 pressure gas naik 700bar , speed up 860mpm
23:00 akhir shift speed 860mpm, pressure gas mulai naik 750bar</t>
  </si>
  <si>
    <t>- Awal Shift PM Produksi  T 13
Speed 1230/24%
Speed aktual 680/24%</t>
  </si>
  <si>
    <t>- 13:40 change grade T 12,5</t>
  </si>
  <si>
    <t>T 12,5</t>
  </si>
  <si>
    <t>878,75/667,85</t>
  </si>
  <si>
    <t>720/547,2</t>
  </si>
  <si>
    <t>680/516,8</t>
  </si>
  <si>
    <t>759,58/577,28</t>
  </si>
  <si>
    <t>13/12,5</t>
  </si>
  <si>
    <t>T 12,5 VP OW</t>
  </si>
  <si>
    <t>256*1</t>
  </si>
  <si>
    <t>Loss Time PGN</t>
  </si>
  <si>
    <t>Loss speed efek PGN</t>
  </si>
  <si>
    <t>Stop Pressure gas dari PGN</t>
  </si>
  <si>
    <t>Sinergy problem</t>
  </si>
  <si>
    <t>- Awal Shift PM Produksi T12,5
Speed target 1230mpm/-24%
Speed aktual 1100mpm/-24%
Lost Speed 130mpm(10,5%)</t>
  </si>
  <si>
    <t>23:00 awal shift pressure gas mulai naik speed up perlahan
# speed akhir 1200mpm
06:20 pm stock off , burner off , fanpump alarm , pm stop
06:10 crane 8ton ngeslong , turun terus tidak bisa berhenti
07:00 akhir shift pm masih stop , nunggu burner dan fanpump siap</t>
  </si>
  <si>
    <t xml:space="preserve">- Awal Shift PM Produksi T12,5
Speed 870mpm/-24% </t>
  </si>
  <si>
    <t>Speed 870 mpm Pressure gas dari PGN masih rendah.
Press gas mulai naik
Pm coba naik speed perlahan 
Akhir shift pm speed 1100mpm</t>
  </si>
  <si>
    <t>- Awal Shift PM Produksi T12.5
Speed :1230mpm/-24%
Speed akhir actual : 870 mpm</t>
  </si>
  <si>
    <t>Awal shift presure gas mulai turun, speed pm 910
08.50 speed turun 870</t>
  </si>
  <si>
    <t>1186,36/901,64</t>
  </si>
  <si>
    <t>965,83/734,03</t>
  </si>
  <si>
    <t>879,17/668,17</t>
  </si>
  <si>
    <t>1005,43/764,13</t>
  </si>
  <si>
    <t>12,5</t>
  </si>
  <si>
    <t>- 06:20 pm stock off , burner off , fanpump alarm , pm stop</t>
  </si>
  <si>
    <t>NBKP METSA</t>
  </si>
  <si>
    <t>gas</t>
  </si>
  <si>
    <t>- Coba speed up 10 mpm muncul marking, speed down 10 mpm ,ganti blade no.2 , marking hilang</t>
  </si>
  <si>
    <t>- Awal Shift PM Produksi T12,5
Speed 1230mpm/-24%</t>
  </si>
  <si>
    <t>20:33 wsr on/ pac off
20:48 Change grade F13
           Speed 1210mpm/-24%</t>
  </si>
  <si>
    <t>- Awal Shift PM Produksi  T12.5
Speed :1230mpm/-24%
Speed akhir actual : 1230 mpm</t>
  </si>
  <si>
    <t>07.00 Awal shift pm stop fanpump alarm, compresor fliker
07.50 pm persiapan jalan 
08.08 fanpump trip
08.24 pm persiapan jalan 
08.37 pm onrell
Nb speed up bertahap speed akhir 1230 mpm</t>
  </si>
  <si>
    <t>1224,5/930,62</t>
  </si>
  <si>
    <t>12,5/13</t>
  </si>
  <si>
    <t>- 07.00 Awal shift pm stop fanpump alarm, compresor fliker</t>
  </si>
  <si>
    <t>- Awal Shift PM Produksi F13
Speed target 1230mpm/-24%
Speed aktual 1210mpm/-24%
Lost Speed 20mpm(1,6%)</t>
  </si>
  <si>
    <t>Fanpump alarm trouble</t>
  </si>
  <si>
    <t>Loss Speed PGN</t>
  </si>
  <si>
    <t>Total Loss Speed PGN</t>
  </si>
  <si>
    <t>% Loss Speed PGN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</si>
</sst>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  <numFmt numFmtId="182" formatCode="#,##0.0000"/>
    <numFmt numFmtId="183" formatCode="0.000000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39997558519241921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73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0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0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4" applyNumberFormat="1" applyFont="1" applyBorder="1" applyAlignment="1">
      <alignment horizontal="center"/>
    </xf>
    <xf numFmtId="0" fontId="40" fillId="0" borderId="11" xfId="44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0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6" applyNumberFormat="1" applyFont="1" applyBorder="1"/>
    <xf numFmtId="178" fontId="44" fillId="0" borderId="11" xfId="29" applyNumberFormat="1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7" applyFont="1" applyBorder="1"/>
    <xf numFmtId="10" fontId="44" fillId="25" borderId="11" xfId="50" applyNumberFormat="1" applyFont="1" applyFill="1" applyBorder="1" applyAlignment="1">
      <alignment vertical="center"/>
    </xf>
    <xf numFmtId="166" fontId="44" fillId="25" borderId="11" xfId="50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0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0" applyNumberFormat="1" applyFont="1" applyFill="1" applyBorder="1" applyAlignment="1" applyProtection="1">
      <alignment horizontal="center" vertical="center"/>
    </xf>
    <xf numFmtId="166" fontId="28" fillId="24" borderId="29" xfId="50" applyNumberFormat="1" applyFont="1" applyFill="1" applyBorder="1" applyAlignment="1" applyProtection="1">
      <alignment horizontal="center" vertical="center"/>
    </xf>
    <xf numFmtId="166" fontId="28" fillId="24" borderId="37" xfId="50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0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0" applyNumberFormat="1" applyFont="1" applyFill="1" applyBorder="1" applyAlignment="1" applyProtection="1">
      <alignment horizontal="center" vertical="center"/>
    </xf>
    <xf numFmtId="166" fontId="28" fillId="24" borderId="15" xfId="50" applyNumberFormat="1" applyFont="1" applyFill="1" applyBorder="1" applyAlignment="1" applyProtection="1">
      <alignment horizontal="center" vertical="center"/>
    </xf>
    <xf numFmtId="166" fontId="28" fillId="24" borderId="34" xfId="50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0" applyNumberFormat="1" applyFont="1" applyFill="1" applyBorder="1" applyProtection="1"/>
    <xf numFmtId="166" fontId="28" fillId="24" borderId="24" xfId="50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0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0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165" fontId="28" fillId="24" borderId="55" xfId="50" applyNumberFormat="1" applyFont="1" applyFill="1" applyBorder="1" applyAlignment="1" applyProtection="1">
      <alignment horizontal="center" vertical="center"/>
      <protection locked="0"/>
    </xf>
    <xf numFmtId="165" fontId="28" fillId="24" borderId="54" xfId="50" applyNumberFormat="1" applyFont="1" applyFill="1" applyBorder="1" applyAlignment="1" applyProtection="1">
      <alignment horizontal="center" vertical="center"/>
      <protection locked="0"/>
    </xf>
    <xf numFmtId="165" fontId="28" fillId="24" borderId="64" xfId="50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4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73" fontId="49" fillId="0" borderId="67" xfId="0" applyNumberFormat="1" applyFont="1" applyBorder="1"/>
    <xf numFmtId="0" fontId="0" fillId="0" borderId="45" xfId="0" applyBorder="1"/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0" applyNumberFormat="1" applyFont="1" applyFill="1" applyBorder="1"/>
    <xf numFmtId="10" fontId="44" fillId="0" borderId="11" xfId="50" applyNumberFormat="1" applyFont="1" applyFill="1" applyBorder="1"/>
    <xf numFmtId="10" fontId="43" fillId="0" borderId="0" xfId="50" applyNumberFormat="1" applyFont="1" applyFill="1" applyBorder="1" applyAlignment="1">
      <alignment vertical="center"/>
    </xf>
    <xf numFmtId="10" fontId="44" fillId="27" borderId="0" xfId="50" applyNumberFormat="1" applyFont="1" applyFill="1" applyBorder="1"/>
    <xf numFmtId="10" fontId="44" fillId="0" borderId="11" xfId="50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0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0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46" fillId="0" borderId="45" xfId="0" applyFont="1" applyBorder="1"/>
    <xf numFmtId="0" fontId="0" fillId="0" borderId="55" xfId="0" applyBorder="1" applyAlignment="1">
      <alignment horizontal="center" vertical="center"/>
    </xf>
    <xf numFmtId="167" fontId="0" fillId="0" borderId="55" xfId="28" applyNumberFormat="1" applyFont="1" applyBorder="1" applyAlignment="1">
      <alignment horizontal="center" vertical="center" wrapText="1"/>
    </xf>
    <xf numFmtId="1" fontId="49" fillId="0" borderId="67" xfId="0" applyNumberFormat="1" applyFont="1" applyBorder="1" applyAlignment="1">
      <alignment horizontal="center" vertical="center"/>
    </xf>
    <xf numFmtId="0" fontId="0" fillId="0" borderId="68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173" fontId="46" fillId="0" borderId="55" xfId="0" applyNumberFormat="1" applyFont="1" applyBorder="1" applyAlignment="1">
      <alignment horizontal="center" vertical="center"/>
    </xf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55" xfId="0" applyFont="1" applyBorder="1"/>
    <xf numFmtId="0" fontId="46" fillId="0" borderId="36" xfId="0" applyFont="1" applyBorder="1"/>
    <xf numFmtId="2" fontId="0" fillId="0" borderId="64" xfId="0" applyNumberFormat="1" applyBorder="1" applyAlignment="1">
      <alignment vertical="center"/>
    </xf>
    <xf numFmtId="2" fontId="0" fillId="0" borderId="40" xfId="0" applyNumberFormat="1" applyBorder="1" applyAlignment="1">
      <alignment vertical="center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9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0" applyNumberFormat="1" applyFont="1" applyFill="1" applyBorder="1" applyAlignment="1" applyProtection="1">
      <alignment horizontal="center" vertical="center"/>
      <protection locked="0"/>
    </xf>
    <xf numFmtId="10" fontId="46" fillId="27" borderId="11" xfId="50" applyNumberFormat="1" applyFont="1" applyFill="1" applyBorder="1" applyAlignment="1" applyProtection="1">
      <alignment horizontal="center" vertical="center"/>
      <protection locked="0"/>
    </xf>
    <xf numFmtId="2" fontId="40" fillId="0" borderId="11" xfId="44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0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0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0" applyNumberFormat="1" applyFont="1" applyFill="1" applyBorder="1" applyAlignment="1">
      <alignment vertical="center"/>
    </xf>
    <xf numFmtId="10" fontId="43" fillId="0" borderId="30" xfId="50" applyNumberFormat="1" applyFont="1" applyFill="1" applyBorder="1" applyAlignment="1">
      <alignment vertical="center"/>
    </xf>
    <xf numFmtId="0" fontId="24" fillId="24" borderId="69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6" applyFont="1" applyBorder="1" applyAlignment="1">
      <alignment horizontal="left"/>
    </xf>
    <xf numFmtId="0" fontId="46" fillId="0" borderId="11" xfId="0" applyFont="1" applyBorder="1"/>
    <xf numFmtId="0" fontId="40" fillId="0" borderId="19" xfId="56" applyFont="1" applyBorder="1" applyAlignment="1">
      <alignment horizontal="left"/>
    </xf>
    <xf numFmtId="0" fontId="32" fillId="0" borderId="11" xfId="56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0" applyFont="1" applyFill="1" applyBorder="1" applyAlignment="1">
      <alignment horizontal="center" vertical="center" wrapText="1"/>
    </xf>
    <xf numFmtId="10" fontId="0" fillId="0" borderId="11" xfId="50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6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6" applyFont="1" applyBorder="1" applyAlignment="1">
      <alignment horizontal="left"/>
    </xf>
    <xf numFmtId="10" fontId="58" fillId="27" borderId="11" xfId="50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0" applyNumberFormat="1" applyFont="1" applyFill="1" applyBorder="1" applyAlignment="1">
      <alignment vertical="center"/>
    </xf>
    <xf numFmtId="10" fontId="44" fillId="4" borderId="11" xfId="50" applyNumberFormat="1" applyFont="1" applyFill="1" applyBorder="1" applyAlignment="1">
      <alignment vertical="center"/>
    </xf>
    <xf numFmtId="10" fontId="44" fillId="25" borderId="11" xfId="50" applyNumberFormat="1" applyFont="1" applyFill="1" applyBorder="1"/>
    <xf numFmtId="166" fontId="44" fillId="0" borderId="0" xfId="51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5" applyNumberFormat="1" applyFont="1" applyBorder="1" applyAlignment="1">
      <alignment horizontal="center"/>
    </xf>
    <xf numFmtId="10" fontId="43" fillId="0" borderId="11" xfId="50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6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0" applyNumberFormat="1" applyFont="1" applyFill="1" applyBorder="1" applyAlignment="1">
      <alignment horizontal="center" vertical="center" wrapText="1"/>
    </xf>
    <xf numFmtId="178" fontId="44" fillId="26" borderId="14" xfId="60" applyNumberFormat="1" applyFont="1" applyFill="1" applyBorder="1" applyAlignment="1">
      <alignment horizontal="center" vertical="center" wrapText="1"/>
    </xf>
    <xf numFmtId="178" fontId="44" fillId="26" borderId="11" xfId="60" applyNumberFormat="1" applyFont="1" applyFill="1" applyBorder="1" applyAlignment="1">
      <alignment horizontal="center" vertical="center" wrapText="1"/>
    </xf>
    <xf numFmtId="178" fontId="44" fillId="40" borderId="14" xfId="60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2" fontId="29" fillId="0" borderId="86" xfId="28" applyNumberFormat="1" applyFont="1" applyBorder="1" applyAlignment="1">
      <alignment horizontal="center" vertical="center"/>
    </xf>
    <xf numFmtId="2" fontId="29" fillId="0" borderId="86" xfId="28" applyNumberFormat="1" applyFont="1" applyFill="1" applyBorder="1" applyAlignment="1" applyProtection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29" fillId="0" borderId="84" xfId="0" applyFont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70" xfId="0" applyNumberFormat="1" applyBorder="1" applyAlignment="1">
      <alignment vertical="center"/>
    </xf>
    <xf numFmtId="173" fontId="49" fillId="0" borderId="87" xfId="0" applyNumberFormat="1" applyFont="1" applyBorder="1"/>
    <xf numFmtId="0" fontId="46" fillId="0" borderId="69" xfId="0" applyFont="1" applyBorder="1"/>
    <xf numFmtId="0" fontId="0" fillId="0" borderId="0" xfId="0" applyBorder="1"/>
    <xf numFmtId="0" fontId="46" fillId="0" borderId="0" xfId="0" applyFont="1" applyBorder="1"/>
    <xf numFmtId="0" fontId="0" fillId="0" borderId="0" xfId="0" applyFill="1" applyBorder="1"/>
    <xf numFmtId="0" fontId="46" fillId="0" borderId="0" xfId="0" applyFont="1" applyFill="1" applyBorder="1"/>
    <xf numFmtId="0" fontId="0" fillId="0" borderId="45" xfId="0" applyFill="1" applyBorder="1"/>
    <xf numFmtId="2" fontId="0" fillId="0" borderId="45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67" xfId="0" applyNumberFormat="1" applyBorder="1" applyAlignment="1">
      <alignment vertical="center"/>
    </xf>
    <xf numFmtId="2" fontId="0" fillId="0" borderId="87" xfId="0" applyNumberFormat="1" applyBorder="1" applyAlignment="1">
      <alignment vertical="center"/>
    </xf>
    <xf numFmtId="178" fontId="44" fillId="41" borderId="14" xfId="60" applyNumberFormat="1" applyFont="1" applyFill="1" applyBorder="1" applyAlignment="1">
      <alignment horizontal="center" vertical="center" wrapText="1"/>
    </xf>
    <xf numFmtId="178" fontId="44" fillId="41" borderId="11" xfId="60" applyNumberFormat="1" applyFont="1" applyFill="1" applyBorder="1" applyAlignment="1">
      <alignment horizontal="center" vertical="center" wrapText="1"/>
    </xf>
    <xf numFmtId="43" fontId="24" fillId="24" borderId="0" xfId="0" applyNumberFormat="1" applyFont="1" applyFill="1"/>
    <xf numFmtId="0" fontId="58" fillId="24" borderId="15" xfId="0" applyFont="1" applyFill="1" applyBorder="1"/>
    <xf numFmtId="0" fontId="58" fillId="24" borderId="21" xfId="0" applyFont="1" applyFill="1" applyBorder="1"/>
    <xf numFmtId="177" fontId="43" fillId="27" borderId="11" xfId="0" applyNumberFormat="1" applyFont="1" applyFill="1" applyBorder="1" applyAlignment="1">
      <alignment horizontal="center" vertical="center" wrapText="1"/>
    </xf>
    <xf numFmtId="9" fontId="43" fillId="27" borderId="1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54" fillId="0" borderId="11" xfId="0" applyFont="1" applyBorder="1" applyAlignment="1">
      <alignment horizontal="left" vertical="center"/>
    </xf>
    <xf numFmtId="180" fontId="43" fillId="0" borderId="0" xfId="0" applyNumberFormat="1" applyFont="1"/>
    <xf numFmtId="0" fontId="54" fillId="0" borderId="11" xfId="0" applyFont="1" applyBorder="1" applyAlignment="1">
      <alignment horizontal="left" vertical="center"/>
    </xf>
    <xf numFmtId="182" fontId="0" fillId="0" borderId="11" xfId="0" applyNumberFormat="1" applyBorder="1" applyAlignment="1">
      <alignment vertical="center"/>
    </xf>
    <xf numFmtId="43" fontId="43" fillId="0" borderId="0" xfId="0" applyNumberFormat="1" applyFont="1" applyAlignment="1">
      <alignment wrapText="1"/>
    </xf>
    <xf numFmtId="10" fontId="43" fillId="0" borderId="0" xfId="50" applyNumberFormat="1" applyFont="1"/>
    <xf numFmtId="183" fontId="43" fillId="0" borderId="0" xfId="0" applyNumberFormat="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" fontId="44" fillId="0" borderId="0" xfId="50" applyNumberFormat="1" applyFont="1" applyFill="1" applyBorder="1" applyAlignment="1">
      <alignment vertical="center"/>
    </xf>
    <xf numFmtId="0" fontId="46" fillId="27" borderId="0" xfId="0" applyFont="1" applyFill="1" applyAlignment="1">
      <alignment horizontal="center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68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169" fontId="36" fillId="0" borderId="0" xfId="0" applyNumberFormat="1" applyFont="1" applyAlignment="1">
      <alignment horizontal="center" vertical="center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40" borderId="86" xfId="60" applyNumberFormat="1" applyFont="1" applyFill="1" applyBorder="1" applyAlignment="1">
      <alignment horizontal="center" vertical="center" wrapText="1"/>
    </xf>
    <xf numFmtId="178" fontId="44" fillId="40" borderId="62" xfId="60" applyNumberFormat="1" applyFont="1" applyFill="1" applyBorder="1" applyAlignment="1">
      <alignment horizontal="center" vertical="center" wrapText="1"/>
    </xf>
    <xf numFmtId="178" fontId="44" fillId="40" borderId="17" xfId="60" applyNumberFormat="1" applyFont="1" applyFill="1" applyBorder="1" applyAlignment="1">
      <alignment horizontal="center" vertical="center" wrapText="1"/>
    </xf>
    <xf numFmtId="178" fontId="44" fillId="26" borderId="86" xfId="60" applyNumberFormat="1" applyFont="1" applyFill="1" applyBorder="1" applyAlignment="1">
      <alignment horizontal="center" vertical="center" wrapText="1"/>
    </xf>
    <xf numFmtId="178" fontId="44" fillId="26" borderId="62" xfId="60" applyNumberFormat="1" applyFont="1" applyFill="1" applyBorder="1" applyAlignment="1">
      <alignment horizontal="center" vertical="center" wrapText="1"/>
    </xf>
    <xf numFmtId="178" fontId="44" fillId="26" borderId="17" xfId="60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6" xfId="0" applyFont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25" borderId="62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0" applyNumberFormat="1" applyFont="1" applyFill="1" applyBorder="1" applyAlignment="1">
      <alignment horizontal="center" vertical="center" wrapText="1"/>
    </xf>
    <xf numFmtId="166" fontId="44" fillId="25" borderId="62" xfId="50" applyNumberFormat="1" applyFont="1" applyFill="1" applyBorder="1" applyAlignment="1">
      <alignment horizontal="center" vertical="center" wrapText="1"/>
    </xf>
    <xf numFmtId="166" fontId="44" fillId="25" borderId="17" xfId="50" applyNumberFormat="1" applyFont="1" applyFill="1" applyBorder="1" applyAlignment="1">
      <alignment horizontal="center" vertical="center" wrapText="1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78" fontId="44" fillId="41" borderId="13" xfId="60" applyNumberFormat="1" applyFont="1" applyFill="1" applyBorder="1" applyAlignment="1">
      <alignment horizontal="center" vertical="center" wrapText="1"/>
    </xf>
    <xf numFmtId="178" fontId="44" fillId="41" borderId="19" xfId="60" applyNumberFormat="1" applyFont="1" applyFill="1" applyBorder="1" applyAlignment="1">
      <alignment horizontal="center" vertical="center" wrapText="1"/>
    </xf>
    <xf numFmtId="178" fontId="44" fillId="40" borderId="58" xfId="60" applyNumberFormat="1" applyFont="1" applyFill="1" applyBorder="1" applyAlignment="1">
      <alignment horizontal="center" vertical="center" wrapText="1"/>
    </xf>
    <xf numFmtId="178" fontId="44" fillId="40" borderId="31" xfId="60" applyNumberFormat="1" applyFont="1" applyFill="1" applyBorder="1" applyAlignment="1">
      <alignment horizontal="center" vertical="center" wrapText="1"/>
    </xf>
    <xf numFmtId="178" fontId="44" fillId="26" borderId="13" xfId="60" applyNumberFormat="1" applyFont="1" applyFill="1" applyBorder="1" applyAlignment="1">
      <alignment horizontal="center" vertical="center" wrapText="1"/>
    </xf>
    <xf numFmtId="178" fontId="44" fillId="26" borderId="19" xfId="60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5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7" xfId="41" applyFont="1" applyBorder="1" applyAlignment="1">
      <alignment horizontal="center"/>
    </xf>
    <xf numFmtId="0" fontId="29" fillId="0" borderId="78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 wrapText="1"/>
    </xf>
    <xf numFmtId="0" fontId="54" fillId="0" borderId="86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10" fontId="54" fillId="0" borderId="86" xfId="0" applyNumberFormat="1" applyFont="1" applyBorder="1" applyAlignment="1">
      <alignment horizontal="center" vertical="center"/>
    </xf>
    <xf numFmtId="10" fontId="54" fillId="0" borderId="62" xfId="0" applyNumberFormat="1" applyFont="1" applyBorder="1" applyAlignment="1">
      <alignment horizontal="center" vertical="center"/>
    </xf>
    <xf numFmtId="10" fontId="54" fillId="0" borderId="17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6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54" fillId="0" borderId="86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0" fontId="54" fillId="0" borderId="17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86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10" fontId="54" fillId="0" borderId="86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5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5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8" fillId="24" borderId="69" xfId="0" applyFont="1" applyFill="1" applyBorder="1" applyAlignment="1">
      <alignment horizontal="center"/>
    </xf>
    <xf numFmtId="0" fontId="28" fillId="24" borderId="70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76" xfId="0" applyFont="1" applyFill="1" applyBorder="1" applyAlignment="1">
      <alignment horizontal="center"/>
    </xf>
    <xf numFmtId="0" fontId="28" fillId="24" borderId="74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77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4" fillId="24" borderId="77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47" fillId="24" borderId="27" xfId="0" applyFont="1" applyFill="1" applyBorder="1" applyAlignment="1">
      <alignment horizontal="center"/>
    </xf>
    <xf numFmtId="0" fontId="28" fillId="24" borderId="75" xfId="0" applyFont="1" applyFill="1" applyBorder="1" applyAlignment="1" applyProtection="1">
      <alignment horizontal="center" vertical="center" textRotation="180" wrapText="1"/>
      <protection locked="0"/>
    </xf>
    <xf numFmtId="0" fontId="28" fillId="24" borderId="46" xfId="0" applyFont="1" applyFill="1" applyBorder="1" applyAlignment="1" applyProtection="1">
      <alignment horizontal="center" vertical="center" textRotation="180" wrapText="1"/>
      <protection locked="0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0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5"/>
    <cellStyle name="Normal 5" xfId="57"/>
    <cellStyle name="Normal_April_3" xfId="43"/>
    <cellStyle name="Normal_DES 11_1" xfId="56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59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85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#,##0.0000</c:formatCode>
                <c:ptCount val="31"/>
                <c:pt idx="0">
                  <c:v>39.265999999999998</c:v>
                </c:pt>
                <c:pt idx="1">
                  <c:v>36.225000000000001</c:v>
                </c:pt>
                <c:pt idx="2">
                  <c:v>38.095999999999997</c:v>
                </c:pt>
                <c:pt idx="3">
                  <c:v>37.954000000000001</c:v>
                </c:pt>
                <c:pt idx="4">
                  <c:v>40.939</c:v>
                </c:pt>
                <c:pt idx="5">
                  <c:v>36.616999999999997</c:v>
                </c:pt>
                <c:pt idx="6">
                  <c:v>37.741</c:v>
                </c:pt>
                <c:pt idx="7">
                  <c:v>36.515000000000001</c:v>
                </c:pt>
                <c:pt idx="8">
                  <c:v>25.311</c:v>
                </c:pt>
                <c:pt idx="9">
                  <c:v>31.187999999999999</c:v>
                </c:pt>
                <c:pt idx="10">
                  <c:v>45.264000000000003</c:v>
                </c:pt>
                <c:pt idx="11">
                  <c:v>38.9</c:v>
                </c:pt>
                <c:pt idx="12">
                  <c:v>38.96</c:v>
                </c:pt>
                <c:pt idx="13">
                  <c:v>38.073</c:v>
                </c:pt>
                <c:pt idx="14">
                  <c:v>43.924999999999997</c:v>
                </c:pt>
                <c:pt idx="15">
                  <c:v>39.094000000000001</c:v>
                </c:pt>
                <c:pt idx="16">
                  <c:v>43.94</c:v>
                </c:pt>
                <c:pt idx="17">
                  <c:v>41.65</c:v>
                </c:pt>
                <c:pt idx="18">
                  <c:v>43.503</c:v>
                </c:pt>
                <c:pt idx="19">
                  <c:v>46.332999999999998</c:v>
                </c:pt>
                <c:pt idx="20">
                  <c:v>39.21</c:v>
                </c:pt>
                <c:pt idx="21">
                  <c:v>42.567</c:v>
                </c:pt>
                <c:pt idx="22">
                  <c:v>36.118000000000002</c:v>
                </c:pt>
                <c:pt idx="23">
                  <c:v>33.08</c:v>
                </c:pt>
                <c:pt idx="24">
                  <c:v>34.482999999999997</c:v>
                </c:pt>
                <c:pt idx="25">
                  <c:v>32.168999999999997</c:v>
                </c:pt>
                <c:pt idx="26">
                  <c:v>28.209</c:v>
                </c:pt>
                <c:pt idx="27">
                  <c:v>26.655999999999999</c:v>
                </c:pt>
                <c:pt idx="28">
                  <c:v>28.093</c:v>
                </c:pt>
                <c:pt idx="29">
                  <c:v>33.451999999999998</c:v>
                </c:pt>
                <c:pt idx="30">
                  <c:v>36.99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860728"/>
        <c:axId val="380859944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0.92572139748662596</c:v>
                </c:pt>
                <c:pt idx="1">
                  <c:v>0.86629391191108562</c:v>
                </c:pt>
                <c:pt idx="2">
                  <c:v>0.89852330025876048</c:v>
                </c:pt>
                <c:pt idx="3">
                  <c:v>0.89508814191455766</c:v>
                </c:pt>
                <c:pt idx="4">
                  <c:v>0.88921545164713922</c:v>
                </c:pt>
                <c:pt idx="5">
                  <c:v>0.84412500715075323</c:v>
                </c:pt>
                <c:pt idx="6">
                  <c:v>0.90734766925821775</c:v>
                </c:pt>
                <c:pt idx="7">
                  <c:v>0.87418278219443146</c:v>
                </c:pt>
                <c:pt idx="8">
                  <c:v>0.53621733200421717</c:v>
                </c:pt>
                <c:pt idx="9">
                  <c:v>0.66680429671550479</c:v>
                </c:pt>
                <c:pt idx="10">
                  <c:v>0.93638905581041632</c:v>
                </c:pt>
                <c:pt idx="11">
                  <c:v>0.88552141149303742</c:v>
                </c:pt>
                <c:pt idx="12">
                  <c:v>0.89266474565140097</c:v>
                </c:pt>
                <c:pt idx="13">
                  <c:v>0.87886983646450489</c:v>
                </c:pt>
                <c:pt idx="14">
                  <c:v>0.8314135807942663</c:v>
                </c:pt>
                <c:pt idx="15">
                  <c:v>0.81060253938061111</c:v>
                </c:pt>
                <c:pt idx="16">
                  <c:v>0.96574430656587262</c:v>
                </c:pt>
                <c:pt idx="17">
                  <c:v>0.87883815059360693</c:v>
                </c:pt>
                <c:pt idx="18">
                  <c:v>0.89995875519000834</c:v>
                </c:pt>
                <c:pt idx="19">
                  <c:v>0.98248915222388733</c:v>
                </c:pt>
                <c:pt idx="20">
                  <c:v>0.91274433956464951</c:v>
                </c:pt>
                <c:pt idx="21">
                  <c:v>0.93140347880387475</c:v>
                </c:pt>
                <c:pt idx="22">
                  <c:v>0.79998057117898702</c:v>
                </c:pt>
                <c:pt idx="23">
                  <c:v>0.73269165774962308</c:v>
                </c:pt>
                <c:pt idx="24">
                  <c:v>0.76376682086397374</c:v>
                </c:pt>
                <c:pt idx="25">
                  <c:v>0.71251384335391876</c:v>
                </c:pt>
                <c:pt idx="26">
                  <c:v>0.62480347561847394</c:v>
                </c:pt>
                <c:pt idx="27">
                  <c:v>0.59040595008990182</c:v>
                </c:pt>
                <c:pt idx="28">
                  <c:v>0.64357584438580295</c:v>
                </c:pt>
                <c:pt idx="29">
                  <c:v>0.77658842652023008</c:v>
                </c:pt>
                <c:pt idx="30">
                  <c:v>0.84436885210724499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0.92572139748662596</c:v>
                </c:pt>
                <c:pt idx="1">
                  <c:v>0.89621951655314736</c:v>
                </c:pt>
                <c:pt idx="2">
                  <c:v>0.8969908659211091</c:v>
                </c:pt>
                <c:pt idx="3">
                  <c:v>0.89651356281276418</c:v>
                </c:pt>
                <c:pt idx="4">
                  <c:v>0.89495129855725253</c:v>
                </c:pt>
                <c:pt idx="5">
                  <c:v>0.88642059498128301</c:v>
                </c:pt>
                <c:pt idx="6">
                  <c:v>0.88932167287934683</c:v>
                </c:pt>
                <c:pt idx="7">
                  <c:v>0.88747168313812119</c:v>
                </c:pt>
                <c:pt idx="8">
                  <c:v>0.84485121033590493</c:v>
                </c:pt>
                <c:pt idx="9">
                  <c:v>0.82574194413839941</c:v>
                </c:pt>
                <c:pt idx="10">
                  <c:v>0.83678968824580424</c:v>
                </c:pt>
                <c:pt idx="11">
                  <c:v>0.84084364329616679</c:v>
                </c:pt>
                <c:pt idx="12">
                  <c:v>0.84479972658446156</c:v>
                </c:pt>
                <c:pt idx="13">
                  <c:v>0.84719951640125923</c:v>
                </c:pt>
                <c:pt idx="14">
                  <c:v>0.84595074886523214</c:v>
                </c:pt>
                <c:pt idx="15">
                  <c:v>0.84357004767071053</c:v>
                </c:pt>
                <c:pt idx="16">
                  <c:v>0.85086899009717054</c:v>
                </c:pt>
                <c:pt idx="17">
                  <c:v>0.85250750338263592</c:v>
                </c:pt>
                <c:pt idx="18">
                  <c:v>0.8551829973602223</c:v>
                </c:pt>
                <c:pt idx="19">
                  <c:v>0.86182067550883301</c:v>
                </c:pt>
                <c:pt idx="20">
                  <c:v>0.86412965105575834</c:v>
                </c:pt>
                <c:pt idx="21">
                  <c:v>0.86722545550095786</c:v>
                </c:pt>
                <c:pt idx="22">
                  <c:v>0.86430138411013058</c:v>
                </c:pt>
                <c:pt idx="23">
                  <c:v>0.85881696109576355</c:v>
                </c:pt>
                <c:pt idx="24">
                  <c:v>0.85501449994783663</c:v>
                </c:pt>
                <c:pt idx="25">
                  <c:v>0.84953307404007461</c:v>
                </c:pt>
                <c:pt idx="26">
                  <c:v>0.84120883219805886</c:v>
                </c:pt>
                <c:pt idx="27">
                  <c:v>0.83225062819257511</c:v>
                </c:pt>
                <c:pt idx="28">
                  <c:v>0.82595249569852724</c:v>
                </c:pt>
                <c:pt idx="29">
                  <c:v>0.82437827234377781</c:v>
                </c:pt>
                <c:pt idx="30">
                  <c:v>0.8250062442315248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861120"/>
        <c:axId val="380858768"/>
      </c:lineChart>
      <c:catAx>
        <c:axId val="380860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0859944"/>
        <c:crosses val="autoZero"/>
        <c:auto val="1"/>
        <c:lblAlgn val="ctr"/>
        <c:lblOffset val="100"/>
        <c:noMultiLvlLbl val="0"/>
      </c:catAx>
      <c:valAx>
        <c:axId val="380859944"/>
        <c:scaling>
          <c:orientation val="minMax"/>
        </c:scaling>
        <c:delete val="0"/>
        <c:axPos val="l"/>
        <c:majorGridlines/>
        <c:numFmt formatCode="#,##0.0000" sourceLinked="1"/>
        <c:majorTickMark val="out"/>
        <c:minorTickMark val="none"/>
        <c:tickLblPos val="nextTo"/>
        <c:crossAx val="380860728"/>
        <c:crosses val="autoZero"/>
        <c:crossBetween val="between"/>
      </c:valAx>
      <c:valAx>
        <c:axId val="3808587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80861120"/>
        <c:crosses val="max"/>
        <c:crossBetween val="between"/>
      </c:valAx>
      <c:catAx>
        <c:axId val="380861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808587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.%20JANUARI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%error"/>
      <sheetName val="PGN"/>
    </sheetNames>
    <sheetDataSet>
      <sheetData sheetId="0">
        <row r="5">
          <cell r="N5">
            <v>14245</v>
          </cell>
        </row>
        <row r="6">
          <cell r="N6">
            <v>13835</v>
          </cell>
        </row>
        <row r="7">
          <cell r="N7">
            <v>14264</v>
          </cell>
        </row>
        <row r="8">
          <cell r="N8">
            <v>14633</v>
          </cell>
        </row>
        <row r="9">
          <cell r="N9">
            <v>15083</v>
          </cell>
        </row>
        <row r="10">
          <cell r="N10">
            <v>12795</v>
          </cell>
        </row>
        <row r="11">
          <cell r="N11">
            <v>15449</v>
          </cell>
        </row>
        <row r="12">
          <cell r="N12">
            <v>15702</v>
          </cell>
        </row>
        <row r="13">
          <cell r="N13">
            <v>10727</v>
          </cell>
        </row>
        <row r="14">
          <cell r="N14">
            <v>14111</v>
          </cell>
        </row>
        <row r="15">
          <cell r="N15">
            <v>15291</v>
          </cell>
        </row>
        <row r="16">
          <cell r="N16">
            <v>16554</v>
          </cell>
        </row>
        <row r="17">
          <cell r="N17">
            <v>15977</v>
          </cell>
        </row>
        <row r="18">
          <cell r="N18">
            <v>15988</v>
          </cell>
        </row>
        <row r="19">
          <cell r="N19">
            <v>15230</v>
          </cell>
        </row>
        <row r="20">
          <cell r="N20">
            <v>15871</v>
          </cell>
        </row>
        <row r="21">
          <cell r="N21">
            <v>15527</v>
          </cell>
        </row>
        <row r="22">
          <cell r="N22">
            <v>15010</v>
          </cell>
        </row>
        <row r="23">
          <cell r="N23">
            <v>15157</v>
          </cell>
        </row>
        <row r="24">
          <cell r="N24">
            <v>14953</v>
          </cell>
        </row>
        <row r="25">
          <cell r="N25">
            <v>14357</v>
          </cell>
        </row>
        <row r="26">
          <cell r="N26">
            <v>15085</v>
          </cell>
        </row>
        <row r="27">
          <cell r="N27">
            <v>11033</v>
          </cell>
        </row>
        <row r="28">
          <cell r="N28">
            <v>9013</v>
          </cell>
        </row>
        <row r="29">
          <cell r="N29">
            <v>0</v>
          </cell>
        </row>
        <row r="30">
          <cell r="N30">
            <v>4541</v>
          </cell>
        </row>
        <row r="31">
          <cell r="N31">
            <v>6335</v>
          </cell>
        </row>
        <row r="32">
          <cell r="N32">
            <v>5837</v>
          </cell>
        </row>
        <row r="33">
          <cell r="N33">
            <v>6598</v>
          </cell>
        </row>
        <row r="34">
          <cell r="N34">
            <v>9991</v>
          </cell>
        </row>
        <row r="35">
          <cell r="N35">
            <v>10112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</sheetNames>
    <sheetDataSet>
      <sheetData sheetId="0" refreshError="1"/>
      <sheetData sheetId="1">
        <row r="7">
          <cell r="D7">
            <v>0</v>
          </cell>
          <cell r="AH7">
            <v>4699.9999999989086</v>
          </cell>
          <cell r="AI7">
            <v>6800.64</v>
          </cell>
          <cell r="AJ7">
            <v>26960.639999999999</v>
          </cell>
        </row>
        <row r="8">
          <cell r="AH8">
            <v>4300.0000000010914</v>
          </cell>
          <cell r="AI8">
            <v>7825.4</v>
          </cell>
          <cell r="AJ8">
            <v>27985.4</v>
          </cell>
        </row>
        <row r="9">
          <cell r="AH9">
            <v>4099.9999999985448</v>
          </cell>
          <cell r="AI9">
            <v>7318.28</v>
          </cell>
          <cell r="AJ9">
            <v>26478.28</v>
          </cell>
        </row>
        <row r="10">
          <cell r="AH10">
            <v>4400.0000000014552</v>
          </cell>
          <cell r="AI10">
            <v>8243.5</v>
          </cell>
          <cell r="AJ10">
            <v>27403.5</v>
          </cell>
        </row>
        <row r="11">
          <cell r="AH11">
            <v>4199.9999999989086</v>
          </cell>
          <cell r="AI11">
            <v>6463.89</v>
          </cell>
          <cell r="AJ11">
            <v>26623.89</v>
          </cell>
        </row>
        <row r="12">
          <cell r="AH12">
            <v>4399.9999999996362</v>
          </cell>
          <cell r="AI12">
            <v>8649.19</v>
          </cell>
          <cell r="AJ12">
            <v>27809.19</v>
          </cell>
        </row>
        <row r="13">
          <cell r="AH13">
            <v>4500</v>
          </cell>
          <cell r="AI13">
            <v>8248.7199999999993</v>
          </cell>
          <cell r="AJ13">
            <v>28408.720000000001</v>
          </cell>
        </row>
        <row r="14">
          <cell r="AH14">
            <v>4500</v>
          </cell>
          <cell r="AI14">
            <v>6804.57</v>
          </cell>
          <cell r="AJ14">
            <v>25964.57</v>
          </cell>
        </row>
        <row r="15">
          <cell r="AH15">
            <v>3100.0000000003638</v>
          </cell>
          <cell r="AI15">
            <v>4696.18</v>
          </cell>
          <cell r="AJ15">
            <v>16856.18</v>
          </cell>
        </row>
        <row r="16">
          <cell r="AH16">
            <v>4100.0000000003638</v>
          </cell>
          <cell r="AI16">
            <v>5744.23</v>
          </cell>
          <cell r="AJ16">
            <v>22904.23</v>
          </cell>
        </row>
        <row r="17">
          <cell r="AH17">
            <v>4399.9999999996362</v>
          </cell>
          <cell r="AI17">
            <v>8982.17</v>
          </cell>
          <cell r="AJ17">
            <v>26142.17</v>
          </cell>
        </row>
        <row r="18">
          <cell r="AH18">
            <v>4600.0000000003638</v>
          </cell>
          <cell r="AI18">
            <v>7466.4400000000005</v>
          </cell>
          <cell r="AJ18">
            <v>26626.44</v>
          </cell>
        </row>
        <row r="19">
          <cell r="AH19">
            <v>4200.0000000007276</v>
          </cell>
          <cell r="AI19">
            <v>7834.43</v>
          </cell>
          <cell r="AJ19">
            <v>25994.43</v>
          </cell>
        </row>
        <row r="20">
          <cell r="AH20">
            <v>4399.9999999996362</v>
          </cell>
          <cell r="AI20">
            <v>7915.19</v>
          </cell>
          <cell r="AJ20">
            <v>27075.19</v>
          </cell>
        </row>
        <row r="21">
          <cell r="AH21">
            <v>4100.0000000003638</v>
          </cell>
          <cell r="AI21">
            <v>7626.76</v>
          </cell>
          <cell r="AJ21">
            <v>23786.76</v>
          </cell>
        </row>
        <row r="22">
          <cell r="AH22">
            <v>4299.9999999992724</v>
          </cell>
          <cell r="AI22">
            <v>7300.89</v>
          </cell>
          <cell r="AJ22">
            <v>25460.89</v>
          </cell>
        </row>
        <row r="23">
          <cell r="AH23">
            <v>4500</v>
          </cell>
          <cell r="AI23">
            <v>7470.12</v>
          </cell>
          <cell r="AJ23">
            <v>24630.12</v>
          </cell>
        </row>
        <row r="24">
          <cell r="AH24">
            <v>4399.9999999996362</v>
          </cell>
          <cell r="AI24">
            <v>8366.01</v>
          </cell>
          <cell r="AJ24">
            <v>26526.01</v>
          </cell>
        </row>
        <row r="25">
          <cell r="AH25">
            <v>4500</v>
          </cell>
          <cell r="AI25">
            <v>7766.49</v>
          </cell>
          <cell r="AJ25">
            <v>25926.49</v>
          </cell>
        </row>
        <row r="26">
          <cell r="AH26">
            <v>4600.0000000003638</v>
          </cell>
          <cell r="AI26">
            <v>8222.66</v>
          </cell>
          <cell r="AJ26">
            <v>26382.66</v>
          </cell>
        </row>
        <row r="27">
          <cell r="AH27">
            <v>4899.9999999996362</v>
          </cell>
          <cell r="AI27">
            <v>7852.69</v>
          </cell>
          <cell r="AJ27">
            <v>26012.69</v>
          </cell>
        </row>
        <row r="28">
          <cell r="AH28">
            <v>4800.0000000010914</v>
          </cell>
          <cell r="AI28">
            <v>8176.17</v>
          </cell>
          <cell r="AJ28">
            <v>28336.17</v>
          </cell>
        </row>
        <row r="29">
          <cell r="AH29">
            <v>4599.9999999985448</v>
          </cell>
          <cell r="AI29">
            <v>7124.84</v>
          </cell>
          <cell r="AJ29">
            <v>25284.84</v>
          </cell>
        </row>
        <row r="30">
          <cell r="AH30">
            <v>4600.0000000003638</v>
          </cell>
          <cell r="AI30">
            <v>6375.45</v>
          </cell>
          <cell r="AJ30">
            <v>25535.45</v>
          </cell>
        </row>
        <row r="31">
          <cell r="AH31">
            <v>4100.0000000003638</v>
          </cell>
          <cell r="AI31">
            <v>7195.8</v>
          </cell>
          <cell r="AJ31">
            <v>24355.8</v>
          </cell>
        </row>
        <row r="32">
          <cell r="AH32">
            <v>4299.9999999992724</v>
          </cell>
          <cell r="AI32">
            <v>4690.13</v>
          </cell>
          <cell r="AJ32">
            <v>22850.13</v>
          </cell>
        </row>
        <row r="33">
          <cell r="AH33">
            <v>4400.0000000014552</v>
          </cell>
          <cell r="AI33">
            <v>5871.51</v>
          </cell>
          <cell r="AJ33">
            <v>25031.51</v>
          </cell>
        </row>
        <row r="34">
          <cell r="AH34">
            <v>4599.9999999985448</v>
          </cell>
          <cell r="AI34">
            <v>5151.59</v>
          </cell>
          <cell r="AJ34">
            <v>24311.59</v>
          </cell>
        </row>
        <row r="35">
          <cell r="AH35">
            <v>4600.0000000003638</v>
          </cell>
          <cell r="AI35">
            <v>5195.37</v>
          </cell>
          <cell r="AJ35">
            <v>24355.37</v>
          </cell>
        </row>
        <row r="36">
          <cell r="AH36">
            <v>4500</v>
          </cell>
          <cell r="AI36">
            <v>6754.87</v>
          </cell>
          <cell r="AJ36">
            <v>23914.87</v>
          </cell>
        </row>
        <row r="37">
          <cell r="AH37">
            <v>4500</v>
          </cell>
          <cell r="AI37">
            <v>6472.51</v>
          </cell>
          <cell r="AJ37">
            <v>24632.51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6"/>
  <sheetViews>
    <sheetView tabSelected="1" zoomScaleNormal="100" workbookViewId="0">
      <pane xSplit="3" ySplit="8" topLeftCell="AL15" activePane="bottomRight" state="frozen"/>
      <selection pane="topRight" activeCell="E1" sqref="E1"/>
      <selection pane="bottomLeft" activeCell="A9" sqref="A9"/>
      <selection pane="bottomRight" activeCell="M13" sqref="M11:AZ13"/>
    </sheetView>
  </sheetViews>
  <sheetFormatPr defaultColWidth="9.140625" defaultRowHeight="12.75"/>
  <cols>
    <col min="1" max="1" width="7.5703125" style="274" customWidth="1"/>
    <col min="2" max="2" width="12" style="273" customWidth="1"/>
    <col min="3" max="3" width="12.28515625" style="273" bestFit="1" customWidth="1"/>
    <col min="4" max="4" width="8.28515625" style="273" customWidth="1"/>
    <col min="5" max="5" width="8" style="273" customWidth="1"/>
    <col min="6" max="6" width="6.85546875" style="273" customWidth="1"/>
    <col min="7" max="11" width="8.7109375" style="273" customWidth="1"/>
    <col min="12" max="12" width="8.7109375" style="275" customWidth="1"/>
    <col min="13" max="15" width="8.7109375" style="276" customWidth="1"/>
    <col min="16" max="16" width="8.7109375" style="275" customWidth="1"/>
    <col min="17" max="17" width="8.7109375" style="276" customWidth="1"/>
    <col min="18" max="18" width="8.7109375" style="275" customWidth="1"/>
    <col min="19" max="19" width="8.7109375" style="277" customWidth="1"/>
    <col min="20" max="20" width="10.7109375" style="277" customWidth="1"/>
    <col min="21" max="21" width="10.140625" style="277" customWidth="1"/>
    <col min="22" max="25" width="8.7109375" style="277" customWidth="1"/>
    <col min="26" max="27" width="7.7109375" style="277" customWidth="1"/>
    <col min="28" max="29" width="7.7109375" style="278" customWidth="1"/>
    <col min="30" max="30" width="7.7109375" style="277" customWidth="1"/>
    <col min="31" max="31" width="7.7109375" style="278" customWidth="1"/>
    <col min="32" max="32" width="10.7109375" style="277" bestFit="1" customWidth="1"/>
    <col min="33" max="33" width="11.140625" style="277" customWidth="1"/>
    <col min="34" max="37" width="7.5703125" style="278" customWidth="1"/>
    <col min="38" max="38" width="10.140625" customWidth="1"/>
    <col min="39" max="41" width="9.140625" customWidth="1"/>
    <col min="42" max="42" width="10.28515625" style="447" customWidth="1"/>
    <col min="43" max="43" width="9.7109375" style="471" customWidth="1"/>
    <col min="44" max="49" width="9.140625" customWidth="1"/>
    <col min="50" max="52" width="9.5703125" customWidth="1"/>
    <col min="53" max="53" width="8.7109375" style="275" customWidth="1"/>
    <col min="54" max="54" width="8.7109375" style="276" customWidth="1"/>
    <col min="55" max="56" width="8.7109375" style="273" customWidth="1"/>
  </cols>
  <sheetData>
    <row r="1" spans="1:56" ht="12.75" customHeight="1">
      <c r="A1" s="272"/>
    </row>
    <row r="2" spans="1:56">
      <c r="A2" s="272"/>
    </row>
    <row r="3" spans="1:56" ht="12.75" customHeight="1">
      <c r="A3" s="607" t="s">
        <v>184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7"/>
      <c r="V3" s="607"/>
      <c r="W3" s="607"/>
      <c r="X3" s="607"/>
      <c r="Y3" s="607"/>
      <c r="Z3" s="607"/>
      <c r="AA3" s="607"/>
      <c r="AB3" s="607"/>
      <c r="AC3" s="607"/>
      <c r="AD3" s="607"/>
      <c r="AE3" s="607"/>
      <c r="AF3" s="607"/>
      <c r="AG3" s="607"/>
      <c r="AH3" s="607"/>
      <c r="AI3" s="607"/>
      <c r="AJ3" s="607"/>
      <c r="AK3" s="607"/>
      <c r="BA3"/>
      <c r="BB3"/>
      <c r="BC3"/>
      <c r="BD3"/>
    </row>
    <row r="4" spans="1:56" ht="12.75" customHeight="1">
      <c r="A4" s="607"/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607"/>
      <c r="R4" s="607"/>
      <c r="S4" s="607"/>
      <c r="T4" s="607"/>
      <c r="U4" s="607"/>
      <c r="V4" s="607"/>
      <c r="W4" s="607"/>
      <c r="X4" s="607"/>
      <c r="Y4" s="607"/>
      <c r="Z4" s="607"/>
      <c r="AA4" s="607"/>
      <c r="AB4" s="607"/>
      <c r="AC4" s="607"/>
      <c r="AD4" s="607"/>
      <c r="AE4" s="607"/>
      <c r="AF4" s="607"/>
      <c r="AG4" s="607"/>
      <c r="AH4" s="607"/>
      <c r="AI4" s="607"/>
      <c r="AJ4" s="607"/>
      <c r="AK4" s="607"/>
      <c r="AL4" s="445"/>
      <c r="AM4" s="446"/>
      <c r="AN4" s="446"/>
      <c r="BA4"/>
      <c r="BB4"/>
      <c r="BC4"/>
      <c r="BD4"/>
    </row>
    <row r="5" spans="1:56">
      <c r="H5" s="275"/>
      <c r="I5" s="276"/>
      <c r="J5" s="276"/>
      <c r="K5" s="276"/>
      <c r="BC5" s="276"/>
      <c r="BD5" s="276"/>
    </row>
    <row r="6" spans="1:56" ht="22.7" customHeight="1">
      <c r="A6" s="608" t="s">
        <v>7</v>
      </c>
      <c r="B6" s="593" t="s">
        <v>8</v>
      </c>
      <c r="C6" s="593" t="s">
        <v>5</v>
      </c>
      <c r="D6" s="593" t="s">
        <v>177</v>
      </c>
      <c r="E6" s="593" t="s">
        <v>178</v>
      </c>
      <c r="F6" s="593" t="s">
        <v>174</v>
      </c>
      <c r="G6" s="593" t="s">
        <v>173</v>
      </c>
      <c r="H6" s="593" t="s">
        <v>175</v>
      </c>
      <c r="I6" s="593" t="s">
        <v>176</v>
      </c>
      <c r="J6" s="595" t="s">
        <v>180</v>
      </c>
      <c r="K6" s="596"/>
      <c r="L6" s="594" t="s">
        <v>179</v>
      </c>
      <c r="M6" s="594"/>
      <c r="N6" s="594" t="s">
        <v>181</v>
      </c>
      <c r="O6" s="594"/>
      <c r="P6" s="601" t="s">
        <v>29</v>
      </c>
      <c r="Q6" s="601"/>
      <c r="R6" s="599" t="s">
        <v>22</v>
      </c>
      <c r="S6" s="599"/>
      <c r="T6" s="599" t="s">
        <v>30</v>
      </c>
      <c r="U6" s="599"/>
      <c r="V6" s="599"/>
      <c r="W6" s="599"/>
      <c r="X6" s="599"/>
      <c r="Y6" s="599"/>
      <c r="Z6" s="599" t="s">
        <v>31</v>
      </c>
      <c r="AA6" s="599"/>
      <c r="AB6" s="599"/>
      <c r="AC6" s="599"/>
      <c r="AD6" s="599"/>
      <c r="AE6" s="599"/>
      <c r="AF6" s="599" t="s">
        <v>32</v>
      </c>
      <c r="AG6" s="599"/>
      <c r="AH6" s="599"/>
      <c r="AI6" s="599"/>
      <c r="AJ6" s="599"/>
      <c r="AK6" s="599"/>
      <c r="BA6" s="594" t="s">
        <v>375</v>
      </c>
      <c r="BB6" s="594"/>
      <c r="BC6" s="595" t="s">
        <v>376</v>
      </c>
      <c r="BD6" s="596"/>
    </row>
    <row r="7" spans="1:56" ht="22.7" customHeight="1">
      <c r="A7" s="609"/>
      <c r="B7" s="593"/>
      <c r="C7" s="593"/>
      <c r="D7" s="593"/>
      <c r="E7" s="593"/>
      <c r="F7" s="593"/>
      <c r="G7" s="593"/>
      <c r="H7" s="593"/>
      <c r="I7" s="593"/>
      <c r="J7" s="597"/>
      <c r="K7" s="598"/>
      <c r="L7" s="594"/>
      <c r="M7" s="594"/>
      <c r="N7" s="594"/>
      <c r="O7" s="594"/>
      <c r="P7" s="601"/>
      <c r="Q7" s="601"/>
      <c r="R7" s="599"/>
      <c r="S7" s="599"/>
      <c r="T7" s="599" t="s">
        <v>35</v>
      </c>
      <c r="U7" s="599"/>
      <c r="V7" s="599" t="s">
        <v>33</v>
      </c>
      <c r="W7" s="599"/>
      <c r="X7" s="599" t="s">
        <v>34</v>
      </c>
      <c r="Y7" s="599"/>
      <c r="Z7" s="599" t="s">
        <v>35</v>
      </c>
      <c r="AA7" s="599"/>
      <c r="AB7" s="600" t="s">
        <v>33</v>
      </c>
      <c r="AC7" s="600"/>
      <c r="AD7" s="599" t="s">
        <v>34</v>
      </c>
      <c r="AE7" s="599"/>
      <c r="AF7" s="599" t="s">
        <v>35</v>
      </c>
      <c r="AG7" s="599"/>
      <c r="AH7" s="599" t="s">
        <v>25</v>
      </c>
      <c r="AI7" s="599"/>
      <c r="AJ7" s="599" t="s">
        <v>26</v>
      </c>
      <c r="AK7" s="599"/>
      <c r="AL7" s="590" t="s">
        <v>271</v>
      </c>
      <c r="AM7" s="591"/>
      <c r="AN7" s="591"/>
      <c r="AO7" s="592" t="s">
        <v>226</v>
      </c>
      <c r="AP7" s="472" t="s">
        <v>272</v>
      </c>
      <c r="AQ7" s="473" t="s">
        <v>134</v>
      </c>
      <c r="AR7" s="602" t="s">
        <v>273</v>
      </c>
      <c r="AS7" s="603"/>
      <c r="AT7" s="603"/>
      <c r="AU7" s="604" t="s">
        <v>274</v>
      </c>
      <c r="AV7" s="605"/>
      <c r="AW7" s="605"/>
      <c r="AX7" s="606" t="s">
        <v>287</v>
      </c>
      <c r="AY7" s="606"/>
      <c r="AZ7" s="606"/>
      <c r="BA7" s="594"/>
      <c r="BB7" s="594"/>
      <c r="BC7" s="597"/>
      <c r="BD7" s="598"/>
    </row>
    <row r="8" spans="1:56" s="1" customFormat="1">
      <c r="A8" s="610"/>
      <c r="B8" s="593"/>
      <c r="C8" s="593"/>
      <c r="D8" s="593"/>
      <c r="E8" s="593"/>
      <c r="F8" s="593"/>
      <c r="G8" s="593"/>
      <c r="H8" s="593"/>
      <c r="I8" s="593"/>
      <c r="J8" s="418" t="s">
        <v>36</v>
      </c>
      <c r="K8" s="416" t="s">
        <v>37</v>
      </c>
      <c r="L8" s="279" t="s">
        <v>36</v>
      </c>
      <c r="M8" s="280" t="s">
        <v>37</v>
      </c>
      <c r="N8" s="279" t="s">
        <v>36</v>
      </c>
      <c r="O8" s="280" t="s">
        <v>37</v>
      </c>
      <c r="P8" s="279" t="s">
        <v>36</v>
      </c>
      <c r="Q8" s="280" t="s">
        <v>37</v>
      </c>
      <c r="R8" s="279" t="s">
        <v>36</v>
      </c>
      <c r="S8" s="281" t="s">
        <v>37</v>
      </c>
      <c r="T8" s="284" t="s">
        <v>36</v>
      </c>
      <c r="U8" s="280" t="s">
        <v>37</v>
      </c>
      <c r="V8" s="285" t="s">
        <v>36</v>
      </c>
      <c r="W8" s="280" t="s">
        <v>37</v>
      </c>
      <c r="X8" s="285" t="s">
        <v>36</v>
      </c>
      <c r="Y8" s="280" t="s">
        <v>37</v>
      </c>
      <c r="Z8" s="282" t="s">
        <v>36</v>
      </c>
      <c r="AA8" s="281" t="s">
        <v>37</v>
      </c>
      <c r="AB8" s="283" t="s">
        <v>36</v>
      </c>
      <c r="AC8" s="286" t="s">
        <v>37</v>
      </c>
      <c r="AD8" s="282" t="s">
        <v>36</v>
      </c>
      <c r="AE8" s="286" t="s">
        <v>37</v>
      </c>
      <c r="AF8" s="282" t="s">
        <v>36</v>
      </c>
      <c r="AG8" s="281" t="s">
        <v>37</v>
      </c>
      <c r="AH8" s="283" t="s">
        <v>36</v>
      </c>
      <c r="AI8" s="286" t="s">
        <v>37</v>
      </c>
      <c r="AJ8" s="283" t="s">
        <v>36</v>
      </c>
      <c r="AK8" s="286" t="s">
        <v>37</v>
      </c>
      <c r="AL8" s="1">
        <v>14</v>
      </c>
      <c r="AM8" s="1">
        <v>15</v>
      </c>
      <c r="AN8" s="1">
        <v>17</v>
      </c>
      <c r="AO8" s="592"/>
      <c r="AP8" s="474" t="s">
        <v>275</v>
      </c>
      <c r="AQ8" s="475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79" t="s">
        <v>36</v>
      </c>
      <c r="BB8" s="280" t="s">
        <v>37</v>
      </c>
      <c r="BC8" s="418" t="s">
        <v>36</v>
      </c>
      <c r="BD8" s="416" t="s">
        <v>37</v>
      </c>
    </row>
    <row r="9" spans="1:56" s="391" customFormat="1" ht="12.75" customHeight="1">
      <c r="A9" s="405">
        <v>46023</v>
      </c>
      <c r="B9" s="414" t="s">
        <v>410</v>
      </c>
      <c r="C9" s="392" t="s">
        <v>411</v>
      </c>
      <c r="D9" s="384">
        <f>+'1'!F42</f>
        <v>1176.1736111111111</v>
      </c>
      <c r="E9" s="384">
        <f>+'1'!G42</f>
        <v>878.23513888888897</v>
      </c>
      <c r="F9" s="45">
        <f t="shared" ref="F9:F39" si="0">1-(E9/D9)</f>
        <v>0.25331164498816183</v>
      </c>
      <c r="G9" s="410">
        <f>+P9/N9</f>
        <v>0.92091196527842367</v>
      </c>
      <c r="H9" s="406">
        <f>+P9/L9</f>
        <v>0.92091196527842367</v>
      </c>
      <c r="I9" s="406">
        <f>+R9/P9</f>
        <v>1.0052224668475758</v>
      </c>
      <c r="J9" s="411">
        <f>+R9/L9</f>
        <v>0.92572139748662596</v>
      </c>
      <c r="K9" s="411">
        <f>+S9/M9</f>
        <v>0.92572139748662596</v>
      </c>
      <c r="L9" s="385">
        <f>+Efficiency1!K6</f>
        <v>42.416649444000001</v>
      </c>
      <c r="M9" s="386">
        <f>L9</f>
        <v>42.416649444000001</v>
      </c>
      <c r="N9" s="385">
        <f>+Efficiency1!C6</f>
        <v>42.416649444000001</v>
      </c>
      <c r="O9" s="386">
        <f>N9</f>
        <v>42.416649444000001</v>
      </c>
      <c r="P9" s="386">
        <f>'1'!I38</f>
        <v>39.061999999999998</v>
      </c>
      <c r="Q9" s="386">
        <f>P9</f>
        <v>39.061999999999998</v>
      </c>
      <c r="R9" s="580">
        <f>'1'!I40</f>
        <v>39.265999999999998</v>
      </c>
      <c r="S9" s="386">
        <f>R9</f>
        <v>39.265999999999998</v>
      </c>
      <c r="T9" s="94">
        <f t="shared" ref="T9:T39" si="1">+AX9</f>
        <v>5387.3707871958968</v>
      </c>
      <c r="U9" s="287">
        <f>T9</f>
        <v>5387.3707871958968</v>
      </c>
      <c r="V9" s="287">
        <f>T9/P9</f>
        <v>137.91845750847108</v>
      </c>
      <c r="W9" s="287">
        <f>U9/Q9</f>
        <v>137.91845750847108</v>
      </c>
      <c r="X9" s="288">
        <f>IF(AND(R9&gt;0,T9&gt;0),(T9/(R9*1000))*1000,0)</f>
        <v>137.20192500371562</v>
      </c>
      <c r="Y9" s="287">
        <f>IF(AND(S9&gt;0,U9&gt;0),U9/S9,0)</f>
        <v>137.20192500371562</v>
      </c>
      <c r="Z9" s="388">
        <v>50.3</v>
      </c>
      <c r="AA9" s="389">
        <f>Z9</f>
        <v>50.3</v>
      </c>
      <c r="AB9" s="390">
        <f t="shared" ref="AB9:AB39" si="2">Z9/(P9)</f>
        <v>1.2876964825149761</v>
      </c>
      <c r="AC9" s="390">
        <f t="shared" ref="AC9:AC39" si="3">AA9/(Q9)</f>
        <v>1.2876964825149761</v>
      </c>
      <c r="AD9" s="385">
        <f t="shared" ref="AD9:AD39" si="4">IF(AND(R9&gt;0,Z9&gt;0),Z9/(R9),0)</f>
        <v>1.281006468700657</v>
      </c>
      <c r="AE9" s="390">
        <f t="shared" ref="AE9:AE39" si="5">IF(AND(S9&gt;0,AA9&gt;0),AA9/(S9),0)</f>
        <v>1.281006468700657</v>
      </c>
      <c r="AF9" s="389">
        <f>'1'!I46</f>
        <v>38461.279999998907</v>
      </c>
      <c r="AG9" s="389">
        <f>AF9</f>
        <v>38461.279999998907</v>
      </c>
      <c r="AH9" s="390">
        <f t="shared" ref="AH9:AH39" si="6">IF(AND(L9&gt;0,AF9&gt;0),(AF9/(P9*1000)*1000),0)</f>
        <v>984.62137115352277</v>
      </c>
      <c r="AI9" s="390">
        <f t="shared" ref="AI9:AI39" si="7">IF(AND(M9&gt;0,AG9&gt;0),(AG9/(Q9*1000)*1000),0)</f>
        <v>984.62137115352277</v>
      </c>
      <c r="AJ9" s="390">
        <f t="shared" ref="AJ9:AJ39" si="8">IF(AND(R9&gt;0,AF9&gt;0),(AF9/(R9*1000)*1000),0)</f>
        <v>979.50593388679545</v>
      </c>
      <c r="AK9" s="390">
        <f t="shared" ref="AK9:AK39" si="9">IF(AND(S9&gt;0,AG9&gt;0),(AG9/(S9*1000)*1000),0)</f>
        <v>979.50593388679545</v>
      </c>
      <c r="AL9" s="445">
        <v>5632.1</v>
      </c>
      <c r="AM9" s="477">
        <v>4819.2</v>
      </c>
      <c r="AN9" s="446">
        <v>4440.8</v>
      </c>
      <c r="AO9" s="446">
        <f>SUM(AL9:AN9)</f>
        <v>14892.099999999999</v>
      </c>
      <c r="AP9" s="529">
        <f>+[1]Jan!N5</f>
        <v>14245</v>
      </c>
      <c r="AQ9" s="478">
        <f t="shared" ref="AQ9:AQ39" si="10">+AP9-AO9</f>
        <v>-647.09999999999854</v>
      </c>
      <c r="AR9" s="449">
        <f t="shared" ref="AR9:AR37" si="11">+AL9/AO9</f>
        <v>0.3781938074549594</v>
      </c>
      <c r="AS9" s="449">
        <f t="shared" ref="AS9:AS37" si="12">+AM9/AO9</f>
        <v>0.32360781891069762</v>
      </c>
      <c r="AT9" s="449">
        <f>1-AR9-AS9</f>
        <v>0.29819837363434304</v>
      </c>
      <c r="AU9" s="449">
        <f>+AR9*AQ9</f>
        <v>-244.72921280410367</v>
      </c>
      <c r="AV9" s="449">
        <f>+AS9*AQ9</f>
        <v>-209.40661961711197</v>
      </c>
      <c r="AW9" s="449">
        <f>+AT9*AQ9</f>
        <v>-192.96416757878293</v>
      </c>
      <c r="AX9" s="391">
        <f t="shared" ref="AX9:AX37" si="13">+AL9+AU9</f>
        <v>5387.3707871958968</v>
      </c>
      <c r="AY9" s="391">
        <f t="shared" ref="AY9:AY37" si="14">+AM9+AV9</f>
        <v>4609.7933803828882</v>
      </c>
      <c r="AZ9" s="391">
        <f t="shared" ref="AZ9:AZ37" si="15">+AN9+AW9</f>
        <v>4247.8358324212177</v>
      </c>
      <c r="BA9" s="385">
        <f>+Efficiency2!K6</f>
        <v>42.416649444000001</v>
      </c>
      <c r="BB9" s="386">
        <f>BA9</f>
        <v>42.416649444000001</v>
      </c>
      <c r="BC9" s="411">
        <f>+R9/BA9</f>
        <v>0.92572139748662596</v>
      </c>
      <c r="BD9" s="411">
        <f>+S9/BB9</f>
        <v>0.92572139748662596</v>
      </c>
    </row>
    <row r="10" spans="1:56" s="391" customFormat="1" ht="12.75" customHeight="1">
      <c r="A10" s="405">
        <f t="shared" ref="A10:A38" si="16">A9+1</f>
        <v>46024</v>
      </c>
      <c r="B10" s="414" t="s">
        <v>410</v>
      </c>
      <c r="C10" s="392" t="s">
        <v>411</v>
      </c>
      <c r="D10" s="384">
        <f>+'2'!F42</f>
        <v>1170</v>
      </c>
      <c r="E10" s="384">
        <f>+'2'!G42</f>
        <v>865.8</v>
      </c>
      <c r="F10" s="45">
        <f t="shared" si="0"/>
        <v>0.26</v>
      </c>
      <c r="G10" s="410">
        <f t="shared" ref="G10:G41" si="17">+P10/N10</f>
        <v>0.93208202927940564</v>
      </c>
      <c r="H10" s="406">
        <f t="shared" ref="H10:H41" si="18">+P10/L10</f>
        <v>0.93208202927940564</v>
      </c>
      <c r="I10" s="406">
        <f t="shared" ref="I10:I41" si="19">+R10/P10</f>
        <v>0.92941810344827591</v>
      </c>
      <c r="J10" s="411">
        <f t="shared" ref="J10:J41" si="20">+R10/L10</f>
        <v>0.86629391191108562</v>
      </c>
      <c r="K10" s="411">
        <f t="shared" ref="K10:K39" si="21">+S10/M10</f>
        <v>0.89621951655314736</v>
      </c>
      <c r="L10" s="385">
        <f>+Efficiency1!K11</f>
        <v>41.816062079999995</v>
      </c>
      <c r="M10" s="386">
        <f t="shared" ref="M10:O38" si="22">M9+L10</f>
        <v>84.232711523999996</v>
      </c>
      <c r="N10" s="385">
        <f>+Efficiency1!C11</f>
        <v>41.816062079999995</v>
      </c>
      <c r="O10" s="386">
        <f t="shared" si="22"/>
        <v>84.232711523999996</v>
      </c>
      <c r="P10" s="386">
        <f>'2'!I38</f>
        <v>38.975999999999999</v>
      </c>
      <c r="Q10" s="386">
        <f t="shared" ref="Q10:Q38" si="23">Q9+P10</f>
        <v>78.037999999999997</v>
      </c>
      <c r="R10" s="580">
        <f>'2'!I40</f>
        <v>36.225000000000001</v>
      </c>
      <c r="S10" s="386">
        <f t="shared" ref="S10:S38" si="24">S9+R10</f>
        <v>75.491</v>
      </c>
      <c r="T10" s="94">
        <f t="shared" si="1"/>
        <v>5472.3171760767464</v>
      </c>
      <c r="U10" s="12">
        <f t="shared" ref="U10:U38" si="25">T10+U9</f>
        <v>10859.687963272643</v>
      </c>
      <c r="V10" s="287">
        <f t="shared" ref="V10:V39" si="26">T10/P10</f>
        <v>140.40222639769976</v>
      </c>
      <c r="W10" s="287">
        <f t="shared" ref="W10:W39" si="27">U10/Q10</f>
        <v>139.15897336262645</v>
      </c>
      <c r="X10" s="288">
        <f t="shared" ref="X10:X39" si="28">IF(AND(R10&gt;0,T10&gt;0),(T10/(R10*1000))*1000,0)</f>
        <v>151.06465634442364</v>
      </c>
      <c r="Y10" s="287">
        <f t="shared" ref="Y10:Y39" si="29">IF(AND(S10&gt;0,U10&gt;0),U10/S10,0)</f>
        <v>143.85407483372379</v>
      </c>
      <c r="Z10" s="388">
        <v>47.5</v>
      </c>
      <c r="AA10" s="387">
        <f t="shared" ref="AA10:AA38" si="30">Z10+AA9</f>
        <v>97.8</v>
      </c>
      <c r="AB10" s="390">
        <f t="shared" si="2"/>
        <v>1.2186986863711002</v>
      </c>
      <c r="AC10" s="390">
        <f t="shared" si="3"/>
        <v>1.2532356031676875</v>
      </c>
      <c r="AD10" s="385">
        <f t="shared" si="4"/>
        <v>1.3112491373360937</v>
      </c>
      <c r="AE10" s="390">
        <f t="shared" si="5"/>
        <v>1.2955186710998661</v>
      </c>
      <c r="AF10" s="389">
        <f>'2'!I46</f>
        <v>40110.800000001094</v>
      </c>
      <c r="AG10" s="387">
        <f t="shared" ref="AG10:AG38" si="31">AF10+AG9</f>
        <v>78572.08</v>
      </c>
      <c r="AH10" s="390">
        <f t="shared" si="6"/>
        <v>1029.1153530377951</v>
      </c>
      <c r="AI10" s="390">
        <f t="shared" si="7"/>
        <v>1006.8438453061331</v>
      </c>
      <c r="AJ10" s="390">
        <f t="shared" si="8"/>
        <v>1107.2684610076215</v>
      </c>
      <c r="AK10" s="390">
        <f t="shared" si="9"/>
        <v>1040.8138718522737</v>
      </c>
      <c r="AL10" s="445">
        <v>5718.7</v>
      </c>
      <c r="AM10" s="446">
        <v>5450.5</v>
      </c>
      <c r="AN10" s="446">
        <v>3288.7</v>
      </c>
      <c r="AO10" s="446">
        <f t="shared" ref="AO10:AO11" si="32">SUM(AL10:AN10)</f>
        <v>14457.900000000001</v>
      </c>
      <c r="AP10" s="589">
        <f>+[1]Jan!N6</f>
        <v>13835</v>
      </c>
      <c r="AQ10" s="478">
        <f t="shared" si="10"/>
        <v>-622.90000000000146</v>
      </c>
      <c r="AR10" s="449">
        <f t="shared" si="11"/>
        <v>0.39554153784436186</v>
      </c>
      <c r="AS10" s="449">
        <f t="shared" si="12"/>
        <v>0.37699112595881834</v>
      </c>
      <c r="AT10" s="449">
        <f t="shared" ref="AT10:AT37" si="33">1-AR10-AS10</f>
        <v>0.2274673361968198</v>
      </c>
      <c r="AU10" s="449">
        <f t="shared" ref="AU10:AU37" si="34">+AR10*AQ10</f>
        <v>-246.38282392325357</v>
      </c>
      <c r="AV10" s="449">
        <f t="shared" ref="AV10:AV37" si="35">+AS10*AQ10</f>
        <v>-234.82777235974848</v>
      </c>
      <c r="AW10" s="449">
        <f>+AT10*AQ10</f>
        <v>-141.68940371699938</v>
      </c>
      <c r="AX10" s="391">
        <f t="shared" si="13"/>
        <v>5472.3171760767464</v>
      </c>
      <c r="AY10" s="391">
        <f t="shared" si="14"/>
        <v>5215.6722276402515</v>
      </c>
      <c r="AZ10" s="391">
        <f t="shared" si="15"/>
        <v>3147.0105962830003</v>
      </c>
      <c r="BA10" s="385">
        <f>+Efficiency2!K11</f>
        <v>41.816062079999995</v>
      </c>
      <c r="BB10" s="386">
        <f t="shared" ref="BB10:BB38" si="36">BB9+BA10</f>
        <v>84.232711523999996</v>
      </c>
      <c r="BC10" s="411">
        <f t="shared" ref="BC10:BC41" si="37">+R10/BA10</f>
        <v>0.86629391191108562</v>
      </c>
      <c r="BD10" s="411">
        <f t="shared" ref="BD10:BD39" si="38">+S10/BB10</f>
        <v>0.89621951655314736</v>
      </c>
    </row>
    <row r="11" spans="1:56" s="391" customFormat="1" ht="12.75" customHeight="1">
      <c r="A11" s="405">
        <f t="shared" si="16"/>
        <v>46025</v>
      </c>
      <c r="B11" s="414" t="s">
        <v>454</v>
      </c>
      <c r="C11" s="392" t="s">
        <v>455</v>
      </c>
      <c r="D11" s="384">
        <f>+'3'!F42</f>
        <v>1216.5277777777778</v>
      </c>
      <c r="E11" s="384">
        <f>+'3'!G42</f>
        <v>916.41458333333333</v>
      </c>
      <c r="F11" s="45">
        <f t="shared" si="0"/>
        <v>0.24669654070099334</v>
      </c>
      <c r="G11" s="410">
        <f t="shared" si="17"/>
        <v>0.93730549855868117</v>
      </c>
      <c r="H11" s="406">
        <f>+P11/L11</f>
        <v>0.9193495306800249</v>
      </c>
      <c r="I11" s="406">
        <f t="shared" si="19"/>
        <v>0.97734677646938084</v>
      </c>
      <c r="J11" s="411">
        <f t="shared" si="20"/>
        <v>0.89852330025876048</v>
      </c>
      <c r="K11" s="411">
        <f t="shared" si="21"/>
        <v>0.8969908659211091</v>
      </c>
      <c r="L11" s="385">
        <f>+SUM(Efficiency1!K16:K18)</f>
        <v>42.398455319999997</v>
      </c>
      <c r="M11" s="386">
        <f t="shared" si="22"/>
        <v>126.63116684399999</v>
      </c>
      <c r="N11" s="385">
        <f>+SUM(Efficiency1!C16:C18)</f>
        <v>41.586227820000005</v>
      </c>
      <c r="O11" s="386">
        <f t="shared" si="22"/>
        <v>125.818939344</v>
      </c>
      <c r="P11" s="386">
        <f>'3'!I38</f>
        <v>38.978999999999999</v>
      </c>
      <c r="Q11" s="386">
        <f t="shared" si="23"/>
        <v>117.017</v>
      </c>
      <c r="R11" s="580">
        <f>'3'!I40</f>
        <v>38.095999999999997</v>
      </c>
      <c r="S11" s="386">
        <f t="shared" si="24"/>
        <v>113.58699999999999</v>
      </c>
      <c r="T11" s="94">
        <f t="shared" si="1"/>
        <v>5163.8670004149544</v>
      </c>
      <c r="U11" s="12">
        <f t="shared" si="25"/>
        <v>16023.554963687599</v>
      </c>
      <c r="V11" s="287">
        <f t="shared" si="26"/>
        <v>132.47818056940801</v>
      </c>
      <c r="W11" s="287">
        <f t="shared" si="27"/>
        <v>136.93356489815667</v>
      </c>
      <c r="X11" s="288">
        <f t="shared" si="28"/>
        <v>135.54879778493685</v>
      </c>
      <c r="Y11" s="287">
        <f t="shared" si="29"/>
        <v>141.06856386459367</v>
      </c>
      <c r="Z11" s="388">
        <v>47.2</v>
      </c>
      <c r="AA11" s="387">
        <f t="shared" si="30"/>
        <v>145</v>
      </c>
      <c r="AB11" s="390">
        <f t="shared" si="2"/>
        <v>1.2109084378768056</v>
      </c>
      <c r="AC11" s="390">
        <f t="shared" si="3"/>
        <v>1.2391361938863585</v>
      </c>
      <c r="AD11" s="385">
        <f t="shared" si="4"/>
        <v>1.2389752204955902</v>
      </c>
      <c r="AE11" s="390">
        <f t="shared" si="5"/>
        <v>1.2765545352901302</v>
      </c>
      <c r="AF11" s="389">
        <f>'3'!I46</f>
        <v>37896.559999998542</v>
      </c>
      <c r="AG11" s="387">
        <f t="shared" si="31"/>
        <v>116468.63999999854</v>
      </c>
      <c r="AH11" s="390">
        <f t="shared" si="6"/>
        <v>972.23017522251826</v>
      </c>
      <c r="AI11" s="390">
        <f t="shared" si="7"/>
        <v>995.31384328771503</v>
      </c>
      <c r="AJ11" s="390">
        <f t="shared" si="8"/>
        <v>994.76480470386764</v>
      </c>
      <c r="AK11" s="390">
        <f t="shared" si="9"/>
        <v>1025.3694524901491</v>
      </c>
      <c r="AL11" s="445">
        <v>5409.1</v>
      </c>
      <c r="AM11" s="446">
        <v>5038.3</v>
      </c>
      <c r="AN11" s="446">
        <v>4494</v>
      </c>
      <c r="AO11" s="446">
        <f t="shared" si="32"/>
        <v>14941.400000000001</v>
      </c>
      <c r="AP11" s="589">
        <f>+[1]Jan!N7</f>
        <v>14264</v>
      </c>
      <c r="AQ11" s="478">
        <f t="shared" si="10"/>
        <v>-677.40000000000146</v>
      </c>
      <c r="AR11" s="449">
        <f t="shared" si="11"/>
        <v>0.36202096189112132</v>
      </c>
      <c r="AS11" s="449">
        <f t="shared" si="12"/>
        <v>0.33720401033370367</v>
      </c>
      <c r="AT11" s="449">
        <f t="shared" si="33"/>
        <v>0.30077502777517501</v>
      </c>
      <c r="AU11" s="449">
        <f t="shared" si="34"/>
        <v>-245.23299958504612</v>
      </c>
      <c r="AV11" s="449">
        <f t="shared" si="35"/>
        <v>-228.42199660005136</v>
      </c>
      <c r="AW11" s="449">
        <f t="shared" ref="AW11:AW37" si="39">+AT11*AQ11</f>
        <v>-203.74500381490398</v>
      </c>
      <c r="AX11" s="391">
        <f t="shared" si="13"/>
        <v>5163.8670004149544</v>
      </c>
      <c r="AY11" s="391">
        <f t="shared" si="14"/>
        <v>4809.8780033999492</v>
      </c>
      <c r="AZ11" s="391">
        <f t="shared" si="15"/>
        <v>4290.2549961850964</v>
      </c>
      <c r="BA11" s="385">
        <f>+SUM(Efficiency2!K16:K17)</f>
        <v>42.398455319999997</v>
      </c>
      <c r="BB11" s="386">
        <f t="shared" si="36"/>
        <v>126.63116684399999</v>
      </c>
      <c r="BC11" s="411">
        <f t="shared" si="37"/>
        <v>0.89852330025876048</v>
      </c>
      <c r="BD11" s="411">
        <f t="shared" si="38"/>
        <v>0.8969908659211091</v>
      </c>
    </row>
    <row r="12" spans="1:56" s="391" customFormat="1" ht="12.75" customHeight="1">
      <c r="A12" s="405">
        <f t="shared" si="16"/>
        <v>46026</v>
      </c>
      <c r="B12" s="414" t="s">
        <v>447</v>
      </c>
      <c r="C12" s="392" t="s">
        <v>448</v>
      </c>
      <c r="D12" s="384">
        <f>+'4'!F42</f>
        <v>1230</v>
      </c>
      <c r="E12" s="384">
        <f>+'4'!G42</f>
        <v>934.8</v>
      </c>
      <c r="F12" s="45">
        <f t="shared" si="0"/>
        <v>0.24</v>
      </c>
      <c r="G12" s="410">
        <f t="shared" si="17"/>
        <v>0.92999172124831808</v>
      </c>
      <c r="H12" s="406">
        <f t="shared" si="18"/>
        <v>0.92999172124831808</v>
      </c>
      <c r="I12" s="406">
        <f t="shared" si="19"/>
        <v>0.96246893543642553</v>
      </c>
      <c r="J12" s="411">
        <f t="shared" si="20"/>
        <v>0.89508814191455766</v>
      </c>
      <c r="K12" s="411">
        <f t="shared" si="21"/>
        <v>0.89651356281276418</v>
      </c>
      <c r="L12" s="385">
        <f>+Efficiency1!K21</f>
        <v>42.402527999999997</v>
      </c>
      <c r="M12" s="386">
        <f t="shared" si="22"/>
        <v>169.033694844</v>
      </c>
      <c r="N12" s="385">
        <f>+Efficiency1!C21</f>
        <v>42.402527999999997</v>
      </c>
      <c r="O12" s="386">
        <f t="shared" si="22"/>
        <v>168.22146734399999</v>
      </c>
      <c r="P12" s="386">
        <f>'4'!I38</f>
        <v>39.433999999999997</v>
      </c>
      <c r="Q12" s="386">
        <f t="shared" si="23"/>
        <v>156.45099999999999</v>
      </c>
      <c r="R12" s="580">
        <f>'4'!I40</f>
        <v>37.954000000000001</v>
      </c>
      <c r="S12" s="386">
        <f t="shared" si="24"/>
        <v>151.541</v>
      </c>
      <c r="T12" s="94">
        <f t="shared" si="1"/>
        <v>5173.5017617810954</v>
      </c>
      <c r="U12" s="12">
        <f t="shared" si="25"/>
        <v>21197.056725468694</v>
      </c>
      <c r="V12" s="287">
        <f t="shared" si="26"/>
        <v>131.19393827106293</v>
      </c>
      <c r="W12" s="287">
        <f t="shared" si="27"/>
        <v>135.48687272991987</v>
      </c>
      <c r="X12" s="288">
        <f t="shared" si="28"/>
        <v>136.30978979240913</v>
      </c>
      <c r="Y12" s="287">
        <f t="shared" si="29"/>
        <v>139.87671142112495</v>
      </c>
      <c r="Z12" s="388">
        <v>48.2</v>
      </c>
      <c r="AA12" s="387">
        <f t="shared" si="30"/>
        <v>193.2</v>
      </c>
      <c r="AB12" s="390">
        <f t="shared" si="2"/>
        <v>1.2222954810569562</v>
      </c>
      <c r="AC12" s="390">
        <f t="shared" si="3"/>
        <v>1.2348914356571705</v>
      </c>
      <c r="AD12" s="385">
        <f t="shared" si="4"/>
        <v>1.269958370659219</v>
      </c>
      <c r="AE12" s="390">
        <f t="shared" si="5"/>
        <v>1.2749025016332214</v>
      </c>
      <c r="AF12" s="389">
        <f>'4'!I46</f>
        <v>40047.000000001455</v>
      </c>
      <c r="AG12" s="387">
        <f t="shared" si="31"/>
        <v>156515.64000000001</v>
      </c>
      <c r="AH12" s="390">
        <f t="shared" si="6"/>
        <v>1015.544961201031</v>
      </c>
      <c r="AI12" s="390">
        <f t="shared" si="7"/>
        <v>1000.4131645051806</v>
      </c>
      <c r="AJ12" s="390">
        <f t="shared" si="8"/>
        <v>1055.1457026927717</v>
      </c>
      <c r="AK12" s="390">
        <f t="shared" si="9"/>
        <v>1032.8270237097552</v>
      </c>
      <c r="AL12" s="445">
        <v>5418.3</v>
      </c>
      <c r="AM12" s="446">
        <v>5188.8</v>
      </c>
      <c r="AN12" s="446">
        <v>4718.3</v>
      </c>
      <c r="AO12" s="446">
        <f>SUM(AL12:AN12)</f>
        <v>15325.400000000001</v>
      </c>
      <c r="AP12" s="589">
        <f>+[1]Jan!N8</f>
        <v>14633</v>
      </c>
      <c r="AQ12" s="478">
        <f t="shared" si="10"/>
        <v>-692.40000000000146</v>
      </c>
      <c r="AR12" s="449">
        <f t="shared" si="11"/>
        <v>0.35355031516306262</v>
      </c>
      <c r="AS12" s="449">
        <f t="shared" si="12"/>
        <v>0.33857517585185376</v>
      </c>
      <c r="AT12" s="449">
        <f t="shared" si="33"/>
        <v>0.30787450898508367</v>
      </c>
      <c r="AU12" s="449">
        <f t="shared" si="34"/>
        <v>-244.79823821890508</v>
      </c>
      <c r="AV12" s="449">
        <f t="shared" si="35"/>
        <v>-234.42945175982405</v>
      </c>
      <c r="AW12" s="449">
        <f t="shared" si="39"/>
        <v>-213.17231002127238</v>
      </c>
      <c r="AX12" s="391">
        <f t="shared" si="13"/>
        <v>5173.5017617810954</v>
      </c>
      <c r="AY12" s="391">
        <f t="shared" si="14"/>
        <v>4954.3705482401765</v>
      </c>
      <c r="AZ12" s="391">
        <f t="shared" si="15"/>
        <v>4505.1276899787281</v>
      </c>
      <c r="BA12" s="385">
        <f>+Efficiency2!K21</f>
        <v>42.402527999999997</v>
      </c>
      <c r="BB12" s="386">
        <f t="shared" si="36"/>
        <v>169.033694844</v>
      </c>
      <c r="BC12" s="411">
        <f t="shared" si="37"/>
        <v>0.89508814191455766</v>
      </c>
      <c r="BD12" s="411">
        <f t="shared" si="38"/>
        <v>0.89651356281276418</v>
      </c>
    </row>
    <row r="13" spans="1:56" s="391" customFormat="1" ht="12.75" customHeight="1">
      <c r="A13" s="405">
        <f t="shared" si="16"/>
        <v>46027</v>
      </c>
      <c r="B13" s="414" t="s">
        <v>447</v>
      </c>
      <c r="C13" s="392" t="s">
        <v>463</v>
      </c>
      <c r="D13" s="384">
        <f>+'5'!F42</f>
        <v>1223.0833333333333</v>
      </c>
      <c r="E13" s="384">
        <f>+'5'!G42</f>
        <v>940.6099999999999</v>
      </c>
      <c r="F13" s="45">
        <f t="shared" si="0"/>
        <v>0.2309518293929278</v>
      </c>
      <c r="G13" s="410">
        <f t="shared" si="17"/>
        <v>0.91366027347080514</v>
      </c>
      <c r="H13" s="406">
        <f t="shared" si="18"/>
        <v>0.90798196158199662</v>
      </c>
      <c r="I13" s="406">
        <f t="shared" si="19"/>
        <v>0.97933162691672848</v>
      </c>
      <c r="J13" s="411">
        <f t="shared" si="20"/>
        <v>0.88921545164713922</v>
      </c>
      <c r="K13" s="411">
        <f t="shared" si="21"/>
        <v>0.89495129855725253</v>
      </c>
      <c r="L13" s="385">
        <f>+SUM(Efficiency1!K26:K28)</f>
        <v>46.03946088</v>
      </c>
      <c r="M13" s="386">
        <f t="shared" si="22"/>
        <v>215.073155724</v>
      </c>
      <c r="N13" s="385">
        <f>+SUM(Efficiency1!C26:C28)</f>
        <v>45.753330000000005</v>
      </c>
      <c r="O13" s="386">
        <f t="shared" si="22"/>
        <v>213.974797344</v>
      </c>
      <c r="P13" s="386">
        <f>'5'!I38</f>
        <v>41.802999999999997</v>
      </c>
      <c r="Q13" s="386">
        <f t="shared" si="23"/>
        <v>198.25399999999999</v>
      </c>
      <c r="R13" s="580">
        <f>'5'!I40</f>
        <v>40.939</v>
      </c>
      <c r="S13" s="386">
        <f t="shared" si="24"/>
        <v>192.48</v>
      </c>
      <c r="T13" s="94">
        <f t="shared" si="1"/>
        <v>5355.5717990890689</v>
      </c>
      <c r="U13" s="12">
        <f t="shared" si="25"/>
        <v>26552.628524557764</v>
      </c>
      <c r="V13" s="287">
        <f t="shared" si="26"/>
        <v>128.11453242803313</v>
      </c>
      <c r="W13" s="287">
        <f t="shared" si="27"/>
        <v>133.93237223237747</v>
      </c>
      <c r="X13" s="288">
        <f t="shared" si="28"/>
        <v>130.81833457312266</v>
      </c>
      <c r="Y13" s="287">
        <f t="shared" si="29"/>
        <v>137.95006506939819</v>
      </c>
      <c r="Z13" s="388">
        <v>53</v>
      </c>
      <c r="AA13" s="387">
        <f t="shared" si="30"/>
        <v>246.2</v>
      </c>
      <c r="AB13" s="390">
        <f t="shared" si="2"/>
        <v>1.2678515895988327</v>
      </c>
      <c r="AC13" s="390">
        <f t="shared" si="3"/>
        <v>1.2418412743248559</v>
      </c>
      <c r="AD13" s="385">
        <f t="shared" si="4"/>
        <v>1.2946090524927332</v>
      </c>
      <c r="AE13" s="390">
        <f t="shared" si="5"/>
        <v>1.279093931837074</v>
      </c>
      <c r="AF13" s="389">
        <f>'5'!I46</f>
        <v>37287.779999998907</v>
      </c>
      <c r="AG13" s="387">
        <f t="shared" si="31"/>
        <v>193803.41999999894</v>
      </c>
      <c r="AH13" s="390">
        <f t="shared" si="6"/>
        <v>891.98813482283344</v>
      </c>
      <c r="AI13" s="390">
        <f t="shared" si="7"/>
        <v>977.55112128884639</v>
      </c>
      <c r="AJ13" s="390">
        <f t="shared" si="8"/>
        <v>910.81316104445409</v>
      </c>
      <c r="AK13" s="390">
        <f t="shared" si="9"/>
        <v>1006.8756234413909</v>
      </c>
      <c r="AL13" s="445">
        <v>5613</v>
      </c>
      <c r="AM13" s="446">
        <v>5501</v>
      </c>
      <c r="AN13" s="446">
        <v>4694</v>
      </c>
      <c r="AO13" s="446">
        <f t="shared" ref="AO13:AO39" si="40">SUM(AL13:AN13)</f>
        <v>15808</v>
      </c>
      <c r="AP13" s="589">
        <f>+[1]Jan!N9</f>
        <v>15083</v>
      </c>
      <c r="AQ13" s="478">
        <f t="shared" si="10"/>
        <v>-725</v>
      </c>
      <c r="AR13" s="449">
        <f t="shared" si="11"/>
        <v>0.3550733805668016</v>
      </c>
      <c r="AS13" s="449">
        <f t="shared" si="12"/>
        <v>0.34798836032388664</v>
      </c>
      <c r="AT13" s="449">
        <f t="shared" si="33"/>
        <v>0.29693825910931176</v>
      </c>
      <c r="AU13" s="449">
        <f t="shared" si="34"/>
        <v>-257.42820091093114</v>
      </c>
      <c r="AV13" s="449">
        <f t="shared" si="35"/>
        <v>-252.29156123481781</v>
      </c>
      <c r="AW13" s="449">
        <f t="shared" si="39"/>
        <v>-215.28023785425103</v>
      </c>
      <c r="AX13" s="391">
        <f t="shared" si="13"/>
        <v>5355.5717990890689</v>
      </c>
      <c r="AY13" s="391">
        <f t="shared" si="14"/>
        <v>5248.7084387651821</v>
      </c>
      <c r="AZ13" s="391">
        <f t="shared" si="15"/>
        <v>4478.719762145749</v>
      </c>
      <c r="BA13" s="385">
        <f>+SUM(Efficiency2!K26:K28)</f>
        <v>46.03946088</v>
      </c>
      <c r="BB13" s="386">
        <f t="shared" si="36"/>
        <v>215.073155724</v>
      </c>
      <c r="BC13" s="411">
        <f t="shared" si="37"/>
        <v>0.88921545164713922</v>
      </c>
      <c r="BD13" s="411">
        <f t="shared" si="38"/>
        <v>0.89495129855725253</v>
      </c>
    </row>
    <row r="14" spans="1:56" s="391" customFormat="1" ht="12.75" customHeight="1">
      <c r="A14" s="405">
        <f t="shared" si="16"/>
        <v>46028</v>
      </c>
      <c r="B14" s="414" t="s">
        <v>447</v>
      </c>
      <c r="C14" s="392" t="s">
        <v>472</v>
      </c>
      <c r="D14" s="384">
        <f>+'6'!F42</f>
        <v>1230</v>
      </c>
      <c r="E14" s="384">
        <f>+'6'!G42</f>
        <v>934.8</v>
      </c>
      <c r="F14" s="45">
        <f t="shared" si="0"/>
        <v>0.24</v>
      </c>
      <c r="G14" s="410">
        <f t="shared" si="17"/>
        <v>0.94196116331722779</v>
      </c>
      <c r="H14" s="406">
        <f t="shared" si="18"/>
        <v>0.94196116331722779</v>
      </c>
      <c r="I14" s="406">
        <f t="shared" si="19"/>
        <v>0.89613567949878858</v>
      </c>
      <c r="J14" s="411">
        <f t="shared" si="20"/>
        <v>0.84412500715075323</v>
      </c>
      <c r="K14" s="411">
        <f t="shared" si="21"/>
        <v>0.88642059498128301</v>
      </c>
      <c r="L14" s="385">
        <f>+SUM(Efficiency1!K31:K32)</f>
        <v>43.378646160000002</v>
      </c>
      <c r="M14" s="386">
        <f t="shared" si="22"/>
        <v>258.45180188400002</v>
      </c>
      <c r="N14" s="385">
        <f>+SUM(Efficiency1!C31:C32)</f>
        <v>43.378646160000002</v>
      </c>
      <c r="O14" s="386">
        <f t="shared" si="22"/>
        <v>257.35344350399998</v>
      </c>
      <c r="P14" s="386">
        <f>'6'!I38</f>
        <v>40.860999999999997</v>
      </c>
      <c r="Q14" s="386">
        <f t="shared" si="23"/>
        <v>239.11499999999998</v>
      </c>
      <c r="R14" s="580">
        <f>'6'!I40</f>
        <v>36.616999999999997</v>
      </c>
      <c r="S14" s="386">
        <f t="shared" si="24"/>
        <v>229.09699999999998</v>
      </c>
      <c r="T14" s="94">
        <f t="shared" si="1"/>
        <v>5569.0331564780381</v>
      </c>
      <c r="U14" s="12">
        <f t="shared" si="25"/>
        <v>32121.661681035803</v>
      </c>
      <c r="V14" s="287">
        <f t="shared" si="26"/>
        <v>136.29214058584074</v>
      </c>
      <c r="W14" s="287">
        <f t="shared" si="27"/>
        <v>134.33561960159673</v>
      </c>
      <c r="X14" s="288">
        <f t="shared" si="28"/>
        <v>152.08873355212162</v>
      </c>
      <c r="Y14" s="287">
        <f t="shared" si="29"/>
        <v>140.20987477372381</v>
      </c>
      <c r="Z14" s="388">
        <v>50.9</v>
      </c>
      <c r="AA14" s="387">
        <f t="shared" si="30"/>
        <v>297.09999999999997</v>
      </c>
      <c r="AB14" s="390">
        <f t="shared" si="2"/>
        <v>1.2456865960206553</v>
      </c>
      <c r="AC14" s="390">
        <f t="shared" si="3"/>
        <v>1.2424983794408548</v>
      </c>
      <c r="AD14" s="385">
        <f t="shared" si="4"/>
        <v>1.3900647240352841</v>
      </c>
      <c r="AE14" s="390">
        <f t="shared" si="5"/>
        <v>1.2968306001388057</v>
      </c>
      <c r="AF14" s="389">
        <f>'6'!I46</f>
        <v>40858.379999999634</v>
      </c>
      <c r="AG14" s="387">
        <f t="shared" si="31"/>
        <v>234661.79999999856</v>
      </c>
      <c r="AH14" s="390">
        <f t="shared" si="6"/>
        <v>999.93588017913498</v>
      </c>
      <c r="AI14" s="390">
        <f t="shared" si="7"/>
        <v>981.3763251991661</v>
      </c>
      <c r="AJ14" s="390">
        <f t="shared" si="8"/>
        <v>1115.8308982166654</v>
      </c>
      <c r="AK14" s="390">
        <f t="shared" si="9"/>
        <v>1024.2901478413014</v>
      </c>
      <c r="AL14" s="445">
        <v>5594.8</v>
      </c>
      <c r="AM14" s="446">
        <v>2273</v>
      </c>
      <c r="AN14" s="446">
        <v>4986.3999999999996</v>
      </c>
      <c r="AO14" s="446">
        <f t="shared" si="40"/>
        <v>12854.2</v>
      </c>
      <c r="AP14" s="589">
        <f>+[1]Jan!N10</f>
        <v>12795</v>
      </c>
      <c r="AQ14" s="478">
        <f t="shared" si="10"/>
        <v>-59.200000000000728</v>
      </c>
      <c r="AR14" s="449">
        <f t="shared" si="11"/>
        <v>0.43525073516827184</v>
      </c>
      <c r="AS14" s="449">
        <f t="shared" si="12"/>
        <v>0.17682936316534673</v>
      </c>
      <c r="AT14" s="449">
        <f>1-AR14-AS14</f>
        <v>0.38791990166638146</v>
      </c>
      <c r="AU14" s="449">
        <f t="shared" si="34"/>
        <v>-25.766843521962009</v>
      </c>
      <c r="AV14" s="449">
        <f t="shared" si="35"/>
        <v>-10.468298299388655</v>
      </c>
      <c r="AW14" s="449">
        <f t="shared" si="39"/>
        <v>-22.964858178650065</v>
      </c>
      <c r="AX14" s="391">
        <f t="shared" si="13"/>
        <v>5569.0331564780381</v>
      </c>
      <c r="AY14" s="391">
        <f t="shared" si="14"/>
        <v>2262.5317017006114</v>
      </c>
      <c r="AZ14" s="391">
        <f t="shared" si="15"/>
        <v>4963.4351418213491</v>
      </c>
      <c r="BA14" s="385">
        <f>+SUM(Efficiency2!K31:K32)</f>
        <v>43.378646160000002</v>
      </c>
      <c r="BB14" s="386">
        <f t="shared" si="36"/>
        <v>258.45180188400002</v>
      </c>
      <c r="BC14" s="411">
        <f t="shared" si="37"/>
        <v>0.84412500715075323</v>
      </c>
      <c r="BD14" s="411">
        <f t="shared" si="38"/>
        <v>0.88642059498128301</v>
      </c>
    </row>
    <row r="15" spans="1:56" s="391" customFormat="1" ht="12.75" customHeight="1">
      <c r="A15" s="405">
        <f t="shared" si="16"/>
        <v>46029</v>
      </c>
      <c r="B15" s="414" t="s">
        <v>447</v>
      </c>
      <c r="C15" s="392" t="s">
        <v>448</v>
      </c>
      <c r="D15" s="384">
        <f>+'7'!F42</f>
        <v>1230</v>
      </c>
      <c r="E15" s="384">
        <f>+'7'!G42</f>
        <v>934.8</v>
      </c>
      <c r="F15" s="45">
        <f t="shared" si="0"/>
        <v>0.24</v>
      </c>
      <c r="G15" s="410">
        <f t="shared" si="17"/>
        <v>0.94631882984928772</v>
      </c>
      <c r="H15" s="406">
        <f t="shared" si="18"/>
        <v>0.94631882984928772</v>
      </c>
      <c r="I15" s="406">
        <f t="shared" si="19"/>
        <v>0.95881814948427413</v>
      </c>
      <c r="J15" s="411">
        <f t="shared" si="20"/>
        <v>0.90734766925821775</v>
      </c>
      <c r="K15" s="411">
        <f t="shared" si="21"/>
        <v>0.88932167287934683</v>
      </c>
      <c r="L15" s="385">
        <f>+Efficiency1!K36</f>
        <v>41.594860799999992</v>
      </c>
      <c r="M15" s="386">
        <f t="shared" si="22"/>
        <v>300.04666268400001</v>
      </c>
      <c r="N15" s="385">
        <f>+Efficiency1!C36</f>
        <v>41.594860799999992</v>
      </c>
      <c r="O15" s="386">
        <f t="shared" si="22"/>
        <v>298.94830430399998</v>
      </c>
      <c r="P15" s="386">
        <f>'7'!I38</f>
        <v>39.362000000000002</v>
      </c>
      <c r="Q15" s="386">
        <f t="shared" si="23"/>
        <v>278.47699999999998</v>
      </c>
      <c r="R15" s="580">
        <f>'7'!I40</f>
        <v>37.741</v>
      </c>
      <c r="S15" s="386">
        <f t="shared" si="24"/>
        <v>266.83799999999997</v>
      </c>
      <c r="T15" s="94">
        <f t="shared" si="1"/>
        <v>5682.3677899154472</v>
      </c>
      <c r="U15" s="12">
        <f t="shared" si="25"/>
        <v>37804.029470951253</v>
      </c>
      <c r="V15" s="287">
        <f t="shared" si="26"/>
        <v>144.36176489800943</v>
      </c>
      <c r="W15" s="287">
        <f t="shared" si="27"/>
        <v>135.75278917451445</v>
      </c>
      <c r="X15" s="288">
        <f t="shared" si="28"/>
        <v>150.56219469318376</v>
      </c>
      <c r="Y15" s="287">
        <f t="shared" si="29"/>
        <v>141.67408491650835</v>
      </c>
      <c r="Z15" s="388">
        <v>48.7</v>
      </c>
      <c r="AA15" s="387">
        <f t="shared" si="30"/>
        <v>345.79999999999995</v>
      </c>
      <c r="AB15" s="390">
        <f t="shared" si="2"/>
        <v>1.2372338803922565</v>
      </c>
      <c r="AC15" s="390">
        <f t="shared" si="3"/>
        <v>1.2417542561863277</v>
      </c>
      <c r="AD15" s="385">
        <f t="shared" si="4"/>
        <v>1.2903738639675686</v>
      </c>
      <c r="AE15" s="390">
        <f t="shared" si="5"/>
        <v>1.2959173730877911</v>
      </c>
      <c r="AF15" s="389">
        <f>'7'!I46</f>
        <v>41157.440000000002</v>
      </c>
      <c r="AG15" s="387">
        <f t="shared" si="31"/>
        <v>275819.23999999859</v>
      </c>
      <c r="AH15" s="390">
        <f t="shared" si="6"/>
        <v>1045.6135358975662</v>
      </c>
      <c r="AI15" s="390">
        <f t="shared" si="7"/>
        <v>990.45608793544386</v>
      </c>
      <c r="AJ15" s="390">
        <f t="shared" si="8"/>
        <v>1090.5233035690628</v>
      </c>
      <c r="AK15" s="390">
        <f t="shared" si="9"/>
        <v>1033.658024719113</v>
      </c>
      <c r="AL15" s="445">
        <v>5959.7</v>
      </c>
      <c r="AM15" s="446">
        <v>5069.6000000000004</v>
      </c>
      <c r="AN15" s="446">
        <v>5173.7</v>
      </c>
      <c r="AO15" s="446">
        <f t="shared" si="40"/>
        <v>16203</v>
      </c>
      <c r="AP15" s="589">
        <f>+[1]Jan!N11</f>
        <v>15449</v>
      </c>
      <c r="AQ15" s="478">
        <f t="shared" si="10"/>
        <v>-754</v>
      </c>
      <c r="AR15" s="449">
        <f t="shared" si="11"/>
        <v>0.36781460223415413</v>
      </c>
      <c r="AS15" s="449">
        <f t="shared" si="12"/>
        <v>0.31288033080293776</v>
      </c>
      <c r="AT15" s="449">
        <f>1-AR15-AS15</f>
        <v>0.31930506696290806</v>
      </c>
      <c r="AU15" s="449">
        <f t="shared" si="34"/>
        <v>-277.33221008455223</v>
      </c>
      <c r="AV15" s="449">
        <f t="shared" si="35"/>
        <v>-235.91176942541506</v>
      </c>
      <c r="AW15" s="449">
        <f t="shared" si="39"/>
        <v>-240.75602049003268</v>
      </c>
      <c r="AX15" s="391">
        <f t="shared" si="13"/>
        <v>5682.3677899154472</v>
      </c>
      <c r="AY15" s="391">
        <f t="shared" si="14"/>
        <v>4833.6882305745858</v>
      </c>
      <c r="AZ15" s="391">
        <f t="shared" si="15"/>
        <v>4932.943979509967</v>
      </c>
      <c r="BA15" s="385">
        <f>+Efficiency2!K36</f>
        <v>41.594860799999992</v>
      </c>
      <c r="BB15" s="386">
        <f t="shared" si="36"/>
        <v>300.04666268400001</v>
      </c>
      <c r="BC15" s="411">
        <f t="shared" si="37"/>
        <v>0.90734766925821775</v>
      </c>
      <c r="BD15" s="411">
        <f t="shared" si="38"/>
        <v>0.88932167287934683</v>
      </c>
    </row>
    <row r="16" spans="1:56" s="391" customFormat="1" ht="12.75" customHeight="1">
      <c r="A16" s="405">
        <f t="shared" si="16"/>
        <v>46030</v>
      </c>
      <c r="B16" s="414" t="s">
        <v>447</v>
      </c>
      <c r="C16" s="392" t="s">
        <v>448</v>
      </c>
      <c r="D16" s="384">
        <f>+'8'!F42</f>
        <v>1230</v>
      </c>
      <c r="E16" s="384">
        <f>+'8'!G42</f>
        <v>934.8</v>
      </c>
      <c r="F16" s="45">
        <f t="shared" si="0"/>
        <v>0.24</v>
      </c>
      <c r="G16" s="410">
        <f t="shared" si="17"/>
        <v>0.893454783828459</v>
      </c>
      <c r="H16" s="406">
        <f t="shared" si="18"/>
        <v>0.893454783828459</v>
      </c>
      <c r="I16" s="406">
        <f t="shared" si="19"/>
        <v>0.97842979635584137</v>
      </c>
      <c r="J16" s="411">
        <f t="shared" si="20"/>
        <v>0.87418278219443146</v>
      </c>
      <c r="K16" s="411">
        <f t="shared" si="21"/>
        <v>0.88747168313812119</v>
      </c>
      <c r="L16" s="385">
        <f>+Efficiency1!K41</f>
        <v>41.770440626086952</v>
      </c>
      <c r="M16" s="386">
        <f t="shared" si="22"/>
        <v>341.81710331008696</v>
      </c>
      <c r="N16" s="385">
        <f>+Efficiency1!C41</f>
        <v>41.770440626086952</v>
      </c>
      <c r="O16" s="386">
        <f t="shared" si="22"/>
        <v>340.71874493008693</v>
      </c>
      <c r="P16" s="386">
        <f>'8'!I38</f>
        <v>37.32</v>
      </c>
      <c r="Q16" s="386">
        <f t="shared" si="23"/>
        <v>315.79699999999997</v>
      </c>
      <c r="R16" s="580">
        <f>'8'!I40</f>
        <v>36.515000000000001</v>
      </c>
      <c r="S16" s="386">
        <f t="shared" si="24"/>
        <v>303.35299999999995</v>
      </c>
      <c r="T16" s="94">
        <f t="shared" si="1"/>
        <v>5709.9831291888149</v>
      </c>
      <c r="U16" s="12">
        <f t="shared" si="25"/>
        <v>43514.012600140064</v>
      </c>
      <c r="V16" s="287">
        <f t="shared" si="26"/>
        <v>153.00061975318368</v>
      </c>
      <c r="W16" s="287">
        <f t="shared" si="27"/>
        <v>137.7910892128173</v>
      </c>
      <c r="X16" s="288">
        <f t="shared" si="28"/>
        <v>156.37363081442734</v>
      </c>
      <c r="Y16" s="287">
        <f t="shared" si="29"/>
        <v>143.44348860944203</v>
      </c>
      <c r="Z16" s="388">
        <v>47.4</v>
      </c>
      <c r="AA16" s="387">
        <f t="shared" si="30"/>
        <v>393.19999999999993</v>
      </c>
      <c r="AB16" s="390">
        <f t="shared" si="2"/>
        <v>1.270096463022508</v>
      </c>
      <c r="AC16" s="390">
        <f t="shared" si="3"/>
        <v>1.245103658362809</v>
      </c>
      <c r="AD16" s="385">
        <f t="shared" si="4"/>
        <v>1.2980966726003011</v>
      </c>
      <c r="AE16" s="390">
        <f t="shared" si="5"/>
        <v>1.296179698239345</v>
      </c>
      <c r="AF16" s="389">
        <f>'8'!I46</f>
        <v>37269.14</v>
      </c>
      <c r="AG16" s="387">
        <f t="shared" si="31"/>
        <v>313088.37999999861</v>
      </c>
      <c r="AH16" s="390">
        <f t="shared" si="6"/>
        <v>998.63719185423361</v>
      </c>
      <c r="AI16" s="390">
        <f t="shared" si="7"/>
        <v>991.42290775402762</v>
      </c>
      <c r="AJ16" s="390">
        <f t="shared" si="8"/>
        <v>1020.6528823771052</v>
      </c>
      <c r="AK16" s="390">
        <f t="shared" si="9"/>
        <v>1032.0925786130306</v>
      </c>
      <c r="AL16" s="445">
        <v>5979.3</v>
      </c>
      <c r="AM16" s="446">
        <v>5268.9</v>
      </c>
      <c r="AN16" s="446">
        <v>5194.3999999999996</v>
      </c>
      <c r="AO16" s="446">
        <f t="shared" si="40"/>
        <v>16442.599999999999</v>
      </c>
      <c r="AP16" s="589">
        <f>+[1]Jan!N12</f>
        <v>15702</v>
      </c>
      <c r="AQ16" s="478">
        <f t="shared" si="10"/>
        <v>-740.59999999999854</v>
      </c>
      <c r="AR16" s="449">
        <f t="shared" si="11"/>
        <v>0.36364686850011557</v>
      </c>
      <c r="AS16" s="449">
        <f t="shared" si="12"/>
        <v>0.32044202255117804</v>
      </c>
      <c r="AT16" s="449">
        <f>1-AR16-AS16</f>
        <v>0.31591110894870644</v>
      </c>
      <c r="AU16" s="449">
        <f>+AR16*AQ16</f>
        <v>-269.31687081118508</v>
      </c>
      <c r="AV16" s="449">
        <f t="shared" si="35"/>
        <v>-237.319361901402</v>
      </c>
      <c r="AW16" s="449">
        <f t="shared" si="39"/>
        <v>-233.96376728741154</v>
      </c>
      <c r="AX16" s="391">
        <f t="shared" si="13"/>
        <v>5709.9831291888149</v>
      </c>
      <c r="AY16" s="391">
        <f t="shared" si="14"/>
        <v>5031.5806380985978</v>
      </c>
      <c r="AZ16" s="391">
        <f t="shared" si="15"/>
        <v>4960.4362327125882</v>
      </c>
      <c r="BA16" s="385">
        <f>+Efficiency2!K41</f>
        <v>41.770440626086952</v>
      </c>
      <c r="BB16" s="386">
        <f t="shared" si="36"/>
        <v>341.81710331008696</v>
      </c>
      <c r="BC16" s="411">
        <f t="shared" si="37"/>
        <v>0.87418278219443146</v>
      </c>
      <c r="BD16" s="411">
        <f t="shared" si="38"/>
        <v>0.88747168313812119</v>
      </c>
    </row>
    <row r="17" spans="1:56" s="391" customFormat="1" ht="12.75" customHeight="1">
      <c r="A17" s="405">
        <f t="shared" si="16"/>
        <v>46031</v>
      </c>
      <c r="B17" s="414" t="s">
        <v>447</v>
      </c>
      <c r="C17" s="392" t="s">
        <v>494</v>
      </c>
      <c r="D17" s="384">
        <f>+'9'!F42</f>
        <v>1087.8483835005575</v>
      </c>
      <c r="E17" s="384">
        <f>+'9'!G42</f>
        <v>826.76477146042362</v>
      </c>
      <c r="F17" s="45">
        <f t="shared" si="0"/>
        <v>0.2400000000000001</v>
      </c>
      <c r="G17" s="410">
        <f t="shared" si="17"/>
        <v>0.61950859294799976</v>
      </c>
      <c r="H17" s="406">
        <f t="shared" si="18"/>
        <v>0.5349038527033495</v>
      </c>
      <c r="I17" s="406">
        <f t="shared" si="19"/>
        <v>1.002455542793774</v>
      </c>
      <c r="J17" s="411">
        <f t="shared" si="20"/>
        <v>0.53621733200421717</v>
      </c>
      <c r="K17" s="411">
        <f t="shared" si="21"/>
        <v>0.84485121033590493</v>
      </c>
      <c r="L17" s="385">
        <f>+SUM(Efficiency1!K46:K47)</f>
        <v>47.202875567999989</v>
      </c>
      <c r="M17" s="386">
        <f t="shared" si="22"/>
        <v>389.01997887808693</v>
      </c>
      <c r="N17" s="385">
        <f>+SUM(Efficiency1!C46:C47)</f>
        <v>40.756496822505497</v>
      </c>
      <c r="O17" s="386">
        <f t="shared" si="22"/>
        <v>381.47524175259241</v>
      </c>
      <c r="P17" s="386">
        <f>'9'!I38</f>
        <v>25.249000000000002</v>
      </c>
      <c r="Q17" s="386">
        <f t="shared" si="23"/>
        <v>341.04599999999999</v>
      </c>
      <c r="R17" s="580">
        <f>'9'!I40</f>
        <v>25.311</v>
      </c>
      <c r="S17" s="386">
        <f t="shared" si="24"/>
        <v>328.66399999999993</v>
      </c>
      <c r="T17" s="94">
        <f t="shared" si="1"/>
        <v>2522.5856246264193</v>
      </c>
      <c r="U17" s="12">
        <f t="shared" si="25"/>
        <v>46036.59822476648</v>
      </c>
      <c r="V17" s="287">
        <f t="shared" si="26"/>
        <v>99.908337939182502</v>
      </c>
      <c r="W17" s="287">
        <f t="shared" si="27"/>
        <v>134.98647755659493</v>
      </c>
      <c r="X17" s="288">
        <f t="shared" si="28"/>
        <v>99.663609680629733</v>
      </c>
      <c r="Y17" s="287">
        <f t="shared" si="29"/>
        <v>140.07192215991557</v>
      </c>
      <c r="Z17" s="388">
        <v>39.9</v>
      </c>
      <c r="AA17" s="387">
        <f t="shared" si="30"/>
        <v>433.09999999999991</v>
      </c>
      <c r="AB17" s="390">
        <f t="shared" si="2"/>
        <v>1.5802606043803713</v>
      </c>
      <c r="AC17" s="390">
        <f t="shared" si="3"/>
        <v>1.2699166681327443</v>
      </c>
      <c r="AD17" s="385">
        <f t="shared" si="4"/>
        <v>1.5763897119829322</v>
      </c>
      <c r="AE17" s="390">
        <f t="shared" si="5"/>
        <v>1.3177591704598008</v>
      </c>
      <c r="AF17" s="389">
        <f>'9'!I46</f>
        <v>24652.360000000364</v>
      </c>
      <c r="AG17" s="387">
        <f t="shared" si="31"/>
        <v>337740.73999999894</v>
      </c>
      <c r="AH17" s="390">
        <f t="shared" si="6"/>
        <v>976.36975721812189</v>
      </c>
      <c r="AI17" s="390">
        <f t="shared" si="7"/>
        <v>990.30846278800789</v>
      </c>
      <c r="AJ17" s="390">
        <f t="shared" si="8"/>
        <v>973.97811228321143</v>
      </c>
      <c r="AK17" s="390">
        <f t="shared" si="9"/>
        <v>1027.6170800574416</v>
      </c>
      <c r="AL17" s="445">
        <v>2675.3</v>
      </c>
      <c r="AM17" s="446">
        <v>4110.5</v>
      </c>
      <c r="AN17" s="446">
        <v>4590.6000000000004</v>
      </c>
      <c r="AO17" s="446">
        <f t="shared" si="40"/>
        <v>11376.400000000001</v>
      </c>
      <c r="AP17" s="589">
        <f>+[1]Jan!N13</f>
        <v>10727</v>
      </c>
      <c r="AQ17" s="478">
        <f t="shared" si="10"/>
        <v>-649.40000000000146</v>
      </c>
      <c r="AR17" s="449">
        <f t="shared" si="11"/>
        <v>0.23516226574311733</v>
      </c>
      <c r="AS17" s="449">
        <f t="shared" si="12"/>
        <v>0.3613181674343377</v>
      </c>
      <c r="AT17" s="449">
        <f>1-AR17-AS17</f>
        <v>0.40351956682254492</v>
      </c>
      <c r="AU17" s="449">
        <f>+AR17*AQ17</f>
        <v>-152.71437537358074</v>
      </c>
      <c r="AV17" s="449">
        <f>+AS17*AQ17</f>
        <v>-234.64001793185943</v>
      </c>
      <c r="AW17" s="449">
        <f t="shared" si="39"/>
        <v>-262.04560669456123</v>
      </c>
      <c r="AX17" s="391">
        <f t="shared" si="13"/>
        <v>2522.5856246264193</v>
      </c>
      <c r="AY17" s="391">
        <f t="shared" si="14"/>
        <v>3875.8599820681407</v>
      </c>
      <c r="AZ17" s="391">
        <f t="shared" si="15"/>
        <v>4328.5543933054396</v>
      </c>
      <c r="BA17" s="385">
        <f>+SUM(Efficiency2!K46:K47)</f>
        <v>25.495136928000001</v>
      </c>
      <c r="BB17" s="386">
        <f t="shared" si="36"/>
        <v>367.31224023808699</v>
      </c>
      <c r="BC17" s="411">
        <f t="shared" si="37"/>
        <v>0.99277756661907657</v>
      </c>
      <c r="BD17" s="411">
        <f t="shared" si="38"/>
        <v>0.89478096288586584</v>
      </c>
    </row>
    <row r="18" spans="1:56" s="391" customFormat="1" ht="12.75" customHeight="1">
      <c r="A18" s="405">
        <f t="shared" si="16"/>
        <v>46032</v>
      </c>
      <c r="B18" s="414" t="s">
        <v>447</v>
      </c>
      <c r="C18" s="392" t="s">
        <v>494</v>
      </c>
      <c r="D18" s="384">
        <f>+'10'!F42</f>
        <v>1071.2803532008829</v>
      </c>
      <c r="E18" s="384">
        <f>+'10'!G42</f>
        <v>814.17306843267102</v>
      </c>
      <c r="F18" s="45">
        <f t="shared" si="0"/>
        <v>0.24</v>
      </c>
      <c r="G18" s="410">
        <f t="shared" si="17"/>
        <v>0.86970668910068627</v>
      </c>
      <c r="H18" s="406">
        <f t="shared" si="18"/>
        <v>0.75623748810837899</v>
      </c>
      <c r="I18" s="406">
        <f>+R18/P18</f>
        <v>0.88173927793955487</v>
      </c>
      <c r="J18" s="411">
        <f t="shared" si="20"/>
        <v>0.66680429671550479</v>
      </c>
      <c r="K18" s="411">
        <f t="shared" si="21"/>
        <v>0.82574194413839941</v>
      </c>
      <c r="L18" s="385">
        <f>+SUM(Efficiency1!K53:K54)</f>
        <v>46.772344079999989</v>
      </c>
      <c r="M18" s="386">
        <f t="shared" si="22"/>
        <v>435.79232295808691</v>
      </c>
      <c r="N18" s="385">
        <f>+SUM(Efficiency1!C53:C54)</f>
        <v>40.670033291999999</v>
      </c>
      <c r="O18" s="386">
        <f t="shared" si="22"/>
        <v>422.14527504459238</v>
      </c>
      <c r="P18" s="386">
        <f>'10'!I38</f>
        <v>35.371000000000002</v>
      </c>
      <c r="Q18" s="386">
        <f t="shared" si="23"/>
        <v>376.41699999999997</v>
      </c>
      <c r="R18" s="580">
        <f>'10'!I40</f>
        <v>31.187999999999999</v>
      </c>
      <c r="S18" s="386">
        <f t="shared" si="24"/>
        <v>359.85199999999992</v>
      </c>
      <c r="T18" s="94">
        <f t="shared" si="1"/>
        <v>4453.5487788123946</v>
      </c>
      <c r="U18" s="12">
        <f t="shared" si="25"/>
        <v>50490.147003578873</v>
      </c>
      <c r="V18" s="287">
        <f t="shared" si="26"/>
        <v>125.90960896814889</v>
      </c>
      <c r="W18" s="287">
        <f t="shared" si="27"/>
        <v>134.13354605020197</v>
      </c>
      <c r="X18" s="288">
        <f t="shared" si="28"/>
        <v>142.79686991190187</v>
      </c>
      <c r="Y18" s="287">
        <f t="shared" si="29"/>
        <v>140.30809055828198</v>
      </c>
      <c r="Z18" s="388">
        <v>56.6</v>
      </c>
      <c r="AA18" s="387">
        <f t="shared" si="30"/>
        <v>489.69999999999993</v>
      </c>
      <c r="AB18" s="390">
        <f t="shared" si="2"/>
        <v>1.60018093918747</v>
      </c>
      <c r="AC18" s="390">
        <f t="shared" si="3"/>
        <v>1.3009508072164646</v>
      </c>
      <c r="AD18" s="385">
        <f t="shared" si="4"/>
        <v>1.8148005643196101</v>
      </c>
      <c r="AE18" s="390">
        <f t="shared" si="5"/>
        <v>1.3608372330847127</v>
      </c>
      <c r="AF18" s="389">
        <f>'10'!I46</f>
        <v>32748.460000000363</v>
      </c>
      <c r="AG18" s="387">
        <f t="shared" si="31"/>
        <v>370489.19999999931</v>
      </c>
      <c r="AH18" s="390">
        <f t="shared" si="6"/>
        <v>925.85620988946766</v>
      </c>
      <c r="AI18" s="390">
        <f t="shared" si="7"/>
        <v>984.2520396262637</v>
      </c>
      <c r="AJ18" s="390">
        <f t="shared" si="8"/>
        <v>1050.0339874310748</v>
      </c>
      <c r="AK18" s="390">
        <f t="shared" si="9"/>
        <v>1029.5599301935224</v>
      </c>
      <c r="AL18" s="445">
        <v>4135.1000000000004</v>
      </c>
      <c r="AM18" s="446">
        <v>4298.3</v>
      </c>
      <c r="AN18" s="446">
        <v>4668.6000000000004</v>
      </c>
      <c r="AO18" s="446">
        <f t="shared" si="40"/>
        <v>13102.000000000002</v>
      </c>
      <c r="AP18" s="589">
        <f>+[1]Jan!N14</f>
        <v>14111</v>
      </c>
      <c r="AQ18" s="478">
        <f t="shared" si="10"/>
        <v>1008.9999999999982</v>
      </c>
      <c r="AR18" s="449">
        <f t="shared" si="11"/>
        <v>0.31560830407571361</v>
      </c>
      <c r="AS18" s="449">
        <f t="shared" si="12"/>
        <v>0.32806441764616084</v>
      </c>
      <c r="AT18" s="449">
        <f t="shared" si="33"/>
        <v>0.35632727827812555</v>
      </c>
      <c r="AU18" s="449">
        <f t="shared" si="34"/>
        <v>318.44877881239444</v>
      </c>
      <c r="AV18" s="449">
        <f t="shared" si="35"/>
        <v>331.01699740497571</v>
      </c>
      <c r="AW18" s="449">
        <f t="shared" si="39"/>
        <v>359.53422378262803</v>
      </c>
      <c r="AX18" s="449">
        <f>+AL18+AU18</f>
        <v>4453.5487788123946</v>
      </c>
      <c r="AY18" s="391">
        <f t="shared" si="14"/>
        <v>4629.3169974049761</v>
      </c>
      <c r="AZ18" s="391">
        <f t="shared" si="15"/>
        <v>5028.1342237826284</v>
      </c>
      <c r="BA18" s="385">
        <f>+SUM(Efficiency2!K53:K54)</f>
        <v>38.705038091999995</v>
      </c>
      <c r="BB18" s="386">
        <f t="shared" si="36"/>
        <v>406.01727833008698</v>
      </c>
      <c r="BC18" s="411">
        <f t="shared" si="37"/>
        <v>0.80578657294865952</v>
      </c>
      <c r="BD18" s="411">
        <f t="shared" si="38"/>
        <v>0.88629725680650651</v>
      </c>
    </row>
    <row r="19" spans="1:56" s="391" customFormat="1" ht="12.75" customHeight="1">
      <c r="A19" s="405">
        <f t="shared" si="16"/>
        <v>46033</v>
      </c>
      <c r="B19" s="414" t="s">
        <v>447</v>
      </c>
      <c r="C19" s="392" t="s">
        <v>516</v>
      </c>
      <c r="D19" s="384">
        <f>+'11'!F42</f>
        <v>1200</v>
      </c>
      <c r="E19" s="384">
        <f>+'11'!G42</f>
        <v>912</v>
      </c>
      <c r="F19" s="45">
        <f t="shared" si="0"/>
        <v>0.24</v>
      </c>
      <c r="G19" s="410">
        <f t="shared" si="17"/>
        <v>0.9313211893172394</v>
      </c>
      <c r="H19" s="406">
        <f t="shared" si="18"/>
        <v>0.90860603835828235</v>
      </c>
      <c r="I19" s="406">
        <f t="shared" si="19"/>
        <v>1.0305776280139343</v>
      </c>
      <c r="J19" s="411">
        <f t="shared" si="20"/>
        <v>0.93638905581041632</v>
      </c>
      <c r="K19" s="411">
        <f t="shared" si="21"/>
        <v>0.83678968824580424</v>
      </c>
      <c r="L19" s="385">
        <f>+Efficiency1!K60</f>
        <v>48.338881919999999</v>
      </c>
      <c r="M19" s="386">
        <f t="shared" si="22"/>
        <v>484.13120487808692</v>
      </c>
      <c r="N19" s="385">
        <f>+Efficiency1!C60</f>
        <v>47.1598848</v>
      </c>
      <c r="O19" s="386">
        <f t="shared" si="22"/>
        <v>469.30515984459237</v>
      </c>
      <c r="P19" s="386">
        <f>'11'!I38</f>
        <v>43.920999999999999</v>
      </c>
      <c r="Q19" s="386">
        <f t="shared" si="23"/>
        <v>420.33799999999997</v>
      </c>
      <c r="R19" s="580">
        <f>'11'!I40</f>
        <v>45.264000000000003</v>
      </c>
      <c r="S19" s="386">
        <f t="shared" si="24"/>
        <v>405.11599999999993</v>
      </c>
      <c r="T19" s="94">
        <f t="shared" si="1"/>
        <v>5404.6365764380535</v>
      </c>
      <c r="U19" s="12">
        <f t="shared" si="25"/>
        <v>55894.783580016927</v>
      </c>
      <c r="V19" s="287">
        <f t="shared" si="26"/>
        <v>123.0535865858713</v>
      </c>
      <c r="W19" s="287">
        <f t="shared" si="27"/>
        <v>132.97580418619523</v>
      </c>
      <c r="X19" s="288">
        <f t="shared" si="28"/>
        <v>119.40254012986155</v>
      </c>
      <c r="Y19" s="287">
        <f t="shared" si="29"/>
        <v>137.97229331849874</v>
      </c>
      <c r="Z19" s="388">
        <v>54.8</v>
      </c>
      <c r="AA19" s="387">
        <f t="shared" si="30"/>
        <v>544.49999999999989</v>
      </c>
      <c r="AB19" s="390">
        <f t="shared" si="2"/>
        <v>1.2476947246192027</v>
      </c>
      <c r="AC19" s="390">
        <f t="shared" si="3"/>
        <v>1.295386094048123</v>
      </c>
      <c r="AD19" s="385">
        <f t="shared" si="4"/>
        <v>1.210675150229763</v>
      </c>
      <c r="AE19" s="390">
        <f t="shared" si="5"/>
        <v>1.3440594792602611</v>
      </c>
      <c r="AF19" s="389">
        <f>'11'!I46</f>
        <v>39524.339999999633</v>
      </c>
      <c r="AG19" s="387">
        <f t="shared" si="31"/>
        <v>410013.53999999893</v>
      </c>
      <c r="AH19" s="390">
        <f t="shared" si="6"/>
        <v>899.8961772272861</v>
      </c>
      <c r="AI19" s="390">
        <f t="shared" si="7"/>
        <v>975.43771916885692</v>
      </c>
      <c r="AJ19" s="390">
        <f t="shared" si="8"/>
        <v>873.19591728525165</v>
      </c>
      <c r="AK19" s="390">
        <f t="shared" si="9"/>
        <v>1012.0892287641045</v>
      </c>
      <c r="AL19" s="445">
        <v>6160.6</v>
      </c>
      <c r="AM19" s="446">
        <v>5979.3</v>
      </c>
      <c r="AN19" s="446">
        <v>5289.9</v>
      </c>
      <c r="AO19" s="446">
        <f t="shared" si="40"/>
        <v>17429.800000000003</v>
      </c>
      <c r="AP19" s="589">
        <f>+[1]Jan!N15</f>
        <v>15291</v>
      </c>
      <c r="AQ19" s="478">
        <f t="shared" si="10"/>
        <v>-2138.8000000000029</v>
      </c>
      <c r="AR19" s="449">
        <f t="shared" si="11"/>
        <v>0.35345213370205047</v>
      </c>
      <c r="AS19" s="449">
        <f t="shared" si="12"/>
        <v>0.34305040792206448</v>
      </c>
      <c r="AT19" s="449">
        <f>1-AR19-AS19</f>
        <v>0.3034974583758851</v>
      </c>
      <c r="AU19" s="449">
        <f t="shared" si="34"/>
        <v>-755.96342356194657</v>
      </c>
      <c r="AV19" s="449">
        <f t="shared" si="35"/>
        <v>-733.71621246371251</v>
      </c>
      <c r="AW19" s="449">
        <f>+AT19*AQ19</f>
        <v>-649.12036397434395</v>
      </c>
      <c r="AX19" s="391">
        <f t="shared" si="13"/>
        <v>5404.6365764380535</v>
      </c>
      <c r="AY19" s="391">
        <f t="shared" si="14"/>
        <v>5245.5837875362877</v>
      </c>
      <c r="AZ19" s="391">
        <f t="shared" si="15"/>
        <v>4640.7796360256561</v>
      </c>
      <c r="BA19" s="385">
        <f>+Efficiency2!K60</f>
        <v>48.338881919999999</v>
      </c>
      <c r="BB19" s="386">
        <f t="shared" si="36"/>
        <v>454.35616025008699</v>
      </c>
      <c r="BC19" s="411">
        <f t="shared" si="37"/>
        <v>0.93638905581041632</v>
      </c>
      <c r="BD19" s="411">
        <f t="shared" si="38"/>
        <v>0.89162651558859851</v>
      </c>
    </row>
    <row r="20" spans="1:56" s="391" customFormat="1" ht="12.75" customHeight="1">
      <c r="A20" s="405">
        <f t="shared" si="16"/>
        <v>46034</v>
      </c>
      <c r="B20" s="414" t="s">
        <v>447</v>
      </c>
      <c r="C20" s="392" t="s">
        <v>527</v>
      </c>
      <c r="D20" s="384">
        <f>+'12'!F42</f>
        <v>1221.2083333333333</v>
      </c>
      <c r="E20" s="384">
        <f>+'12'!G42</f>
        <v>931.63499999999999</v>
      </c>
      <c r="F20" s="45">
        <f t="shared" si="0"/>
        <v>0.23712033846258829</v>
      </c>
      <c r="G20" s="410">
        <f t="shared" si="17"/>
        <v>0.93185083804170865</v>
      </c>
      <c r="H20" s="406">
        <f t="shared" si="18"/>
        <v>0.92442516707765432</v>
      </c>
      <c r="I20" s="406">
        <f t="shared" si="19"/>
        <v>0.95791573296559884</v>
      </c>
      <c r="J20" s="411">
        <f t="shared" si="20"/>
        <v>0.88552141149303742</v>
      </c>
      <c r="K20" s="411">
        <f t="shared" si="21"/>
        <v>0.84084364329616679</v>
      </c>
      <c r="L20" s="385">
        <f>+SUM(Efficiency1!K65:K66)</f>
        <v>43.92892085399999</v>
      </c>
      <c r="M20" s="386">
        <f t="shared" si="22"/>
        <v>528.06012573208693</v>
      </c>
      <c r="N20" s="385">
        <f>+SUM(Efficiency1!C65:C66)</f>
        <v>43.578862991999991</v>
      </c>
      <c r="O20" s="386">
        <f t="shared" si="22"/>
        <v>512.88402283659241</v>
      </c>
      <c r="P20" s="386">
        <f>'12'!I38</f>
        <v>40.608999999999995</v>
      </c>
      <c r="Q20" s="386">
        <f t="shared" si="23"/>
        <v>460.94699999999995</v>
      </c>
      <c r="R20" s="580">
        <f>'12'!I40</f>
        <v>38.9</v>
      </c>
      <c r="S20" s="386">
        <f t="shared" si="24"/>
        <v>444.01599999999991</v>
      </c>
      <c r="T20" s="94">
        <f t="shared" si="1"/>
        <v>5666.3386892940962</v>
      </c>
      <c r="U20" s="12">
        <f t="shared" si="25"/>
        <v>61561.122269311025</v>
      </c>
      <c r="V20" s="287">
        <f t="shared" si="26"/>
        <v>139.53406115132353</v>
      </c>
      <c r="W20" s="287">
        <f t="shared" si="27"/>
        <v>133.55358049691404</v>
      </c>
      <c r="X20" s="288">
        <f t="shared" si="28"/>
        <v>145.66423365794591</v>
      </c>
      <c r="Y20" s="287">
        <f t="shared" si="29"/>
        <v>138.64618002349249</v>
      </c>
      <c r="Z20" s="388">
        <v>51.4</v>
      </c>
      <c r="AA20" s="387">
        <f t="shared" si="30"/>
        <v>595.89999999999986</v>
      </c>
      <c r="AB20" s="390">
        <f t="shared" si="2"/>
        <v>1.2657292718362925</v>
      </c>
      <c r="AC20" s="390">
        <f t="shared" si="3"/>
        <v>1.2927733557220242</v>
      </c>
      <c r="AD20" s="385">
        <f t="shared" si="4"/>
        <v>1.3213367609254498</v>
      </c>
      <c r="AE20" s="390">
        <f t="shared" si="5"/>
        <v>1.342068754279125</v>
      </c>
      <c r="AF20" s="389">
        <f>'12'!I46</f>
        <v>38692.880000000361</v>
      </c>
      <c r="AG20" s="387">
        <f t="shared" si="31"/>
        <v>448706.41999999929</v>
      </c>
      <c r="AH20" s="390">
        <f t="shared" si="6"/>
        <v>952.81538575193599</v>
      </c>
      <c r="AI20" s="390">
        <f t="shared" si="7"/>
        <v>973.4447127326988</v>
      </c>
      <c r="AJ20" s="390">
        <f t="shared" si="8"/>
        <v>994.67557840617894</v>
      </c>
      <c r="AK20" s="390">
        <f t="shared" si="9"/>
        <v>1010.5636283377162</v>
      </c>
      <c r="AL20" s="445">
        <v>5877.5</v>
      </c>
      <c r="AM20" s="446">
        <v>6056.9</v>
      </c>
      <c r="AN20" s="446">
        <v>5236.5</v>
      </c>
      <c r="AO20" s="446">
        <f t="shared" si="40"/>
        <v>17170.900000000001</v>
      </c>
      <c r="AP20" s="589">
        <f>+[1]Jan!N16</f>
        <v>16554</v>
      </c>
      <c r="AQ20" s="478">
        <f t="shared" si="10"/>
        <v>-616.90000000000146</v>
      </c>
      <c r="AR20" s="449">
        <f t="shared" si="11"/>
        <v>0.34229423035484452</v>
      </c>
      <c r="AS20" s="449">
        <f t="shared" si="12"/>
        <v>0.35274213931710041</v>
      </c>
      <c r="AT20" s="449">
        <f t="shared" si="33"/>
        <v>0.30496363032805507</v>
      </c>
      <c r="AU20" s="449">
        <f t="shared" si="34"/>
        <v>-211.16131070590407</v>
      </c>
      <c r="AV20" s="449">
        <f t="shared" si="35"/>
        <v>-217.60662574471976</v>
      </c>
      <c r="AW20" s="449">
        <f t="shared" si="39"/>
        <v>-188.13206354937762</v>
      </c>
      <c r="AX20" s="391">
        <f t="shared" si="13"/>
        <v>5666.3386892940962</v>
      </c>
      <c r="AY20" s="391">
        <f t="shared" si="14"/>
        <v>5839.2933742552796</v>
      </c>
      <c r="AZ20" s="391">
        <f t="shared" si="15"/>
        <v>5048.3679364506224</v>
      </c>
      <c r="BA20" s="385">
        <f>+SUM(Efficiency2!K65:K66)</f>
        <v>43.92892085399999</v>
      </c>
      <c r="BB20" s="386">
        <f t="shared" si="36"/>
        <v>498.285081104087</v>
      </c>
      <c r="BC20" s="411">
        <f t="shared" si="37"/>
        <v>0.88552141149303742</v>
      </c>
      <c r="BD20" s="411">
        <f t="shared" si="38"/>
        <v>0.89108828828702014</v>
      </c>
    </row>
    <row r="21" spans="1:56" s="391" customFormat="1" ht="12.75" customHeight="1">
      <c r="A21" s="405">
        <f t="shared" si="16"/>
        <v>46035</v>
      </c>
      <c r="B21" s="414" t="s">
        <v>447</v>
      </c>
      <c r="C21" s="392" t="s">
        <v>536</v>
      </c>
      <c r="D21" s="384">
        <f>+'13'!F42</f>
        <v>1212.2569444444443</v>
      </c>
      <c r="E21" s="384">
        <f>+'13'!G42</f>
        <v>904.56583333333322</v>
      </c>
      <c r="F21" s="45">
        <f t="shared" si="0"/>
        <v>0.25381674447913383</v>
      </c>
      <c r="G21" s="410">
        <f t="shared" si="17"/>
        <v>0.95065587684348762</v>
      </c>
      <c r="H21" s="406">
        <f t="shared" si="18"/>
        <v>0.95065587684348762</v>
      </c>
      <c r="I21" s="406">
        <f t="shared" si="19"/>
        <v>0.93899881902099258</v>
      </c>
      <c r="J21" s="411">
        <f t="shared" si="20"/>
        <v>0.89266474565140097</v>
      </c>
      <c r="K21" s="411">
        <f t="shared" si="21"/>
        <v>0.84479972658446156</v>
      </c>
      <c r="L21" s="385">
        <f>+SUM(Efficiency1!K70:K71)</f>
        <v>43.644604751999992</v>
      </c>
      <c r="M21" s="386">
        <f t="shared" si="22"/>
        <v>571.70473048408689</v>
      </c>
      <c r="N21" s="385">
        <f>+SUM(Efficiency1!C70:C71)</f>
        <v>43.644604751999992</v>
      </c>
      <c r="O21" s="386">
        <f t="shared" si="22"/>
        <v>556.52862758859237</v>
      </c>
      <c r="P21" s="386">
        <f>'13'!I38</f>
        <v>41.491</v>
      </c>
      <c r="Q21" s="386">
        <f t="shared" si="23"/>
        <v>502.43799999999993</v>
      </c>
      <c r="R21" s="580">
        <f>'13'!I40</f>
        <v>38.96</v>
      </c>
      <c r="S21" s="386">
        <f t="shared" si="24"/>
        <v>482.97599999999989</v>
      </c>
      <c r="T21" s="94">
        <f t="shared" si="1"/>
        <v>5614.3241788155583</v>
      </c>
      <c r="U21" s="12">
        <f t="shared" si="25"/>
        <v>67175.44644812659</v>
      </c>
      <c r="V21" s="287">
        <f t="shared" si="26"/>
        <v>135.31426523379909</v>
      </c>
      <c r="W21" s="287">
        <f t="shared" si="27"/>
        <v>133.69897668593259</v>
      </c>
      <c r="X21" s="288">
        <f t="shared" si="28"/>
        <v>144.10483005173404</v>
      </c>
      <c r="Y21" s="287">
        <f t="shared" si="29"/>
        <v>139.08651040243532</v>
      </c>
      <c r="Z21" s="388">
        <v>50</v>
      </c>
      <c r="AA21" s="387">
        <f t="shared" si="30"/>
        <v>645.89999999999986</v>
      </c>
      <c r="AB21" s="390">
        <f t="shared" si="2"/>
        <v>1.2050806198934709</v>
      </c>
      <c r="AC21" s="390">
        <f t="shared" si="3"/>
        <v>1.2855317472006496</v>
      </c>
      <c r="AD21" s="385">
        <f t="shared" si="4"/>
        <v>1.2833675564681724</v>
      </c>
      <c r="AE21" s="390">
        <f t="shared" si="5"/>
        <v>1.3373335321009741</v>
      </c>
      <c r="AF21" s="389">
        <f>'13'!I46</f>
        <v>38028.860000000728</v>
      </c>
      <c r="AG21" s="387">
        <f t="shared" si="31"/>
        <v>486735.28</v>
      </c>
      <c r="AH21" s="390">
        <f t="shared" si="6"/>
        <v>916.55684365285799</v>
      </c>
      <c r="AI21" s="390">
        <f t="shared" si="7"/>
        <v>968.74694987242231</v>
      </c>
      <c r="AJ21" s="390">
        <f t="shared" si="8"/>
        <v>976.10010266942311</v>
      </c>
      <c r="AK21" s="390">
        <f t="shared" si="9"/>
        <v>1007.7835751672964</v>
      </c>
      <c r="AL21" s="445">
        <v>5809</v>
      </c>
      <c r="AM21" s="446">
        <v>5521.3</v>
      </c>
      <c r="AN21" s="446">
        <v>5200.7</v>
      </c>
      <c r="AO21" s="446">
        <f t="shared" si="40"/>
        <v>16531</v>
      </c>
      <c r="AP21" s="589">
        <f>+[1]Jan!N17</f>
        <v>15977</v>
      </c>
      <c r="AQ21" s="478">
        <f t="shared" si="10"/>
        <v>-554</v>
      </c>
      <c r="AR21" s="449">
        <f t="shared" si="11"/>
        <v>0.35140039924989414</v>
      </c>
      <c r="AS21" s="449">
        <f t="shared" si="12"/>
        <v>0.33399673340995706</v>
      </c>
      <c r="AT21" s="449">
        <f t="shared" si="33"/>
        <v>0.31460286734014875</v>
      </c>
      <c r="AU21" s="449">
        <f t="shared" si="34"/>
        <v>-194.67582118444136</v>
      </c>
      <c r="AV21" s="449">
        <f t="shared" si="35"/>
        <v>-185.03419030911621</v>
      </c>
      <c r="AW21" s="449">
        <f t="shared" si="39"/>
        <v>-174.2899885064424</v>
      </c>
      <c r="AX21" s="391">
        <f t="shared" si="13"/>
        <v>5614.3241788155583</v>
      </c>
      <c r="AY21" s="391">
        <f t="shared" si="14"/>
        <v>5336.2658096908835</v>
      </c>
      <c r="AZ21" s="391">
        <f t="shared" si="15"/>
        <v>5026.4100114935572</v>
      </c>
      <c r="BA21" s="385">
        <f>+SUM(Efficiency2!K70:K71)</f>
        <v>43.644604751999992</v>
      </c>
      <c r="BB21" s="386">
        <f t="shared" si="36"/>
        <v>541.92968585608696</v>
      </c>
      <c r="BC21" s="411">
        <f t="shared" si="37"/>
        <v>0.89266474565140097</v>
      </c>
      <c r="BD21" s="411">
        <f t="shared" si="38"/>
        <v>0.89121524914628381</v>
      </c>
    </row>
    <row r="22" spans="1:56" s="391" customFormat="1" ht="12.75" customHeight="1">
      <c r="A22" s="405">
        <f t="shared" si="16"/>
        <v>46036</v>
      </c>
      <c r="B22" s="414" t="s">
        <v>447</v>
      </c>
      <c r="C22" s="392" t="s">
        <v>551</v>
      </c>
      <c r="D22" s="384">
        <f>+'14'!F42</f>
        <v>1227.5416666666667</v>
      </c>
      <c r="E22" s="384">
        <f>+'14'!G42</f>
        <v>932.93166666666673</v>
      </c>
      <c r="F22" s="45">
        <f t="shared" si="0"/>
        <v>0.24</v>
      </c>
      <c r="G22" s="410">
        <f t="shared" si="17"/>
        <v>0.93094702244491456</v>
      </c>
      <c r="H22" s="406">
        <f t="shared" si="18"/>
        <v>0.9290078682665931</v>
      </c>
      <c r="I22" s="406">
        <f t="shared" si="19"/>
        <v>0.94603056280283271</v>
      </c>
      <c r="J22" s="411">
        <f t="shared" si="20"/>
        <v>0.87886983646450489</v>
      </c>
      <c r="K22" s="411">
        <f t="shared" si="21"/>
        <v>0.84719951640125923</v>
      </c>
      <c r="L22" s="385">
        <f>+SUM(Efficiency1!K75:K76)</f>
        <v>43.320408119999989</v>
      </c>
      <c r="M22" s="386">
        <f t="shared" si="22"/>
        <v>615.02513860408692</v>
      </c>
      <c r="N22" s="385">
        <f>+SUM(Efficiency1!C75:C76)</f>
        <v>43.23017210399999</v>
      </c>
      <c r="O22" s="386">
        <f t="shared" si="22"/>
        <v>599.75879969259233</v>
      </c>
      <c r="P22" s="386">
        <f>'14'!I38</f>
        <v>40.244999999999997</v>
      </c>
      <c r="Q22" s="386">
        <f t="shared" si="23"/>
        <v>542.68299999999988</v>
      </c>
      <c r="R22" s="580">
        <f>'14'!I40</f>
        <v>38.073</v>
      </c>
      <c r="S22" s="386">
        <f t="shared" si="24"/>
        <v>521.04899999999986</v>
      </c>
      <c r="T22" s="94">
        <f t="shared" si="1"/>
        <v>5374.6149575166146</v>
      </c>
      <c r="U22" s="12">
        <f t="shared" si="25"/>
        <v>72550.06140564321</v>
      </c>
      <c r="V22" s="287">
        <f t="shared" si="26"/>
        <v>133.54739613657884</v>
      </c>
      <c r="W22" s="287">
        <f t="shared" si="27"/>
        <v>133.68773557609734</v>
      </c>
      <c r="X22" s="288">
        <f t="shared" si="28"/>
        <v>141.16604831551533</v>
      </c>
      <c r="Y22" s="287">
        <f t="shared" si="29"/>
        <v>139.23846203647494</v>
      </c>
      <c r="Z22" s="388">
        <v>53</v>
      </c>
      <c r="AA22" s="387">
        <f t="shared" si="30"/>
        <v>698.89999999999986</v>
      </c>
      <c r="AB22" s="390">
        <f t="shared" si="2"/>
        <v>1.3169337805938626</v>
      </c>
      <c r="AC22" s="390">
        <f t="shared" si="3"/>
        <v>1.2878605005131909</v>
      </c>
      <c r="AD22" s="385">
        <f t="shared" si="4"/>
        <v>1.3920626165524124</v>
      </c>
      <c r="AE22" s="390">
        <f t="shared" si="5"/>
        <v>1.3413325810048575</v>
      </c>
      <c r="AF22" s="389">
        <f>'14'!I46</f>
        <v>39390.379999999634</v>
      </c>
      <c r="AG22" s="387">
        <f t="shared" si="31"/>
        <v>526125.65999999968</v>
      </c>
      <c r="AH22" s="390">
        <f t="shared" si="6"/>
        <v>978.76456702695077</v>
      </c>
      <c r="AI22" s="390">
        <f t="shared" si="7"/>
        <v>969.48984950698627</v>
      </c>
      <c r="AJ22" s="390">
        <f t="shared" si="8"/>
        <v>1034.6014235810057</v>
      </c>
      <c r="AK22" s="390">
        <f t="shared" si="9"/>
        <v>1009.7431527553067</v>
      </c>
      <c r="AL22" s="445">
        <v>5594.4</v>
      </c>
      <c r="AM22" s="446">
        <v>6001.1</v>
      </c>
      <c r="AN22" s="446">
        <v>5046.3</v>
      </c>
      <c r="AO22" s="446">
        <f t="shared" si="40"/>
        <v>16641.8</v>
      </c>
      <c r="AP22" s="589">
        <f>+[1]Jan!N18</f>
        <v>15988</v>
      </c>
      <c r="AQ22" s="478">
        <f t="shared" si="10"/>
        <v>-653.79999999999927</v>
      </c>
      <c r="AR22" s="449">
        <f t="shared" si="11"/>
        <v>0.33616555901404893</v>
      </c>
      <c r="AS22" s="449">
        <f t="shared" si="12"/>
        <v>0.36060402119962987</v>
      </c>
      <c r="AT22" s="449">
        <f t="shared" si="33"/>
        <v>0.30323041978632126</v>
      </c>
      <c r="AU22" s="449">
        <f t="shared" si="34"/>
        <v>-219.78504248338496</v>
      </c>
      <c r="AV22" s="449">
        <f t="shared" si="35"/>
        <v>-235.76290906031775</v>
      </c>
      <c r="AW22" s="449">
        <f t="shared" si="39"/>
        <v>-198.25204845629662</v>
      </c>
      <c r="AX22" s="391">
        <f t="shared" si="13"/>
        <v>5374.6149575166146</v>
      </c>
      <c r="AY22" s="391">
        <f t="shared" si="14"/>
        <v>5765.3370909396826</v>
      </c>
      <c r="AZ22" s="391">
        <f t="shared" si="15"/>
        <v>4848.0479515437037</v>
      </c>
      <c r="BA22" s="385">
        <f>+SUM(Efficiency2!K75:K76)</f>
        <v>43.320408119999989</v>
      </c>
      <c r="BB22" s="386">
        <f t="shared" si="36"/>
        <v>585.25009397608699</v>
      </c>
      <c r="BC22" s="411">
        <f t="shared" si="37"/>
        <v>0.87886983646450489</v>
      </c>
      <c r="BD22" s="411">
        <f t="shared" si="38"/>
        <v>0.89030143756164803</v>
      </c>
    </row>
    <row r="23" spans="1:56" s="391" customFormat="1" ht="12.75" customHeight="1">
      <c r="A23" s="405">
        <f t="shared" si="16"/>
        <v>46037</v>
      </c>
      <c r="B23" s="414" t="s">
        <v>447</v>
      </c>
      <c r="C23" s="392" t="s">
        <v>573</v>
      </c>
      <c r="D23" s="384">
        <f>+'15'!F42</f>
        <v>1107.8958333333333</v>
      </c>
      <c r="E23" s="384">
        <f>+'15'!G42</f>
        <v>825.05291666666665</v>
      </c>
      <c r="F23" s="45">
        <f t="shared" si="0"/>
        <v>0.25529739182760114</v>
      </c>
      <c r="G23" s="410">
        <f t="shared" si="17"/>
        <v>0.94455752482694</v>
      </c>
      <c r="H23" s="406">
        <f t="shared" si="18"/>
        <v>0.87545909934880828</v>
      </c>
      <c r="I23" s="406">
        <f t="shared" si="19"/>
        <v>0.94968866211190872</v>
      </c>
      <c r="J23" s="411">
        <f t="shared" si="20"/>
        <v>0.8314135807942663</v>
      </c>
      <c r="K23" s="411">
        <f t="shared" si="21"/>
        <v>0.84595074886523214</v>
      </c>
      <c r="L23" s="385">
        <f>+SUM(Efficiency1!K80:K82)</f>
        <v>52.831708567999996</v>
      </c>
      <c r="M23" s="386">
        <f t="shared" si="22"/>
        <v>667.85684717208687</v>
      </c>
      <c r="N23" s="385">
        <f>+SUM(Efficiency1!C80:C82)</f>
        <v>48.966842976000002</v>
      </c>
      <c r="O23" s="386">
        <f t="shared" si="22"/>
        <v>648.72564266859229</v>
      </c>
      <c r="P23" s="386">
        <f>'15'!I38</f>
        <v>46.251999999999995</v>
      </c>
      <c r="Q23" s="386">
        <f t="shared" si="23"/>
        <v>588.93499999999983</v>
      </c>
      <c r="R23" s="580">
        <f>'15'!I40</f>
        <v>43.924999999999997</v>
      </c>
      <c r="S23" s="386">
        <f t="shared" si="24"/>
        <v>564.97399999999982</v>
      </c>
      <c r="T23" s="94">
        <f t="shared" si="1"/>
        <v>4986.9276888297054</v>
      </c>
      <c r="U23" s="12">
        <f t="shared" si="25"/>
        <v>77536.989094472912</v>
      </c>
      <c r="V23" s="287">
        <f t="shared" si="26"/>
        <v>107.82080102113868</v>
      </c>
      <c r="W23" s="287">
        <f t="shared" si="27"/>
        <v>131.65627631992143</v>
      </c>
      <c r="X23" s="288">
        <f t="shared" si="28"/>
        <v>113.53278745201378</v>
      </c>
      <c r="Y23" s="287">
        <f t="shared" si="29"/>
        <v>137.23992448231766</v>
      </c>
      <c r="Z23" s="388">
        <v>52.3</v>
      </c>
      <c r="AA23" s="387">
        <f t="shared" si="30"/>
        <v>751.19999999999982</v>
      </c>
      <c r="AB23" s="390">
        <f t="shared" si="2"/>
        <v>1.1307619129983568</v>
      </c>
      <c r="AC23" s="390">
        <f t="shared" si="3"/>
        <v>1.2755227656702353</v>
      </c>
      <c r="AD23" s="385">
        <f t="shared" si="4"/>
        <v>1.190665907797382</v>
      </c>
      <c r="AE23" s="390">
        <f t="shared" si="5"/>
        <v>1.3296187081175419</v>
      </c>
      <c r="AF23" s="389">
        <f>'15'!I46</f>
        <v>35513.520000000361</v>
      </c>
      <c r="AG23" s="387">
        <f t="shared" si="31"/>
        <v>561639.18000000005</v>
      </c>
      <c r="AH23" s="390">
        <f t="shared" si="6"/>
        <v>767.82668857563704</v>
      </c>
      <c r="AI23" s="390">
        <f t="shared" si="7"/>
        <v>953.65223666448787</v>
      </c>
      <c r="AJ23" s="390">
        <f t="shared" si="8"/>
        <v>808.50358565737872</v>
      </c>
      <c r="AK23" s="390">
        <f t="shared" si="9"/>
        <v>994.09739209238001</v>
      </c>
      <c r="AL23" s="445">
        <v>5286.7</v>
      </c>
      <c r="AM23" s="446">
        <v>5943.4</v>
      </c>
      <c r="AN23" s="446">
        <v>4915.3999999999996</v>
      </c>
      <c r="AO23" s="446">
        <f t="shared" si="40"/>
        <v>16145.499999999998</v>
      </c>
      <c r="AP23" s="589">
        <f>+[1]Jan!N19</f>
        <v>15230</v>
      </c>
      <c r="AQ23" s="478">
        <f t="shared" si="10"/>
        <v>-915.49999999999818</v>
      </c>
      <c r="AR23" s="449">
        <f t="shared" si="11"/>
        <v>0.32744108265460969</v>
      </c>
      <c r="AS23" s="449">
        <f t="shared" si="12"/>
        <v>0.36811495463132143</v>
      </c>
      <c r="AT23" s="449">
        <f t="shared" si="33"/>
        <v>0.30444396271406887</v>
      </c>
      <c r="AU23" s="449">
        <f t="shared" si="34"/>
        <v>-299.77231117029459</v>
      </c>
      <c r="AV23" s="449">
        <f t="shared" si="35"/>
        <v>-337.00924096497408</v>
      </c>
      <c r="AW23" s="449">
        <f t="shared" si="39"/>
        <v>-278.71844786472951</v>
      </c>
      <c r="AX23" s="391">
        <f t="shared" si="13"/>
        <v>4986.9276888297054</v>
      </c>
      <c r="AY23" s="391">
        <f t="shared" si="14"/>
        <v>5606.3907590350254</v>
      </c>
      <c r="AZ23" s="391">
        <f t="shared" si="15"/>
        <v>4636.6815521352701</v>
      </c>
      <c r="BA23" s="385">
        <f>+SUM(Efficiency2!K80:K82)</f>
        <v>52.831708567999996</v>
      </c>
      <c r="BB23" s="386">
        <f t="shared" si="36"/>
        <v>638.08180254408694</v>
      </c>
      <c r="BC23" s="411">
        <f t="shared" si="37"/>
        <v>0.8314135807942663</v>
      </c>
      <c r="BD23" s="411">
        <f t="shared" si="38"/>
        <v>0.88542565819523444</v>
      </c>
    </row>
    <row r="24" spans="1:56" s="391" customFormat="1" ht="12.75" customHeight="1">
      <c r="A24" s="405">
        <f t="shared" si="16"/>
        <v>46038</v>
      </c>
      <c r="B24" s="414" t="s">
        <v>447</v>
      </c>
      <c r="C24" s="392" t="s">
        <v>574</v>
      </c>
      <c r="D24" s="384">
        <f>+'16'!F42</f>
        <v>1179.1666666666667</v>
      </c>
      <c r="E24" s="384">
        <f>+'16'!G42</f>
        <v>887.07833333333338</v>
      </c>
      <c r="F24" s="45">
        <f t="shared" si="0"/>
        <v>0.24770742049469963</v>
      </c>
      <c r="G24" s="410">
        <f t="shared" si="17"/>
        <v>0.94963607238951608</v>
      </c>
      <c r="H24" s="406">
        <f t="shared" si="18"/>
        <v>0.91643247136502404</v>
      </c>
      <c r="I24" s="406">
        <f t="shared" si="19"/>
        <v>0.88451966152314587</v>
      </c>
      <c r="J24" s="411">
        <f t="shared" si="20"/>
        <v>0.81060253938061111</v>
      </c>
      <c r="K24" s="411">
        <f t="shared" si="21"/>
        <v>0.84357004767071053</v>
      </c>
      <c r="L24" s="385">
        <f>+SUM(Efficiency1!K85:K86)</f>
        <v>48.228321650549091</v>
      </c>
      <c r="M24" s="386">
        <f t="shared" si="22"/>
        <v>716.08516882263598</v>
      </c>
      <c r="N24" s="385">
        <f>+SUM(Efficiency1!C85:C86)</f>
        <v>46.542039929872345</v>
      </c>
      <c r="O24" s="386">
        <f t="shared" si="22"/>
        <v>695.2676825984646</v>
      </c>
      <c r="P24" s="386">
        <f>'16'!I38</f>
        <v>44.198</v>
      </c>
      <c r="Q24" s="386">
        <f t="shared" si="23"/>
        <v>633.13299999999981</v>
      </c>
      <c r="R24" s="580">
        <f>'16'!I40</f>
        <v>39.094000000000001</v>
      </c>
      <c r="S24" s="386">
        <f t="shared" si="24"/>
        <v>604.06799999999987</v>
      </c>
      <c r="T24" s="94">
        <f t="shared" si="1"/>
        <v>5332.2498086103551</v>
      </c>
      <c r="U24" s="12">
        <f t="shared" si="25"/>
        <v>82869.238903083271</v>
      </c>
      <c r="V24" s="287">
        <f t="shared" si="26"/>
        <v>120.64459497285749</v>
      </c>
      <c r="W24" s="287">
        <f t="shared" si="27"/>
        <v>130.88756849363924</v>
      </c>
      <c r="X24" s="288">
        <f t="shared" si="28"/>
        <v>136.39560568400154</v>
      </c>
      <c r="Y24" s="287">
        <f t="shared" si="29"/>
        <v>137.1852819601159</v>
      </c>
      <c r="Z24" s="388">
        <v>54.8</v>
      </c>
      <c r="AA24" s="387">
        <f t="shared" si="30"/>
        <v>805.99999999999977</v>
      </c>
      <c r="AB24" s="390">
        <f t="shared" si="2"/>
        <v>1.2398751074709262</v>
      </c>
      <c r="AC24" s="390">
        <f t="shared" si="3"/>
        <v>1.2730342597842792</v>
      </c>
      <c r="AD24" s="385">
        <f t="shared" si="4"/>
        <v>1.4017496290990943</v>
      </c>
      <c r="AE24" s="390">
        <f t="shared" si="5"/>
        <v>1.3342868683658131</v>
      </c>
      <c r="AF24" s="389">
        <f>'16'!I46</f>
        <v>37061.779999999271</v>
      </c>
      <c r="AG24" s="387">
        <f t="shared" si="31"/>
        <v>598700.95999999926</v>
      </c>
      <c r="AH24" s="390">
        <f t="shared" si="6"/>
        <v>838.53975292998041</v>
      </c>
      <c r="AI24" s="390">
        <f t="shared" si="7"/>
        <v>945.61641866716707</v>
      </c>
      <c r="AJ24" s="390">
        <f t="shared" si="8"/>
        <v>948.01708702100757</v>
      </c>
      <c r="AK24" s="390">
        <f t="shared" si="9"/>
        <v>991.11517246402627</v>
      </c>
      <c r="AL24" s="445">
        <v>5398</v>
      </c>
      <c r="AM24" s="446">
        <v>5900.1</v>
      </c>
      <c r="AN24" s="446">
        <v>4768.6000000000004</v>
      </c>
      <c r="AO24" s="446">
        <f t="shared" si="40"/>
        <v>16066.7</v>
      </c>
      <c r="AP24" s="589">
        <f>+[1]Jan!N20</f>
        <v>15871</v>
      </c>
      <c r="AQ24" s="478">
        <f t="shared" si="10"/>
        <v>-195.70000000000073</v>
      </c>
      <c r="AR24" s="449">
        <f t="shared" si="11"/>
        <v>0.33597440669210227</v>
      </c>
      <c r="AS24" s="449">
        <f t="shared" si="12"/>
        <v>0.36722537920045811</v>
      </c>
      <c r="AT24" s="449">
        <f t="shared" si="33"/>
        <v>0.29680021410743967</v>
      </c>
      <c r="AU24" s="449">
        <f t="shared" si="34"/>
        <v>-65.750191389644655</v>
      </c>
      <c r="AV24" s="449">
        <f t="shared" si="35"/>
        <v>-71.866006709529927</v>
      </c>
      <c r="AW24" s="449">
        <f t="shared" si="39"/>
        <v>-58.08380190082616</v>
      </c>
      <c r="AX24" s="391">
        <f t="shared" si="13"/>
        <v>5332.2498086103551</v>
      </c>
      <c r="AY24" s="391">
        <f t="shared" si="14"/>
        <v>5828.2339932904706</v>
      </c>
      <c r="AZ24" s="391">
        <f t="shared" si="15"/>
        <v>4710.5161980991743</v>
      </c>
      <c r="BA24" s="385">
        <f>+SUM(Efficiency2!K85:K86)</f>
        <v>48.228321650549091</v>
      </c>
      <c r="BB24" s="386">
        <f t="shared" si="36"/>
        <v>686.31012419463605</v>
      </c>
      <c r="BC24" s="411">
        <f t="shared" si="37"/>
        <v>0.81060253938061111</v>
      </c>
      <c r="BD24" s="411">
        <f t="shared" si="38"/>
        <v>0.88016769490156543</v>
      </c>
    </row>
    <row r="25" spans="1:56" s="391" customFormat="1" ht="12.75" customHeight="1">
      <c r="A25" s="405">
        <f t="shared" si="16"/>
        <v>46039</v>
      </c>
      <c r="B25" s="414" t="s">
        <v>447</v>
      </c>
      <c r="C25" s="392" t="s">
        <v>411</v>
      </c>
      <c r="D25" s="384">
        <f>+'17'!F42</f>
        <v>1224.9583333333333</v>
      </c>
      <c r="E25" s="384">
        <f>+'17'!G42</f>
        <v>930.96833333333325</v>
      </c>
      <c r="F25" s="45">
        <f t="shared" si="0"/>
        <v>0.24</v>
      </c>
      <c r="G25" s="410">
        <f t="shared" si="17"/>
        <v>1.020919566167394</v>
      </c>
      <c r="H25" s="406">
        <f t="shared" si="18"/>
        <v>1.0167349026339842</v>
      </c>
      <c r="I25" s="406">
        <f t="shared" si="19"/>
        <v>0.94984868136619105</v>
      </c>
      <c r="J25" s="411">
        <f t="shared" si="20"/>
        <v>0.96574430656587262</v>
      </c>
      <c r="K25" s="411">
        <f t="shared" si="21"/>
        <v>0.85086899009717054</v>
      </c>
      <c r="L25" s="385">
        <f>+Efficiency1!K90</f>
        <v>45.498585599999998</v>
      </c>
      <c r="M25" s="386">
        <f t="shared" si="22"/>
        <v>761.58375442263593</v>
      </c>
      <c r="N25" s="385">
        <f>+Efficiency1!C90</f>
        <v>45.31209072</v>
      </c>
      <c r="O25" s="386">
        <f t="shared" si="22"/>
        <v>740.57977331846462</v>
      </c>
      <c r="P25" s="386">
        <f>'17'!I38</f>
        <v>46.26</v>
      </c>
      <c r="Q25" s="386">
        <f t="shared" si="23"/>
        <v>679.3929999999998</v>
      </c>
      <c r="R25" s="580">
        <f>'17'!I40</f>
        <v>43.94</v>
      </c>
      <c r="S25" s="386">
        <f t="shared" si="24"/>
        <v>648.00799999999981</v>
      </c>
      <c r="T25" s="94">
        <f t="shared" si="1"/>
        <v>5587.7336325919023</v>
      </c>
      <c r="U25" s="12">
        <f t="shared" si="25"/>
        <v>88456.972535675173</v>
      </c>
      <c r="V25" s="287">
        <f t="shared" si="26"/>
        <v>120.78974562455474</v>
      </c>
      <c r="W25" s="287">
        <f t="shared" si="27"/>
        <v>130.20000579292869</v>
      </c>
      <c r="X25" s="288">
        <f t="shared" si="28"/>
        <v>127.16735622648845</v>
      </c>
      <c r="Y25" s="287">
        <f t="shared" si="29"/>
        <v>136.5059884070493</v>
      </c>
      <c r="Z25" s="388">
        <v>56</v>
      </c>
      <c r="AA25" s="387">
        <f t="shared" si="30"/>
        <v>861.99999999999977</v>
      </c>
      <c r="AB25" s="390">
        <f t="shared" si="2"/>
        <v>1.2105490704712496</v>
      </c>
      <c r="AC25" s="390">
        <f t="shared" si="3"/>
        <v>1.2687796312296418</v>
      </c>
      <c r="AD25" s="385">
        <f t="shared" si="4"/>
        <v>1.2744651797906237</v>
      </c>
      <c r="AE25" s="390">
        <f t="shared" si="5"/>
        <v>1.330230490981593</v>
      </c>
      <c r="AF25" s="389">
        <f>'17'!I46</f>
        <v>36600.239999999998</v>
      </c>
      <c r="AG25" s="387">
        <f t="shared" si="31"/>
        <v>635301.19999999925</v>
      </c>
      <c r="AH25" s="390">
        <f t="shared" si="6"/>
        <v>791.18547341115436</v>
      </c>
      <c r="AI25" s="390">
        <f t="shared" si="7"/>
        <v>935.10118591154094</v>
      </c>
      <c r="AJ25" s="390">
        <f t="shared" si="8"/>
        <v>832.95949021392801</v>
      </c>
      <c r="AK25" s="390">
        <f t="shared" si="9"/>
        <v>980.39098282737166</v>
      </c>
      <c r="AL25" s="445">
        <v>5716.1</v>
      </c>
      <c r="AM25" s="446">
        <v>5329.9</v>
      </c>
      <c r="AN25" s="446">
        <v>4837.7</v>
      </c>
      <c r="AO25" s="446">
        <f t="shared" si="40"/>
        <v>15883.7</v>
      </c>
      <c r="AP25" s="589">
        <f>+[1]Jan!N21</f>
        <v>15527</v>
      </c>
      <c r="AQ25" s="478">
        <f t="shared" si="10"/>
        <v>-356.70000000000073</v>
      </c>
      <c r="AR25" s="449">
        <f t="shared" si="11"/>
        <v>0.35987207010960925</v>
      </c>
      <c r="AS25" s="449">
        <f t="shared" si="12"/>
        <v>0.33555783602057454</v>
      </c>
      <c r="AT25" s="449">
        <f t="shared" si="33"/>
        <v>0.30457009386981626</v>
      </c>
      <c r="AU25" s="449">
        <f t="shared" si="34"/>
        <v>-128.36636740809789</v>
      </c>
      <c r="AV25" s="449">
        <f>+AS25*AQ25</f>
        <v>-119.69348010853918</v>
      </c>
      <c r="AW25" s="449">
        <f t="shared" si="39"/>
        <v>-108.64015248336368</v>
      </c>
      <c r="AX25" s="391">
        <f t="shared" si="13"/>
        <v>5587.7336325919023</v>
      </c>
      <c r="AY25" s="391">
        <f t="shared" si="14"/>
        <v>5210.2065198914606</v>
      </c>
      <c r="AZ25" s="391">
        <f t="shared" si="15"/>
        <v>4729.0598475166362</v>
      </c>
      <c r="BA25" s="385">
        <f>+Efficiency2!K90</f>
        <v>45.498585599999998</v>
      </c>
      <c r="BB25" s="386">
        <f t="shared" si="36"/>
        <v>731.808709794636</v>
      </c>
      <c r="BC25" s="411">
        <f t="shared" si="37"/>
        <v>0.96574430656587262</v>
      </c>
      <c r="BD25" s="411">
        <f t="shared" si="38"/>
        <v>0.8854882311825002</v>
      </c>
    </row>
    <row r="26" spans="1:56" s="391" customFormat="1" ht="12.75" customHeight="1">
      <c r="A26" s="405">
        <f t="shared" si="16"/>
        <v>46040</v>
      </c>
      <c r="B26" s="414" t="s">
        <v>447</v>
      </c>
      <c r="C26" s="392" t="s">
        <v>588</v>
      </c>
      <c r="D26" s="384">
        <f>+'18'!F42</f>
        <v>1230</v>
      </c>
      <c r="E26" s="384">
        <f>+'18'!G42</f>
        <v>934.8</v>
      </c>
      <c r="F26" s="45">
        <f t="shared" si="0"/>
        <v>0.24</v>
      </c>
      <c r="G26" s="410">
        <f t="shared" si="17"/>
        <v>0.92774923902280226</v>
      </c>
      <c r="H26" s="406">
        <f t="shared" si="18"/>
        <v>0.92774923902280226</v>
      </c>
      <c r="I26" s="406">
        <f t="shared" si="19"/>
        <v>0.94727983988355158</v>
      </c>
      <c r="J26" s="411">
        <f t="shared" si="20"/>
        <v>0.87883815059360693</v>
      </c>
      <c r="K26" s="411">
        <f t="shared" si="21"/>
        <v>0.85250750338263592</v>
      </c>
      <c r="L26" s="385">
        <f>+SUM(Efficiency1!K95:K96)</f>
        <v>47.392116479999999</v>
      </c>
      <c r="M26" s="386">
        <f t="shared" si="22"/>
        <v>808.97587090263596</v>
      </c>
      <c r="N26" s="385">
        <f>+SUM(Efficiency1!C95:C96)</f>
        <v>47.392116479999999</v>
      </c>
      <c r="O26" s="386">
        <f t="shared" si="22"/>
        <v>787.97188979846464</v>
      </c>
      <c r="P26" s="386">
        <f>'18'!I38</f>
        <v>43.968000000000004</v>
      </c>
      <c r="Q26" s="386">
        <f t="shared" si="23"/>
        <v>723.36099999999976</v>
      </c>
      <c r="R26" s="580">
        <f>'18'!I40</f>
        <v>41.65</v>
      </c>
      <c r="S26" s="386">
        <f t="shared" si="24"/>
        <v>689.65799999999979</v>
      </c>
      <c r="T26" s="94">
        <f t="shared" si="1"/>
        <v>5314.1826582473432</v>
      </c>
      <c r="U26" s="12">
        <f t="shared" si="25"/>
        <v>93771.155193922517</v>
      </c>
      <c r="V26" s="287">
        <f t="shared" si="26"/>
        <v>120.86478025489771</v>
      </c>
      <c r="W26" s="287">
        <f t="shared" si="27"/>
        <v>129.63258344577957</v>
      </c>
      <c r="X26" s="288">
        <f t="shared" si="28"/>
        <v>127.59142036608267</v>
      </c>
      <c r="Y26" s="287">
        <f t="shared" si="29"/>
        <v>135.96761756395568</v>
      </c>
      <c r="Z26" s="388">
        <v>53.7</v>
      </c>
      <c r="AA26" s="387">
        <f t="shared" si="30"/>
        <v>915.69999999999982</v>
      </c>
      <c r="AB26" s="390">
        <f t="shared" si="2"/>
        <v>1.2213427947598252</v>
      </c>
      <c r="AC26" s="390">
        <f t="shared" si="3"/>
        <v>1.2658962813864725</v>
      </c>
      <c r="AD26" s="385">
        <f t="shared" si="4"/>
        <v>1.2893157262905164</v>
      </c>
      <c r="AE26" s="390">
        <f t="shared" si="5"/>
        <v>1.3277595561858198</v>
      </c>
      <c r="AF26" s="389">
        <f>'18'!I46</f>
        <v>39292.019999999633</v>
      </c>
      <c r="AG26" s="387">
        <f t="shared" si="31"/>
        <v>674593.21999999892</v>
      </c>
      <c r="AH26" s="390">
        <f t="shared" si="6"/>
        <v>893.65038209606155</v>
      </c>
      <c r="AI26" s="390">
        <f t="shared" si="7"/>
        <v>932.58168466367295</v>
      </c>
      <c r="AJ26" s="390">
        <f t="shared" si="8"/>
        <v>943.38583433372469</v>
      </c>
      <c r="AK26" s="390">
        <f t="shared" si="9"/>
        <v>978.15615855974875</v>
      </c>
      <c r="AL26" s="445">
        <v>5747</v>
      </c>
      <c r="AM26" s="446">
        <v>5820.3</v>
      </c>
      <c r="AN26" s="446">
        <v>4665.2</v>
      </c>
      <c r="AO26" s="446">
        <f t="shared" si="40"/>
        <v>16232.5</v>
      </c>
      <c r="AP26" s="589">
        <f>+[1]Jan!N22</f>
        <v>15010</v>
      </c>
      <c r="AQ26" s="478">
        <f t="shared" si="10"/>
        <v>-1222.5</v>
      </c>
      <c r="AR26" s="449">
        <f t="shared" si="11"/>
        <v>0.35404281533959647</v>
      </c>
      <c r="AS26" s="449">
        <f t="shared" si="12"/>
        <v>0.35855844755890959</v>
      </c>
      <c r="AT26" s="449">
        <f t="shared" si="33"/>
        <v>0.28739873710149394</v>
      </c>
      <c r="AU26" s="449">
        <f t="shared" si="34"/>
        <v>-432.81734175265672</v>
      </c>
      <c r="AV26" s="449">
        <f t="shared" si="35"/>
        <v>-438.33770214076696</v>
      </c>
      <c r="AW26" s="449">
        <f t="shared" si="39"/>
        <v>-351.34495610657632</v>
      </c>
      <c r="AX26" s="391">
        <f t="shared" si="13"/>
        <v>5314.1826582473432</v>
      </c>
      <c r="AY26" s="391">
        <f t="shared" si="14"/>
        <v>5381.9622978592333</v>
      </c>
      <c r="AZ26" s="391">
        <f t="shared" si="15"/>
        <v>4313.8550438934235</v>
      </c>
      <c r="BA26" s="385">
        <f>+SUM(Efficiency2!K95:K96)</f>
        <v>47.392116479999999</v>
      </c>
      <c r="BB26" s="386">
        <f t="shared" si="36"/>
        <v>779.20082627463603</v>
      </c>
      <c r="BC26" s="411">
        <f t="shared" si="37"/>
        <v>0.87883815059360693</v>
      </c>
      <c r="BD26" s="411">
        <f t="shared" si="38"/>
        <v>0.88508376370345876</v>
      </c>
    </row>
    <row r="27" spans="1:56" s="391" customFormat="1" ht="12.75" customHeight="1">
      <c r="A27" s="405">
        <f t="shared" si="16"/>
        <v>46041</v>
      </c>
      <c r="B27" s="414" t="s">
        <v>447</v>
      </c>
      <c r="C27" s="392" t="s">
        <v>516</v>
      </c>
      <c r="D27" s="384">
        <f>+'19'!F42</f>
        <v>1208.8888888888889</v>
      </c>
      <c r="E27" s="384">
        <f>+'19'!G42</f>
        <v>918.75555555555559</v>
      </c>
      <c r="F27" s="45">
        <f t="shared" si="0"/>
        <v>0.24</v>
      </c>
      <c r="G27" s="410">
        <f t="shared" si="17"/>
        <v>0.93468178476376695</v>
      </c>
      <c r="H27" s="406">
        <f t="shared" si="18"/>
        <v>0.91863936930711698</v>
      </c>
      <c r="I27" s="406">
        <f t="shared" si="19"/>
        <v>0.97966491014727741</v>
      </c>
      <c r="J27" s="411">
        <f t="shared" si="20"/>
        <v>0.89995875519000834</v>
      </c>
      <c r="K27" s="411">
        <f t="shared" si="21"/>
        <v>0.8551829973602223</v>
      </c>
      <c r="L27" s="385">
        <f>+Efficiency1!K100</f>
        <v>48.338881919999999</v>
      </c>
      <c r="M27" s="386">
        <f t="shared" si="22"/>
        <v>857.31475282263591</v>
      </c>
      <c r="N27" s="385">
        <f>+Efficiency1!C100</f>
        <v>47.509217280000001</v>
      </c>
      <c r="O27" s="386">
        <f t="shared" si="22"/>
        <v>835.48110707846467</v>
      </c>
      <c r="P27" s="386">
        <f>'19'!I38</f>
        <v>44.405999999999999</v>
      </c>
      <c r="Q27" s="386">
        <f t="shared" si="23"/>
        <v>767.76699999999971</v>
      </c>
      <c r="R27" s="580">
        <f>'19'!I40</f>
        <v>43.503</v>
      </c>
      <c r="S27" s="386">
        <f t="shared" si="24"/>
        <v>733.16099999999983</v>
      </c>
      <c r="T27" s="94">
        <f t="shared" si="1"/>
        <v>5468.3954653591554</v>
      </c>
      <c r="U27" s="12">
        <f t="shared" si="25"/>
        <v>99239.550659281667</v>
      </c>
      <c r="V27" s="287">
        <f t="shared" si="26"/>
        <v>123.1454187578065</v>
      </c>
      <c r="W27" s="287">
        <f t="shared" si="27"/>
        <v>129.25737972494483</v>
      </c>
      <c r="X27" s="288">
        <f t="shared" si="28"/>
        <v>125.70157150907191</v>
      </c>
      <c r="Y27" s="287">
        <f t="shared" si="29"/>
        <v>135.35846923019866</v>
      </c>
      <c r="Z27" s="388">
        <v>54.4</v>
      </c>
      <c r="AA27" s="387">
        <f t="shared" si="30"/>
        <v>970.0999999999998</v>
      </c>
      <c r="AB27" s="390">
        <f t="shared" si="2"/>
        <v>1.2250596766202766</v>
      </c>
      <c r="AC27" s="390">
        <f t="shared" si="3"/>
        <v>1.2635343795708855</v>
      </c>
      <c r="AD27" s="385">
        <f t="shared" si="4"/>
        <v>1.2504884720593981</v>
      </c>
      <c r="AE27" s="390">
        <f t="shared" si="5"/>
        <v>1.3231745823904981</v>
      </c>
      <c r="AF27" s="389">
        <f>'19'!I46</f>
        <v>38192.980000000003</v>
      </c>
      <c r="AG27" s="387">
        <f t="shared" si="31"/>
        <v>712786.19999999891</v>
      </c>
      <c r="AH27" s="390">
        <f t="shared" si="6"/>
        <v>860.08602441111566</v>
      </c>
      <c r="AI27" s="390">
        <f t="shared" si="7"/>
        <v>928.38869083979796</v>
      </c>
      <c r="AJ27" s="390">
        <f t="shared" si="8"/>
        <v>877.93899271314626</v>
      </c>
      <c r="AK27" s="390">
        <f t="shared" si="9"/>
        <v>972.20965108618577</v>
      </c>
      <c r="AL27" s="445">
        <v>5717.3</v>
      </c>
      <c r="AM27" s="446">
        <v>6078</v>
      </c>
      <c r="AN27" s="446">
        <v>4051.6</v>
      </c>
      <c r="AO27" s="446">
        <f t="shared" si="40"/>
        <v>15846.9</v>
      </c>
      <c r="AP27" s="589">
        <f>+[1]Jan!N23</f>
        <v>15157</v>
      </c>
      <c r="AQ27" s="478">
        <f t="shared" si="10"/>
        <v>-689.89999999999964</v>
      </c>
      <c r="AR27" s="449">
        <f t="shared" si="11"/>
        <v>0.36078349708775853</v>
      </c>
      <c r="AS27" s="449">
        <f t="shared" si="12"/>
        <v>0.38354504666527839</v>
      </c>
      <c r="AT27" s="449">
        <f t="shared" si="33"/>
        <v>0.25567145624696302</v>
      </c>
      <c r="AU27" s="449">
        <f t="shared" si="34"/>
        <v>-248.90453464084447</v>
      </c>
      <c r="AV27" s="449">
        <f t="shared" si="35"/>
        <v>-264.6077276943754</v>
      </c>
      <c r="AW27" s="449">
        <f>+AT27*AQ27</f>
        <v>-176.38773766477971</v>
      </c>
      <c r="AX27" s="391">
        <f t="shared" si="13"/>
        <v>5468.3954653591554</v>
      </c>
      <c r="AY27" s="391">
        <f t="shared" si="14"/>
        <v>5813.3922723056248</v>
      </c>
      <c r="AZ27" s="391">
        <f t="shared" si="15"/>
        <v>3875.2122623352202</v>
      </c>
      <c r="BA27" s="385">
        <f>+Efficiency2!K100</f>
        <v>48.338881919999999</v>
      </c>
      <c r="BB27" s="386">
        <f t="shared" si="36"/>
        <v>827.53970819463598</v>
      </c>
      <c r="BC27" s="411">
        <f t="shared" si="37"/>
        <v>0.89995875519000834</v>
      </c>
      <c r="BD27" s="411">
        <f t="shared" si="38"/>
        <v>0.88595265307506132</v>
      </c>
    </row>
    <row r="28" spans="1:56" s="391" customFormat="1" ht="12.75" customHeight="1">
      <c r="A28" s="405">
        <f t="shared" si="16"/>
        <v>46042</v>
      </c>
      <c r="B28" s="414" t="s">
        <v>447</v>
      </c>
      <c r="C28" s="392" t="s">
        <v>604</v>
      </c>
      <c r="D28" s="384">
        <f>+'20'!F42</f>
        <v>1225.375</v>
      </c>
      <c r="E28" s="384">
        <f>+'20'!G42</f>
        <v>931.28499999999997</v>
      </c>
      <c r="F28" s="45">
        <f t="shared" si="0"/>
        <v>0.24</v>
      </c>
      <c r="G28" s="410">
        <f t="shared" si="17"/>
        <v>0.97326292470433762</v>
      </c>
      <c r="H28" s="406">
        <f t="shared" si="18"/>
        <v>0.96951172013097275</v>
      </c>
      <c r="I28" s="406">
        <f t="shared" si="19"/>
        <v>1.0133855339996938</v>
      </c>
      <c r="J28" s="411">
        <f t="shared" si="20"/>
        <v>0.98248915222388733</v>
      </c>
      <c r="K28" s="411">
        <f t="shared" si="21"/>
        <v>0.86182067550883301</v>
      </c>
      <c r="L28" s="385">
        <f>+SUM(Efficiency1!K105:K106)</f>
        <v>47.158790400000001</v>
      </c>
      <c r="M28" s="386">
        <f t="shared" si="22"/>
        <v>904.47354322263595</v>
      </c>
      <c r="N28" s="385">
        <f>+SUM(Efficiency1!C105:C106)</f>
        <v>46.977028343999997</v>
      </c>
      <c r="O28" s="386">
        <f t="shared" si="22"/>
        <v>882.45813542246469</v>
      </c>
      <c r="P28" s="386">
        <f>'20'!I38</f>
        <v>45.721000000000004</v>
      </c>
      <c r="Q28" s="386">
        <f t="shared" si="23"/>
        <v>813.48799999999972</v>
      </c>
      <c r="R28" s="580">
        <f>'20'!I40</f>
        <v>46.332999999999998</v>
      </c>
      <c r="S28" s="386">
        <f t="shared" si="24"/>
        <v>779.4939999999998</v>
      </c>
      <c r="T28" s="94">
        <f t="shared" si="1"/>
        <v>5498.6401382985468</v>
      </c>
      <c r="U28" s="12">
        <f t="shared" si="25"/>
        <v>104738.19079758022</v>
      </c>
      <c r="V28" s="287">
        <f t="shared" si="26"/>
        <v>120.26508909032056</v>
      </c>
      <c r="W28" s="287">
        <f t="shared" si="27"/>
        <v>128.75198011228224</v>
      </c>
      <c r="X28" s="288">
        <f t="shared" si="28"/>
        <v>118.67654022615731</v>
      </c>
      <c r="Y28" s="287">
        <f t="shared" si="29"/>
        <v>134.36689801022231</v>
      </c>
      <c r="Z28" s="388">
        <v>54.3</v>
      </c>
      <c r="AA28" s="387">
        <f t="shared" si="30"/>
        <v>1024.3999999999999</v>
      </c>
      <c r="AB28" s="390">
        <f t="shared" si="2"/>
        <v>1.1876380656591061</v>
      </c>
      <c r="AC28" s="390">
        <f t="shared" si="3"/>
        <v>1.2592687292252625</v>
      </c>
      <c r="AD28" s="385">
        <f t="shared" si="4"/>
        <v>1.1719508773444414</v>
      </c>
      <c r="AE28" s="390">
        <f t="shared" si="5"/>
        <v>1.3141858692946964</v>
      </c>
      <c r="AF28" s="389">
        <f>'20'!I46</f>
        <v>39205.320000000364</v>
      </c>
      <c r="AG28" s="387">
        <f t="shared" si="31"/>
        <v>751991.51999999932</v>
      </c>
      <c r="AH28" s="390">
        <f t="shared" si="6"/>
        <v>857.49043109294121</v>
      </c>
      <c r="AI28" s="390">
        <f t="shared" si="7"/>
        <v>924.40394941289799</v>
      </c>
      <c r="AJ28" s="390">
        <f t="shared" si="8"/>
        <v>846.16407312283604</v>
      </c>
      <c r="AK28" s="390">
        <f t="shared" si="9"/>
        <v>964.7175218795777</v>
      </c>
      <c r="AL28" s="480">
        <v>5796.5</v>
      </c>
      <c r="AM28" s="481">
        <v>6106.5</v>
      </c>
      <c r="AN28" s="446">
        <v>3860</v>
      </c>
      <c r="AO28" s="446">
        <f t="shared" si="40"/>
        <v>15763</v>
      </c>
      <c r="AP28" s="589">
        <f>+[1]Jan!N24</f>
        <v>14953</v>
      </c>
      <c r="AQ28" s="478">
        <f t="shared" si="10"/>
        <v>-810</v>
      </c>
      <c r="AR28" s="449">
        <f t="shared" si="11"/>
        <v>0.36772822432278118</v>
      </c>
      <c r="AS28" s="449">
        <f t="shared" si="12"/>
        <v>0.38739453149781133</v>
      </c>
      <c r="AT28" s="449">
        <f t="shared" si="33"/>
        <v>0.24487724417940748</v>
      </c>
      <c r="AU28" s="449">
        <f t="shared" si="34"/>
        <v>-297.85986170145276</v>
      </c>
      <c r="AV28" s="449">
        <f t="shared" si="35"/>
        <v>-313.7895705132272</v>
      </c>
      <c r="AW28" s="449">
        <f t="shared" si="39"/>
        <v>-198.35056778532007</v>
      </c>
      <c r="AX28" s="391">
        <f t="shared" si="13"/>
        <v>5498.6401382985468</v>
      </c>
      <c r="AY28" s="391">
        <f t="shared" si="14"/>
        <v>5792.7104294867731</v>
      </c>
      <c r="AZ28" s="391">
        <f t="shared" si="15"/>
        <v>3661.64943221468</v>
      </c>
      <c r="BA28" s="385">
        <f>+SUM(Efficiency2!K105:K106)</f>
        <v>47.158790400000001</v>
      </c>
      <c r="BB28" s="386">
        <f t="shared" si="36"/>
        <v>874.69849859463602</v>
      </c>
      <c r="BC28" s="411">
        <f t="shared" si="37"/>
        <v>0.98248915222388733</v>
      </c>
      <c r="BD28" s="411">
        <f t="shared" si="38"/>
        <v>0.89115735450832512</v>
      </c>
    </row>
    <row r="29" spans="1:56" s="391" customFormat="1" ht="12.75" customHeight="1">
      <c r="A29" s="405">
        <f t="shared" si="16"/>
        <v>46043</v>
      </c>
      <c r="B29" s="414" t="s">
        <v>447</v>
      </c>
      <c r="C29" s="392" t="s">
        <v>611</v>
      </c>
      <c r="D29" s="384">
        <f>+'21'!F42</f>
        <v>1228.3333333333333</v>
      </c>
      <c r="E29" s="384">
        <f>+'21'!G42</f>
        <v>933.5333333333333</v>
      </c>
      <c r="F29" s="45">
        <f t="shared" si="0"/>
        <v>0.24</v>
      </c>
      <c r="G29" s="410">
        <f t="shared" si="17"/>
        <v>0.96690557364353602</v>
      </c>
      <c r="H29" s="406">
        <f t="shared" si="18"/>
        <v>0.96537670252704877</v>
      </c>
      <c r="I29" s="406">
        <f t="shared" si="19"/>
        <v>0.94547997395770533</v>
      </c>
      <c r="J29" s="411">
        <f t="shared" si="20"/>
        <v>0.91274433956464951</v>
      </c>
      <c r="K29" s="411">
        <f t="shared" si="21"/>
        <v>0.86412965105575834</v>
      </c>
      <c r="L29" s="385">
        <f>+SUM(Efficiency1!K110:K112)</f>
        <v>42.958360079999999</v>
      </c>
      <c r="M29" s="386">
        <f t="shared" si="22"/>
        <v>947.43190330263599</v>
      </c>
      <c r="N29" s="385">
        <f>+SUM(Efficiency1!C110:C112)</f>
        <v>42.890434319999997</v>
      </c>
      <c r="O29" s="386">
        <f t="shared" si="22"/>
        <v>925.34856974246463</v>
      </c>
      <c r="P29" s="386">
        <f>'21'!I38</f>
        <v>41.471000000000004</v>
      </c>
      <c r="Q29" s="386">
        <f t="shared" si="23"/>
        <v>854.95899999999972</v>
      </c>
      <c r="R29" s="580">
        <f>'21'!I40</f>
        <v>39.21</v>
      </c>
      <c r="S29" s="386">
        <f t="shared" si="24"/>
        <v>818.70399999999984</v>
      </c>
      <c r="T29" s="94">
        <f t="shared" si="1"/>
        <v>5231.3554359025493</v>
      </c>
      <c r="U29" s="12">
        <f t="shared" si="25"/>
        <v>109969.54623348276</v>
      </c>
      <c r="V29" s="287">
        <f t="shared" si="26"/>
        <v>126.14490694467335</v>
      </c>
      <c r="W29" s="287">
        <f t="shared" si="27"/>
        <v>128.62552032727044</v>
      </c>
      <c r="X29" s="288">
        <f t="shared" si="28"/>
        <v>133.41890935737183</v>
      </c>
      <c r="Y29" s="287">
        <f t="shared" si="29"/>
        <v>134.32149621045309</v>
      </c>
      <c r="Z29" s="388">
        <v>54.4</v>
      </c>
      <c r="AA29" s="387">
        <f t="shared" si="30"/>
        <v>1078.8</v>
      </c>
      <c r="AB29" s="390">
        <f t="shared" si="2"/>
        <v>1.311760025077765</v>
      </c>
      <c r="AC29" s="390">
        <f t="shared" si="3"/>
        <v>1.2618148940475511</v>
      </c>
      <c r="AD29" s="385">
        <f t="shared" si="4"/>
        <v>1.3874011731701097</v>
      </c>
      <c r="AE29" s="390">
        <f t="shared" si="5"/>
        <v>1.3176923527917295</v>
      </c>
      <c r="AF29" s="389">
        <f>'21'!I46</f>
        <v>38765.379999999634</v>
      </c>
      <c r="AG29" s="387">
        <f t="shared" si="31"/>
        <v>790756.89999999898</v>
      </c>
      <c r="AH29" s="390">
        <f t="shared" si="6"/>
        <v>934.75874707626133</v>
      </c>
      <c r="AI29" s="390">
        <f t="shared" si="7"/>
        <v>924.90622357329323</v>
      </c>
      <c r="AJ29" s="390">
        <f t="shared" si="8"/>
        <v>988.6605457791286</v>
      </c>
      <c r="AK29" s="390">
        <f t="shared" si="9"/>
        <v>965.86421954699017</v>
      </c>
      <c r="AL29" s="480">
        <v>5481.5</v>
      </c>
      <c r="AM29" s="481">
        <v>5700.1</v>
      </c>
      <c r="AN29" s="481">
        <v>3861.9</v>
      </c>
      <c r="AO29" s="446">
        <f t="shared" si="40"/>
        <v>15043.5</v>
      </c>
      <c r="AP29" s="589">
        <f>+[1]Jan!N25</f>
        <v>14357</v>
      </c>
      <c r="AQ29" s="478">
        <f t="shared" si="10"/>
        <v>-686.5</v>
      </c>
      <c r="AR29" s="449">
        <f t="shared" si="11"/>
        <v>0.36437664107421808</v>
      </c>
      <c r="AS29" s="449">
        <f t="shared" si="12"/>
        <v>0.37890783394821687</v>
      </c>
      <c r="AT29" s="449">
        <f t="shared" si="33"/>
        <v>0.25671552497756506</v>
      </c>
      <c r="AU29" s="449">
        <f t="shared" si="34"/>
        <v>-250.14456409745071</v>
      </c>
      <c r="AV29" s="449">
        <f t="shared" si="35"/>
        <v>-260.12022800545088</v>
      </c>
      <c r="AW29" s="449">
        <f t="shared" si="39"/>
        <v>-176.23520789709841</v>
      </c>
      <c r="AX29" s="391">
        <f t="shared" si="13"/>
        <v>5231.3554359025493</v>
      </c>
      <c r="AY29" s="391">
        <f t="shared" si="14"/>
        <v>5439.9797719945491</v>
      </c>
      <c r="AZ29" s="391">
        <f t="shared" si="15"/>
        <v>3685.6647921029016</v>
      </c>
      <c r="BA29" s="385">
        <f>+SUM(Efficiency2!K110:K112)</f>
        <v>42.958360079999999</v>
      </c>
      <c r="BB29" s="386">
        <f t="shared" si="36"/>
        <v>917.65685867463606</v>
      </c>
      <c r="BC29" s="411">
        <f t="shared" si="37"/>
        <v>0.91274433956464951</v>
      </c>
      <c r="BD29" s="411">
        <f t="shared" si="38"/>
        <v>0.89216790814645797</v>
      </c>
    </row>
    <row r="30" spans="1:56" s="391" customFormat="1" ht="12.75" customHeight="1">
      <c r="A30" s="405">
        <f t="shared" si="16"/>
        <v>46044</v>
      </c>
      <c r="B30" s="414" t="s">
        <v>621</v>
      </c>
      <c r="C30" s="392" t="s">
        <v>622</v>
      </c>
      <c r="D30" s="384">
        <f>+'22'!F42</f>
        <v>1221.1111111111111</v>
      </c>
      <c r="E30" s="384">
        <f>+'22'!G42</f>
        <v>928.04444444444448</v>
      </c>
      <c r="F30" s="45">
        <f t="shared" si="0"/>
        <v>0.24</v>
      </c>
      <c r="G30" s="410">
        <f t="shared" si="17"/>
        <v>0.9600410618790276</v>
      </c>
      <c r="H30" s="406">
        <f t="shared" si="18"/>
        <v>0.95243100583492046</v>
      </c>
      <c r="I30" s="406">
        <f t="shared" si="19"/>
        <v>0.97792225693806289</v>
      </c>
      <c r="J30" s="411">
        <f t="shared" si="20"/>
        <v>0.93140347880387475</v>
      </c>
      <c r="K30" s="411">
        <f t="shared" si="21"/>
        <v>0.86722545550095786</v>
      </c>
      <c r="L30" s="385">
        <f>+SUM(Efficiency1!K114:K115)</f>
        <v>45.701998079999996</v>
      </c>
      <c r="M30" s="386">
        <f t="shared" si="22"/>
        <v>993.13390138263594</v>
      </c>
      <c r="N30" s="385">
        <f>+SUM(Efficiency1!C114:C115)</f>
        <v>45.339727359999998</v>
      </c>
      <c r="O30" s="386">
        <f t="shared" si="22"/>
        <v>970.68829710246462</v>
      </c>
      <c r="P30" s="386">
        <f>'22'!I38</f>
        <v>43.527999999999999</v>
      </c>
      <c r="Q30" s="386">
        <f t="shared" si="23"/>
        <v>898.48699999999974</v>
      </c>
      <c r="R30" s="580">
        <f>'22'!I40</f>
        <v>42.567</v>
      </c>
      <c r="S30" s="386">
        <f t="shared" si="24"/>
        <v>861.27099999999984</v>
      </c>
      <c r="T30" s="94">
        <f t="shared" si="1"/>
        <v>5611.1446421475566</v>
      </c>
      <c r="U30" s="12">
        <f t="shared" si="25"/>
        <v>115580.69087563032</v>
      </c>
      <c r="V30" s="287">
        <f t="shared" si="26"/>
        <v>128.90885503922894</v>
      </c>
      <c r="W30" s="287">
        <f t="shared" si="27"/>
        <v>128.63924672881228</v>
      </c>
      <c r="X30" s="288">
        <f t="shared" si="28"/>
        <v>131.81912378479942</v>
      </c>
      <c r="Y30" s="287">
        <f t="shared" si="29"/>
        <v>134.19782028610081</v>
      </c>
      <c r="Z30" s="388">
        <v>56.3</v>
      </c>
      <c r="AA30" s="387">
        <f t="shared" si="30"/>
        <v>1135.0999999999999</v>
      </c>
      <c r="AB30" s="390">
        <f t="shared" si="2"/>
        <v>1.2934203271457452</v>
      </c>
      <c r="AC30" s="390">
        <f t="shared" si="3"/>
        <v>1.2633460472995159</v>
      </c>
      <c r="AD30" s="385">
        <f t="shared" si="4"/>
        <v>1.3226208095473018</v>
      </c>
      <c r="AE30" s="390">
        <f t="shared" si="5"/>
        <v>1.3179359342181498</v>
      </c>
      <c r="AF30" s="389">
        <f>'22'!I46</f>
        <v>41312.340000001088</v>
      </c>
      <c r="AG30" s="387">
        <f t="shared" si="31"/>
        <v>832069.24000000011</v>
      </c>
      <c r="AH30" s="390">
        <f t="shared" si="6"/>
        <v>949.09805182873299</v>
      </c>
      <c r="AI30" s="390">
        <f t="shared" si="7"/>
        <v>926.07821816008504</v>
      </c>
      <c r="AJ30" s="390">
        <f t="shared" si="8"/>
        <v>970.52505461980138</v>
      </c>
      <c r="AK30" s="390">
        <f t="shared" si="9"/>
        <v>966.09457418164584</v>
      </c>
      <c r="AL30" s="480">
        <v>5897.3</v>
      </c>
      <c r="AM30" s="446">
        <v>5999.3</v>
      </c>
      <c r="AN30" s="446">
        <v>3957.7</v>
      </c>
      <c r="AO30" s="446">
        <f t="shared" si="40"/>
        <v>15854.3</v>
      </c>
      <c r="AP30" s="589">
        <f>+[1]Jan!N26</f>
        <v>15085</v>
      </c>
      <c r="AQ30" s="478">
        <f t="shared" si="10"/>
        <v>-769.29999999999927</v>
      </c>
      <c r="AR30" s="449">
        <f>+AL30/AO30</f>
        <v>0.37196848804425303</v>
      </c>
      <c r="AS30" s="449">
        <f t="shared" si="12"/>
        <v>0.37840207388531821</v>
      </c>
      <c r="AT30" s="449">
        <f t="shared" si="33"/>
        <v>0.2496294380704287</v>
      </c>
      <c r="AU30" s="449">
        <f t="shared" si="34"/>
        <v>-286.15535785244361</v>
      </c>
      <c r="AV30" s="449">
        <f t="shared" si="35"/>
        <v>-291.10471543997505</v>
      </c>
      <c r="AW30" s="449">
        <f t="shared" si="39"/>
        <v>-192.03992670758061</v>
      </c>
      <c r="AX30" s="449">
        <f>+AL30+AU30</f>
        <v>5611.1446421475566</v>
      </c>
      <c r="AY30" s="391">
        <f t="shared" si="14"/>
        <v>5708.1952845600254</v>
      </c>
      <c r="AZ30" s="391">
        <f t="shared" si="15"/>
        <v>3765.6600732924194</v>
      </c>
      <c r="BA30" s="385">
        <f>+SUM(Efficiency2!K114:K115)</f>
        <v>45.701998079999996</v>
      </c>
      <c r="BB30" s="386">
        <f t="shared" si="36"/>
        <v>963.35885675463601</v>
      </c>
      <c r="BC30" s="411">
        <f t="shared" si="37"/>
        <v>0.93140347880387475</v>
      </c>
      <c r="BD30" s="411">
        <f t="shared" si="38"/>
        <v>0.89402925395989008</v>
      </c>
    </row>
    <row r="31" spans="1:56" s="391" customFormat="1" ht="12.75" customHeight="1">
      <c r="A31" s="405">
        <f t="shared" si="16"/>
        <v>46045</v>
      </c>
      <c r="B31" s="414" t="s">
        <v>410</v>
      </c>
      <c r="C31" s="392" t="s">
        <v>411</v>
      </c>
      <c r="D31" s="384">
        <f>+'23'!F42</f>
        <v>1042.0833333333333</v>
      </c>
      <c r="E31" s="384">
        <f>+'23'!G42</f>
        <v>791.98333333333335</v>
      </c>
      <c r="F31" s="45">
        <f t="shared" si="0"/>
        <v>0.23999999999999988</v>
      </c>
      <c r="G31" s="410">
        <f t="shared" si="17"/>
        <v>0.93827871774220772</v>
      </c>
      <c r="H31" s="406">
        <f t="shared" si="18"/>
        <v>0.79493058030937047</v>
      </c>
      <c r="I31" s="406">
        <f t="shared" si="19"/>
        <v>1.0063527444970743</v>
      </c>
      <c r="J31" s="411">
        <f t="shared" si="20"/>
        <v>0.79998057117898702</v>
      </c>
      <c r="K31" s="411">
        <f t="shared" si="21"/>
        <v>0.86430138411013058</v>
      </c>
      <c r="L31" s="385">
        <f>+Efficiency1!K118</f>
        <v>45.148596480000002</v>
      </c>
      <c r="M31" s="386">
        <f t="shared" si="22"/>
        <v>1038.2824978626359</v>
      </c>
      <c r="N31" s="385">
        <f>+Efficiency1!C118</f>
        <v>38.250894240000001</v>
      </c>
      <c r="O31" s="386">
        <f t="shared" si="22"/>
        <v>1008.9391913424646</v>
      </c>
      <c r="P31" s="386">
        <f>'23'!I38</f>
        <v>35.89</v>
      </c>
      <c r="Q31" s="386">
        <f t="shared" si="23"/>
        <v>934.37699999999973</v>
      </c>
      <c r="R31" s="580">
        <f>'23'!I40</f>
        <v>36.118000000000002</v>
      </c>
      <c r="S31" s="386">
        <f t="shared" si="24"/>
        <v>897.3889999999999</v>
      </c>
      <c r="T31" s="94">
        <f t="shared" si="1"/>
        <v>3241.8264464925755</v>
      </c>
      <c r="U31" s="12">
        <f t="shared" si="25"/>
        <v>118822.51732212289</v>
      </c>
      <c r="V31" s="287">
        <f t="shared" si="26"/>
        <v>90.326732975552389</v>
      </c>
      <c r="W31" s="287">
        <f t="shared" si="27"/>
        <v>127.167639317024</v>
      </c>
      <c r="X31" s="288">
        <f t="shared" si="28"/>
        <v>89.75653265664144</v>
      </c>
      <c r="Y31" s="287">
        <f t="shared" si="29"/>
        <v>132.40915291152768</v>
      </c>
      <c r="Z31" s="388">
        <v>57.9</v>
      </c>
      <c r="AA31" s="387">
        <f t="shared" si="30"/>
        <v>1193</v>
      </c>
      <c r="AB31" s="390">
        <f t="shared" si="2"/>
        <v>1.6132627472833658</v>
      </c>
      <c r="AC31" s="390">
        <f t="shared" si="3"/>
        <v>1.2767865647377883</v>
      </c>
      <c r="AD31" s="385">
        <f t="shared" si="4"/>
        <v>1.6030787972755964</v>
      </c>
      <c r="AE31" s="390">
        <f t="shared" si="5"/>
        <v>1.3294123284328203</v>
      </c>
      <c r="AF31" s="389">
        <f>'23'!I46</f>
        <v>37009.679999998545</v>
      </c>
      <c r="AG31" s="387">
        <f t="shared" si="31"/>
        <v>869078.91999999864</v>
      </c>
      <c r="AH31" s="390">
        <f t="shared" si="6"/>
        <v>1031.1975480634869</v>
      </c>
      <c r="AI31" s="390">
        <f t="shared" si="7"/>
        <v>930.11591680873869</v>
      </c>
      <c r="AJ31" s="390">
        <f t="shared" si="8"/>
        <v>1024.6879672185212</v>
      </c>
      <c r="AK31" s="390">
        <f t="shared" si="9"/>
        <v>968.45283372093797</v>
      </c>
      <c r="AL31" s="445">
        <v>3443.1</v>
      </c>
      <c r="AM31" s="446">
        <v>4324</v>
      </c>
      <c r="AN31" s="446">
        <v>3950.9</v>
      </c>
      <c r="AO31" s="446">
        <f>SUM(AL31:AN31)</f>
        <v>11718</v>
      </c>
      <c r="AP31" s="589">
        <f>+[1]Jan!N27</f>
        <v>11033</v>
      </c>
      <c r="AQ31" s="478">
        <f t="shared" si="10"/>
        <v>-685</v>
      </c>
      <c r="AR31" s="449">
        <f>+AL31/AO31</f>
        <v>0.2938300051203277</v>
      </c>
      <c r="AS31" s="449">
        <f t="shared" si="12"/>
        <v>0.36900494965011094</v>
      </c>
      <c r="AT31" s="449">
        <f t="shared" si="33"/>
        <v>0.33716504522956131</v>
      </c>
      <c r="AU31" s="449">
        <f t="shared" si="34"/>
        <v>-201.27355350742448</v>
      </c>
      <c r="AV31" s="449">
        <f t="shared" si="35"/>
        <v>-252.76839051032599</v>
      </c>
      <c r="AW31" s="449">
        <f t="shared" si="39"/>
        <v>-230.9580559822495</v>
      </c>
      <c r="AX31" s="449">
        <f>+AL31+AU31</f>
        <v>3241.8264464925755</v>
      </c>
      <c r="AY31" s="391">
        <f t="shared" si="14"/>
        <v>4071.2316094896742</v>
      </c>
      <c r="AZ31" s="391">
        <f t="shared" si="15"/>
        <v>3719.9419440177508</v>
      </c>
      <c r="BA31" s="385">
        <f>+Efficiency2!K118</f>
        <v>38.250894240000001</v>
      </c>
      <c r="BB31" s="386">
        <f t="shared" si="36"/>
        <v>1001.609750994636</v>
      </c>
      <c r="BC31" s="411">
        <f t="shared" si="37"/>
        <v>0.94423936270306663</v>
      </c>
      <c r="BD31" s="411">
        <f t="shared" si="38"/>
        <v>0.89594674882993008</v>
      </c>
    </row>
    <row r="32" spans="1:56" s="391" customFormat="1" ht="12.75" customHeight="1">
      <c r="A32" s="405">
        <f t="shared" si="16"/>
        <v>46046</v>
      </c>
      <c r="B32" s="414" t="s">
        <v>410</v>
      </c>
      <c r="C32" s="392" t="s">
        <v>411</v>
      </c>
      <c r="D32" s="384">
        <f>+'24'!F42</f>
        <v>989.21527777777783</v>
      </c>
      <c r="E32" s="384">
        <f>+'24'!G42</f>
        <v>751.80361111111119</v>
      </c>
      <c r="F32" s="45">
        <f t="shared" si="0"/>
        <v>0.24</v>
      </c>
      <c r="G32" s="410">
        <f t="shared" si="17"/>
        <v>0.98517473173059167</v>
      </c>
      <c r="H32" s="406">
        <f t="shared" si="18"/>
        <v>0.7923169885435164</v>
      </c>
      <c r="I32" s="406">
        <f t="shared" si="19"/>
        <v>0.92474561109247433</v>
      </c>
      <c r="J32" s="411">
        <f t="shared" si="20"/>
        <v>0.73269165774962308</v>
      </c>
      <c r="K32" s="411">
        <f t="shared" si="21"/>
        <v>0.85881696109576355</v>
      </c>
      <c r="L32" s="385">
        <f>+Efficiency1!K123</f>
        <v>45.148596480000002</v>
      </c>
      <c r="M32" s="386">
        <f t="shared" si="22"/>
        <v>1083.4310943426358</v>
      </c>
      <c r="N32" s="385">
        <f>+Efficiency1!C123</f>
        <v>36.310310088000008</v>
      </c>
      <c r="O32" s="386">
        <f t="shared" si="22"/>
        <v>1045.2495014304645</v>
      </c>
      <c r="P32" s="386">
        <f>'24'!I38</f>
        <v>35.772000000000006</v>
      </c>
      <c r="Q32" s="386">
        <f t="shared" si="23"/>
        <v>970.14899999999977</v>
      </c>
      <c r="R32" s="580">
        <f>'24'!I40</f>
        <v>33.08</v>
      </c>
      <c r="S32" s="386">
        <f t="shared" si="24"/>
        <v>930.46899999999994</v>
      </c>
      <c r="T32" s="94">
        <f t="shared" si="1"/>
        <v>2886.1893684838587</v>
      </c>
      <c r="U32" s="12">
        <f t="shared" si="25"/>
        <v>121708.70669060675</v>
      </c>
      <c r="V32" s="287">
        <f t="shared" si="26"/>
        <v>80.68291872089506</v>
      </c>
      <c r="W32" s="287">
        <f t="shared" si="27"/>
        <v>125.45362278434217</v>
      </c>
      <c r="X32" s="288">
        <f t="shared" si="28"/>
        <v>87.248771719584596</v>
      </c>
      <c r="Y32" s="287">
        <f t="shared" si="29"/>
        <v>130.80361268414828</v>
      </c>
      <c r="Z32" s="388">
        <v>52.9</v>
      </c>
      <c r="AA32" s="387">
        <f t="shared" si="30"/>
        <v>1245.9000000000001</v>
      </c>
      <c r="AB32" s="390">
        <f t="shared" si="2"/>
        <v>1.4788102426478809</v>
      </c>
      <c r="AC32" s="390">
        <f t="shared" si="3"/>
        <v>1.2842357204924195</v>
      </c>
      <c r="AD32" s="385">
        <f t="shared" si="4"/>
        <v>1.5991535671100363</v>
      </c>
      <c r="AE32" s="390">
        <f t="shared" si="5"/>
        <v>1.3390021591262042</v>
      </c>
      <c r="AF32" s="389">
        <f>+'24'!I46</f>
        <v>36510.900000000365</v>
      </c>
      <c r="AG32" s="387">
        <f t="shared" si="31"/>
        <v>905589.81999999902</v>
      </c>
      <c r="AH32" s="390">
        <f t="shared" si="6"/>
        <v>1020.6558201945757</v>
      </c>
      <c r="AI32" s="390">
        <f t="shared" si="7"/>
        <v>933.45436628806419</v>
      </c>
      <c r="AJ32" s="390">
        <f t="shared" si="8"/>
        <v>1103.7152357920304</v>
      </c>
      <c r="AK32" s="390">
        <f t="shared" si="9"/>
        <v>973.26167771306632</v>
      </c>
      <c r="AL32" s="445">
        <v>4078.9</v>
      </c>
      <c r="AM32" s="446">
        <v>4709.8</v>
      </c>
      <c r="AN32" s="446">
        <v>3948.9</v>
      </c>
      <c r="AO32" s="446">
        <f t="shared" si="40"/>
        <v>12737.6</v>
      </c>
      <c r="AP32" s="589">
        <f>+[1]Jan!N28</f>
        <v>9013</v>
      </c>
      <c r="AQ32" s="478">
        <f t="shared" si="10"/>
        <v>-3724.6000000000004</v>
      </c>
      <c r="AR32" s="449">
        <f t="shared" si="11"/>
        <v>0.3202251601557593</v>
      </c>
      <c r="AS32" s="449">
        <f t="shared" si="12"/>
        <v>0.36975568395930158</v>
      </c>
      <c r="AT32" s="449">
        <f t="shared" si="33"/>
        <v>0.31001915588493911</v>
      </c>
      <c r="AU32" s="449">
        <f t="shared" si="34"/>
        <v>-1192.7106315161411</v>
      </c>
      <c r="AV32" s="449">
        <f t="shared" si="35"/>
        <v>-1377.1920204748149</v>
      </c>
      <c r="AW32" s="449">
        <f t="shared" si="39"/>
        <v>-1154.6973480090444</v>
      </c>
      <c r="AX32" s="391">
        <f t="shared" si="13"/>
        <v>2886.1893684838587</v>
      </c>
      <c r="AY32" s="391">
        <f t="shared" si="14"/>
        <v>3332.6079795251853</v>
      </c>
      <c r="AZ32" s="391">
        <f t="shared" si="15"/>
        <v>2794.2026519909559</v>
      </c>
      <c r="BA32" s="385">
        <f>+Efficiency2!K123</f>
        <v>36.310310088000008</v>
      </c>
      <c r="BB32" s="386">
        <f t="shared" si="36"/>
        <v>1037.920061082636</v>
      </c>
      <c r="BC32" s="411">
        <f t="shared" si="37"/>
        <v>0.91103600932707052</v>
      </c>
      <c r="BD32" s="411">
        <f t="shared" si="38"/>
        <v>0.8964746273710561</v>
      </c>
    </row>
    <row r="33" spans="1:56" s="391" customFormat="1" ht="12.75" customHeight="1">
      <c r="A33" s="405">
        <f t="shared" si="16"/>
        <v>46047</v>
      </c>
      <c r="B33" s="414" t="s">
        <v>410</v>
      </c>
      <c r="C33" s="392" t="s">
        <v>411</v>
      </c>
      <c r="D33" s="384">
        <f>+'25'!F42</f>
        <v>1116.1762391817467</v>
      </c>
      <c r="E33" s="384">
        <f>+'25'!G42</f>
        <v>848.29394177812753</v>
      </c>
      <c r="F33" s="45">
        <f t="shared" si="0"/>
        <v>0.24</v>
      </c>
      <c r="G33" s="410">
        <f t="shared" si="17"/>
        <v>0.89225040315063342</v>
      </c>
      <c r="H33" s="406">
        <f t="shared" si="18"/>
        <v>0.80968186942851328</v>
      </c>
      <c r="I33" s="406">
        <f t="shared" si="19"/>
        <v>0.94329248276616695</v>
      </c>
      <c r="J33" s="411">
        <f t="shared" si="20"/>
        <v>0.76376682086397374</v>
      </c>
      <c r="K33" s="411">
        <f t="shared" si="21"/>
        <v>0.85501449994783663</v>
      </c>
      <c r="L33" s="385">
        <f>+Efficiency1!K128</f>
        <v>45.148596480000002</v>
      </c>
      <c r="M33" s="386">
        <f t="shared" si="22"/>
        <v>1128.5796908226357</v>
      </c>
      <c r="N33" s="385">
        <f>+Efficiency1!C128</f>
        <v>40.970561482423292</v>
      </c>
      <c r="O33" s="386">
        <f t="shared" si="22"/>
        <v>1086.2200629128879</v>
      </c>
      <c r="P33" s="386">
        <f>'25'!I38</f>
        <v>36.555999999999997</v>
      </c>
      <c r="Q33" s="386">
        <f t="shared" si="23"/>
        <v>1006.7049999999998</v>
      </c>
      <c r="R33" s="580">
        <f>'25'!I40</f>
        <v>34.482999999999997</v>
      </c>
      <c r="S33" s="386">
        <f t="shared" si="24"/>
        <v>964.95199999999988</v>
      </c>
      <c r="T33" s="94">
        <f t="shared" si="1"/>
        <v>0</v>
      </c>
      <c r="U33" s="12">
        <f t="shared" si="25"/>
        <v>121708.70669060675</v>
      </c>
      <c r="V33" s="287">
        <f t="shared" si="26"/>
        <v>0</v>
      </c>
      <c r="W33" s="287">
        <f t="shared" si="27"/>
        <v>120.89808503047742</v>
      </c>
      <c r="X33" s="288">
        <f t="shared" si="28"/>
        <v>0</v>
      </c>
      <c r="Y33" s="287">
        <f t="shared" si="29"/>
        <v>126.12928590293275</v>
      </c>
      <c r="Z33" s="388">
        <v>49.6</v>
      </c>
      <c r="AA33" s="387">
        <f t="shared" si="30"/>
        <v>1295.5</v>
      </c>
      <c r="AB33" s="390">
        <f t="shared" si="2"/>
        <v>1.3568224094539885</v>
      </c>
      <c r="AC33" s="390">
        <f t="shared" si="3"/>
        <v>1.2868715264153852</v>
      </c>
      <c r="AD33" s="385">
        <f t="shared" si="4"/>
        <v>1.4383899312704813</v>
      </c>
      <c r="AE33" s="390">
        <f t="shared" si="5"/>
        <v>1.342553826511578</v>
      </c>
      <c r="AF33" s="389">
        <f>+'25'!I46</f>
        <v>35651.600000000362</v>
      </c>
      <c r="AG33" s="387">
        <f t="shared" si="31"/>
        <v>941241.41999999934</v>
      </c>
      <c r="AH33" s="390">
        <f t="shared" si="6"/>
        <v>975.25987525988523</v>
      </c>
      <c r="AI33" s="390">
        <f t="shared" si="7"/>
        <v>934.97242985780304</v>
      </c>
      <c r="AJ33" s="390">
        <f t="shared" si="8"/>
        <v>1033.889162775871</v>
      </c>
      <c r="AK33" s="390">
        <f t="shared" si="9"/>
        <v>975.42822855437316</v>
      </c>
      <c r="AL33" s="445">
        <v>4516.3</v>
      </c>
      <c r="AM33" s="446">
        <v>4379.5</v>
      </c>
      <c r="AN33" s="446">
        <v>3475.9</v>
      </c>
      <c r="AO33" s="446">
        <f t="shared" si="40"/>
        <v>12371.699999999999</v>
      </c>
      <c r="AP33" s="589">
        <f>+[1]Jan!N29</f>
        <v>0</v>
      </c>
      <c r="AQ33" s="478">
        <f t="shared" si="10"/>
        <v>-12371.699999999999</v>
      </c>
      <c r="AR33" s="449">
        <f t="shared" si="11"/>
        <v>0.36505088225547017</v>
      </c>
      <c r="AS33" s="449">
        <f t="shared" si="12"/>
        <v>0.35399338813582615</v>
      </c>
      <c r="AT33" s="449">
        <f t="shared" si="33"/>
        <v>0.28095572960870374</v>
      </c>
      <c r="AU33" s="449">
        <f t="shared" si="34"/>
        <v>-4516.3</v>
      </c>
      <c r="AV33" s="449">
        <f t="shared" si="35"/>
        <v>-4379.5</v>
      </c>
      <c r="AW33" s="449">
        <f>+AT33*AQ33</f>
        <v>-3475.8999999999996</v>
      </c>
      <c r="AX33" s="391">
        <f t="shared" si="13"/>
        <v>0</v>
      </c>
      <c r="AY33" s="391">
        <f t="shared" si="14"/>
        <v>0</v>
      </c>
      <c r="AZ33" s="391">
        <f t="shared" si="15"/>
        <v>0</v>
      </c>
      <c r="BA33" s="385">
        <f>+Efficiency2!K128</f>
        <v>40.970561482423292</v>
      </c>
      <c r="BB33" s="386">
        <f t="shared" si="36"/>
        <v>1078.8906225650594</v>
      </c>
      <c r="BC33" s="411">
        <f t="shared" si="37"/>
        <v>0.84165309803707444</v>
      </c>
      <c r="BD33" s="411">
        <f t="shared" si="38"/>
        <v>0.89439279554198847</v>
      </c>
    </row>
    <row r="34" spans="1:56" s="391" customFormat="1" ht="12.75" customHeight="1">
      <c r="A34" s="405">
        <f t="shared" si="16"/>
        <v>46048</v>
      </c>
      <c r="B34" s="414" t="s">
        <v>410</v>
      </c>
      <c r="C34" s="392" t="s">
        <v>411</v>
      </c>
      <c r="D34" s="384">
        <f>+'26'!F42</f>
        <v>814.0043763676149</v>
      </c>
      <c r="E34" s="384">
        <f>+'26'!G42</f>
        <v>618.64332603938726</v>
      </c>
      <c r="F34" s="45">
        <f t="shared" si="0"/>
        <v>0.2400000000000001</v>
      </c>
      <c r="G34" s="410">
        <f t="shared" si="17"/>
        <v>1.0226584681670492</v>
      </c>
      <c r="H34" s="406">
        <f t="shared" si="18"/>
        <v>0.67678737285965807</v>
      </c>
      <c r="I34" s="406">
        <f t="shared" si="19"/>
        <v>1.052788323078937</v>
      </c>
      <c r="J34" s="411">
        <f t="shared" si="20"/>
        <v>0.71251384335391876</v>
      </c>
      <c r="K34" s="411">
        <f t="shared" si="21"/>
        <v>0.84953307404007461</v>
      </c>
      <c r="L34" s="385">
        <f>+Efficiency1!K134</f>
        <v>45.148596479999988</v>
      </c>
      <c r="M34" s="386">
        <f t="shared" si="22"/>
        <v>1173.7282873026356</v>
      </c>
      <c r="N34" s="385">
        <f>+Efficiency1!C134</f>
        <v>29.87898790371991</v>
      </c>
      <c r="O34" s="386">
        <f t="shared" si="22"/>
        <v>1116.0990508166078</v>
      </c>
      <c r="P34" s="386">
        <f>'26'!I38</f>
        <v>30.555999999999997</v>
      </c>
      <c r="Q34" s="386">
        <f t="shared" si="23"/>
        <v>1037.2609999999997</v>
      </c>
      <c r="R34" s="580">
        <f>'26'!I40</f>
        <v>32.168999999999997</v>
      </c>
      <c r="S34" s="386">
        <f t="shared" si="24"/>
        <v>997.12099999999987</v>
      </c>
      <c r="T34" s="94">
        <f t="shared" si="1"/>
        <v>1540.5817215531258</v>
      </c>
      <c r="U34" s="12">
        <f t="shared" si="25"/>
        <v>123249.28841215988</v>
      </c>
      <c r="V34" s="287">
        <f t="shared" si="26"/>
        <v>50.418304802759721</v>
      </c>
      <c r="W34" s="287">
        <f t="shared" si="27"/>
        <v>118.82186683212798</v>
      </c>
      <c r="X34" s="288">
        <f t="shared" si="28"/>
        <v>47.890258371510647</v>
      </c>
      <c r="Y34" s="287">
        <f t="shared" si="29"/>
        <v>123.60514763219298</v>
      </c>
      <c r="Z34" s="388">
        <v>51.7</v>
      </c>
      <c r="AA34" s="387">
        <f t="shared" si="30"/>
        <v>1347.2</v>
      </c>
      <c r="AB34" s="390">
        <f t="shared" si="2"/>
        <v>1.6919753894488809</v>
      </c>
      <c r="AC34" s="390">
        <f t="shared" si="3"/>
        <v>1.2988052187443666</v>
      </c>
      <c r="AD34" s="385">
        <f t="shared" si="4"/>
        <v>1.6071373061021483</v>
      </c>
      <c r="AE34" s="390">
        <f t="shared" si="5"/>
        <v>1.3510897874982075</v>
      </c>
      <c r="AF34" s="389">
        <f>'26'!I46</f>
        <v>31840.259999999274</v>
      </c>
      <c r="AG34" s="387">
        <f t="shared" si="31"/>
        <v>973081.67999999865</v>
      </c>
      <c r="AH34" s="390">
        <f t="shared" si="6"/>
        <v>1042.0297159313809</v>
      </c>
      <c r="AI34" s="390">
        <f t="shared" si="7"/>
        <v>938.12616111084753</v>
      </c>
      <c r="AJ34" s="390">
        <f t="shared" si="8"/>
        <v>989.78084491278184</v>
      </c>
      <c r="AK34" s="390">
        <f t="shared" si="9"/>
        <v>975.89127096911886</v>
      </c>
      <c r="AL34" s="445">
        <v>2566.1999999999998</v>
      </c>
      <c r="AM34" s="446">
        <v>1221.0999999999999</v>
      </c>
      <c r="AN34" s="446">
        <v>3776.8</v>
      </c>
      <c r="AO34" s="446">
        <f t="shared" si="40"/>
        <v>7564.1</v>
      </c>
      <c r="AP34" s="589">
        <f>+[1]Jan!N30</f>
        <v>4541</v>
      </c>
      <c r="AQ34" s="478">
        <f t="shared" si="10"/>
        <v>-3023.1000000000004</v>
      </c>
      <c r="AR34" s="449">
        <f t="shared" si="11"/>
        <v>0.33926045398659455</v>
      </c>
      <c r="AS34" s="449">
        <f t="shared" si="12"/>
        <v>0.16143361404529288</v>
      </c>
      <c r="AT34" s="449">
        <f t="shared" si="33"/>
        <v>0.49930593196811257</v>
      </c>
      <c r="AU34" s="449">
        <f t="shared" si="34"/>
        <v>-1025.618278446874</v>
      </c>
      <c r="AV34" s="449">
        <f t="shared" si="35"/>
        <v>-488.02995862032498</v>
      </c>
      <c r="AW34" s="449">
        <f>+AT34*AQ34</f>
        <v>-1509.4517629328013</v>
      </c>
      <c r="AX34" s="391">
        <f t="shared" si="13"/>
        <v>1540.5817215531258</v>
      </c>
      <c r="AY34" s="391">
        <f t="shared" si="14"/>
        <v>733.07004137967488</v>
      </c>
      <c r="AZ34" s="391">
        <f t="shared" si="15"/>
        <v>2267.3482370671991</v>
      </c>
      <c r="BA34" s="385">
        <f>+Efficiency2!K134</f>
        <v>28.447286399999999</v>
      </c>
      <c r="BB34" s="386">
        <f t="shared" si="36"/>
        <v>1107.3379089650593</v>
      </c>
      <c r="BC34" s="411">
        <f t="shared" si="37"/>
        <v>1.1308284223552514</v>
      </c>
      <c r="BD34" s="411">
        <f t="shared" si="38"/>
        <v>0.90046677886421278</v>
      </c>
    </row>
    <row r="35" spans="1:56" s="391" customFormat="1" ht="12.75" customHeight="1">
      <c r="A35" s="405">
        <f t="shared" si="16"/>
        <v>46049</v>
      </c>
      <c r="B35" s="414" t="s">
        <v>410</v>
      </c>
      <c r="C35" s="392" t="s">
        <v>411</v>
      </c>
      <c r="D35" s="384">
        <f>+'27'!F42</f>
        <v>798.38888888888891</v>
      </c>
      <c r="E35" s="384">
        <f>+'27'!G42</f>
        <v>606.77555555555557</v>
      </c>
      <c r="F35" s="45">
        <f t="shared" si="0"/>
        <v>0.24</v>
      </c>
      <c r="G35" s="410">
        <f t="shared" si="17"/>
        <v>1.0036919966920603</v>
      </c>
      <c r="H35" s="406">
        <f t="shared" si="18"/>
        <v>0.65149312034605245</v>
      </c>
      <c r="I35" s="406">
        <f t="shared" si="19"/>
        <v>0.95903311348337517</v>
      </c>
      <c r="J35" s="411">
        <f t="shared" si="20"/>
        <v>0.62480347561847394</v>
      </c>
      <c r="K35" s="411">
        <f t="shared" si="21"/>
        <v>0.84120883219805886</v>
      </c>
      <c r="L35" s="385">
        <f>+Efficiency1!K140</f>
        <v>45.148596480000002</v>
      </c>
      <c r="M35" s="386">
        <f t="shared" si="22"/>
        <v>1218.8768837826356</v>
      </c>
      <c r="N35" s="385">
        <f>+Efficiency1!C140</f>
        <v>29.305803072000003</v>
      </c>
      <c r="O35" s="386">
        <f t="shared" si="22"/>
        <v>1145.4048538886077</v>
      </c>
      <c r="P35" s="386">
        <f>'27'!I38</f>
        <v>29.414000000000001</v>
      </c>
      <c r="Q35" s="386">
        <f t="shared" si="23"/>
        <v>1066.6749999999997</v>
      </c>
      <c r="R35" s="580">
        <f>'27'!I40</f>
        <v>28.209</v>
      </c>
      <c r="S35" s="386">
        <f t="shared" si="24"/>
        <v>1025.33</v>
      </c>
      <c r="T35" s="94">
        <f t="shared" si="1"/>
        <v>2226.6850232156353</v>
      </c>
      <c r="U35" s="12">
        <f t="shared" si="25"/>
        <v>125475.9734353755</v>
      </c>
      <c r="V35" s="287">
        <f t="shared" si="26"/>
        <v>75.701537472483693</v>
      </c>
      <c r="W35" s="287">
        <f t="shared" si="27"/>
        <v>117.63280608936699</v>
      </c>
      <c r="X35" s="288">
        <f t="shared" si="28"/>
        <v>78.935269708803403</v>
      </c>
      <c r="Y35" s="287">
        <f t="shared" si="29"/>
        <v>122.37618467749458</v>
      </c>
      <c r="Z35" s="388">
        <v>52.1</v>
      </c>
      <c r="AA35" s="387">
        <f t="shared" si="30"/>
        <v>1399.3</v>
      </c>
      <c r="AB35" s="390">
        <f t="shared" si="2"/>
        <v>1.7712653838308288</v>
      </c>
      <c r="AC35" s="390">
        <f t="shared" si="3"/>
        <v>1.3118335013007714</v>
      </c>
      <c r="AD35" s="385">
        <f t="shared" si="4"/>
        <v>1.8469282852990181</v>
      </c>
      <c r="AE35" s="390">
        <f t="shared" si="5"/>
        <v>1.3647313547833382</v>
      </c>
      <c r="AF35" s="389">
        <f>'27'!I46</f>
        <v>35303.020000001452</v>
      </c>
      <c r="AG35" s="387">
        <f t="shared" si="31"/>
        <v>1008384.7000000001</v>
      </c>
      <c r="AH35" s="390">
        <f t="shared" si="6"/>
        <v>1200.2114639287909</v>
      </c>
      <c r="AI35" s="390">
        <f t="shared" si="7"/>
        <v>945.35327067757316</v>
      </c>
      <c r="AJ35" s="390">
        <f t="shared" si="8"/>
        <v>1251.480733099417</v>
      </c>
      <c r="AK35" s="390">
        <f t="shared" si="9"/>
        <v>983.47332078452814</v>
      </c>
      <c r="AL35" s="476">
        <v>2278.6</v>
      </c>
      <c r="AM35" s="446">
        <v>561.70000000000005</v>
      </c>
      <c r="AN35" s="446">
        <v>3642.4</v>
      </c>
      <c r="AO35" s="446">
        <f t="shared" si="40"/>
        <v>6482.7000000000007</v>
      </c>
      <c r="AP35" s="589">
        <f>+[1]Jan!N31</f>
        <v>6335</v>
      </c>
      <c r="AQ35" s="478">
        <f t="shared" si="10"/>
        <v>-147.70000000000073</v>
      </c>
      <c r="AR35" s="449">
        <f t="shared" si="11"/>
        <v>0.35148934857389663</v>
      </c>
      <c r="AS35" s="449">
        <f t="shared" si="12"/>
        <v>8.6645996266987518E-2</v>
      </c>
      <c r="AT35" s="449">
        <f t="shared" si="33"/>
        <v>0.56186465515911588</v>
      </c>
      <c r="AU35" s="449">
        <f t="shared" si="34"/>
        <v>-51.914976784364789</v>
      </c>
      <c r="AV35" s="449">
        <f t="shared" si="35"/>
        <v>-12.797613648634119</v>
      </c>
      <c r="AW35" s="449">
        <f>+AT35*AQ35</f>
        <v>-82.987409567001819</v>
      </c>
      <c r="AX35" s="391">
        <f t="shared" si="13"/>
        <v>2226.6850232156353</v>
      </c>
      <c r="AY35" s="391">
        <f t="shared" si="14"/>
        <v>548.90238635136598</v>
      </c>
      <c r="AZ35" s="391">
        <f t="shared" si="15"/>
        <v>3559.4125904329981</v>
      </c>
      <c r="BA35" s="385">
        <f>+Efficiency2!K140</f>
        <v>29.305803072000003</v>
      </c>
      <c r="BB35" s="386">
        <f t="shared" si="36"/>
        <v>1136.6437120370592</v>
      </c>
      <c r="BC35" s="411">
        <f t="shared" si="37"/>
        <v>0.96257386056593219</v>
      </c>
      <c r="BD35" s="411">
        <f t="shared" si="38"/>
        <v>0.90206807035639502</v>
      </c>
    </row>
    <row r="36" spans="1:56" s="391" customFormat="1" ht="12.75" customHeight="1">
      <c r="A36" s="405">
        <f t="shared" si="16"/>
        <v>46050</v>
      </c>
      <c r="B36" s="414" t="s">
        <v>410</v>
      </c>
      <c r="C36" s="392" t="s">
        <v>411</v>
      </c>
      <c r="D36" s="384">
        <f>+'28'!F42</f>
        <v>741.11111111111109</v>
      </c>
      <c r="E36" s="384">
        <f>+'28'!G42</f>
        <v>563.24444444444441</v>
      </c>
      <c r="F36" s="45">
        <f t="shared" si="0"/>
        <v>0.24</v>
      </c>
      <c r="G36" s="410">
        <f t="shared" si="17"/>
        <v>0.97256386635794256</v>
      </c>
      <c r="H36" s="406">
        <f t="shared" si="18"/>
        <v>0.58599828262036813</v>
      </c>
      <c r="I36" s="406">
        <f t="shared" si="19"/>
        <v>1.0075216388857391</v>
      </c>
      <c r="J36" s="411">
        <f t="shared" si="20"/>
        <v>0.59040595008990182</v>
      </c>
      <c r="K36" s="411">
        <f t="shared" si="21"/>
        <v>0.83225062819257511</v>
      </c>
      <c r="L36" s="385">
        <f>+Efficiency1!K145</f>
        <v>45.148596480000002</v>
      </c>
      <c r="M36" s="386">
        <f t="shared" si="22"/>
        <v>1264.0254802626355</v>
      </c>
      <c r="N36" s="385">
        <f>+Efficiency1!C145</f>
        <v>27.203354879999996</v>
      </c>
      <c r="O36" s="386">
        <f t="shared" si="22"/>
        <v>1172.6082087686077</v>
      </c>
      <c r="P36" s="386">
        <f>'28'!I38</f>
        <v>26.457000000000001</v>
      </c>
      <c r="Q36" s="386">
        <f t="shared" si="23"/>
        <v>1093.1319999999998</v>
      </c>
      <c r="R36" s="580">
        <f>'28'!I40</f>
        <v>26.655999999999999</v>
      </c>
      <c r="S36" s="386">
        <f t="shared" si="24"/>
        <v>1051.9859999999999</v>
      </c>
      <c r="T36" s="94">
        <f t="shared" si="1"/>
        <v>1820.7379410488368</v>
      </c>
      <c r="U36" s="12">
        <f t="shared" si="25"/>
        <v>127296.71137642434</v>
      </c>
      <c r="V36" s="287">
        <f t="shared" si="26"/>
        <v>68.818760292128232</v>
      </c>
      <c r="W36" s="287">
        <f t="shared" si="27"/>
        <v>116.45136303431275</v>
      </c>
      <c r="X36" s="288">
        <f t="shared" si="28"/>
        <v>68.304994787246272</v>
      </c>
      <c r="Y36" s="287">
        <f t="shared" si="29"/>
        <v>121.00608884188986</v>
      </c>
      <c r="Z36" s="388">
        <v>48</v>
      </c>
      <c r="AA36" s="387">
        <f t="shared" si="30"/>
        <v>1447.3</v>
      </c>
      <c r="AB36" s="390">
        <f t="shared" si="2"/>
        <v>1.8142646558566731</v>
      </c>
      <c r="AC36" s="390">
        <f t="shared" si="3"/>
        <v>1.323993808615977</v>
      </c>
      <c r="AD36" s="385">
        <f t="shared" si="4"/>
        <v>1.8007202881152462</v>
      </c>
      <c r="AE36" s="390">
        <f t="shared" si="5"/>
        <v>1.3757787651166462</v>
      </c>
      <c r="AF36" s="389">
        <f>'28'!I46</f>
        <v>34063.179999998545</v>
      </c>
      <c r="AG36" s="387">
        <f t="shared" si="31"/>
        <v>1042447.8799999986</v>
      </c>
      <c r="AH36" s="390">
        <f t="shared" si="6"/>
        <v>1287.4921570850263</v>
      </c>
      <c r="AI36" s="390">
        <f t="shared" si="7"/>
        <v>953.63403504791631</v>
      </c>
      <c r="AJ36" s="390">
        <f t="shared" si="8"/>
        <v>1277.8804021608096</v>
      </c>
      <c r="AK36" s="390">
        <f t="shared" si="9"/>
        <v>990.93322534710421</v>
      </c>
      <c r="AL36" s="445">
        <v>1868.9</v>
      </c>
      <c r="AM36" s="481">
        <v>771.6</v>
      </c>
      <c r="AN36" s="446">
        <v>3350.9</v>
      </c>
      <c r="AO36" s="446">
        <f t="shared" si="40"/>
        <v>5991.4</v>
      </c>
      <c r="AP36" s="589">
        <f>+[1]Jan!N32</f>
        <v>5837</v>
      </c>
      <c r="AQ36" s="478">
        <f t="shared" si="10"/>
        <v>-154.39999999999964</v>
      </c>
      <c r="AR36" s="449">
        <f t="shared" si="11"/>
        <v>0.31193043362152423</v>
      </c>
      <c r="AS36" s="449">
        <f t="shared" si="12"/>
        <v>0.1287845912474547</v>
      </c>
      <c r="AT36" s="449">
        <f t="shared" si="33"/>
        <v>0.55928497513102104</v>
      </c>
      <c r="AU36" s="449">
        <f>+AR36*AQ36</f>
        <v>-48.162058951163225</v>
      </c>
      <c r="AV36" s="449">
        <f t="shared" si="35"/>
        <v>-19.88434088860696</v>
      </c>
      <c r="AW36" s="449">
        <f>+AT36*AQ36</f>
        <v>-86.353600160229448</v>
      </c>
      <c r="AX36" s="391">
        <f t="shared" si="13"/>
        <v>1820.7379410488368</v>
      </c>
      <c r="AY36" s="391">
        <f t="shared" si="14"/>
        <v>751.71565911139305</v>
      </c>
      <c r="AZ36" s="391">
        <f t="shared" si="15"/>
        <v>3264.5463998397709</v>
      </c>
      <c r="BA36" s="385">
        <f>+Efficiency2!K145</f>
        <v>27.203354879999996</v>
      </c>
      <c r="BB36" s="386">
        <f t="shared" si="36"/>
        <v>1163.8470669170592</v>
      </c>
      <c r="BC36" s="411">
        <f t="shared" si="37"/>
        <v>0.97987914055400516</v>
      </c>
      <c r="BD36" s="411">
        <f t="shared" si="38"/>
        <v>0.90388679913644443</v>
      </c>
    </row>
    <row r="37" spans="1:56" s="391" customFormat="1" ht="12.75" customHeight="1">
      <c r="A37" s="405">
        <f t="shared" si="16"/>
        <v>46051</v>
      </c>
      <c r="B37" s="414" t="s">
        <v>410</v>
      </c>
      <c r="C37" s="409" t="s">
        <v>698</v>
      </c>
      <c r="D37" s="384">
        <f>+'29'!F42</f>
        <v>759.58333333333337</v>
      </c>
      <c r="E37" s="384">
        <f>+'29'!G42</f>
        <v>577.2833333333333</v>
      </c>
      <c r="F37" s="45">
        <f t="shared" si="0"/>
        <v>0.2400000000000001</v>
      </c>
      <c r="G37" s="410">
        <f t="shared" si="17"/>
        <v>1.0270225468132381</v>
      </c>
      <c r="H37" s="406">
        <f t="shared" si="18"/>
        <v>0.63335853663668151</v>
      </c>
      <c r="I37" s="406">
        <f t="shared" si="19"/>
        <v>1.0161319492169132</v>
      </c>
      <c r="J37" s="411">
        <f t="shared" si="20"/>
        <v>0.64357584438580295</v>
      </c>
      <c r="K37" s="411">
        <f t="shared" si="21"/>
        <v>0.82595249569852724</v>
      </c>
      <c r="L37" s="385">
        <f>+SUM(Efficiency1!K150:K151)</f>
        <v>43.651420799999997</v>
      </c>
      <c r="M37" s="386">
        <f t="shared" si="22"/>
        <v>1307.6769010626356</v>
      </c>
      <c r="N37" s="385">
        <f>+SUM(Efficiency1!C150:C151)</f>
        <v>26.9195648</v>
      </c>
      <c r="O37" s="386">
        <f t="shared" si="22"/>
        <v>1199.5277735686077</v>
      </c>
      <c r="P37" s="386">
        <f>'29'!I38</f>
        <v>27.646999999999998</v>
      </c>
      <c r="Q37" s="386">
        <f t="shared" si="23"/>
        <v>1120.7789999999998</v>
      </c>
      <c r="R37" s="580">
        <f>'29'!I40</f>
        <v>28.093</v>
      </c>
      <c r="S37" s="386">
        <f t="shared" si="24"/>
        <v>1080.079</v>
      </c>
      <c r="T37" s="94">
        <f t="shared" si="1"/>
        <v>2272.2948372382334</v>
      </c>
      <c r="U37" s="12">
        <f t="shared" si="25"/>
        <v>129569.00621366258</v>
      </c>
      <c r="V37" s="287">
        <f t="shared" si="26"/>
        <v>82.189562601303336</v>
      </c>
      <c r="W37" s="287">
        <f t="shared" si="27"/>
        <v>115.60620444678443</v>
      </c>
      <c r="X37" s="288">
        <f t="shared" si="28"/>
        <v>80.884734177134277</v>
      </c>
      <c r="Y37" s="287">
        <f t="shared" si="29"/>
        <v>119.96252701298941</v>
      </c>
      <c r="Z37" s="388">
        <v>48.2</v>
      </c>
      <c r="AA37" s="387">
        <f t="shared" si="30"/>
        <v>1495.5</v>
      </c>
      <c r="AB37" s="390">
        <f t="shared" si="2"/>
        <v>1.7434079646977974</v>
      </c>
      <c r="AC37" s="390">
        <f t="shared" si="3"/>
        <v>1.3343397761735367</v>
      </c>
      <c r="AD37" s="385">
        <f t="shared" si="4"/>
        <v>1.7157298971273984</v>
      </c>
      <c r="AE37" s="390">
        <f t="shared" si="5"/>
        <v>1.3846209397645914</v>
      </c>
      <c r="AF37" s="389">
        <f>'29'!I46</f>
        <v>34150.740000000362</v>
      </c>
      <c r="AG37" s="387">
        <f t="shared" si="31"/>
        <v>1076598.6199999989</v>
      </c>
      <c r="AH37" s="390">
        <f t="shared" si="6"/>
        <v>1235.2421600897155</v>
      </c>
      <c r="AI37" s="390">
        <f t="shared" si="7"/>
        <v>960.58064970881787</v>
      </c>
      <c r="AJ37" s="390">
        <f t="shared" si="8"/>
        <v>1215.6316520129697</v>
      </c>
      <c r="AK37" s="390">
        <f t="shared" si="9"/>
        <v>996.77766163400918</v>
      </c>
      <c r="AL37" s="445">
        <v>2325.4</v>
      </c>
      <c r="AM37" s="446">
        <v>758.8</v>
      </c>
      <c r="AN37" s="446">
        <v>3668</v>
      </c>
      <c r="AO37" s="446">
        <f t="shared" si="40"/>
        <v>6752.2</v>
      </c>
      <c r="AP37" s="589">
        <f>+[1]Jan!N33</f>
        <v>6598</v>
      </c>
      <c r="AQ37" s="478">
        <f t="shared" si="10"/>
        <v>-154.19999999999982</v>
      </c>
      <c r="AR37" s="449">
        <f t="shared" si="11"/>
        <v>0.3443914575990048</v>
      </c>
      <c r="AS37" s="449">
        <f t="shared" si="12"/>
        <v>0.11237818784988596</v>
      </c>
      <c r="AT37" s="449">
        <f t="shared" si="33"/>
        <v>0.54323035455110924</v>
      </c>
      <c r="AU37" s="449">
        <f t="shared" si="34"/>
        <v>-53.105162761766479</v>
      </c>
      <c r="AV37" s="449">
        <f t="shared" si="35"/>
        <v>-17.328716566452393</v>
      </c>
      <c r="AW37" s="449">
        <f t="shared" si="39"/>
        <v>-83.766120671780939</v>
      </c>
      <c r="AX37" s="391">
        <f t="shared" si="13"/>
        <v>2272.2948372382334</v>
      </c>
      <c r="AY37" s="391">
        <f t="shared" si="14"/>
        <v>741.47128343354757</v>
      </c>
      <c r="AZ37" s="391">
        <f t="shared" si="15"/>
        <v>3584.2338793282192</v>
      </c>
      <c r="BA37" s="385">
        <f>+SUM(Efficiency2!K150:K151)</f>
        <v>26.9195648</v>
      </c>
      <c r="BB37" s="386">
        <f t="shared" si="36"/>
        <v>1190.7666317170592</v>
      </c>
      <c r="BC37" s="411">
        <f t="shared" si="37"/>
        <v>1.0435904223830543</v>
      </c>
      <c r="BD37" s="411">
        <f t="shared" si="38"/>
        <v>0.9070450676322277</v>
      </c>
    </row>
    <row r="38" spans="1:56" s="391" customFormat="1" ht="12.75" customHeight="1">
      <c r="A38" s="405">
        <f t="shared" si="16"/>
        <v>46052</v>
      </c>
      <c r="B38" s="414" t="s">
        <v>410</v>
      </c>
      <c r="C38" s="409" t="s">
        <v>715</v>
      </c>
      <c r="D38" s="384">
        <f>+'30'!F42</f>
        <v>1005.4285714285714</v>
      </c>
      <c r="E38" s="384">
        <f>+'30'!G42</f>
        <v>764.12571428571425</v>
      </c>
      <c r="F38" s="45">
        <f t="shared" si="0"/>
        <v>0.24</v>
      </c>
      <c r="G38" s="410">
        <f t="shared" si="17"/>
        <v>0.99900846324630377</v>
      </c>
      <c r="H38" s="406">
        <f t="shared" si="18"/>
        <v>0.81661109922502739</v>
      </c>
      <c r="I38" s="406">
        <f t="shared" si="19"/>
        <v>0.95098931089379113</v>
      </c>
      <c r="J38" s="411">
        <f t="shared" si="20"/>
        <v>0.77658842652023008</v>
      </c>
      <c r="K38" s="411">
        <f t="shared" si="21"/>
        <v>0.82437827234377781</v>
      </c>
      <c r="L38" s="385">
        <f>+Efficiency1!K155</f>
        <v>43.075583999999999</v>
      </c>
      <c r="M38" s="386">
        <f t="shared" si="22"/>
        <v>1350.7524850626355</v>
      </c>
      <c r="N38" s="385">
        <f>+Efficiency1!C155</f>
        <v>35.210912914285714</v>
      </c>
      <c r="O38" s="386">
        <f t="shared" si="22"/>
        <v>1234.7386864828934</v>
      </c>
      <c r="P38" s="386">
        <f>'30'!I38</f>
        <v>35.176000000000002</v>
      </c>
      <c r="Q38" s="386">
        <f t="shared" si="23"/>
        <v>1155.9549999999997</v>
      </c>
      <c r="R38" s="580">
        <f>'30'!I40</f>
        <v>33.451999999999998</v>
      </c>
      <c r="S38" s="386">
        <f t="shared" si="24"/>
        <v>1113.5309999999999</v>
      </c>
      <c r="T38" s="94">
        <f t="shared" si="1"/>
        <v>3435.561710680156</v>
      </c>
      <c r="U38" s="12">
        <f t="shared" si="25"/>
        <v>133004.56792434273</v>
      </c>
      <c r="V38" s="287">
        <f t="shared" si="26"/>
        <v>97.667776628387415</v>
      </c>
      <c r="W38" s="287">
        <f t="shared" si="27"/>
        <v>115.06033359805768</v>
      </c>
      <c r="X38" s="288">
        <f t="shared" si="28"/>
        <v>102.70123492407497</v>
      </c>
      <c r="Y38" s="287">
        <f t="shared" si="29"/>
        <v>119.44397410071451</v>
      </c>
      <c r="Z38" s="388">
        <v>49.9</v>
      </c>
      <c r="AA38" s="387">
        <f t="shared" si="30"/>
        <v>1545.4</v>
      </c>
      <c r="AB38" s="390">
        <f t="shared" si="2"/>
        <v>1.4185808505799407</v>
      </c>
      <c r="AC38" s="390">
        <f t="shared" si="3"/>
        <v>1.3369032531543188</v>
      </c>
      <c r="AD38" s="385">
        <f t="shared" si="4"/>
        <v>1.4916895850771255</v>
      </c>
      <c r="AE38" s="390">
        <f t="shared" si="5"/>
        <v>1.3878374288636779</v>
      </c>
      <c r="AF38" s="389">
        <f>'30'!I46</f>
        <v>35169.74</v>
      </c>
      <c r="AG38" s="387">
        <f t="shared" si="31"/>
        <v>1111768.3599999989</v>
      </c>
      <c r="AH38" s="390">
        <f t="shared" si="6"/>
        <v>999.82203775301332</v>
      </c>
      <c r="AI38" s="390">
        <f t="shared" si="7"/>
        <v>961.77477496961319</v>
      </c>
      <c r="AJ38" s="390">
        <f t="shared" si="8"/>
        <v>1051.349396149707</v>
      </c>
      <c r="AK38" s="390">
        <f t="shared" si="9"/>
        <v>998.41707146006615</v>
      </c>
      <c r="AL38" s="445">
        <v>3558.7</v>
      </c>
      <c r="AM38" s="446">
        <v>3632.7</v>
      </c>
      <c r="AN38" s="446">
        <v>3157.7</v>
      </c>
      <c r="AO38" s="446">
        <f t="shared" si="40"/>
        <v>10349.099999999999</v>
      </c>
      <c r="AP38" s="589">
        <f>+[1]Jan!N34</f>
        <v>9991</v>
      </c>
      <c r="AQ38" s="478">
        <f t="shared" si="10"/>
        <v>-358.09999999999854</v>
      </c>
      <c r="AR38" s="449">
        <f t="shared" ref="AR38:AR39" si="41">+AL38/AO38</f>
        <v>0.34386565015315346</v>
      </c>
      <c r="AS38" s="449">
        <f t="shared" ref="AS38:AS39" si="42">+AM38/AO38</f>
        <v>0.35101603037945334</v>
      </c>
      <c r="AT38" s="449">
        <f t="shared" ref="AT38:AT39" si="43">1-AR38-AS38</f>
        <v>0.30511831946739326</v>
      </c>
      <c r="AU38" s="449">
        <f t="shared" ref="AU38:AU39" si="44">+AR38*AQ38</f>
        <v>-123.13828931984375</v>
      </c>
      <c r="AV38" s="449">
        <f t="shared" ref="AV38:AV39" si="45">+AS38*AQ38</f>
        <v>-125.69884047888173</v>
      </c>
      <c r="AW38" s="449">
        <f t="shared" ref="AW38:AW39" si="46">+AT38*AQ38</f>
        <v>-109.26287020127309</v>
      </c>
      <c r="AX38" s="391">
        <f t="shared" ref="AX38:AX39" si="47">+AL38+AU38</f>
        <v>3435.561710680156</v>
      </c>
      <c r="AY38" s="391">
        <f t="shared" ref="AY38:AY39" si="48">+AM38+AV38</f>
        <v>3507.0011595211181</v>
      </c>
      <c r="AZ38" s="391">
        <f t="shared" ref="AZ38:AZ39" si="49">+AN38+AW38</f>
        <v>3048.4371297987268</v>
      </c>
      <c r="BA38" s="385">
        <f>+Efficiency2!K155</f>
        <v>35.210912914285714</v>
      </c>
      <c r="BB38" s="386">
        <f t="shared" si="36"/>
        <v>1225.9775446313449</v>
      </c>
      <c r="BC38" s="411">
        <f t="shared" si="37"/>
        <v>0.95004637003966763</v>
      </c>
      <c r="BD38" s="411">
        <f t="shared" si="38"/>
        <v>0.90828009442443913</v>
      </c>
    </row>
    <row r="39" spans="1:56" s="391" customFormat="1" ht="12.75" customHeight="1">
      <c r="A39" s="405">
        <f>A38+1</f>
        <v>46053</v>
      </c>
      <c r="B39" s="414" t="s">
        <v>454</v>
      </c>
      <c r="C39" s="409" t="s">
        <v>725</v>
      </c>
      <c r="D39" s="384">
        <f>+'31'!F42</f>
        <v>1220.8860759493671</v>
      </c>
      <c r="E39" s="384">
        <f>+'31'!G42</f>
        <v>927.87341772151899</v>
      </c>
      <c r="F39" s="45">
        <f t="shared" si="0"/>
        <v>0.24</v>
      </c>
      <c r="G39" s="410">
        <f t="shared" si="17"/>
        <v>0.89113858052326056</v>
      </c>
      <c r="H39" s="406">
        <f t="shared" si="18"/>
        <v>0.88484103309632689</v>
      </c>
      <c r="I39" s="406">
        <f t="shared" si="19"/>
        <v>0.95426050615277469</v>
      </c>
      <c r="J39" s="411">
        <f t="shared" si="20"/>
        <v>0.84436885210724499</v>
      </c>
      <c r="K39" s="411">
        <f t="shared" si="21"/>
        <v>0.8250062442315248</v>
      </c>
      <c r="L39" s="385">
        <f>+SUM(Efficiency1!K161:K162)</f>
        <v>43.807868927999998</v>
      </c>
      <c r="M39" s="386">
        <f>M38+L39</f>
        <v>1394.5603539906356</v>
      </c>
      <c r="N39" s="385">
        <f>+SUM(Efficiency1!C161:C162)</f>
        <v>43.498285056</v>
      </c>
      <c r="O39" s="386">
        <f>O38+N39</f>
        <v>1278.2369715388934</v>
      </c>
      <c r="P39" s="386">
        <f>'31'!I38</f>
        <v>38.762999999999998</v>
      </c>
      <c r="Q39" s="386">
        <f>Q38+P39</f>
        <v>1194.7179999999996</v>
      </c>
      <c r="R39" s="580">
        <f>'31'!I40</f>
        <v>36.99</v>
      </c>
      <c r="S39" s="386">
        <f>S38+R39</f>
        <v>1150.521</v>
      </c>
      <c r="T39" s="94">
        <f t="shared" si="1"/>
        <v>5669.165541992822</v>
      </c>
      <c r="U39" s="12">
        <f>T39+U38</f>
        <v>138673.73346633554</v>
      </c>
      <c r="V39" s="287">
        <f t="shared" si="26"/>
        <v>146.25198106423193</v>
      </c>
      <c r="W39" s="287">
        <f t="shared" si="27"/>
        <v>116.07235637726693</v>
      </c>
      <c r="X39" s="288">
        <f t="shared" si="28"/>
        <v>153.26211251670242</v>
      </c>
      <c r="Y39" s="287">
        <f t="shared" si="29"/>
        <v>120.53124929169962</v>
      </c>
      <c r="Z39" s="388">
        <v>49.5</v>
      </c>
      <c r="AA39" s="387">
        <f>Z39+AA38</f>
        <v>1594.9</v>
      </c>
      <c r="AB39" s="390">
        <f t="shared" si="2"/>
        <v>1.2769909449732992</v>
      </c>
      <c r="AC39" s="390">
        <f t="shared" si="3"/>
        <v>1.3349593795355896</v>
      </c>
      <c r="AD39" s="385">
        <f t="shared" si="4"/>
        <v>1.3381995133819951</v>
      </c>
      <c r="AE39" s="390">
        <f t="shared" si="5"/>
        <v>1.3862415375295194</v>
      </c>
      <c r="AF39" s="389">
        <f>'31'!I46</f>
        <v>35605.019999999997</v>
      </c>
      <c r="AG39" s="387">
        <f>AF39+AG38</f>
        <v>1147373.379999999</v>
      </c>
      <c r="AH39" s="390">
        <f t="shared" si="6"/>
        <v>918.53107344632758</v>
      </c>
      <c r="AI39" s="390">
        <f t="shared" si="7"/>
        <v>960.37171951874791</v>
      </c>
      <c r="AJ39" s="390">
        <f t="shared" si="8"/>
        <v>962.55798864557983</v>
      </c>
      <c r="AK39" s="390">
        <f t="shared" si="9"/>
        <v>997.26417857648755</v>
      </c>
      <c r="AL39" s="445">
        <v>5608</v>
      </c>
      <c r="AM39" s="446">
        <v>49.5</v>
      </c>
      <c r="AN39" s="446">
        <v>4345.3999999999996</v>
      </c>
      <c r="AO39" s="446">
        <f t="shared" si="40"/>
        <v>10002.9</v>
      </c>
      <c r="AP39" s="589">
        <f>+[1]Jan!N35</f>
        <v>10112</v>
      </c>
      <c r="AQ39" s="478">
        <f t="shared" si="10"/>
        <v>109.10000000000036</v>
      </c>
      <c r="AR39" s="449">
        <f t="shared" si="41"/>
        <v>0.56063741514960663</v>
      </c>
      <c r="AS39" s="449">
        <f t="shared" si="42"/>
        <v>4.9485649161743099E-3</v>
      </c>
      <c r="AT39" s="449">
        <f t="shared" si="43"/>
        <v>0.43441401993421908</v>
      </c>
      <c r="AU39" s="449">
        <f t="shared" si="44"/>
        <v>61.165541992822284</v>
      </c>
      <c r="AV39" s="449">
        <f t="shared" si="45"/>
        <v>0.53988843235461903</v>
      </c>
      <c r="AW39" s="449">
        <f t="shared" si="46"/>
        <v>47.394569574823457</v>
      </c>
      <c r="AX39" s="391">
        <f t="shared" si="47"/>
        <v>5669.165541992822</v>
      </c>
      <c r="AY39" s="391">
        <f t="shared" si="48"/>
        <v>50.039888432354616</v>
      </c>
      <c r="AZ39" s="391">
        <f t="shared" si="49"/>
        <v>4392.7945695748231</v>
      </c>
      <c r="BA39" s="385">
        <f>+SUM(Efficiency2!K161:K162)</f>
        <v>43.807868927999998</v>
      </c>
      <c r="BB39" s="386">
        <f>BB38+BA39</f>
        <v>1269.785413559345</v>
      </c>
      <c r="BC39" s="411">
        <f t="shared" si="37"/>
        <v>0.84436885210724499</v>
      </c>
      <c r="BD39" s="411">
        <f t="shared" si="38"/>
        <v>0.90607514286604218</v>
      </c>
    </row>
    <row r="40" spans="1:56" s="391" customFormat="1" ht="12.75" customHeight="1" thickBot="1">
      <c r="A40" s="405"/>
      <c r="B40" s="393"/>
      <c r="C40" s="393"/>
      <c r="D40" s="393"/>
      <c r="E40" s="393"/>
      <c r="F40" s="407"/>
      <c r="G40" s="410"/>
      <c r="H40" s="406"/>
      <c r="I40" s="406"/>
      <c r="J40" s="411"/>
      <c r="K40" s="417"/>
      <c r="L40" s="394"/>
      <c r="M40" s="395"/>
      <c r="N40" s="395"/>
      <c r="O40" s="395"/>
      <c r="P40" s="395"/>
      <c r="Q40" s="395"/>
      <c r="R40" s="395"/>
      <c r="S40" s="395"/>
      <c r="T40" s="290"/>
      <c r="U40" s="289"/>
      <c r="V40" s="291"/>
      <c r="W40" s="291"/>
      <c r="X40" s="288"/>
      <c r="Y40" s="291"/>
      <c r="Z40" s="396"/>
      <c r="AA40" s="396"/>
      <c r="AB40" s="397"/>
      <c r="AC40" s="397"/>
      <c r="AD40" s="394"/>
      <c r="AE40" s="397"/>
      <c r="AF40" s="396"/>
      <c r="AG40" s="396"/>
      <c r="AH40" s="397"/>
      <c r="AI40" s="397"/>
      <c r="AJ40" s="397"/>
      <c r="AK40" s="397"/>
      <c r="AP40" s="448"/>
      <c r="AQ40" s="479"/>
      <c r="AX40" s="449"/>
      <c r="AY40" s="449"/>
      <c r="AZ40" s="449"/>
      <c r="BA40" s="394"/>
      <c r="BB40" s="395"/>
      <c r="BC40" s="411"/>
      <c r="BD40" s="417"/>
    </row>
    <row r="41" spans="1:56" s="391" customFormat="1" ht="12.75" customHeight="1" thickTop="1" thickBot="1">
      <c r="A41" s="398"/>
      <c r="B41" s="399"/>
      <c r="C41" s="399"/>
      <c r="D41" s="399"/>
      <c r="E41" s="399"/>
      <c r="F41" s="408"/>
      <c r="G41" s="410">
        <f t="shared" si="17"/>
        <v>0.93466080750399227</v>
      </c>
      <c r="H41" s="406">
        <f t="shared" si="18"/>
        <v>0.8566986696425346</v>
      </c>
      <c r="I41" s="406">
        <f t="shared" si="19"/>
        <v>0.96300633287520598</v>
      </c>
      <c r="J41" s="411">
        <f t="shared" si="20"/>
        <v>0.8250062442315248</v>
      </c>
      <c r="K41" s="417"/>
      <c r="L41" s="400">
        <f>SUM(L9:L39)</f>
        <v>1394.5603539906356</v>
      </c>
      <c r="M41" s="401"/>
      <c r="N41" s="400">
        <f>SUM(N9:N39)</f>
        <v>1278.2369715388934</v>
      </c>
      <c r="O41" s="401"/>
      <c r="P41" s="400">
        <f>SUM(P9:P39)</f>
        <v>1194.7179999999996</v>
      </c>
      <c r="Q41" s="401"/>
      <c r="R41" s="400">
        <f>SUM(R9:R39)</f>
        <v>1150.521</v>
      </c>
      <c r="S41" s="401"/>
      <c r="T41" s="292">
        <f>SUM(T9:T39)</f>
        <v>138673.73346633554</v>
      </c>
      <c r="U41" s="292"/>
      <c r="V41" s="293">
        <f>T41/P41</f>
        <v>116.07235637726693</v>
      </c>
      <c r="W41" s="293"/>
      <c r="X41" s="288">
        <f>IF(AND(R41&gt;0,T41&gt;0),(T41/(R41*1000))*1000,0)</f>
        <v>120.53124929169962</v>
      </c>
      <c r="Y41" s="293"/>
      <c r="Z41" s="402">
        <f>SUM(Z9:Z40)</f>
        <v>1594.9</v>
      </c>
      <c r="AA41" s="402"/>
      <c r="AB41" s="403">
        <f>Z41/P41</f>
        <v>1.3349593795355896</v>
      </c>
      <c r="AC41" s="403"/>
      <c r="AD41" s="404">
        <f>Z41/R41</f>
        <v>1.3862415375295194</v>
      </c>
      <c r="AE41" s="403"/>
      <c r="AF41" s="402">
        <f>SUM(AF9:AF39)</f>
        <v>1147373.379999999</v>
      </c>
      <c r="AG41" s="402"/>
      <c r="AH41" s="403">
        <f>AF41/P41</f>
        <v>960.3717195187478</v>
      </c>
      <c r="AI41" s="403"/>
      <c r="AJ41" s="403">
        <f>AF41/R41</f>
        <v>997.26417857648755</v>
      </c>
      <c r="AK41" s="403"/>
      <c r="AP41" s="448">
        <f>SUM(AP9:AP40)</f>
        <v>389304</v>
      </c>
      <c r="AQ41" s="479"/>
      <c r="AX41" s="449">
        <f>SUM(AX9:AX39)</f>
        <v>138673.73346633554</v>
      </c>
      <c r="AY41" s="449">
        <f>SUM(AY9:AY39)</f>
        <v>126174.99154636498</v>
      </c>
      <c r="AZ41" s="449">
        <f>SUM(AZ9:AZ39)</f>
        <v>124455.27498729946</v>
      </c>
      <c r="BA41" s="400">
        <f>SUM(BA9:BA39)</f>
        <v>1269.785413559345</v>
      </c>
      <c r="BB41" s="401"/>
      <c r="BC41" s="411">
        <f t="shared" si="37"/>
        <v>0.90607514286604218</v>
      </c>
      <c r="BD41" s="417"/>
    </row>
    <row r="42" spans="1:56" ht="12.75" customHeight="1" thickTop="1">
      <c r="S42" s="276"/>
      <c r="T42" s="276"/>
      <c r="U42" s="276"/>
      <c r="V42" s="276"/>
      <c r="W42" s="276"/>
      <c r="X42" s="276"/>
      <c r="Y42" s="276"/>
      <c r="Z42" s="276"/>
      <c r="AA42" s="276"/>
      <c r="AD42" s="276"/>
      <c r="AF42" s="276"/>
      <c r="AG42" s="276"/>
    </row>
    <row r="43" spans="1:56" ht="12.75" customHeight="1">
      <c r="S43" s="276"/>
      <c r="T43" s="276"/>
      <c r="U43" s="276"/>
      <c r="V43" s="276"/>
      <c r="W43" s="276"/>
      <c r="X43" s="276"/>
      <c r="Y43" s="276"/>
      <c r="Z43" s="276"/>
      <c r="AA43" s="276"/>
      <c r="AD43" s="276"/>
      <c r="AF43" s="276"/>
      <c r="AG43" s="276"/>
      <c r="AY43" s="3">
        <f>SUM(AX41:AZ41)</f>
        <v>389304</v>
      </c>
    </row>
    <row r="44" spans="1:56">
      <c r="S44" s="276"/>
      <c r="T44" s="276"/>
      <c r="U44" s="276"/>
      <c r="V44" s="276"/>
      <c r="W44" s="276"/>
      <c r="X44" s="276"/>
      <c r="Y44" s="276"/>
      <c r="Z44" s="276"/>
      <c r="AA44" s="276"/>
      <c r="AD44" s="276"/>
      <c r="AF44" s="276"/>
      <c r="AG44" s="276"/>
    </row>
    <row r="45" spans="1:56">
      <c r="R45" s="294"/>
      <c r="S45" s="295"/>
      <c r="T45" s="295"/>
      <c r="U45" s="295"/>
      <c r="V45" s="295"/>
      <c r="W45" s="295"/>
      <c r="X45" s="295"/>
      <c r="Y45" s="295"/>
    </row>
    <row r="46" spans="1:56">
      <c r="R46" s="296"/>
    </row>
    <row r="47" spans="1:56">
      <c r="R47" s="296"/>
    </row>
    <row r="48" spans="1:56">
      <c r="R48" s="296"/>
    </row>
    <row r="49" spans="18:56">
      <c r="R49" s="296"/>
      <c r="BC49"/>
      <c r="BD49"/>
    </row>
    <row r="50" spans="18:56">
      <c r="R50" s="296"/>
      <c r="BC50"/>
      <c r="BD50"/>
    </row>
    <row r="51" spans="18:56">
      <c r="R51" s="296"/>
      <c r="BC51"/>
      <c r="BD51"/>
    </row>
    <row r="52" spans="18:56">
      <c r="R52" s="296"/>
      <c r="BC52"/>
      <c r="BD52"/>
    </row>
    <row r="53" spans="18:56">
      <c r="R53" s="296"/>
      <c r="BC53"/>
      <c r="BD53"/>
    </row>
    <row r="54" spans="18:56">
      <c r="R54" s="296"/>
      <c r="BC54"/>
      <c r="BD54"/>
    </row>
    <row r="55" spans="18:56">
      <c r="R55" s="296"/>
      <c r="BC55"/>
      <c r="BD55"/>
    </row>
    <row r="56" spans="18:56">
      <c r="R56" s="296"/>
      <c r="BC56"/>
      <c r="BD56"/>
    </row>
    <row r="57" spans="18:56">
      <c r="R57" s="296"/>
      <c r="BC57"/>
      <c r="BD57"/>
    </row>
    <row r="58" spans="18:56">
      <c r="R58" s="296"/>
      <c r="BC58"/>
      <c r="BD58"/>
    </row>
    <row r="59" spans="18:56">
      <c r="R59" s="296"/>
      <c r="BC59"/>
      <c r="BD59"/>
    </row>
    <row r="60" spans="18:56">
      <c r="BC60"/>
      <c r="BD60"/>
    </row>
    <row r="65536" spans="3:54">
      <c r="C65536" s="297"/>
      <c r="BA65536"/>
      <c r="BB65536"/>
    </row>
  </sheetData>
  <mergeCells count="34"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L7:AN7"/>
    <mergeCell ref="AO7:AO8"/>
    <mergeCell ref="F6:F8"/>
    <mergeCell ref="G6:G8"/>
    <mergeCell ref="BA6:BB7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Normal="100" workbookViewId="0">
      <pane xSplit="3" ySplit="6" topLeftCell="I7" activePane="bottomRight" state="frozen"/>
      <selection pane="topRight" activeCell="D1" sqref="D1"/>
      <selection pane="bottomLeft" activeCell="A7" sqref="A7"/>
      <selection pane="bottomRight" activeCell="O12" sqref="O12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11" t="s">
        <v>20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298"/>
      <c r="R2" s="298"/>
      <c r="S2" s="298"/>
      <c r="T2" s="298"/>
      <c r="U2" s="298"/>
    </row>
    <row r="3" spans="1:23" ht="12.75" customHeight="1">
      <c r="A3" s="298"/>
      <c r="B3" s="298"/>
      <c r="C3" s="298"/>
      <c r="D3" s="299"/>
      <c r="E3" s="300"/>
      <c r="F3" s="300"/>
      <c r="G3" s="300"/>
      <c r="H3" s="301"/>
      <c r="I3" s="300"/>
      <c r="J3" s="300"/>
      <c r="K3" s="300"/>
      <c r="L3" s="302"/>
      <c r="M3" s="300"/>
      <c r="N3" s="300"/>
      <c r="O3" s="300"/>
      <c r="P3" s="300"/>
      <c r="Q3" s="5"/>
      <c r="R3" s="5"/>
      <c r="S3" s="298"/>
      <c r="T3" s="298"/>
      <c r="U3" s="298"/>
    </row>
    <row r="4" spans="1:23">
      <c r="A4" s="619" t="s">
        <v>7</v>
      </c>
      <c r="B4" s="622" t="s">
        <v>21</v>
      </c>
      <c r="C4" s="622" t="s">
        <v>22</v>
      </c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  <c r="O4" s="612"/>
      <c r="P4" s="613" t="s">
        <v>185</v>
      </c>
      <c r="Q4" s="614"/>
      <c r="R4" s="615"/>
      <c r="U4" s="361" t="s">
        <v>0</v>
      </c>
    </row>
    <row r="5" spans="1:23" ht="14.25" customHeight="1">
      <c r="A5" s="620"/>
      <c r="B5" s="623"/>
      <c r="C5" s="623"/>
      <c r="D5" s="625" t="s">
        <v>303</v>
      </c>
      <c r="E5" s="626"/>
      <c r="F5" s="626"/>
      <c r="G5" s="627"/>
      <c r="H5" s="628" t="s">
        <v>304</v>
      </c>
      <c r="I5" s="629"/>
      <c r="J5" s="629"/>
      <c r="K5" s="630"/>
      <c r="L5" s="631" t="s">
        <v>303</v>
      </c>
      <c r="M5" s="632"/>
      <c r="N5" s="632"/>
      <c r="O5" s="633"/>
      <c r="P5" s="616"/>
      <c r="Q5" s="617"/>
      <c r="R5" s="618"/>
    </row>
    <row r="6" spans="1:23" ht="14.25" customHeight="1">
      <c r="A6" s="621"/>
      <c r="B6" s="624"/>
      <c r="C6" s="624"/>
      <c r="D6" s="505" t="s">
        <v>23</v>
      </c>
      <c r="E6" s="369" t="s">
        <v>24</v>
      </c>
      <c r="F6" s="370" t="s">
        <v>25</v>
      </c>
      <c r="G6" s="370" t="s">
        <v>26</v>
      </c>
      <c r="H6" s="506" t="s">
        <v>23</v>
      </c>
      <c r="I6" s="371" t="s">
        <v>24</v>
      </c>
      <c r="J6" s="372" t="s">
        <v>25</v>
      </c>
      <c r="K6" s="372" t="s">
        <v>26</v>
      </c>
      <c r="L6" s="507" t="s">
        <v>23</v>
      </c>
      <c r="M6" s="373" t="s">
        <v>24</v>
      </c>
      <c r="N6" s="374" t="s">
        <v>25</v>
      </c>
      <c r="O6" s="374" t="s">
        <v>26</v>
      </c>
      <c r="P6" s="375" t="s">
        <v>24</v>
      </c>
      <c r="Q6" s="376" t="s">
        <v>25</v>
      </c>
      <c r="R6" s="376" t="s">
        <v>26</v>
      </c>
      <c r="T6" s="361"/>
    </row>
    <row r="7" spans="1:23">
      <c r="A7" s="303">
        <f>A8-1</f>
        <v>46022</v>
      </c>
      <c r="B7" s="304">
        <v>0</v>
      </c>
      <c r="C7" s="304">
        <v>0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307"/>
      <c r="Q7" s="97"/>
      <c r="R7" s="97"/>
    </row>
    <row r="8" spans="1:23" ht="15">
      <c r="A8" s="303">
        <f>+Report1!A9</f>
        <v>46023</v>
      </c>
      <c r="B8" s="310">
        <f>+Report1!P9</f>
        <v>39.061999999999998</v>
      </c>
      <c r="C8" s="310">
        <f>+Report1!R9</f>
        <v>39.265999999999998</v>
      </c>
      <c r="D8" s="311">
        <f t="shared" ref="D8" si="0">+D7+E8</f>
        <v>4699.9999999989086</v>
      </c>
      <c r="E8" s="311">
        <f>+[3]DailyJan!AH7</f>
        <v>4699.9999999989086</v>
      </c>
      <c r="F8" s="311">
        <f t="shared" ref="F8:F38" si="1">E8/B8</f>
        <v>120.32154011568555</v>
      </c>
      <c r="G8" s="311">
        <f t="shared" ref="G8:G38" si="2">E8/C8</f>
        <v>119.69642948094811</v>
      </c>
      <c r="H8" s="311">
        <f t="shared" ref="H8" si="3">+H7+I8</f>
        <v>6800.64</v>
      </c>
      <c r="I8" s="311">
        <f>+[3]DailyJan!AI7</f>
        <v>6800.64</v>
      </c>
      <c r="J8" s="311">
        <f t="shared" ref="J8:J38" si="4">I8/B8</f>
        <v>174.09861246223954</v>
      </c>
      <c r="K8" s="311">
        <f t="shared" ref="K8:K38" si="5">I8/C8</f>
        <v>173.19411195436257</v>
      </c>
      <c r="L8" s="311">
        <f t="shared" ref="L8" si="6">+L7+M8</f>
        <v>26960.639999999999</v>
      </c>
      <c r="M8" s="311">
        <f>+[3]DailyJan!AJ7</f>
        <v>26960.639999999999</v>
      </c>
      <c r="N8" s="311">
        <f t="shared" ref="N8:N38" si="7">M8/B8</f>
        <v>690.20121857559775</v>
      </c>
      <c r="O8" s="311">
        <f t="shared" ref="O8:O38" si="8">M8/C8</f>
        <v>686.61539245148481</v>
      </c>
      <c r="P8" s="311">
        <f t="shared" ref="P8" si="9">+E8+I8+M8</f>
        <v>38461.279999998907</v>
      </c>
      <c r="Q8" s="6">
        <f t="shared" ref="Q8:Q38" si="10">P8/B8</f>
        <v>984.62137115352289</v>
      </c>
      <c r="R8" s="309">
        <f t="shared" ref="R8:R38" si="11">P8/C8</f>
        <v>979.50593388679545</v>
      </c>
      <c r="V8" s="379" t="s">
        <v>170</v>
      </c>
      <c r="W8" s="379" t="s">
        <v>171</v>
      </c>
    </row>
    <row r="9" spans="1:23" ht="15">
      <c r="A9" s="303">
        <f>+Report1!A10</f>
        <v>46024</v>
      </c>
      <c r="B9" s="310">
        <f>+Report1!P10</f>
        <v>38.975999999999999</v>
      </c>
      <c r="C9" s="310">
        <f>+Report1!R10</f>
        <v>36.225000000000001</v>
      </c>
      <c r="D9" s="311">
        <f t="shared" ref="D9" si="12">+D8+E9</f>
        <v>9000</v>
      </c>
      <c r="E9" s="311">
        <f>+[3]DailyJan!AH8</f>
        <v>4300.0000000010914</v>
      </c>
      <c r="F9" s="311">
        <f t="shared" ref="F9" si="13">E9/B9</f>
        <v>110.32430213467497</v>
      </c>
      <c r="G9" s="311">
        <f t="shared" ref="G9" si="14">E9/C9</f>
        <v>118.70255348519231</v>
      </c>
      <c r="H9" s="311">
        <f t="shared" ref="H9" si="15">+H8+I9</f>
        <v>14626.04</v>
      </c>
      <c r="I9" s="311">
        <f>+[3]DailyJan!AI8</f>
        <v>7825.4</v>
      </c>
      <c r="J9" s="311">
        <f t="shared" ref="J9" si="16">I9/B9</f>
        <v>200.77483579638752</v>
      </c>
      <c r="K9" s="311">
        <f t="shared" ref="K9" si="17">I9/C9</f>
        <v>216.02208419599722</v>
      </c>
      <c r="L9" s="311">
        <f t="shared" ref="L9" si="18">+L8+M9</f>
        <v>54946.04</v>
      </c>
      <c r="M9" s="311">
        <f>+[3]DailyJan!AJ8</f>
        <v>27985.4</v>
      </c>
      <c r="N9" s="311">
        <f t="shared" ref="N9" si="19">M9/B9</f>
        <v>718.01621510673237</v>
      </c>
      <c r="O9" s="311">
        <f t="shared" ref="O9" si="20">M9/C9</f>
        <v>772.54382332643206</v>
      </c>
      <c r="P9" s="311">
        <f t="shared" ref="P9" si="21">+E9+I9+M9</f>
        <v>40110.800000001094</v>
      </c>
      <c r="Q9" s="6">
        <f t="shared" ref="Q9" si="22">P9/B9</f>
        <v>1029.1153530377949</v>
      </c>
      <c r="R9" s="309">
        <f t="shared" ref="R9" si="23">P9/C9</f>
        <v>1107.2684610076217</v>
      </c>
      <c r="V9" s="379" t="s">
        <v>170</v>
      </c>
      <c r="W9" s="379" t="s">
        <v>171</v>
      </c>
    </row>
    <row r="10" spans="1:23" ht="15">
      <c r="A10" s="303">
        <f>+Report1!A11</f>
        <v>46025</v>
      </c>
      <c r="B10" s="310">
        <f>+Report1!P11</f>
        <v>38.978999999999999</v>
      </c>
      <c r="C10" s="310">
        <f>+Report1!R11</f>
        <v>38.095999999999997</v>
      </c>
      <c r="D10" s="311">
        <f t="shared" ref="D10" si="24">+D9+E10</f>
        <v>13099.999999998545</v>
      </c>
      <c r="E10" s="311">
        <f>+[3]DailyJan!AH9</f>
        <v>4099.9999999985448</v>
      </c>
      <c r="F10" s="311">
        <f t="shared" ref="F10" si="25">E10/B10</f>
        <v>105.18484312061739</v>
      </c>
      <c r="G10" s="311">
        <f t="shared" ref="G10" si="26">E10/C10</f>
        <v>107.62284754301095</v>
      </c>
      <c r="H10" s="311">
        <f t="shared" ref="H10" si="27">+H9+I10</f>
        <v>21944.32</v>
      </c>
      <c r="I10" s="311">
        <f>+[3]DailyJan!AI9</f>
        <v>7318.28</v>
      </c>
      <c r="J10" s="311">
        <f t="shared" ref="J10" si="28">I10/B10</f>
        <v>187.74930090561585</v>
      </c>
      <c r="K10" s="311">
        <f t="shared" ref="K10" si="29">I10/C10</f>
        <v>192.1010079798404</v>
      </c>
      <c r="L10" s="311">
        <f t="shared" ref="L10" si="30">+L9+M10</f>
        <v>81424.320000000007</v>
      </c>
      <c r="M10" s="311">
        <f>+[3]DailyJan!AJ9</f>
        <v>26478.28</v>
      </c>
      <c r="N10" s="311">
        <f t="shared" ref="N10" si="31">M10/B10</f>
        <v>679.29603119628518</v>
      </c>
      <c r="O10" s="311">
        <f t="shared" ref="O10" si="32">M10/C10</f>
        <v>695.04094918101646</v>
      </c>
      <c r="P10" s="311">
        <f t="shared" ref="P10" si="33">+E10+I10+M10</f>
        <v>37896.559999998542</v>
      </c>
      <c r="Q10" s="6">
        <f t="shared" ref="Q10" si="34">P10/B10</f>
        <v>972.23017522251837</v>
      </c>
      <c r="R10" s="309">
        <f t="shared" ref="R10" si="35">P10/C10</f>
        <v>994.76480470386775</v>
      </c>
      <c r="V10" s="379" t="s">
        <v>170</v>
      </c>
      <c r="W10" s="379" t="s">
        <v>171</v>
      </c>
    </row>
    <row r="11" spans="1:23" ht="15">
      <c r="A11" s="303">
        <f>+Report1!A12</f>
        <v>46026</v>
      </c>
      <c r="B11" s="310">
        <f>+Report1!P12</f>
        <v>39.433999999999997</v>
      </c>
      <c r="C11" s="310">
        <f>+Report1!R12</f>
        <v>37.954000000000001</v>
      </c>
      <c r="D11" s="311">
        <f t="shared" ref="D11" si="36">+D10+E11</f>
        <v>17500</v>
      </c>
      <c r="E11" s="311">
        <f>+[3]DailyJan!AH10</f>
        <v>4400.0000000014552</v>
      </c>
      <c r="F11" s="311">
        <f t="shared" ref="F11" si="37">E11/B11</f>
        <v>111.57884059444783</v>
      </c>
      <c r="G11" s="311">
        <f t="shared" ref="G11" si="38">E11/C11</f>
        <v>115.92980976975959</v>
      </c>
      <c r="H11" s="311">
        <f t="shared" ref="H11" si="39">+H10+I11</f>
        <v>30187.82</v>
      </c>
      <c r="I11" s="311">
        <f>+[3]DailyJan!AI10</f>
        <v>8243.5</v>
      </c>
      <c r="J11" s="311">
        <f t="shared" ref="J11" si="40">I11/B11</f>
        <v>209.04549373636965</v>
      </c>
      <c r="K11" s="311">
        <f t="shared" ref="K11" si="41">I11/C11</f>
        <v>217.19713337197661</v>
      </c>
      <c r="L11" s="311">
        <f t="shared" ref="L11" si="42">+L10+M11</f>
        <v>108827.82</v>
      </c>
      <c r="M11" s="311">
        <f>+[3]DailyJan!AJ10</f>
        <v>27403.5</v>
      </c>
      <c r="N11" s="311">
        <f t="shared" ref="N11" si="43">M11/B11</f>
        <v>694.9206268702136</v>
      </c>
      <c r="O11" s="311">
        <f t="shared" ref="O11" si="44">M11/C11</f>
        <v>722.01875955103549</v>
      </c>
      <c r="P11" s="311">
        <f t="shared" ref="P11" si="45">+E11+I11+M11</f>
        <v>40047.000000001455</v>
      </c>
      <c r="Q11" s="6">
        <f t="shared" ref="Q11" si="46">P11/B11</f>
        <v>1015.544961201031</v>
      </c>
      <c r="R11" s="309">
        <f t="shared" ref="R11" si="47">P11/C11</f>
        <v>1055.1457026927717</v>
      </c>
      <c r="V11" s="379" t="s">
        <v>170</v>
      </c>
      <c r="W11" s="379" t="s">
        <v>171</v>
      </c>
    </row>
    <row r="12" spans="1:23" ht="15">
      <c r="A12" s="303">
        <f>+Report1!A13</f>
        <v>46027</v>
      </c>
      <c r="B12" s="310">
        <f>+Report1!P13</f>
        <v>41.802999999999997</v>
      </c>
      <c r="C12" s="310">
        <f>+Report1!R13</f>
        <v>40.939</v>
      </c>
      <c r="D12" s="311">
        <f t="shared" ref="D12" si="48">+D11+E12</f>
        <v>21699.999999998909</v>
      </c>
      <c r="E12" s="311">
        <f>+[3]DailyJan!AH11</f>
        <v>4199.9999999989086</v>
      </c>
      <c r="F12" s="311">
        <f t="shared" ref="F12" si="49">E12/B12</f>
        <v>100.47125804365497</v>
      </c>
      <c r="G12" s="311">
        <f t="shared" ref="G12" si="50">E12/C12</f>
        <v>102.59166076354842</v>
      </c>
      <c r="H12" s="311">
        <f t="shared" ref="H12" si="51">+H11+I12</f>
        <v>36651.71</v>
      </c>
      <c r="I12" s="311">
        <f>+[3]DailyJan!AI11</f>
        <v>6463.89</v>
      </c>
      <c r="J12" s="311">
        <f t="shared" ref="J12" si="52">I12/B12</f>
        <v>154.62741908475471</v>
      </c>
      <c r="K12" s="311">
        <f t="shared" ref="K12" si="53">I12/C12</f>
        <v>157.8907643078727</v>
      </c>
      <c r="L12" s="311">
        <f t="shared" ref="L12" si="54">+L11+M12</f>
        <v>135451.71000000002</v>
      </c>
      <c r="M12" s="311">
        <f>+[3]DailyJan!AJ11</f>
        <v>26623.89</v>
      </c>
      <c r="N12" s="311">
        <f t="shared" ref="N12" si="55">M12/B12</f>
        <v>636.88945769442387</v>
      </c>
      <c r="O12" s="311">
        <f t="shared" ref="O12" si="56">M12/C12</f>
        <v>650.33073597303303</v>
      </c>
      <c r="P12" s="311">
        <f t="shared" ref="P12" si="57">+E12+I12+M12</f>
        <v>37287.779999998907</v>
      </c>
      <c r="Q12" s="6">
        <f t="shared" ref="Q12" si="58">P12/B12</f>
        <v>891.98813482283356</v>
      </c>
      <c r="R12" s="309">
        <f t="shared" ref="R12" si="59">P12/C12</f>
        <v>910.81316104445409</v>
      </c>
      <c r="V12" s="379" t="s">
        <v>170</v>
      </c>
      <c r="W12" s="379" t="s">
        <v>171</v>
      </c>
    </row>
    <row r="13" spans="1:23" ht="15">
      <c r="A13" s="303">
        <f>+Report1!A14</f>
        <v>46028</v>
      </c>
      <c r="B13" s="310">
        <f>+Report1!P14</f>
        <v>40.860999999999997</v>
      </c>
      <c r="C13" s="310">
        <f>+Report1!R14</f>
        <v>36.616999999999997</v>
      </c>
      <c r="D13" s="311">
        <f t="shared" ref="D13" si="60">+D12+E13</f>
        <v>26099.999999998545</v>
      </c>
      <c r="E13" s="311">
        <f>+[3]DailyJan!AH12</f>
        <v>4399.9999999996362</v>
      </c>
      <c r="F13" s="311">
        <f t="shared" ref="F13" si="61">E13/B13</f>
        <v>107.68214189568627</v>
      </c>
      <c r="G13" s="311">
        <f t="shared" ref="G13" si="62">E13/C13</f>
        <v>120.16276592838399</v>
      </c>
      <c r="H13" s="311">
        <f t="shared" ref="H13" si="63">+H12+I13</f>
        <v>45300.9</v>
      </c>
      <c r="I13" s="311">
        <f>+[3]DailyJan!AI12</f>
        <v>8649.19</v>
      </c>
      <c r="J13" s="311">
        <f t="shared" ref="J13" si="64">I13/B13</f>
        <v>211.67347837791539</v>
      </c>
      <c r="K13" s="311">
        <f t="shared" ref="K13" si="65">I13/C13</f>
        <v>236.20695305459216</v>
      </c>
      <c r="L13" s="311">
        <f t="shared" ref="L13" si="66">+L12+M13</f>
        <v>163260.90000000002</v>
      </c>
      <c r="M13" s="311">
        <f>+[3]DailyJan!AJ12</f>
        <v>27809.19</v>
      </c>
      <c r="N13" s="311">
        <f t="shared" ref="N13" si="67">M13/B13</f>
        <v>680.58025990553347</v>
      </c>
      <c r="O13" s="311">
        <f t="shared" ref="O13" si="68">M13/C13</f>
        <v>759.46117923368934</v>
      </c>
      <c r="P13" s="311">
        <f t="shared" ref="P13" si="69">+E13+I13+M13</f>
        <v>40858.379999999634</v>
      </c>
      <c r="Q13" s="6">
        <f t="shared" ref="Q13" si="70">P13/B13</f>
        <v>999.93588017913498</v>
      </c>
      <c r="R13" s="309">
        <f t="shared" ref="R13" si="71">P13/C13</f>
        <v>1115.8308982166654</v>
      </c>
      <c r="V13" s="379" t="s">
        <v>170</v>
      </c>
      <c r="W13" s="379" t="s">
        <v>171</v>
      </c>
    </row>
    <row r="14" spans="1:23" ht="15">
      <c r="A14" s="303">
        <f>+Report1!A15</f>
        <v>46029</v>
      </c>
      <c r="B14" s="310">
        <f>+Report1!P15</f>
        <v>39.362000000000002</v>
      </c>
      <c r="C14" s="310">
        <f>+Report1!R15</f>
        <v>37.741</v>
      </c>
      <c r="D14" s="311">
        <f t="shared" ref="D14" si="72">+D13+E14</f>
        <v>30599.999999998545</v>
      </c>
      <c r="E14" s="311">
        <f>+[3]DailyJan!AH13</f>
        <v>4500</v>
      </c>
      <c r="F14" s="311">
        <f t="shared" ref="F14" si="73">E14/B14</f>
        <v>114.32345917382246</v>
      </c>
      <c r="G14" s="311">
        <f t="shared" ref="G14" si="74">E14/C14</f>
        <v>119.23372459659257</v>
      </c>
      <c r="H14" s="311">
        <f t="shared" ref="H14" si="75">+H13+I14</f>
        <v>53549.62</v>
      </c>
      <c r="I14" s="311">
        <f>+[3]DailyJan!AI13</f>
        <v>8248.7199999999993</v>
      </c>
      <c r="J14" s="311">
        <f t="shared" ref="J14" si="76">I14/B14</f>
        <v>209.5604898125095</v>
      </c>
      <c r="K14" s="311">
        <f t="shared" ref="K14" si="77">I14/C14</f>
        <v>218.56124638986776</v>
      </c>
      <c r="L14" s="311">
        <f t="shared" ref="L14" si="78">+L13+M14</f>
        <v>191669.62000000002</v>
      </c>
      <c r="M14" s="311">
        <f>+[3]DailyJan!AJ13</f>
        <v>28408.720000000001</v>
      </c>
      <c r="N14" s="311">
        <f t="shared" ref="N14" si="79">M14/B14</f>
        <v>721.72958691123415</v>
      </c>
      <c r="O14" s="311">
        <f t="shared" ref="O14" si="80">M14/C14</f>
        <v>752.72833258260255</v>
      </c>
      <c r="P14" s="311">
        <f t="shared" ref="P14" si="81">+E14+I14+M14</f>
        <v>41157.440000000002</v>
      </c>
      <c r="Q14" s="6">
        <f t="shared" ref="Q14" si="82">P14/B14</f>
        <v>1045.6135358975662</v>
      </c>
      <c r="R14" s="309">
        <f t="shared" ref="R14" si="83">P14/C14</f>
        <v>1090.5233035690628</v>
      </c>
      <c r="V14" s="379" t="s">
        <v>170</v>
      </c>
      <c r="W14" s="379" t="s">
        <v>171</v>
      </c>
    </row>
    <row r="15" spans="1:23" ht="15">
      <c r="A15" s="303">
        <f>+Report1!A16</f>
        <v>46030</v>
      </c>
      <c r="B15" s="310">
        <f>+Report1!P16</f>
        <v>37.32</v>
      </c>
      <c r="C15" s="310">
        <f>+Report1!R16</f>
        <v>36.515000000000001</v>
      </c>
      <c r="D15" s="311">
        <f t="shared" ref="D15" si="84">+D14+E15</f>
        <v>35099.999999998545</v>
      </c>
      <c r="E15" s="311">
        <f>+[3]DailyJan!AH14</f>
        <v>4500</v>
      </c>
      <c r="F15" s="311">
        <f t="shared" ref="F15" si="85">E15/B15</f>
        <v>120.57877813504822</v>
      </c>
      <c r="G15" s="311">
        <f t="shared" ref="G15" si="86">E15/C15</f>
        <v>123.23702587977543</v>
      </c>
      <c r="H15" s="311">
        <f t="shared" ref="H15" si="87">+H14+I15</f>
        <v>60354.19</v>
      </c>
      <c r="I15" s="311">
        <f>+[3]DailyJan!AI14</f>
        <v>6804.57</v>
      </c>
      <c r="J15" s="311">
        <f t="shared" ref="J15" si="88">I15/B15</f>
        <v>182.33038585209002</v>
      </c>
      <c r="K15" s="311">
        <f t="shared" ref="K15" si="89">I15/C15</f>
        <v>186.34999315349856</v>
      </c>
      <c r="L15" s="311">
        <f t="shared" ref="L15" si="90">+L14+M15</f>
        <v>217634.19000000003</v>
      </c>
      <c r="M15" s="311">
        <f>+[3]DailyJan!AJ14</f>
        <v>25964.57</v>
      </c>
      <c r="N15" s="311">
        <f t="shared" ref="N15" si="91">M15/B15</f>
        <v>695.72802786709542</v>
      </c>
      <c r="O15" s="311">
        <f t="shared" ref="O15" si="92">M15/C15</f>
        <v>711.06586334383132</v>
      </c>
      <c r="P15" s="311">
        <f t="shared" ref="P15" si="93">+E15+I15+M15</f>
        <v>37269.14</v>
      </c>
      <c r="Q15" s="6">
        <f t="shared" ref="Q15" si="94">P15/B15</f>
        <v>998.63719185423361</v>
      </c>
      <c r="R15" s="309">
        <f t="shared" ref="R15" si="95">P15/C15</f>
        <v>1020.6528823771052</v>
      </c>
      <c r="V15" s="379" t="s">
        <v>170</v>
      </c>
      <c r="W15" s="379" t="s">
        <v>171</v>
      </c>
    </row>
    <row r="16" spans="1:23" ht="15">
      <c r="A16" s="303">
        <f>+Report1!A17</f>
        <v>46031</v>
      </c>
      <c r="B16" s="310">
        <f>+Report1!P17</f>
        <v>25.249000000000002</v>
      </c>
      <c r="C16" s="310">
        <f>+Report1!R17</f>
        <v>25.311</v>
      </c>
      <c r="D16" s="311">
        <f t="shared" ref="D16" si="96">+D15+E16</f>
        <v>38199.999999998909</v>
      </c>
      <c r="E16" s="311">
        <f>+[3]DailyJan!AH15</f>
        <v>3100.0000000003638</v>
      </c>
      <c r="F16" s="311">
        <f t="shared" ref="F16" si="97">E16/B16</f>
        <v>122.77713968871494</v>
      </c>
      <c r="G16" s="311">
        <f t="shared" ref="G16" si="98">E16/C16</f>
        <v>122.47639366284871</v>
      </c>
      <c r="H16" s="311">
        <f t="shared" ref="H16" si="99">+H15+I16</f>
        <v>65050.37</v>
      </c>
      <c r="I16" s="311">
        <f>+[3]DailyJan!AI15</f>
        <v>4696.18</v>
      </c>
      <c r="J16" s="311">
        <f t="shared" ref="J16" si="100">I16/B16</f>
        <v>185.99469285912312</v>
      </c>
      <c r="K16" s="311">
        <f t="shared" ref="K16" si="101">I16/C16</f>
        <v>185.53909367468691</v>
      </c>
      <c r="L16" s="311">
        <f t="shared" ref="L16" si="102">+L15+M16</f>
        <v>234490.37000000002</v>
      </c>
      <c r="M16" s="311">
        <f>+[3]DailyJan!AJ15</f>
        <v>16856.18</v>
      </c>
      <c r="N16" s="311">
        <f t="shared" ref="N16" si="103">M16/B16</f>
        <v>667.59792467028387</v>
      </c>
      <c r="O16" s="311">
        <f t="shared" ref="O16" si="104">M16/C16</f>
        <v>665.96262494567577</v>
      </c>
      <c r="P16" s="311">
        <f t="shared" ref="P16" si="105">+E16+I16+M16</f>
        <v>24652.360000000364</v>
      </c>
      <c r="Q16" s="6">
        <f t="shared" ref="Q16" si="106">P16/B16</f>
        <v>976.369757218122</v>
      </c>
      <c r="R16" s="309">
        <f t="shared" ref="R16" si="107">P16/C16</f>
        <v>973.97811228321143</v>
      </c>
      <c r="V16" s="379" t="s">
        <v>170</v>
      </c>
      <c r="W16" s="379" t="s">
        <v>171</v>
      </c>
    </row>
    <row r="17" spans="1:23" ht="15">
      <c r="A17" s="303">
        <f>+Report1!A18</f>
        <v>46032</v>
      </c>
      <c r="B17" s="310">
        <f>+Report1!P18</f>
        <v>35.371000000000002</v>
      </c>
      <c r="C17" s="310">
        <f>+Report1!R18</f>
        <v>31.187999999999999</v>
      </c>
      <c r="D17" s="311">
        <f t="shared" ref="D17" si="108">+D16+E17</f>
        <v>42299.999999999272</v>
      </c>
      <c r="E17" s="311">
        <f>+[3]DailyJan!AH16</f>
        <v>4100.0000000003638</v>
      </c>
      <c r="F17" s="311">
        <f t="shared" ref="F17" si="109">E17/B17</f>
        <v>115.91416697295422</v>
      </c>
      <c r="G17" s="311">
        <f t="shared" ref="G17" si="110">E17/C17</f>
        <v>131.46081826344633</v>
      </c>
      <c r="H17" s="311">
        <f t="shared" ref="H17" si="111">+H16+I17</f>
        <v>70794.600000000006</v>
      </c>
      <c r="I17" s="311">
        <f>+[3]DailyJan!AI16</f>
        <v>5744.23</v>
      </c>
      <c r="J17" s="311">
        <f t="shared" ref="J17" si="112">I17/B17</f>
        <v>162.39942325633993</v>
      </c>
      <c r="K17" s="311">
        <f t="shared" ref="K17" si="113">I17/C17</f>
        <v>184.18077465691931</v>
      </c>
      <c r="L17" s="311">
        <f t="shared" ref="L17" si="114">+L16+M17</f>
        <v>257394.60000000003</v>
      </c>
      <c r="M17" s="311">
        <f>+[3]DailyJan!AJ16</f>
        <v>22904.23</v>
      </c>
      <c r="N17" s="311">
        <f t="shared" ref="N17" si="115">M17/B17</f>
        <v>647.5426196601735</v>
      </c>
      <c r="O17" s="311">
        <f t="shared" ref="O17" si="116">M17/C17</f>
        <v>734.39239451070921</v>
      </c>
      <c r="P17" s="311">
        <f t="shared" ref="P17" si="117">+E17+I17+M17</f>
        <v>32748.460000000363</v>
      </c>
      <c r="Q17" s="6">
        <f t="shared" ref="Q17" si="118">P17/B17</f>
        <v>925.85620988946766</v>
      </c>
      <c r="R17" s="309">
        <f t="shared" ref="R17" si="119">P17/C17</f>
        <v>1050.0339874310748</v>
      </c>
      <c r="V17" s="379" t="s">
        <v>170</v>
      </c>
      <c r="W17" s="379" t="s">
        <v>171</v>
      </c>
    </row>
    <row r="18" spans="1:23" ht="15">
      <c r="A18" s="303">
        <f>+Report1!A19</f>
        <v>46033</v>
      </c>
      <c r="B18" s="310">
        <f>+Report1!P19</f>
        <v>43.920999999999999</v>
      </c>
      <c r="C18" s="310">
        <f>+Report1!R19</f>
        <v>45.264000000000003</v>
      </c>
      <c r="D18" s="311">
        <f t="shared" ref="D18" si="120">+D17+E18</f>
        <v>46699.999999998909</v>
      </c>
      <c r="E18" s="311">
        <f>+[3]DailyJan!AH17</f>
        <v>4399.9999999996362</v>
      </c>
      <c r="F18" s="311">
        <f t="shared" ref="F18" si="121">E18/B18</f>
        <v>100.17986840007369</v>
      </c>
      <c r="G18" s="311">
        <f t="shared" ref="G18" si="122">E18/C18</f>
        <v>97.207493814060527</v>
      </c>
      <c r="H18" s="311">
        <f t="shared" ref="H18" si="123">+H17+I18</f>
        <v>79776.77</v>
      </c>
      <c r="I18" s="311">
        <f>+[3]DailyJan!AI17</f>
        <v>8982.17</v>
      </c>
      <c r="J18" s="311">
        <f t="shared" ref="J18" si="124">I18/B18</f>
        <v>204.50741103344643</v>
      </c>
      <c r="K18" s="311">
        <f t="shared" ref="K18" si="125">I18/C18</f>
        <v>198.43959879816188</v>
      </c>
      <c r="L18" s="311">
        <f t="shared" ref="L18" si="126">+L17+M18</f>
        <v>283536.77</v>
      </c>
      <c r="M18" s="311">
        <f>+[3]DailyJan!AJ17</f>
        <v>26142.17</v>
      </c>
      <c r="N18" s="311">
        <f t="shared" ref="N18" si="127">M18/B18</f>
        <v>595.20889779376603</v>
      </c>
      <c r="O18" s="311">
        <f t="shared" ref="O18" si="128">M18/C18</f>
        <v>577.54882467302923</v>
      </c>
      <c r="P18" s="311">
        <f t="shared" ref="P18" si="129">+E18+I18+M18</f>
        <v>39524.339999999633</v>
      </c>
      <c r="Q18" s="6">
        <f t="shared" ref="Q18" si="130">P18/B18</f>
        <v>899.8961772272861</v>
      </c>
      <c r="R18" s="309">
        <f t="shared" ref="R18" si="131">P18/C18</f>
        <v>873.19591728525165</v>
      </c>
      <c r="V18" s="379" t="s">
        <v>170</v>
      </c>
      <c r="W18" s="379" t="s">
        <v>171</v>
      </c>
    </row>
    <row r="19" spans="1:23" ht="15">
      <c r="A19" s="303">
        <f>+Report1!A20</f>
        <v>46034</v>
      </c>
      <c r="B19" s="310">
        <f>+Report1!P20</f>
        <v>40.608999999999995</v>
      </c>
      <c r="C19" s="310">
        <f>+Report1!R20</f>
        <v>38.9</v>
      </c>
      <c r="D19" s="311">
        <f t="shared" ref="D19" si="132">+D18+E19</f>
        <v>51299.999999999272</v>
      </c>
      <c r="E19" s="311">
        <f>+[3]DailyJan!AH18</f>
        <v>4600.0000000003638</v>
      </c>
      <c r="F19" s="311">
        <f t="shared" ref="F19" si="133">E19/B19</f>
        <v>113.27538230442426</v>
      </c>
      <c r="G19" s="311">
        <f t="shared" ref="G19" si="134">E19/C19</f>
        <v>118.25192802057491</v>
      </c>
      <c r="H19" s="311">
        <f t="shared" ref="H19" si="135">+H18+I19</f>
        <v>87243.21</v>
      </c>
      <c r="I19" s="311">
        <f>+[3]DailyJan!AI18</f>
        <v>7466.4400000000005</v>
      </c>
      <c r="J19" s="311">
        <f t="shared" ref="J19" si="136">I19/B19</f>
        <v>183.86170553325621</v>
      </c>
      <c r="K19" s="311">
        <f t="shared" ref="K19" si="137">I19/C19</f>
        <v>191.93933161953728</v>
      </c>
      <c r="L19" s="311">
        <f t="shared" ref="L19" si="138">+L18+M19</f>
        <v>310163.21000000002</v>
      </c>
      <c r="M19" s="311">
        <f>+[3]DailyJan!AJ18</f>
        <v>26626.44</v>
      </c>
      <c r="N19" s="311">
        <f t="shared" ref="N19" si="139">M19/B19</f>
        <v>655.6782979142555</v>
      </c>
      <c r="O19" s="311">
        <f t="shared" ref="O19" si="140">M19/C19</f>
        <v>684.48431876606685</v>
      </c>
      <c r="P19" s="311">
        <f t="shared" ref="P19" si="141">+E19+I19+M19</f>
        <v>38692.880000000361</v>
      </c>
      <c r="Q19" s="6">
        <f t="shared" ref="Q19" si="142">P19/B19</f>
        <v>952.81538575193588</v>
      </c>
      <c r="R19" s="309">
        <f t="shared" ref="R19" si="143">P19/C19</f>
        <v>994.67557840617894</v>
      </c>
      <c r="V19" s="379" t="s">
        <v>170</v>
      </c>
      <c r="W19" s="379" t="s">
        <v>171</v>
      </c>
    </row>
    <row r="20" spans="1:23" ht="15">
      <c r="A20" s="303">
        <f>+Report1!A21</f>
        <v>46035</v>
      </c>
      <c r="B20" s="310">
        <f>+Report1!P21</f>
        <v>41.491</v>
      </c>
      <c r="C20" s="310">
        <f>+Report1!R21</f>
        <v>38.96</v>
      </c>
      <c r="D20" s="311">
        <f t="shared" ref="D20" si="144">+D19+E20</f>
        <v>55500</v>
      </c>
      <c r="E20" s="311">
        <f>+[3]DailyJan!AH19</f>
        <v>4200.0000000007276</v>
      </c>
      <c r="F20" s="311">
        <f t="shared" ref="F20" si="145">E20/B20</f>
        <v>101.22677207106909</v>
      </c>
      <c r="G20" s="311">
        <f t="shared" ref="G20" si="146">E20/C20</f>
        <v>107.80287474334516</v>
      </c>
      <c r="H20" s="311">
        <f t="shared" ref="H20" si="147">+H19+I20</f>
        <v>95077.640000000014</v>
      </c>
      <c r="I20" s="311">
        <f>+[3]DailyJan!AI19</f>
        <v>7834.43</v>
      </c>
      <c r="J20" s="311">
        <f t="shared" ref="J20" si="148">I20/B20</f>
        <v>188.8223952182401</v>
      </c>
      <c r="K20" s="311">
        <f t="shared" ref="K20" si="149">I20/C20</f>
        <v>201.0890657084189</v>
      </c>
      <c r="L20" s="311">
        <f t="shared" ref="L20" si="150">+L19+M20</f>
        <v>336157.64</v>
      </c>
      <c r="M20" s="311">
        <f>+[3]DailyJan!AJ19</f>
        <v>25994.43</v>
      </c>
      <c r="N20" s="311">
        <f t="shared" ref="N20" si="151">M20/B20</f>
        <v>626.50767636354874</v>
      </c>
      <c r="O20" s="311">
        <f t="shared" ref="O20" si="152">M20/C20</f>
        <v>667.20816221765915</v>
      </c>
      <c r="P20" s="311">
        <f t="shared" ref="P20" si="153">+E20+I20+M20</f>
        <v>38028.860000000728</v>
      </c>
      <c r="Q20" s="6">
        <f t="shared" ref="Q20" si="154">P20/B20</f>
        <v>916.55684365285788</v>
      </c>
      <c r="R20" s="309">
        <f t="shared" ref="R20" si="155">P20/C20</f>
        <v>976.10010266942322</v>
      </c>
      <c r="V20" s="379" t="s">
        <v>170</v>
      </c>
      <c r="W20" s="379" t="s">
        <v>171</v>
      </c>
    </row>
    <row r="21" spans="1:23" ht="15">
      <c r="A21" s="303">
        <f>+Report1!A22</f>
        <v>46036</v>
      </c>
      <c r="B21" s="310">
        <f>+Report1!P22</f>
        <v>40.244999999999997</v>
      </c>
      <c r="C21" s="310">
        <f>+Report1!R22</f>
        <v>38.073</v>
      </c>
      <c r="D21" s="311">
        <f t="shared" ref="D21" si="156">+D20+E21</f>
        <v>59899.999999999636</v>
      </c>
      <c r="E21" s="311">
        <f>+[3]DailyJan!AH20</f>
        <v>4399.9999999996362</v>
      </c>
      <c r="F21" s="311">
        <f t="shared" ref="F21" si="157">E21/B21</f>
        <v>109.33035159646258</v>
      </c>
      <c r="G21" s="311">
        <f t="shared" ref="G21" si="158">E21/C21</f>
        <v>115.56746250622847</v>
      </c>
      <c r="H21" s="311">
        <f t="shared" ref="H21" si="159">+H20+I21</f>
        <v>102992.83000000002</v>
      </c>
      <c r="I21" s="311">
        <f>+[3]DailyJan!AI20</f>
        <v>7915.19</v>
      </c>
      <c r="J21" s="311">
        <f t="shared" ref="J21" si="160">I21/B21</f>
        <v>196.67511492110822</v>
      </c>
      <c r="K21" s="311">
        <f t="shared" ref="K21" si="161">I21/C21</f>
        <v>207.89509626244319</v>
      </c>
      <c r="L21" s="311">
        <f t="shared" ref="L21" si="162">+L20+M21</f>
        <v>363232.83</v>
      </c>
      <c r="M21" s="311">
        <f>+[3]DailyJan!AJ20</f>
        <v>27075.19</v>
      </c>
      <c r="N21" s="311">
        <f t="shared" ref="N21" si="163">M21/B21</f>
        <v>672.75910050938</v>
      </c>
      <c r="O21" s="311">
        <f t="shared" ref="O21" si="164">M21/C21</f>
        <v>711.13886481233419</v>
      </c>
      <c r="P21" s="311">
        <f t="shared" ref="P21" si="165">+E21+I21+M21</f>
        <v>39390.379999999634</v>
      </c>
      <c r="Q21" s="6">
        <f t="shared" ref="Q21" si="166">P21/B21</f>
        <v>978.76456702695077</v>
      </c>
      <c r="R21" s="309">
        <f t="shared" ref="R21" si="167">P21/C21</f>
        <v>1034.6014235810057</v>
      </c>
      <c r="V21" s="379" t="s">
        <v>170</v>
      </c>
      <c r="W21" s="379" t="s">
        <v>171</v>
      </c>
    </row>
    <row r="22" spans="1:23" ht="15">
      <c r="A22" s="303">
        <f>+Report1!A23</f>
        <v>46037</v>
      </c>
      <c r="B22" s="310">
        <f>+Report1!P23</f>
        <v>46.251999999999995</v>
      </c>
      <c r="C22" s="310">
        <f>+Report1!R23</f>
        <v>43.924999999999997</v>
      </c>
      <c r="D22" s="311">
        <f t="shared" ref="D22" si="168">+D21+E22</f>
        <v>64000</v>
      </c>
      <c r="E22" s="311">
        <f>+[3]DailyJan!AH21</f>
        <v>4100.0000000003638</v>
      </c>
      <c r="F22" s="311">
        <f t="shared" ref="F22" si="169">E22/B22</f>
        <v>88.644815359343681</v>
      </c>
      <c r="G22" s="311">
        <f t="shared" ref="G22" si="170">E22/C22</f>
        <v>93.340922026189276</v>
      </c>
      <c r="H22" s="311">
        <f t="shared" ref="H22" si="171">+H21+I22</f>
        <v>110619.59000000001</v>
      </c>
      <c r="I22" s="311">
        <f>+[3]DailyJan!AI21</f>
        <v>7626.76</v>
      </c>
      <c r="J22" s="311">
        <f t="shared" ref="J22" si="172">I22/B22</f>
        <v>164.89578829023611</v>
      </c>
      <c r="K22" s="311">
        <f t="shared" ref="K22" si="173">I22/C22</f>
        <v>173.63141718838932</v>
      </c>
      <c r="L22" s="311">
        <f t="shared" ref="L22" si="174">+L21+M22</f>
        <v>387019.59</v>
      </c>
      <c r="M22" s="311">
        <f>+[3]DailyJan!AJ21</f>
        <v>23786.76</v>
      </c>
      <c r="N22" s="311">
        <f t="shared" ref="N22" si="175">M22/B22</f>
        <v>514.28608492605724</v>
      </c>
      <c r="O22" s="311">
        <f t="shared" ref="O22" si="176">M22/C22</f>
        <v>541.53124644280024</v>
      </c>
      <c r="P22" s="311">
        <f t="shared" ref="P22" si="177">+E22+I22+M22</f>
        <v>35513.520000000361</v>
      </c>
      <c r="Q22" s="6">
        <f t="shared" ref="Q22" si="178">P22/B22</f>
        <v>767.82668857563704</v>
      </c>
      <c r="R22" s="309">
        <f t="shared" ref="R22" si="179">P22/C22</f>
        <v>808.50358565737884</v>
      </c>
      <c r="V22" s="379" t="s">
        <v>170</v>
      </c>
      <c r="W22" s="379" t="s">
        <v>171</v>
      </c>
    </row>
    <row r="23" spans="1:23" ht="15">
      <c r="A23" s="303">
        <f>+Report1!A24</f>
        <v>46038</v>
      </c>
      <c r="B23" s="310">
        <f>+Report1!P24</f>
        <v>44.198</v>
      </c>
      <c r="C23" s="310">
        <f>+Report1!R24</f>
        <v>39.094000000000001</v>
      </c>
      <c r="D23" s="311">
        <f t="shared" ref="D23" si="180">+D22+E23</f>
        <v>68299.999999999272</v>
      </c>
      <c r="E23" s="311">
        <f>+[3]DailyJan!AH22</f>
        <v>4299.9999999992724</v>
      </c>
      <c r="F23" s="311">
        <f t="shared" ref="F23" si="181">E23/B23</f>
        <v>97.289470111753303</v>
      </c>
      <c r="G23" s="311">
        <f t="shared" ref="G23" si="182">E23/C23</f>
        <v>109.9913030132315</v>
      </c>
      <c r="H23" s="311">
        <f t="shared" ref="H23" si="183">+H22+I23</f>
        <v>117920.48000000001</v>
      </c>
      <c r="I23" s="311">
        <f>+[3]DailyJan!AI22</f>
        <v>7300.89</v>
      </c>
      <c r="J23" s="311">
        <f t="shared" ref="J23" si="184">I23/B23</f>
        <v>165.18598126612065</v>
      </c>
      <c r="K23" s="311">
        <f t="shared" ref="K23" si="185">I23/C23</f>
        <v>186.75218703637387</v>
      </c>
      <c r="L23" s="311">
        <f t="shared" ref="L23" si="186">+L22+M23</f>
        <v>412480.48000000004</v>
      </c>
      <c r="M23" s="311">
        <f>+[3]DailyJan!AJ22</f>
        <v>25460.89</v>
      </c>
      <c r="N23" s="311">
        <f t="shared" ref="N23" si="187">M23/B23</f>
        <v>576.06430155210637</v>
      </c>
      <c r="O23" s="311">
        <f t="shared" ref="O23" si="188">M23/C23</f>
        <v>651.27359697140218</v>
      </c>
      <c r="P23" s="311">
        <f t="shared" ref="P23" si="189">+E23+I23+M23</f>
        <v>37061.779999999271</v>
      </c>
      <c r="Q23" s="6">
        <f t="shared" ref="Q23" si="190">P23/B23</f>
        <v>838.5397529299803</v>
      </c>
      <c r="R23" s="309">
        <f t="shared" ref="R23" si="191">P23/C23</f>
        <v>948.01708702100757</v>
      </c>
      <c r="V23" s="379" t="s">
        <v>170</v>
      </c>
      <c r="W23" s="379" t="s">
        <v>171</v>
      </c>
    </row>
    <row r="24" spans="1:23" ht="15">
      <c r="A24" s="303">
        <f>+Report1!A25</f>
        <v>46039</v>
      </c>
      <c r="B24" s="310">
        <f>+Report1!P25</f>
        <v>46.26</v>
      </c>
      <c r="C24" s="310">
        <f>+Report1!R25</f>
        <v>43.94</v>
      </c>
      <c r="D24" s="311">
        <f t="shared" ref="D24" si="192">+D23+E24</f>
        <v>72799.999999999272</v>
      </c>
      <c r="E24" s="311">
        <f>+[3]DailyJan!AH23</f>
        <v>4500</v>
      </c>
      <c r="F24" s="311">
        <f t="shared" ref="F24" si="193">E24/B24</f>
        <v>97.276264591439698</v>
      </c>
      <c r="G24" s="311">
        <f t="shared" ref="G24" si="194">E24/C24</f>
        <v>102.41238051888941</v>
      </c>
      <c r="H24" s="311">
        <f t="shared" ref="H24" si="195">+H23+I24</f>
        <v>125390.6</v>
      </c>
      <c r="I24" s="311">
        <f>+[3]DailyJan!AI23</f>
        <v>7470.12</v>
      </c>
      <c r="J24" s="311">
        <f t="shared" ref="J24" si="196">I24/B24</f>
        <v>161.48119325551232</v>
      </c>
      <c r="K24" s="311">
        <f t="shared" ref="K24" si="197">I24/C24</f>
        <v>170.00728265817023</v>
      </c>
      <c r="L24" s="311">
        <f t="shared" ref="L24" si="198">+L23+M24</f>
        <v>437110.60000000003</v>
      </c>
      <c r="M24" s="311">
        <f>+[3]DailyJan!AJ23</f>
        <v>24630.12</v>
      </c>
      <c r="N24" s="311">
        <f t="shared" ref="N24" si="199">M24/B24</f>
        <v>532.42801556420238</v>
      </c>
      <c r="O24" s="311">
        <f t="shared" ref="O24" si="200">M24/C24</f>
        <v>560.53982703686847</v>
      </c>
      <c r="P24" s="311">
        <f t="shared" ref="P24" si="201">+E24+I24+M24</f>
        <v>36600.239999999998</v>
      </c>
      <c r="Q24" s="6">
        <f t="shared" ref="Q24" si="202">P24/B24</f>
        <v>791.18547341115436</v>
      </c>
      <c r="R24" s="309">
        <f t="shared" ref="R24" si="203">P24/C24</f>
        <v>832.95949021392812</v>
      </c>
      <c r="V24" s="379" t="s">
        <v>170</v>
      </c>
      <c r="W24" s="379" t="s">
        <v>171</v>
      </c>
    </row>
    <row r="25" spans="1:23" ht="15">
      <c r="A25" s="303">
        <f>+Report1!A26</f>
        <v>46040</v>
      </c>
      <c r="B25" s="310">
        <f>+Report1!P26</f>
        <v>43.968000000000004</v>
      </c>
      <c r="C25" s="310">
        <f>+Report1!R26</f>
        <v>41.65</v>
      </c>
      <c r="D25" s="311">
        <f t="shared" ref="D25" si="204">+D24+E25</f>
        <v>77199.999999998909</v>
      </c>
      <c r="E25" s="311">
        <f>+[3]DailyJan!AH24</f>
        <v>4399.9999999996362</v>
      </c>
      <c r="F25" s="311">
        <f t="shared" ref="F25" si="205">E25/B25</f>
        <v>100.07278020377629</v>
      </c>
      <c r="G25" s="311">
        <f t="shared" ref="G25" si="206">E25/C25</f>
        <v>105.64225690275238</v>
      </c>
      <c r="H25" s="311">
        <f t="shared" ref="H25" si="207">+H24+I25</f>
        <v>133756.61000000002</v>
      </c>
      <c r="I25" s="311">
        <f>+[3]DailyJan!AI24</f>
        <v>8366.01</v>
      </c>
      <c r="J25" s="311">
        <f t="shared" ref="J25" si="208">I25/B25</f>
        <v>190.27497270742356</v>
      </c>
      <c r="K25" s="311">
        <f t="shared" ref="K25" si="209">I25/C25</f>
        <v>200.86458583433375</v>
      </c>
      <c r="L25" s="311">
        <f t="shared" ref="L25" si="210">+L24+M25</f>
        <v>463636.61000000004</v>
      </c>
      <c r="M25" s="311">
        <f>+[3]DailyJan!AJ24</f>
        <v>26526.01</v>
      </c>
      <c r="N25" s="311">
        <f t="shared" ref="N25" si="211">M25/B25</f>
        <v>603.30262918486164</v>
      </c>
      <c r="O25" s="311">
        <f t="shared" ref="O25" si="212">M25/C25</f>
        <v>636.87899159663868</v>
      </c>
      <c r="P25" s="311">
        <f t="shared" ref="P25" si="213">+E25+I25+M25</f>
        <v>39292.019999999633</v>
      </c>
      <c r="Q25" s="6">
        <f t="shared" ref="Q25" si="214">P25/B25</f>
        <v>893.65038209606143</v>
      </c>
      <c r="R25" s="309">
        <f t="shared" ref="R25" si="215">P25/C25</f>
        <v>943.38583433372469</v>
      </c>
      <c r="V25" s="379" t="s">
        <v>170</v>
      </c>
      <c r="W25" s="379" t="s">
        <v>171</v>
      </c>
    </row>
    <row r="26" spans="1:23" ht="15">
      <c r="A26" s="303">
        <f>+Report1!A27</f>
        <v>46041</v>
      </c>
      <c r="B26" s="310">
        <f>+Report1!P27</f>
        <v>44.405999999999999</v>
      </c>
      <c r="C26" s="310">
        <f>+Report1!R27</f>
        <v>43.503</v>
      </c>
      <c r="D26" s="311">
        <f t="shared" ref="D26" si="216">+D25+E26</f>
        <v>81699.999999998909</v>
      </c>
      <c r="E26" s="311">
        <f>+[3]DailyJan!AH25</f>
        <v>4500</v>
      </c>
      <c r="F26" s="311">
        <f t="shared" ref="F26" si="217">E26/B26</f>
        <v>101.33765707336846</v>
      </c>
      <c r="G26" s="311">
        <f t="shared" ref="G26" si="218">E26/C26</f>
        <v>103.44114199020757</v>
      </c>
      <c r="H26" s="311">
        <f t="shared" ref="H26" si="219">+H25+I26</f>
        <v>141523.1</v>
      </c>
      <c r="I26" s="311">
        <f>+[3]DailyJan!AI25</f>
        <v>7766.49</v>
      </c>
      <c r="J26" s="311">
        <f t="shared" ref="J26" si="220">I26/B26</f>
        <v>174.89731117416565</v>
      </c>
      <c r="K26" s="311">
        <f t="shared" ref="K26" si="221">I26/C26</f>
        <v>178.52768774567269</v>
      </c>
      <c r="L26" s="311">
        <f t="shared" ref="L26" si="222">+L25+M26</f>
        <v>489563.10000000003</v>
      </c>
      <c r="M26" s="311">
        <f>+[3]DailyJan!AJ25</f>
        <v>25926.49</v>
      </c>
      <c r="N26" s="311">
        <f t="shared" ref="N26" si="223">M26/B26</f>
        <v>583.85105616358157</v>
      </c>
      <c r="O26" s="311">
        <f t="shared" ref="O26" si="224">M26/C26</f>
        <v>595.970162977266</v>
      </c>
      <c r="P26" s="311">
        <f t="shared" ref="P26" si="225">+E26+I26+M26</f>
        <v>38192.980000000003</v>
      </c>
      <c r="Q26" s="6">
        <f t="shared" ref="Q26" si="226">P26/B26</f>
        <v>860.08602441111566</v>
      </c>
      <c r="R26" s="309">
        <f t="shared" ref="R26" si="227">P26/C26</f>
        <v>877.93899271314626</v>
      </c>
      <c r="V26" s="379" t="s">
        <v>170</v>
      </c>
      <c r="W26" s="379" t="s">
        <v>171</v>
      </c>
    </row>
    <row r="27" spans="1:23" ht="15">
      <c r="A27" s="303">
        <f>+Report1!A28</f>
        <v>46042</v>
      </c>
      <c r="B27" s="310">
        <f>+Report1!P28</f>
        <v>45.721000000000004</v>
      </c>
      <c r="C27" s="310">
        <f>+Report1!R28</f>
        <v>46.332999999999998</v>
      </c>
      <c r="D27" s="311">
        <f t="shared" ref="D27" si="228">+D26+E27</f>
        <v>86299.999999999272</v>
      </c>
      <c r="E27" s="311">
        <f>+[3]DailyJan!AH26</f>
        <v>4600.0000000003638</v>
      </c>
      <c r="F27" s="311">
        <f t="shared" ref="F27" si="229">E27/B27</f>
        <v>100.6102228735234</v>
      </c>
      <c r="G27" s="311">
        <f t="shared" ref="G27" si="230">E27/C27</f>
        <v>99.281289793459607</v>
      </c>
      <c r="H27" s="311">
        <f t="shared" ref="H27" si="231">+H26+I27</f>
        <v>149745.76</v>
      </c>
      <c r="I27" s="311">
        <f>+[3]DailyJan!AI26</f>
        <v>8222.66</v>
      </c>
      <c r="J27" s="311">
        <f t="shared" ref="J27" si="232">I27/B27</f>
        <v>179.84427287242184</v>
      </c>
      <c r="K27" s="311">
        <f t="shared" ref="K27" si="233">I27/C27</f>
        <v>177.4687587680487</v>
      </c>
      <c r="L27" s="311">
        <f t="shared" ref="L27" si="234">+L26+M27</f>
        <v>515945.76</v>
      </c>
      <c r="M27" s="311">
        <f>+[3]DailyJan!AJ26</f>
        <v>26382.66</v>
      </c>
      <c r="N27" s="311">
        <f t="shared" ref="N27" si="235">M27/B27</f>
        <v>577.03593534699587</v>
      </c>
      <c r="O27" s="311">
        <f t="shared" ref="O27" si="236">M27/C27</f>
        <v>569.41402456132778</v>
      </c>
      <c r="P27" s="311">
        <f t="shared" ref="P27" si="237">+E27+I27+M27</f>
        <v>39205.320000000364</v>
      </c>
      <c r="Q27" s="6">
        <f t="shared" ref="Q27" si="238">P27/B27</f>
        <v>857.49043109294109</v>
      </c>
      <c r="R27" s="309">
        <f t="shared" ref="R27" si="239">P27/C27</f>
        <v>846.16407312283604</v>
      </c>
      <c r="V27" s="379" t="s">
        <v>170</v>
      </c>
      <c r="W27" s="379" t="s">
        <v>171</v>
      </c>
    </row>
    <row r="28" spans="1:23" ht="15">
      <c r="A28" s="303">
        <f>+Report1!A29</f>
        <v>46043</v>
      </c>
      <c r="B28" s="310">
        <f>+Report1!P29</f>
        <v>41.471000000000004</v>
      </c>
      <c r="C28" s="310">
        <f>+Report1!R29</f>
        <v>39.21</v>
      </c>
      <c r="D28" s="311">
        <f t="shared" ref="D28" si="240">+D27+E28</f>
        <v>91199.999999998909</v>
      </c>
      <c r="E28" s="311">
        <f>+[3]DailyJan!AH27</f>
        <v>4899.9999999996362</v>
      </c>
      <c r="F28" s="311">
        <f t="shared" ref="F28" si="241">E28/B28</f>
        <v>118.1548552000105</v>
      </c>
      <c r="G28" s="311">
        <f t="shared" ref="G28" si="242">E28/C28</f>
        <v>124.96812037744544</v>
      </c>
      <c r="H28" s="311">
        <f t="shared" ref="H28" si="243">+H27+I28</f>
        <v>157598.45000000001</v>
      </c>
      <c r="I28" s="311">
        <f>+[3]DailyJan!AI27</f>
        <v>7852.69</v>
      </c>
      <c r="J28" s="311">
        <f t="shared" ref="J28" si="244">I28/B28</f>
        <v>189.35376528176315</v>
      </c>
      <c r="K28" s="311">
        <f t="shared" ref="K28" si="245">I28/C28</f>
        <v>200.27263453200712</v>
      </c>
      <c r="L28" s="311">
        <f t="shared" ref="L28" si="246">+L27+M28</f>
        <v>541958.44999999995</v>
      </c>
      <c r="M28" s="311">
        <f>+[3]DailyJan!AJ27</f>
        <v>26012.69</v>
      </c>
      <c r="N28" s="311">
        <f t="shared" ref="N28" si="247">M28/B28</f>
        <v>627.2501265944876</v>
      </c>
      <c r="O28" s="311">
        <f t="shared" ref="O28" si="248">M28/C28</f>
        <v>663.41979086967604</v>
      </c>
      <c r="P28" s="311">
        <f t="shared" ref="P28" si="249">+E28+I28+M28</f>
        <v>38765.379999999634</v>
      </c>
      <c r="Q28" s="6">
        <f t="shared" ref="Q28" si="250">P28/B28</f>
        <v>934.75874707626122</v>
      </c>
      <c r="R28" s="309">
        <f t="shared" ref="R28" si="251">P28/C28</f>
        <v>988.6605457791286</v>
      </c>
      <c r="V28" s="379" t="s">
        <v>170</v>
      </c>
      <c r="W28" s="379" t="s">
        <v>171</v>
      </c>
    </row>
    <row r="29" spans="1:23" ht="15">
      <c r="A29" s="303">
        <f>+Report1!A30</f>
        <v>46044</v>
      </c>
      <c r="B29" s="310">
        <f>+Report1!P30</f>
        <v>43.527999999999999</v>
      </c>
      <c r="C29" s="310">
        <f>+Report1!R30</f>
        <v>42.567</v>
      </c>
      <c r="D29" s="311">
        <f t="shared" ref="D29" si="252">+D28+E29</f>
        <v>96000</v>
      </c>
      <c r="E29" s="311">
        <f>+[3]DailyJan!AH28</f>
        <v>4800.0000000010914</v>
      </c>
      <c r="F29" s="311">
        <f t="shared" ref="F29" si="253">E29/B29</f>
        <v>110.27384671937814</v>
      </c>
      <c r="G29" s="311">
        <f t="shared" ref="G29" si="254">E29/C29</f>
        <v>112.76340827404073</v>
      </c>
      <c r="H29" s="311">
        <f t="shared" ref="H29" si="255">+H28+I29</f>
        <v>165774.62000000002</v>
      </c>
      <c r="I29" s="311">
        <f>+[3]DailyJan!AI28</f>
        <v>8176.17</v>
      </c>
      <c r="J29" s="311">
        <f t="shared" ref="J29" si="256">I29/B29</f>
        <v>187.83702444403602</v>
      </c>
      <c r="K29" s="311">
        <f t="shared" ref="K29" si="257">I29/C29</f>
        <v>192.07766579744873</v>
      </c>
      <c r="L29" s="311">
        <f t="shared" ref="L29" si="258">+L28+M29</f>
        <v>570294.62</v>
      </c>
      <c r="M29" s="311">
        <f>+[3]DailyJan!AJ28</f>
        <v>28336.17</v>
      </c>
      <c r="N29" s="311">
        <f t="shared" ref="N29" si="259">M29/B29</f>
        <v>650.98718066531887</v>
      </c>
      <c r="O29" s="311">
        <f t="shared" ref="O29" si="260">M29/C29</f>
        <v>665.68398054831198</v>
      </c>
      <c r="P29" s="311">
        <f t="shared" ref="P29" si="261">+E29+I29+M29</f>
        <v>41312.340000001088</v>
      </c>
      <c r="Q29" s="6">
        <f t="shared" ref="Q29" si="262">P29/B29</f>
        <v>949.09805182873299</v>
      </c>
      <c r="R29" s="309">
        <f t="shared" ref="R29" si="263">P29/C29</f>
        <v>970.52505461980138</v>
      </c>
      <c r="V29" s="379" t="s">
        <v>170</v>
      </c>
      <c r="W29" s="379" t="s">
        <v>171</v>
      </c>
    </row>
    <row r="30" spans="1:23" ht="15">
      <c r="A30" s="303">
        <f>+Report1!A31</f>
        <v>46045</v>
      </c>
      <c r="B30" s="310">
        <f>+Report1!P31</f>
        <v>35.89</v>
      </c>
      <c r="C30" s="310">
        <f>+Report1!R31</f>
        <v>36.118000000000002</v>
      </c>
      <c r="D30" s="311">
        <f t="shared" ref="D30" si="264">+D29+E30</f>
        <v>100599.99999999854</v>
      </c>
      <c r="E30" s="311">
        <f>+[3]DailyJan!AH29</f>
        <v>4599.9999999985448</v>
      </c>
      <c r="F30" s="311">
        <f t="shared" ref="F30" si="265">E30/B30</f>
        <v>128.16940651988145</v>
      </c>
      <c r="G30" s="311">
        <f t="shared" ref="G30" si="266">E30/C30</f>
        <v>127.3603189544976</v>
      </c>
      <c r="H30" s="311">
        <f t="shared" ref="H30" si="267">+H29+I30</f>
        <v>172899.46000000002</v>
      </c>
      <c r="I30" s="311">
        <f>+[3]DailyJan!AI29</f>
        <v>7124.84</v>
      </c>
      <c r="J30" s="311">
        <f t="shared" ref="J30" si="268">I30/B30</f>
        <v>198.51880746726107</v>
      </c>
      <c r="K30" s="311">
        <f t="shared" ref="K30" si="269">I30/C30</f>
        <v>197.26562932609778</v>
      </c>
      <c r="L30" s="311">
        <f t="shared" ref="L30" si="270">+L29+M30</f>
        <v>595579.46</v>
      </c>
      <c r="M30" s="311">
        <f>+[3]DailyJan!AJ29</f>
        <v>25284.84</v>
      </c>
      <c r="N30" s="311">
        <f t="shared" ref="N30" si="271">M30/B30</f>
        <v>704.50933407634443</v>
      </c>
      <c r="O30" s="311">
        <f t="shared" ref="O30" si="272">M30/C30</f>
        <v>700.0620189379257</v>
      </c>
      <c r="P30" s="311">
        <f t="shared" ref="P30" si="273">+E30+I30+M30</f>
        <v>37009.679999998545</v>
      </c>
      <c r="Q30" s="6">
        <f t="shared" ref="Q30" si="274">P30/B30</f>
        <v>1031.1975480634869</v>
      </c>
      <c r="R30" s="309">
        <f t="shared" ref="R30" si="275">P30/C30</f>
        <v>1024.687967218521</v>
      </c>
      <c r="V30" s="379" t="s">
        <v>170</v>
      </c>
      <c r="W30" s="379" t="s">
        <v>171</v>
      </c>
    </row>
    <row r="31" spans="1:23" ht="15">
      <c r="A31" s="303">
        <f>+Report1!A32</f>
        <v>46046</v>
      </c>
      <c r="B31" s="310">
        <f>+Report1!P32</f>
        <v>35.772000000000006</v>
      </c>
      <c r="C31" s="310">
        <f>+Report1!R32</f>
        <v>33.08</v>
      </c>
      <c r="D31" s="311">
        <f t="shared" ref="D31" si="276">+D30+E31</f>
        <v>105199.99999999891</v>
      </c>
      <c r="E31" s="311">
        <f>+[3]DailyJan!AH30</f>
        <v>4600.0000000003638</v>
      </c>
      <c r="F31" s="311">
        <f t="shared" ref="F31" si="277">E31/B31</f>
        <v>128.59219501286938</v>
      </c>
      <c r="G31" s="311">
        <f t="shared" ref="G31" si="278">E31/C31</f>
        <v>139.05683192262285</v>
      </c>
      <c r="H31" s="311">
        <f t="shared" ref="H31" si="279">+H30+I31</f>
        <v>179274.91000000003</v>
      </c>
      <c r="I31" s="311">
        <f>+[3]DailyJan!AI30</f>
        <v>6375.45</v>
      </c>
      <c r="J31" s="311">
        <f t="shared" ref="J31" si="280">I31/B31</f>
        <v>178.22458906407243</v>
      </c>
      <c r="K31" s="311">
        <f t="shared" ref="K31" si="281">I31/C31</f>
        <v>192.72823458282951</v>
      </c>
      <c r="L31" s="311">
        <f t="shared" ref="L31" si="282">+L30+M31</f>
        <v>621114.90999999992</v>
      </c>
      <c r="M31" s="311">
        <f>+[3]DailyJan!AJ30</f>
        <v>25535.45</v>
      </c>
      <c r="N31" s="311">
        <f t="shared" ref="N31" si="283">M31/B31</f>
        <v>713.83903611763378</v>
      </c>
      <c r="O31" s="311">
        <f t="shared" ref="O31" si="284">M31/C31</f>
        <v>771.93016928657801</v>
      </c>
      <c r="P31" s="311">
        <f t="shared" ref="P31" si="285">+E31+I31+M31</f>
        <v>36510.900000000365</v>
      </c>
      <c r="Q31" s="6">
        <f t="shared" ref="Q31" si="286">P31/B31</f>
        <v>1020.6558201945757</v>
      </c>
      <c r="R31" s="309">
        <f t="shared" ref="R31" si="287">P31/C31</f>
        <v>1103.7152357920304</v>
      </c>
      <c r="V31" s="379" t="s">
        <v>170</v>
      </c>
      <c r="W31" s="379" t="s">
        <v>171</v>
      </c>
    </row>
    <row r="32" spans="1:23" ht="15">
      <c r="A32" s="303">
        <f>+Report1!A33</f>
        <v>46047</v>
      </c>
      <c r="B32" s="310">
        <f>+Report1!P33</f>
        <v>36.555999999999997</v>
      </c>
      <c r="C32" s="310">
        <f>+Report1!R33</f>
        <v>34.482999999999997</v>
      </c>
      <c r="D32" s="311">
        <f t="shared" ref="D32" si="288">+D31+E32</f>
        <v>109299.99999999927</v>
      </c>
      <c r="E32" s="311">
        <f>+[3]DailyJan!AH31</f>
        <v>4100.0000000003638</v>
      </c>
      <c r="F32" s="311">
        <f t="shared" ref="F32" si="289">E32/B32</f>
        <v>112.15669110406948</v>
      </c>
      <c r="G32" s="311">
        <f t="shared" ref="G32" si="290">E32/C32</f>
        <v>118.89916770583662</v>
      </c>
      <c r="H32" s="311">
        <f t="shared" ref="H32" si="291">+H31+I32</f>
        <v>186470.71000000002</v>
      </c>
      <c r="I32" s="311">
        <f>+[3]DailyJan!AI31</f>
        <v>7195.8</v>
      </c>
      <c r="J32" s="311">
        <f t="shared" ref="J32" si="292">I32/B32</f>
        <v>196.84319947477843</v>
      </c>
      <c r="K32" s="311">
        <f t="shared" ref="K32" si="293">I32/C32</f>
        <v>208.67673926282518</v>
      </c>
      <c r="L32" s="311">
        <f t="shared" ref="L32" si="294">+L31+M32</f>
        <v>645470.71</v>
      </c>
      <c r="M32" s="311">
        <f>+[3]DailyJan!AJ31</f>
        <v>24355.8</v>
      </c>
      <c r="N32" s="311">
        <f t="shared" ref="N32" si="295">M32/B32</f>
        <v>666.25998468103739</v>
      </c>
      <c r="O32" s="311">
        <f t="shared" ref="O32" si="296">M32/C32</f>
        <v>706.31325580720943</v>
      </c>
      <c r="P32" s="311">
        <f t="shared" ref="P32" si="297">+E32+I32+M32</f>
        <v>35651.600000000362</v>
      </c>
      <c r="Q32" s="6">
        <f t="shared" ref="Q32" si="298">P32/B32</f>
        <v>975.25987525988523</v>
      </c>
      <c r="R32" s="309">
        <f t="shared" ref="R32" si="299">P32/C32</f>
        <v>1033.8891627758712</v>
      </c>
      <c r="V32" s="379" t="s">
        <v>170</v>
      </c>
      <c r="W32" s="379" t="s">
        <v>171</v>
      </c>
    </row>
    <row r="33" spans="1:23" ht="15">
      <c r="A33" s="303">
        <f>+Report1!A34</f>
        <v>46048</v>
      </c>
      <c r="B33" s="310">
        <f>+Report1!P34</f>
        <v>30.555999999999997</v>
      </c>
      <c r="C33" s="310">
        <f>+Report1!R34</f>
        <v>32.168999999999997</v>
      </c>
      <c r="D33" s="311">
        <f t="shared" ref="D33" si="300">+D32+E33</f>
        <v>113599.99999999854</v>
      </c>
      <c r="E33" s="311">
        <f>+[3]DailyJan!AH32</f>
        <v>4299.9999999992724</v>
      </c>
      <c r="F33" s="311">
        <f t="shared" ref="F33" si="301">E33/B33</f>
        <v>140.72522581487343</v>
      </c>
      <c r="G33" s="311">
        <f t="shared" ref="G33" si="302">E33/C33</f>
        <v>133.66906027539784</v>
      </c>
      <c r="H33" s="311">
        <f t="shared" ref="H33" si="303">+H32+I33</f>
        <v>191160.84000000003</v>
      </c>
      <c r="I33" s="311">
        <f>+[3]DailyJan!AI32</f>
        <v>4690.13</v>
      </c>
      <c r="J33" s="311">
        <f t="shared" ref="J33" si="304">I33/B33</f>
        <v>153.49293101191256</v>
      </c>
      <c r="K33" s="311">
        <f t="shared" ref="K33" si="305">I33/C33</f>
        <v>145.7965743417576</v>
      </c>
      <c r="L33" s="311">
        <f t="shared" ref="L33" si="306">+L32+M33</f>
        <v>668320.84</v>
      </c>
      <c r="M33" s="311">
        <f>+[3]DailyJan!AJ32</f>
        <v>22850.13</v>
      </c>
      <c r="N33" s="311">
        <f t="shared" ref="N33" si="307">M33/B33</f>
        <v>747.81155910459495</v>
      </c>
      <c r="O33" s="311">
        <f t="shared" ref="O33" si="308">M33/C33</f>
        <v>710.31521029562634</v>
      </c>
      <c r="P33" s="311">
        <f t="shared" ref="P33" si="309">+E33+I33+M33</f>
        <v>31840.259999999274</v>
      </c>
      <c r="Q33" s="6">
        <f t="shared" ref="Q33" si="310">P33/B33</f>
        <v>1042.0297159313809</v>
      </c>
      <c r="R33" s="309">
        <f t="shared" ref="R33" si="311">P33/C33</f>
        <v>989.78084491278184</v>
      </c>
      <c r="V33" s="379" t="s">
        <v>170</v>
      </c>
      <c r="W33" s="379" t="s">
        <v>171</v>
      </c>
    </row>
    <row r="34" spans="1:23">
      <c r="A34" s="303">
        <f>+Report1!A35</f>
        <v>46049</v>
      </c>
      <c r="B34" s="310">
        <f>+Report1!P35</f>
        <v>29.414000000000001</v>
      </c>
      <c r="C34" s="310">
        <f>+Report1!R35</f>
        <v>28.209</v>
      </c>
      <c r="D34" s="311">
        <f t="shared" ref="D34:D38" si="312">+D33+E34</f>
        <v>118000</v>
      </c>
      <c r="E34" s="311">
        <f>+[3]DailyJan!AH33</f>
        <v>4400.0000000014552</v>
      </c>
      <c r="F34" s="305">
        <f t="shared" si="1"/>
        <v>149.5886312640734</v>
      </c>
      <c r="G34" s="305">
        <f t="shared" si="2"/>
        <v>155.97858839382661</v>
      </c>
      <c r="H34" s="311">
        <f t="shared" ref="H34:H38" si="313">+H33+I34</f>
        <v>197032.35000000003</v>
      </c>
      <c r="I34" s="311">
        <f>+[3]DailyJan!AI33</f>
        <v>5871.51</v>
      </c>
      <c r="J34" s="305">
        <f t="shared" si="4"/>
        <v>199.61616917114299</v>
      </c>
      <c r="K34" s="305">
        <f t="shared" si="5"/>
        <v>208.14314580453049</v>
      </c>
      <c r="L34" s="311">
        <f t="shared" ref="L34:L38" si="314">+L33+M34</f>
        <v>693352.35</v>
      </c>
      <c r="M34" s="311">
        <f>+[3]DailyJan!AJ33</f>
        <v>25031.51</v>
      </c>
      <c r="N34" s="305">
        <f t="shared" si="7"/>
        <v>851.00666349357437</v>
      </c>
      <c r="O34" s="305">
        <f t="shared" si="8"/>
        <v>887.35899890105986</v>
      </c>
      <c r="P34" s="311">
        <f t="shared" ref="P34:P40" si="315">+E34+I34+M34</f>
        <v>35303.020000001452</v>
      </c>
      <c r="Q34" s="308">
        <f t="shared" si="10"/>
        <v>1200.2114639287906</v>
      </c>
      <c r="R34" s="309">
        <f t="shared" si="11"/>
        <v>1251.480733099417</v>
      </c>
    </row>
    <row r="35" spans="1:23">
      <c r="A35" s="303">
        <f>+Report1!A36</f>
        <v>46050</v>
      </c>
      <c r="B35" s="310">
        <f>+Report1!P36</f>
        <v>26.457000000000001</v>
      </c>
      <c r="C35" s="310">
        <f>+Report1!R36</f>
        <v>26.655999999999999</v>
      </c>
      <c r="D35" s="311">
        <f t="shared" ref="D35" si="316">+D34+E35</f>
        <v>122599.99999999854</v>
      </c>
      <c r="E35" s="311">
        <f>+[3]DailyJan!AH34</f>
        <v>4599.9999999985448</v>
      </c>
      <c r="F35" s="305">
        <f t="shared" ref="F35" si="317">E35/B35</f>
        <v>173.86702951954283</v>
      </c>
      <c r="G35" s="305">
        <f t="shared" ref="G35" si="318">E35/C35</f>
        <v>172.56902761098982</v>
      </c>
      <c r="H35" s="311">
        <f t="shared" ref="H35" si="319">+H34+I35</f>
        <v>202183.94000000003</v>
      </c>
      <c r="I35" s="311">
        <f>+[3]DailyJan!AI34</f>
        <v>5151.59</v>
      </c>
      <c r="J35" s="305">
        <f t="shared" ref="J35" si="320">I35/B35</f>
        <v>194.71557621801415</v>
      </c>
      <c r="K35" s="305">
        <f t="shared" ref="K35" si="321">I35/C35</f>
        <v>193.26192977190877</v>
      </c>
      <c r="L35" s="311">
        <f t="shared" ref="L35" si="322">+L34+M35</f>
        <v>717663.94</v>
      </c>
      <c r="M35" s="311">
        <f>+[3]DailyJan!AJ34</f>
        <v>24311.59</v>
      </c>
      <c r="N35" s="305">
        <f t="shared" ref="N35" si="323">M35/B35</f>
        <v>918.90955134746946</v>
      </c>
      <c r="O35" s="305">
        <f t="shared" ref="O35" si="324">M35/C35</f>
        <v>912.04944477791116</v>
      </c>
      <c r="P35" s="311">
        <f t="shared" ref="P35" si="325">+E35+I35+M35</f>
        <v>34063.179999998545</v>
      </c>
      <c r="Q35" s="308">
        <f t="shared" ref="Q35" si="326">P35/B35</f>
        <v>1287.4921570850265</v>
      </c>
      <c r="R35" s="309">
        <f t="shared" ref="R35" si="327">P35/C35</f>
        <v>1277.8804021608098</v>
      </c>
    </row>
    <row r="36" spans="1:23">
      <c r="A36" s="303">
        <f>+Report1!A37</f>
        <v>46051</v>
      </c>
      <c r="B36" s="310">
        <f>+Report1!P37</f>
        <v>27.646999999999998</v>
      </c>
      <c r="C36" s="310">
        <f>+Report1!R37</f>
        <v>28.093</v>
      </c>
      <c r="D36" s="311">
        <f t="shared" ref="D36" si="328">+D35+E36</f>
        <v>127199.99999999891</v>
      </c>
      <c r="E36" s="311">
        <f>+[3]DailyJan!AH35</f>
        <v>4600.0000000003638</v>
      </c>
      <c r="F36" s="305">
        <f t="shared" ref="F36" si="329">E36/B36</f>
        <v>166.38333273050833</v>
      </c>
      <c r="G36" s="305">
        <f t="shared" ref="G36" si="330">E36/C36</f>
        <v>163.74185740221279</v>
      </c>
      <c r="H36" s="311">
        <f t="shared" ref="H36" si="331">+H35+I36</f>
        <v>207379.31000000003</v>
      </c>
      <c r="I36" s="311">
        <f>+[3]DailyJan!AI35</f>
        <v>5195.37</v>
      </c>
      <c r="J36" s="305">
        <f t="shared" ref="J36" si="332">I36/B36</f>
        <v>187.91803812348539</v>
      </c>
      <c r="K36" s="305">
        <f t="shared" ref="K36" si="333">I36/C36</f>
        <v>184.9346812373189</v>
      </c>
      <c r="L36" s="311">
        <f t="shared" ref="L36" si="334">+L35+M36</f>
        <v>742019.30999999994</v>
      </c>
      <c r="M36" s="311">
        <f>+[3]DailyJan!AJ35</f>
        <v>24355.37</v>
      </c>
      <c r="N36" s="305">
        <f t="shared" ref="N36" si="335">M36/B36</f>
        <v>880.94078923572181</v>
      </c>
      <c r="O36" s="305">
        <f t="shared" ref="O36" si="336">M36/C36</f>
        <v>866.95511337343817</v>
      </c>
      <c r="P36" s="311">
        <f t="shared" ref="P36" si="337">+E36+I36+M36</f>
        <v>34150.740000000362</v>
      </c>
      <c r="Q36" s="308">
        <f t="shared" ref="Q36" si="338">P36/B36</f>
        <v>1235.2421600897155</v>
      </c>
      <c r="R36" s="309">
        <f t="shared" ref="R36" si="339">P36/C36</f>
        <v>1215.6316520129699</v>
      </c>
    </row>
    <row r="37" spans="1:23">
      <c r="A37" s="303">
        <f>+Report1!A38</f>
        <v>46052</v>
      </c>
      <c r="B37" s="310">
        <f>+Report1!P38</f>
        <v>35.176000000000002</v>
      </c>
      <c r="C37" s="310">
        <f>+Report1!R38</f>
        <v>33.451999999999998</v>
      </c>
      <c r="D37" s="311">
        <f t="shared" si="312"/>
        <v>131699.99999999889</v>
      </c>
      <c r="E37" s="311">
        <f>+[3]DailyJan!AH36</f>
        <v>4500</v>
      </c>
      <c r="F37" s="305">
        <f t="shared" si="1"/>
        <v>127.92813281783033</v>
      </c>
      <c r="G37" s="305">
        <f t="shared" si="2"/>
        <v>134.52110486667465</v>
      </c>
      <c r="H37" s="311">
        <f t="shared" si="313"/>
        <v>214134.18000000002</v>
      </c>
      <c r="I37" s="311">
        <f>+[3]DailyJan!AI36</f>
        <v>6754.87</v>
      </c>
      <c r="J37" s="305">
        <f t="shared" si="4"/>
        <v>192.03064589492834</v>
      </c>
      <c r="K37" s="305">
        <f t="shared" si="5"/>
        <v>201.92723902905658</v>
      </c>
      <c r="L37" s="311">
        <f t="shared" si="314"/>
        <v>765934.17999999993</v>
      </c>
      <c r="M37" s="311">
        <f>+[3]DailyJan!AJ36</f>
        <v>23914.87</v>
      </c>
      <c r="N37" s="305">
        <f t="shared" si="7"/>
        <v>679.86325904025466</v>
      </c>
      <c r="O37" s="305">
        <f t="shared" si="8"/>
        <v>714.90105225397588</v>
      </c>
      <c r="P37" s="311">
        <f t="shared" si="315"/>
        <v>35169.74</v>
      </c>
      <c r="Q37" s="308">
        <f t="shared" si="10"/>
        <v>999.82203775301332</v>
      </c>
      <c r="R37" s="309">
        <f t="shared" si="11"/>
        <v>1051.349396149707</v>
      </c>
    </row>
    <row r="38" spans="1:23">
      <c r="A38" s="303">
        <f>+Report1!A39</f>
        <v>46053</v>
      </c>
      <c r="B38" s="310">
        <f>+Report1!P39</f>
        <v>38.762999999999998</v>
      </c>
      <c r="C38" s="310">
        <f>+Report1!R39</f>
        <v>36.99</v>
      </c>
      <c r="D38" s="311">
        <f t="shared" si="312"/>
        <v>136199.99999999889</v>
      </c>
      <c r="E38" s="311">
        <f>+[3]DailyJan!AH37</f>
        <v>4500</v>
      </c>
      <c r="F38" s="305">
        <f t="shared" si="1"/>
        <v>116.09008590666357</v>
      </c>
      <c r="G38" s="305">
        <f t="shared" si="2"/>
        <v>121.654501216545</v>
      </c>
      <c r="H38" s="311">
        <f t="shared" si="313"/>
        <v>220606.69000000003</v>
      </c>
      <c r="I38" s="311">
        <f>+[3]DailyJan!AI37</f>
        <v>6472.51</v>
      </c>
      <c r="J38" s="305">
        <f t="shared" si="4"/>
        <v>166.97649820705314</v>
      </c>
      <c r="K38" s="305">
        <f t="shared" si="5"/>
        <v>174.97999459313328</v>
      </c>
      <c r="L38" s="311">
        <f t="shared" si="314"/>
        <v>790566.69</v>
      </c>
      <c r="M38" s="311">
        <f>+[3]DailyJan!AJ37</f>
        <v>24632.51</v>
      </c>
      <c r="N38" s="306">
        <f t="shared" si="7"/>
        <v>635.46448933261104</v>
      </c>
      <c r="O38" s="306">
        <f t="shared" si="8"/>
        <v>665.92349283590147</v>
      </c>
      <c r="P38" s="311">
        <f t="shared" si="315"/>
        <v>35605.019999999997</v>
      </c>
      <c r="Q38" s="308">
        <f t="shared" si="10"/>
        <v>918.5310734463277</v>
      </c>
      <c r="R38" s="309">
        <f t="shared" si="11"/>
        <v>962.55798864557971</v>
      </c>
    </row>
    <row r="39" spans="1:23">
      <c r="A39" s="303"/>
      <c r="B39" s="310"/>
      <c r="C39" s="310"/>
      <c r="D39" s="299"/>
      <c r="E39" s="311"/>
      <c r="F39" s="305"/>
      <c r="G39" s="305"/>
      <c r="H39" s="301"/>
      <c r="I39" s="311"/>
      <c r="J39" s="305"/>
      <c r="K39" s="305"/>
      <c r="L39" s="302"/>
      <c r="M39" s="311"/>
      <c r="N39" s="306"/>
      <c r="O39" s="306"/>
      <c r="P39" s="307"/>
      <c r="Q39" s="308"/>
      <c r="R39" s="309"/>
    </row>
    <row r="40" spans="1:23">
      <c r="A40" s="312" t="s">
        <v>27</v>
      </c>
      <c r="B40" s="313">
        <f>SUM(B8:B38)</f>
        <v>1194.7179999999996</v>
      </c>
      <c r="C40" s="313">
        <f>SUM(C8:C38)</f>
        <v>1150.521</v>
      </c>
      <c r="D40" s="315"/>
      <c r="E40" s="311">
        <f>SUM(E8:E39)</f>
        <v>136199.99999999889</v>
      </c>
      <c r="F40" s="314">
        <f>E40/B40</f>
        <v>114.00179791381643</v>
      </c>
      <c r="G40" s="314">
        <f>E40/C40</f>
        <v>118.38115080037556</v>
      </c>
      <c r="H40" s="316"/>
      <c r="I40" s="311">
        <f>SUM(I8:I39)</f>
        <v>220606.69000000003</v>
      </c>
      <c r="J40" s="314">
        <f>I40/B40</f>
        <v>184.65168349351069</v>
      </c>
      <c r="K40" s="314">
        <f>I40/C40</f>
        <v>191.74503550999941</v>
      </c>
      <c r="L40" s="317"/>
      <c r="M40" s="311">
        <f>SUM(M8:M39)</f>
        <v>790566.69</v>
      </c>
      <c r="N40" s="314">
        <f>M40/B40</f>
        <v>661.71823811142065</v>
      </c>
      <c r="O40" s="314">
        <f>M40/C40</f>
        <v>687.13799226611241</v>
      </c>
      <c r="P40" s="311">
        <f t="shared" si="315"/>
        <v>1147373.379999999</v>
      </c>
      <c r="Q40" s="378">
        <f>P40/B40</f>
        <v>960.3717195187478</v>
      </c>
      <c r="R40" s="316">
        <f>P40/C40</f>
        <v>997.26417857648755</v>
      </c>
    </row>
    <row r="42" spans="1:23">
      <c r="P42" s="4">
        <v>-1320860.8400000001</v>
      </c>
    </row>
    <row r="43" spans="1:23">
      <c r="D43" s="319"/>
    </row>
    <row r="44" spans="1:23">
      <c r="E44" s="318"/>
      <c r="H44" s="318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opLeftCell="A51" workbookViewId="0">
      <selection activeCell="I78" sqref="I78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15" t="s">
        <v>186</v>
      </c>
      <c r="B1" s="324">
        <f>+Report1!A9</f>
        <v>46023</v>
      </c>
      <c r="C1" s="91"/>
      <c r="G1" s="92"/>
      <c r="H1" s="93"/>
    </row>
    <row r="2" spans="1:9" ht="13.5" thickBot="1">
      <c r="A2" s="90"/>
      <c r="B2" s="91"/>
      <c r="C2" s="91"/>
      <c r="G2" s="92"/>
      <c r="H2" s="93"/>
    </row>
    <row r="3" spans="1:9" ht="26.25" thickBot="1">
      <c r="A3" s="377" t="s">
        <v>119</v>
      </c>
      <c r="B3" s="363" t="s">
        <v>8</v>
      </c>
      <c r="C3" s="363" t="s">
        <v>92</v>
      </c>
      <c r="D3" s="363" t="s">
        <v>120</v>
      </c>
      <c r="E3" s="363" t="s">
        <v>121</v>
      </c>
      <c r="F3" s="363" t="s">
        <v>122</v>
      </c>
      <c r="G3" s="364" t="s">
        <v>123</v>
      </c>
      <c r="H3" s="365" t="s">
        <v>124</v>
      </c>
      <c r="I3" s="556" t="s">
        <v>395</v>
      </c>
    </row>
    <row r="4" spans="1:9">
      <c r="A4" s="328">
        <f>+B1</f>
        <v>46023</v>
      </c>
      <c r="B4" s="380" t="s">
        <v>417</v>
      </c>
      <c r="C4" s="329">
        <v>1</v>
      </c>
      <c r="D4" s="362" t="s">
        <v>416</v>
      </c>
      <c r="E4" s="329">
        <f>129*2</f>
        <v>258</v>
      </c>
      <c r="F4" s="362">
        <f>150/2</f>
        <v>75</v>
      </c>
      <c r="G4" s="329">
        <f>+E4*F4</f>
        <v>19350</v>
      </c>
      <c r="H4" s="382">
        <f>+SUM(G4/F4)</f>
        <v>258</v>
      </c>
      <c r="I4" s="557">
        <f>+'1'!I38</f>
        <v>39.061999999999998</v>
      </c>
    </row>
    <row r="5" spans="1:9" ht="13.5" thickBot="1">
      <c r="A5" s="366"/>
      <c r="B5" s="381"/>
      <c r="C5" s="367"/>
      <c r="D5" s="368"/>
      <c r="E5" s="367"/>
      <c r="F5" s="367"/>
      <c r="G5" s="367"/>
      <c r="H5" s="383"/>
      <c r="I5" s="383"/>
    </row>
    <row r="6" spans="1:9">
      <c r="A6" s="328">
        <v>46024</v>
      </c>
      <c r="B6" s="380" t="s">
        <v>417</v>
      </c>
      <c r="C6" s="329">
        <v>1</v>
      </c>
      <c r="D6" s="362" t="s">
        <v>416</v>
      </c>
      <c r="E6" s="329">
        <f>129*2</f>
        <v>258</v>
      </c>
      <c r="F6" s="362">
        <f>138/2</f>
        <v>69</v>
      </c>
      <c r="G6" s="329">
        <f>+E6*F6</f>
        <v>17802</v>
      </c>
      <c r="H6" s="382">
        <f>+SUM(G6/F6)</f>
        <v>258</v>
      </c>
      <c r="I6" s="557">
        <f>+'2'!I38</f>
        <v>38.975999999999999</v>
      </c>
    </row>
    <row r="7" spans="1:9" ht="13.5" thickBot="1">
      <c r="A7" s="366"/>
      <c r="B7" s="381"/>
      <c r="C7" s="367"/>
      <c r="D7" s="368"/>
      <c r="E7" s="367"/>
      <c r="F7" s="367"/>
      <c r="G7" s="367"/>
      <c r="H7" s="383"/>
      <c r="I7" s="383"/>
    </row>
    <row r="8" spans="1:9">
      <c r="A8" s="328">
        <v>46025</v>
      </c>
      <c r="B8" s="380" t="s">
        <v>417</v>
      </c>
      <c r="C8" s="329">
        <v>1</v>
      </c>
      <c r="D8" s="362" t="s">
        <v>416</v>
      </c>
      <c r="E8" s="329">
        <f>129*2</f>
        <v>258</v>
      </c>
      <c r="F8" s="362">
        <v>7</v>
      </c>
      <c r="G8" s="329">
        <f>+E8*F8</f>
        <v>1806</v>
      </c>
      <c r="H8" s="382">
        <f>+SUM(G8/F8)</f>
        <v>258</v>
      </c>
      <c r="I8" s="557">
        <f>+'3'!I38</f>
        <v>38.978999999999999</v>
      </c>
    </row>
    <row r="9" spans="1:9">
      <c r="A9" s="558"/>
      <c r="B9" s="559" t="s">
        <v>440</v>
      </c>
      <c r="C9" s="562">
        <v>1</v>
      </c>
      <c r="D9" s="563" t="s">
        <v>453</v>
      </c>
      <c r="E9" s="560">
        <f>140+122.5</f>
        <v>262.5</v>
      </c>
      <c r="F9" s="561">
        <f>110/2</f>
        <v>55</v>
      </c>
      <c r="G9" s="560">
        <f>+E9*F9</f>
        <v>14437.5</v>
      </c>
      <c r="H9" s="557">
        <f>+SUM(G9/F9)</f>
        <v>262.5</v>
      </c>
      <c r="I9" s="557"/>
    </row>
    <row r="10" spans="1:9" ht="13.5" thickBot="1">
      <c r="A10" s="366"/>
      <c r="B10" s="381"/>
      <c r="C10" s="367"/>
      <c r="D10" s="368"/>
      <c r="E10" s="367"/>
      <c r="F10" s="367"/>
      <c r="G10" s="367"/>
      <c r="H10" s="383"/>
      <c r="I10" s="383"/>
    </row>
    <row r="11" spans="1:9">
      <c r="A11" s="558">
        <v>46026</v>
      </c>
      <c r="B11" s="559" t="s">
        <v>440</v>
      </c>
      <c r="C11" s="562">
        <v>1</v>
      </c>
      <c r="D11" s="563" t="s">
        <v>453</v>
      </c>
      <c r="E11" s="560">
        <f>140+122.5</f>
        <v>262.5</v>
      </c>
      <c r="F11" s="561">
        <f>148/2</f>
        <v>74</v>
      </c>
      <c r="G11" s="560">
        <f>+E11*F11</f>
        <v>19425</v>
      </c>
      <c r="H11" s="557">
        <f>+SUM(G11/F11)</f>
        <v>262.5</v>
      </c>
      <c r="I11" s="557">
        <f>+'4'!I38</f>
        <v>39.433999999999997</v>
      </c>
    </row>
    <row r="12" spans="1:9" ht="13.5" thickBot="1">
      <c r="A12" s="366"/>
      <c r="B12" s="381"/>
      <c r="C12" s="367"/>
      <c r="D12" s="368"/>
      <c r="E12" s="367"/>
      <c r="F12" s="367"/>
      <c r="G12" s="367"/>
      <c r="H12" s="383"/>
      <c r="I12" s="383"/>
    </row>
    <row r="13" spans="1:9">
      <c r="A13" s="558">
        <v>46027</v>
      </c>
      <c r="B13" s="559" t="s">
        <v>440</v>
      </c>
      <c r="C13" s="562">
        <v>1</v>
      </c>
      <c r="D13" s="563" t="s">
        <v>453</v>
      </c>
      <c r="E13" s="560">
        <f>140+122.5</f>
        <v>262.5</v>
      </c>
      <c r="F13" s="561">
        <v>5</v>
      </c>
      <c r="G13" s="560">
        <f>+E13*F13</f>
        <v>1312.5</v>
      </c>
      <c r="H13" s="557">
        <f>+SUM(G13/F13)</f>
        <v>262.5</v>
      </c>
      <c r="I13" s="557">
        <f>+'5'!I38</f>
        <v>41.802999999999997</v>
      </c>
    </row>
    <row r="14" spans="1:9">
      <c r="A14" s="558"/>
      <c r="B14" s="559" t="s">
        <v>459</v>
      </c>
      <c r="C14" s="562">
        <v>1</v>
      </c>
      <c r="D14" s="563" t="s">
        <v>468</v>
      </c>
      <c r="E14" s="560">
        <f>133*2</f>
        <v>266</v>
      </c>
      <c r="F14" s="561">
        <v>13</v>
      </c>
      <c r="G14" s="560">
        <f>+E14*F14</f>
        <v>3458</v>
      </c>
      <c r="H14" s="557">
        <f>+SUM(G14/F14)</f>
        <v>266</v>
      </c>
      <c r="I14" s="557"/>
    </row>
    <row r="15" spans="1:9">
      <c r="A15" s="558"/>
      <c r="B15" s="559" t="s">
        <v>460</v>
      </c>
      <c r="C15" s="562">
        <v>1</v>
      </c>
      <c r="D15" s="563" t="s">
        <v>468</v>
      </c>
      <c r="E15" s="560">
        <f>133*2</f>
        <v>266</v>
      </c>
      <c r="F15" s="561">
        <v>45</v>
      </c>
      <c r="G15" s="560">
        <f>+E15*F15</f>
        <v>11970</v>
      </c>
      <c r="H15" s="557">
        <f>+SUM(G15/F15)</f>
        <v>266</v>
      </c>
      <c r="I15" s="557"/>
    </row>
    <row r="16" spans="1:9" ht="13.5" thickBot="1">
      <c r="A16" s="366"/>
      <c r="B16" s="381"/>
      <c r="C16" s="367"/>
      <c r="D16" s="368"/>
      <c r="E16" s="367"/>
      <c r="F16" s="367"/>
      <c r="G16" s="367"/>
      <c r="H16" s="383"/>
      <c r="I16" s="383"/>
    </row>
    <row r="17" spans="1:9">
      <c r="A17" s="328">
        <v>46028</v>
      </c>
      <c r="B17" s="362" t="s">
        <v>460</v>
      </c>
      <c r="C17" s="564">
        <v>1</v>
      </c>
      <c r="D17" s="563" t="s">
        <v>468</v>
      </c>
      <c r="E17" s="560">
        <f>133*2</f>
        <v>266</v>
      </c>
      <c r="F17" s="362">
        <v>46</v>
      </c>
      <c r="G17" s="329">
        <f>+E17*F17</f>
        <v>12236</v>
      </c>
      <c r="H17" s="565">
        <f>+SUM(G17/F17)</f>
        <v>266</v>
      </c>
      <c r="I17" s="567">
        <f>+'6'!I38</f>
        <v>40.860999999999997</v>
      </c>
    </row>
    <row r="18" spans="1:9">
      <c r="A18" s="558"/>
      <c r="B18" s="561" t="s">
        <v>440</v>
      </c>
      <c r="C18" s="562">
        <v>1</v>
      </c>
      <c r="D18" s="563" t="s">
        <v>473</v>
      </c>
      <c r="E18" s="560">
        <f>180+77.5</f>
        <v>257.5</v>
      </c>
      <c r="F18" s="561">
        <v>20</v>
      </c>
      <c r="G18" s="560">
        <f>+E18*F18</f>
        <v>5150</v>
      </c>
      <c r="H18" s="566">
        <f>+SUM(G18/F18)</f>
        <v>257.5</v>
      </c>
      <c r="I18" s="568"/>
    </row>
    <row r="19" spans="1:9" ht="13.5" thickBot="1">
      <c r="A19" s="366"/>
      <c r="B19" s="367"/>
      <c r="C19" s="367"/>
      <c r="D19" s="367"/>
      <c r="E19" s="367"/>
      <c r="F19" s="367"/>
      <c r="G19" s="367"/>
      <c r="H19" s="367"/>
      <c r="I19" s="366"/>
    </row>
    <row r="20" spans="1:9">
      <c r="A20" s="558">
        <v>46029</v>
      </c>
      <c r="B20" s="561" t="s">
        <v>440</v>
      </c>
      <c r="C20" s="562">
        <v>1</v>
      </c>
      <c r="D20" s="563" t="s">
        <v>473</v>
      </c>
      <c r="E20" s="560">
        <f>180+77.5</f>
        <v>257.5</v>
      </c>
      <c r="F20" s="561">
        <f>132/2</f>
        <v>66</v>
      </c>
      <c r="G20" s="560">
        <f>+E20*F20</f>
        <v>16995</v>
      </c>
      <c r="H20" s="566">
        <f>+SUM(G20/F20)</f>
        <v>257.5</v>
      </c>
      <c r="I20" s="567">
        <f>+'7'!I38</f>
        <v>39.362000000000002</v>
      </c>
    </row>
    <row r="21" spans="1:9" ht="13.5" thickBot="1">
      <c r="A21" s="366"/>
      <c r="B21" s="367"/>
      <c r="C21" s="367"/>
      <c r="D21" s="367"/>
      <c r="E21" s="367"/>
      <c r="F21" s="367"/>
      <c r="G21" s="367"/>
      <c r="H21" s="367"/>
      <c r="I21" s="366"/>
    </row>
    <row r="22" spans="1:9">
      <c r="A22" s="558">
        <v>46030</v>
      </c>
      <c r="B22" s="561" t="s">
        <v>440</v>
      </c>
      <c r="C22" s="562">
        <v>1</v>
      </c>
      <c r="D22" s="563" t="s">
        <v>473</v>
      </c>
      <c r="E22" s="560">
        <f>180+77.5</f>
        <v>257.5</v>
      </c>
      <c r="F22" s="561">
        <f>13+10+13+3</f>
        <v>39</v>
      </c>
      <c r="G22" s="560">
        <f>+E22*F22</f>
        <v>10042.5</v>
      </c>
      <c r="H22" s="566">
        <f>+SUM(F22*E22+F23*E23)/SUM(F22:F23)</f>
        <v>258.58695652173913</v>
      </c>
      <c r="I22" s="567">
        <f>+'8'!I38</f>
        <v>37.32</v>
      </c>
    </row>
    <row r="23" spans="1:9">
      <c r="A23" s="558"/>
      <c r="B23" s="563" t="s">
        <v>440</v>
      </c>
      <c r="C23" s="562">
        <v>1</v>
      </c>
      <c r="D23" s="563" t="s">
        <v>482</v>
      </c>
      <c r="E23" s="560">
        <f>120+140</f>
        <v>260</v>
      </c>
      <c r="F23" s="561">
        <f>6+13+9+2</f>
        <v>30</v>
      </c>
      <c r="G23" s="560">
        <f>+E23*F23</f>
        <v>7800</v>
      </c>
      <c r="H23" s="566"/>
      <c r="I23" s="568"/>
    </row>
    <row r="24" spans="1:9" ht="13.5" thickBot="1">
      <c r="A24" s="366"/>
      <c r="B24" s="367"/>
      <c r="C24" s="367"/>
      <c r="D24" s="367"/>
      <c r="E24" s="367"/>
      <c r="F24" s="367"/>
      <c r="G24" s="367"/>
      <c r="H24" s="367"/>
      <c r="I24" s="366"/>
    </row>
    <row r="25" spans="1:9">
      <c r="A25" s="328">
        <v>46031</v>
      </c>
      <c r="B25" s="563" t="s">
        <v>440</v>
      </c>
      <c r="C25" s="562">
        <v>1</v>
      </c>
      <c r="D25" s="563" t="s">
        <v>482</v>
      </c>
      <c r="E25" s="560">
        <f>120+140</f>
        <v>260</v>
      </c>
      <c r="F25" s="561">
        <f>13+6</f>
        <v>19</v>
      </c>
      <c r="G25" s="560">
        <f>+E25*F25</f>
        <v>4940</v>
      </c>
      <c r="H25" s="566">
        <f>+SUM(F25*E25+F26*E26)/SUM(F25:F26)</f>
        <v>260.3</v>
      </c>
      <c r="I25" s="567">
        <f>+'9'!I38</f>
        <v>25.249000000000002</v>
      </c>
    </row>
    <row r="26" spans="1:9">
      <c r="A26" s="558"/>
      <c r="B26" s="563" t="s">
        <v>440</v>
      </c>
      <c r="C26" s="562">
        <v>1</v>
      </c>
      <c r="D26" s="563" t="s">
        <v>468</v>
      </c>
      <c r="E26" s="560">
        <f>133*2</f>
        <v>266</v>
      </c>
      <c r="F26" s="561">
        <v>1</v>
      </c>
      <c r="G26" s="560">
        <f>+E26*F26</f>
        <v>266</v>
      </c>
      <c r="H26" s="566"/>
      <c r="I26" s="568"/>
    </row>
    <row r="27" spans="1:9">
      <c r="A27" s="558"/>
      <c r="B27" s="559" t="s">
        <v>459</v>
      </c>
      <c r="C27" s="562">
        <v>1</v>
      </c>
      <c r="D27" s="563" t="s">
        <v>468</v>
      </c>
      <c r="E27" s="560">
        <f>133*2</f>
        <v>266</v>
      </c>
      <c r="F27" s="561">
        <f>13+12+3</f>
        <v>28</v>
      </c>
      <c r="G27" s="560">
        <f>+E27*F27</f>
        <v>7448</v>
      </c>
      <c r="H27" s="557">
        <f>+SUM(G27/F27)</f>
        <v>266</v>
      </c>
      <c r="I27" s="568"/>
    </row>
    <row r="28" spans="1:9" ht="13.5" thickBot="1">
      <c r="A28" s="366"/>
      <c r="B28" s="367"/>
      <c r="C28" s="367"/>
      <c r="D28" s="367"/>
      <c r="E28" s="367"/>
      <c r="F28" s="367"/>
      <c r="G28" s="367"/>
      <c r="H28" s="367"/>
      <c r="I28" s="366"/>
    </row>
    <row r="29" spans="1:9">
      <c r="A29" s="328">
        <v>46032</v>
      </c>
      <c r="B29" s="559" t="s">
        <v>459</v>
      </c>
      <c r="C29" s="564">
        <v>1</v>
      </c>
      <c r="D29" s="563" t="s">
        <v>468</v>
      </c>
      <c r="E29" s="560">
        <f>133*2</f>
        <v>266</v>
      </c>
      <c r="F29" s="362">
        <f>88/2</f>
        <v>44</v>
      </c>
      <c r="G29" s="329">
        <f>+E29*F29</f>
        <v>11704</v>
      </c>
      <c r="H29" s="565">
        <f>+SUM(G29/F29)</f>
        <v>266</v>
      </c>
      <c r="I29" s="567">
        <f>+'10'!I38</f>
        <v>35.371000000000002</v>
      </c>
    </row>
    <row r="30" spans="1:9">
      <c r="A30" s="558"/>
      <c r="B30" s="561" t="s">
        <v>440</v>
      </c>
      <c r="C30" s="562">
        <v>1</v>
      </c>
      <c r="D30" s="563" t="s">
        <v>468</v>
      </c>
      <c r="E30" s="560">
        <f>133*2</f>
        <v>266</v>
      </c>
      <c r="F30" s="561">
        <f>22/2</f>
        <v>11</v>
      </c>
      <c r="G30" s="560">
        <f>+E30*F30</f>
        <v>2926</v>
      </c>
      <c r="H30" s="566">
        <f>+SUM(G30/F30)</f>
        <v>266</v>
      </c>
      <c r="I30" s="568"/>
    </row>
    <row r="31" spans="1:9" ht="13.5" thickBot="1">
      <c r="A31" s="366"/>
      <c r="B31" s="367"/>
      <c r="C31" s="367"/>
      <c r="D31" s="367"/>
      <c r="E31" s="367"/>
      <c r="F31" s="367"/>
      <c r="G31" s="367"/>
      <c r="H31" s="367"/>
      <c r="I31" s="366"/>
    </row>
    <row r="32" spans="1:9">
      <c r="A32" s="558">
        <v>46033</v>
      </c>
      <c r="B32" s="561" t="s">
        <v>459</v>
      </c>
      <c r="C32" s="562">
        <v>1</v>
      </c>
      <c r="D32" s="563" t="s">
        <v>468</v>
      </c>
      <c r="E32" s="560">
        <f>133*2</f>
        <v>266</v>
      </c>
      <c r="F32" s="561">
        <f>158/2</f>
        <v>79</v>
      </c>
      <c r="G32" s="560">
        <f>+E32*F32</f>
        <v>21014</v>
      </c>
      <c r="H32" s="566">
        <f>+SUM(G32/F32)</f>
        <v>266</v>
      </c>
      <c r="I32" s="567">
        <f>+'11'!I38</f>
        <v>43.920999999999999</v>
      </c>
    </row>
    <row r="33" spans="1:9" ht="13.5" thickBot="1">
      <c r="A33" s="366"/>
      <c r="B33" s="367"/>
      <c r="C33" s="367"/>
      <c r="D33" s="367"/>
      <c r="E33" s="367"/>
      <c r="F33" s="367"/>
      <c r="G33" s="367"/>
      <c r="H33" s="367"/>
      <c r="I33" s="366"/>
    </row>
    <row r="34" spans="1:9">
      <c r="A34" s="328">
        <v>46034</v>
      </c>
      <c r="B34" s="559" t="s">
        <v>459</v>
      </c>
      <c r="C34" s="564">
        <v>1</v>
      </c>
      <c r="D34" s="563" t="s">
        <v>468</v>
      </c>
      <c r="E34" s="560">
        <f>133*2</f>
        <v>266</v>
      </c>
      <c r="F34" s="362">
        <f>58/2</f>
        <v>29</v>
      </c>
      <c r="G34" s="329">
        <f>+E34*F34</f>
        <v>7714</v>
      </c>
      <c r="H34" s="565">
        <f>+SUM(G34/F34)</f>
        <v>266</v>
      </c>
      <c r="I34" s="567">
        <f>+'12'!I38</f>
        <v>40.608999999999995</v>
      </c>
    </row>
    <row r="35" spans="1:9">
      <c r="A35" s="558"/>
      <c r="B35" s="561" t="s">
        <v>440</v>
      </c>
      <c r="C35" s="562">
        <v>1</v>
      </c>
      <c r="D35" s="563" t="s">
        <v>528</v>
      </c>
      <c r="E35" s="560">
        <f>129.5*2</f>
        <v>259</v>
      </c>
      <c r="F35" s="561">
        <v>46</v>
      </c>
      <c r="G35" s="560">
        <f>+E35*F35</f>
        <v>11914</v>
      </c>
      <c r="H35" s="566">
        <f>+SUM(G35/F35)</f>
        <v>259</v>
      </c>
      <c r="I35" s="568"/>
    </row>
    <row r="36" spans="1:9" ht="13.5" thickBot="1">
      <c r="A36" s="366"/>
      <c r="B36" s="367"/>
      <c r="C36" s="367"/>
      <c r="D36" s="367"/>
      <c r="E36" s="367"/>
      <c r="F36" s="367"/>
      <c r="G36" s="367"/>
      <c r="H36" s="367"/>
      <c r="I36" s="366"/>
    </row>
    <row r="37" spans="1:9">
      <c r="A37" s="328">
        <v>46035</v>
      </c>
      <c r="B37" s="559" t="s">
        <v>440</v>
      </c>
      <c r="C37" s="564">
        <v>1</v>
      </c>
      <c r="D37" s="563" t="s">
        <v>528</v>
      </c>
      <c r="E37" s="560">
        <f>129.5*2</f>
        <v>259</v>
      </c>
      <c r="F37" s="362">
        <f>96/2</f>
        <v>48</v>
      </c>
      <c r="G37" s="329">
        <f>+E37*F37</f>
        <v>12432</v>
      </c>
      <c r="H37" s="565">
        <f>+SUM(G37/F37)</f>
        <v>259</v>
      </c>
      <c r="I37" s="567">
        <f>+'13'!I38</f>
        <v>41.491</v>
      </c>
    </row>
    <row r="38" spans="1:9">
      <c r="A38" s="558"/>
      <c r="B38" s="561" t="s">
        <v>532</v>
      </c>
      <c r="C38" s="562">
        <v>1</v>
      </c>
      <c r="D38" s="563" t="s">
        <v>539</v>
      </c>
      <c r="E38" s="560">
        <f>274*1</f>
        <v>274</v>
      </c>
      <c r="F38" s="561">
        <f>7+5</f>
        <v>12</v>
      </c>
      <c r="G38" s="560">
        <f>+E38*F38</f>
        <v>3288</v>
      </c>
      <c r="H38" s="566">
        <f>+SUM(G38/F38)</f>
        <v>274</v>
      </c>
      <c r="I38" s="568"/>
    </row>
    <row r="39" spans="1:9" ht="13.5" thickBot="1">
      <c r="A39" s="366"/>
      <c r="B39" s="367"/>
      <c r="C39" s="367"/>
      <c r="D39" s="367"/>
      <c r="E39" s="367"/>
      <c r="F39" s="367"/>
      <c r="G39" s="367"/>
      <c r="H39" s="367"/>
      <c r="I39" s="366"/>
    </row>
    <row r="40" spans="1:9">
      <c r="A40" s="328">
        <v>46036</v>
      </c>
      <c r="B40" s="559" t="s">
        <v>440</v>
      </c>
      <c r="C40" s="564">
        <v>1</v>
      </c>
      <c r="D40" s="563" t="s">
        <v>528</v>
      </c>
      <c r="E40" s="560">
        <f>129.5*2</f>
        <v>259</v>
      </c>
      <c r="F40" s="362">
        <v>35</v>
      </c>
      <c r="G40" s="329">
        <f>+E40*F40</f>
        <v>9065</v>
      </c>
      <c r="H40" s="565">
        <f>+SUM(G40/F40)</f>
        <v>259</v>
      </c>
      <c r="I40" s="567">
        <f>+'14'!I38</f>
        <v>40.244999999999997</v>
      </c>
    </row>
    <row r="41" spans="1:9">
      <c r="A41" s="558"/>
      <c r="B41" s="561" t="s">
        <v>547</v>
      </c>
      <c r="C41" s="562">
        <v>1</v>
      </c>
      <c r="D41" s="563" t="s">
        <v>416</v>
      </c>
      <c r="E41" s="560">
        <f>129*2</f>
        <v>258</v>
      </c>
      <c r="F41" s="561">
        <f>80/2</f>
        <v>40</v>
      </c>
      <c r="G41" s="560">
        <f>+E41*F41</f>
        <v>10320</v>
      </c>
      <c r="H41" s="566">
        <f>+SUM(G41/F41)</f>
        <v>258</v>
      </c>
      <c r="I41" s="568"/>
    </row>
    <row r="42" spans="1:9" ht="13.5" thickBot="1">
      <c r="A42" s="366"/>
      <c r="B42" s="367"/>
      <c r="C42" s="367"/>
      <c r="D42" s="367"/>
      <c r="E42" s="367"/>
      <c r="F42" s="367"/>
      <c r="G42" s="367"/>
      <c r="H42" s="367"/>
      <c r="I42" s="366"/>
    </row>
    <row r="43" spans="1:9">
      <c r="A43" s="328">
        <v>46037</v>
      </c>
      <c r="B43" s="559" t="s">
        <v>440</v>
      </c>
      <c r="C43" s="564">
        <v>1</v>
      </c>
      <c r="D43" s="563" t="s">
        <v>528</v>
      </c>
      <c r="E43" s="560">
        <f>129.5*2</f>
        <v>259</v>
      </c>
      <c r="F43" s="362">
        <v>6</v>
      </c>
      <c r="G43" s="329">
        <f>+E43*F43</f>
        <v>1554</v>
      </c>
      <c r="H43" s="566">
        <f>+SUM(F43*E43+F44*E44)/SUM(F43:F44)</f>
        <v>263.375</v>
      </c>
      <c r="I43" s="567">
        <f>+'15'!I38</f>
        <v>46.251999999999995</v>
      </c>
    </row>
    <row r="44" spans="1:9">
      <c r="A44" s="558"/>
      <c r="B44" s="563" t="s">
        <v>440</v>
      </c>
      <c r="C44" s="562">
        <v>1</v>
      </c>
      <c r="D44" s="563" t="s">
        <v>468</v>
      </c>
      <c r="E44" s="560">
        <f>133*2</f>
        <v>266</v>
      </c>
      <c r="F44" s="561">
        <v>10</v>
      </c>
      <c r="G44" s="560">
        <f>+E44*F44</f>
        <v>2660</v>
      </c>
      <c r="H44" s="566"/>
      <c r="I44" s="568"/>
    </row>
    <row r="45" spans="1:9">
      <c r="A45" s="558"/>
      <c r="B45" s="563" t="s">
        <v>532</v>
      </c>
      <c r="C45" s="562">
        <v>1</v>
      </c>
      <c r="D45" s="563" t="s">
        <v>468</v>
      </c>
      <c r="E45" s="560">
        <f>133*2</f>
        <v>266</v>
      </c>
      <c r="F45" s="561">
        <f>4+6</f>
        <v>10</v>
      </c>
      <c r="G45" s="560">
        <f>+E45*F45</f>
        <v>2660</v>
      </c>
      <c r="H45" s="566">
        <f>+SUM(F45*E45+F46*E46)/SUM(F45:F46)</f>
        <v>266</v>
      </c>
      <c r="I45" s="568"/>
    </row>
    <row r="46" spans="1:9">
      <c r="A46" s="558"/>
      <c r="B46" s="563" t="s">
        <v>547</v>
      </c>
      <c r="C46" s="562">
        <v>1</v>
      </c>
      <c r="D46" s="563" t="s">
        <v>578</v>
      </c>
      <c r="E46" s="560">
        <f>140+126</f>
        <v>266</v>
      </c>
      <c r="F46" s="561">
        <v>3</v>
      </c>
      <c r="G46" s="560">
        <f t="shared" ref="G46:G47" si="0">+E46*F46</f>
        <v>798</v>
      </c>
      <c r="H46" s="566"/>
      <c r="I46" s="568"/>
    </row>
    <row r="47" spans="1:9">
      <c r="A47" s="558"/>
      <c r="B47" s="563" t="s">
        <v>564</v>
      </c>
      <c r="C47" s="562">
        <v>1</v>
      </c>
      <c r="D47" s="563" t="s">
        <v>577</v>
      </c>
      <c r="E47" s="560">
        <f>275*1</f>
        <v>275</v>
      </c>
      <c r="F47" s="561">
        <v>17</v>
      </c>
      <c r="G47" s="560">
        <f t="shared" si="0"/>
        <v>4675</v>
      </c>
      <c r="H47" s="566">
        <f>+SUM(G47/F47)</f>
        <v>275</v>
      </c>
      <c r="I47" s="568"/>
    </row>
    <row r="48" spans="1:9" ht="13.5" thickBot="1">
      <c r="A48" s="366"/>
      <c r="B48" s="367"/>
      <c r="C48" s="367"/>
      <c r="D48" s="367"/>
      <c r="E48" s="367"/>
      <c r="F48" s="367"/>
      <c r="G48" s="367"/>
      <c r="H48" s="367"/>
      <c r="I48" s="366"/>
    </row>
    <row r="49" spans="1:9">
      <c r="A49" s="558">
        <v>46038</v>
      </c>
      <c r="B49" s="563" t="s">
        <v>564</v>
      </c>
      <c r="C49" s="562">
        <v>1</v>
      </c>
      <c r="D49" s="563" t="s">
        <v>577</v>
      </c>
      <c r="E49" s="560">
        <f>275*1</f>
        <v>275</v>
      </c>
      <c r="F49" s="561">
        <v>7</v>
      </c>
      <c r="G49" s="560">
        <f t="shared" ref="G49" si="1">+E49*F49</f>
        <v>1925</v>
      </c>
      <c r="H49" s="566">
        <f>+SUM(G49/F49)</f>
        <v>275</v>
      </c>
      <c r="I49" s="567">
        <f>+'16'!I38</f>
        <v>44.198</v>
      </c>
    </row>
    <row r="50" spans="1:9">
      <c r="A50" s="558"/>
      <c r="B50" s="563" t="s">
        <v>547</v>
      </c>
      <c r="C50" s="562">
        <v>1</v>
      </c>
      <c r="D50" s="563" t="s">
        <v>578</v>
      </c>
      <c r="E50" s="560">
        <f>140+126</f>
        <v>266</v>
      </c>
      <c r="F50" s="561">
        <f>13+8+6+3+7</f>
        <v>37</v>
      </c>
      <c r="G50" s="560">
        <f t="shared" ref="G50:G51" si="2">+E50*F50</f>
        <v>9842</v>
      </c>
      <c r="H50" s="566">
        <f>+SUM(F50*E50+F51*E51)/SUM(F50:F51)</f>
        <v>264.72340425531917</v>
      </c>
      <c r="I50" s="568"/>
    </row>
    <row r="51" spans="1:9">
      <c r="A51" s="558"/>
      <c r="B51" s="563" t="s">
        <v>547</v>
      </c>
      <c r="C51" s="562">
        <v>1</v>
      </c>
      <c r="D51" s="563" t="s">
        <v>482</v>
      </c>
      <c r="E51" s="560">
        <f>120+140</f>
        <v>260</v>
      </c>
      <c r="F51" s="561">
        <v>10</v>
      </c>
      <c r="G51" s="560">
        <f t="shared" si="2"/>
        <v>2600</v>
      </c>
      <c r="H51" s="566"/>
      <c r="I51" s="568"/>
    </row>
    <row r="52" spans="1:9" ht="13.5" thickBot="1">
      <c r="A52" s="366"/>
      <c r="B52" s="367"/>
      <c r="C52" s="367"/>
      <c r="D52" s="367"/>
      <c r="E52" s="367"/>
      <c r="F52" s="367"/>
      <c r="G52" s="367"/>
      <c r="H52" s="367"/>
      <c r="I52" s="366"/>
    </row>
    <row r="53" spans="1:9">
      <c r="A53" s="558">
        <v>46039</v>
      </c>
      <c r="B53" s="563" t="s">
        <v>547</v>
      </c>
      <c r="C53" s="562">
        <v>1</v>
      </c>
      <c r="D53" s="563" t="s">
        <v>482</v>
      </c>
      <c r="E53" s="560">
        <f>120+140</f>
        <v>260</v>
      </c>
      <c r="F53" s="561">
        <f>162/2</f>
        <v>81</v>
      </c>
      <c r="G53" s="560">
        <f t="shared" ref="G53" si="3">+E53*F53</f>
        <v>21060</v>
      </c>
      <c r="H53" s="566">
        <f>+SUM(G53/F53)</f>
        <v>260</v>
      </c>
      <c r="I53" s="567">
        <f>+'17'!I38</f>
        <v>46.26</v>
      </c>
    </row>
    <row r="54" spans="1:9" ht="13.5" thickBot="1">
      <c r="A54" s="366"/>
      <c r="B54" s="367"/>
      <c r="C54" s="367"/>
      <c r="D54" s="367"/>
      <c r="E54" s="367"/>
      <c r="F54" s="367"/>
      <c r="G54" s="367"/>
      <c r="H54" s="367"/>
      <c r="I54" s="366"/>
    </row>
    <row r="55" spans="1:9">
      <c r="A55" s="558">
        <v>46040</v>
      </c>
      <c r="B55" s="563" t="s">
        <v>547</v>
      </c>
      <c r="C55" s="562">
        <v>1</v>
      </c>
      <c r="D55" s="563" t="s">
        <v>482</v>
      </c>
      <c r="E55" s="560">
        <f>120+140</f>
        <v>260</v>
      </c>
      <c r="F55" s="561">
        <f>23+6</f>
        <v>29</v>
      </c>
      <c r="G55" s="560">
        <f t="shared" ref="G55" si="4">+E55*F55</f>
        <v>7540</v>
      </c>
      <c r="H55" s="566">
        <f>+SUM(G55/F55)</f>
        <v>260</v>
      </c>
      <c r="I55" s="567">
        <f>+'18'!I38</f>
        <v>43.968000000000004</v>
      </c>
    </row>
    <row r="56" spans="1:9">
      <c r="A56" s="558"/>
      <c r="B56" s="563" t="s">
        <v>459</v>
      </c>
      <c r="C56" s="562">
        <v>1</v>
      </c>
      <c r="D56" s="563" t="s">
        <v>468</v>
      </c>
      <c r="E56" s="560">
        <f>133*2</f>
        <v>266</v>
      </c>
      <c r="F56" s="561">
        <v>46</v>
      </c>
      <c r="G56" s="560">
        <f t="shared" ref="G56" si="5">+E56*F56</f>
        <v>12236</v>
      </c>
      <c r="H56" s="566">
        <f>+SUM(G56/F56)</f>
        <v>266</v>
      </c>
      <c r="I56" s="568"/>
    </row>
    <row r="57" spans="1:9" ht="13.5" thickBot="1">
      <c r="A57" s="366"/>
      <c r="B57" s="367"/>
      <c r="C57" s="367"/>
      <c r="D57" s="367"/>
      <c r="E57" s="367"/>
      <c r="F57" s="367"/>
      <c r="G57" s="367"/>
      <c r="H57" s="367"/>
      <c r="I57" s="366"/>
    </row>
    <row r="58" spans="1:9">
      <c r="A58" s="558">
        <v>46041</v>
      </c>
      <c r="B58" s="563" t="s">
        <v>459</v>
      </c>
      <c r="C58" s="562">
        <v>1</v>
      </c>
      <c r="D58" s="563" t="s">
        <v>468</v>
      </c>
      <c r="E58" s="560">
        <f>133*2</f>
        <v>266</v>
      </c>
      <c r="F58" s="561">
        <f>154/2</f>
        <v>77</v>
      </c>
      <c r="G58" s="560">
        <f t="shared" ref="G58" si="6">+E58*F58</f>
        <v>20482</v>
      </c>
      <c r="H58" s="566">
        <f>+SUM(G58/F58)</f>
        <v>266</v>
      </c>
      <c r="I58" s="567">
        <f>+'19'!I38</f>
        <v>44.405999999999999</v>
      </c>
    </row>
    <row r="59" spans="1:9" ht="13.5" thickBot="1">
      <c r="A59" s="366"/>
      <c r="B59" s="367"/>
      <c r="C59" s="367"/>
      <c r="D59" s="367"/>
      <c r="E59" s="367"/>
      <c r="F59" s="367"/>
      <c r="G59" s="367"/>
      <c r="H59" s="367"/>
      <c r="I59" s="366"/>
    </row>
    <row r="60" spans="1:9">
      <c r="A60" s="558">
        <v>46042</v>
      </c>
      <c r="B60" s="563" t="s">
        <v>459</v>
      </c>
      <c r="C60" s="562">
        <v>1</v>
      </c>
      <c r="D60" s="563" t="s">
        <v>468</v>
      </c>
      <c r="E60" s="560">
        <f>133*2</f>
        <v>266</v>
      </c>
      <c r="F60" s="561">
        <f>122/2</f>
        <v>61</v>
      </c>
      <c r="G60" s="560">
        <f t="shared" ref="G60" si="7">+E60*F60</f>
        <v>16226</v>
      </c>
      <c r="H60" s="566">
        <f>+SUM(G60/F60)</f>
        <v>266</v>
      </c>
      <c r="I60" s="567">
        <f>+'20'!I38</f>
        <v>45.721000000000004</v>
      </c>
    </row>
    <row r="61" spans="1:9">
      <c r="A61" s="558"/>
      <c r="B61" s="563" t="s">
        <v>547</v>
      </c>
      <c r="C61" s="562">
        <v>1</v>
      </c>
      <c r="D61" s="563" t="s">
        <v>605</v>
      </c>
      <c r="E61" s="563">
        <f>116+140</f>
        <v>256</v>
      </c>
      <c r="F61" s="561">
        <v>21</v>
      </c>
      <c r="G61" s="560">
        <f t="shared" ref="G61" si="8">+E61*F61</f>
        <v>5376</v>
      </c>
      <c r="H61" s="566">
        <f>+SUM(G61/F61)</f>
        <v>256</v>
      </c>
      <c r="I61" s="568"/>
    </row>
    <row r="62" spans="1:9" ht="13.5" thickBot="1">
      <c r="A62" s="366"/>
      <c r="B62" s="367"/>
      <c r="C62" s="367"/>
      <c r="D62" s="367"/>
      <c r="E62" s="367"/>
      <c r="F62" s="367"/>
      <c r="G62" s="367"/>
      <c r="H62" s="367"/>
      <c r="I62" s="366"/>
    </row>
    <row r="63" spans="1:9">
      <c r="A63" s="558">
        <v>46043</v>
      </c>
      <c r="B63" s="563" t="s">
        <v>547</v>
      </c>
      <c r="C63" s="562">
        <v>1</v>
      </c>
      <c r="D63" s="563" t="s">
        <v>605</v>
      </c>
      <c r="E63" s="563">
        <f>116+140</f>
        <v>256</v>
      </c>
      <c r="F63" s="561">
        <f>118/2</f>
        <v>59</v>
      </c>
      <c r="G63" s="560">
        <f t="shared" ref="G63" si="9">+E63*F63</f>
        <v>15104</v>
      </c>
      <c r="H63" s="566">
        <f>+SUM(G63/F63)</f>
        <v>256</v>
      </c>
      <c r="I63" s="567">
        <f>+'21'!I38</f>
        <v>41.471000000000004</v>
      </c>
    </row>
    <row r="64" spans="1:9">
      <c r="A64" s="558"/>
      <c r="B64" s="563" t="s">
        <v>608</v>
      </c>
      <c r="C64" s="562">
        <v>1</v>
      </c>
      <c r="D64" s="563" t="s">
        <v>416</v>
      </c>
      <c r="E64" s="563">
        <f>129*2</f>
        <v>258</v>
      </c>
      <c r="F64" s="561">
        <v>15</v>
      </c>
      <c r="G64" s="560">
        <f t="shared" ref="G64" si="10">+E64*F64</f>
        <v>3870</v>
      </c>
      <c r="H64" s="566">
        <f>+SUM(G64/F64)</f>
        <v>258</v>
      </c>
      <c r="I64" s="568"/>
    </row>
    <row r="65" spans="1:9">
      <c r="A65" s="558"/>
      <c r="B65" s="563" t="s">
        <v>532</v>
      </c>
      <c r="C65" s="562">
        <v>1</v>
      </c>
      <c r="D65" s="563" t="s">
        <v>468</v>
      </c>
      <c r="E65" s="563">
        <f>133*2</f>
        <v>266</v>
      </c>
      <c r="F65" s="561">
        <v>0</v>
      </c>
      <c r="G65" s="560">
        <f t="shared" ref="G65" si="11">+E65*F65</f>
        <v>0</v>
      </c>
      <c r="H65" s="566">
        <f>+E65</f>
        <v>266</v>
      </c>
      <c r="I65" s="568"/>
    </row>
    <row r="66" spans="1:9" ht="13.5" thickBot="1">
      <c r="A66" s="366"/>
      <c r="B66" s="367"/>
      <c r="C66" s="367"/>
      <c r="D66" s="367"/>
      <c r="E66" s="367"/>
      <c r="F66" s="367"/>
      <c r="G66" s="367"/>
      <c r="H66" s="367"/>
      <c r="I66" s="366"/>
    </row>
    <row r="67" spans="1:9">
      <c r="A67" s="558">
        <v>46044</v>
      </c>
      <c r="B67" s="563" t="s">
        <v>608</v>
      </c>
      <c r="C67" s="562">
        <v>1</v>
      </c>
      <c r="D67" s="576" t="s">
        <v>416</v>
      </c>
      <c r="E67" s="576">
        <f>129*2</f>
        <v>258</v>
      </c>
      <c r="F67" s="561">
        <v>5</v>
      </c>
      <c r="G67" s="560">
        <f t="shared" ref="G67:G69" si="12">+E67*F67</f>
        <v>1290</v>
      </c>
      <c r="H67" s="566">
        <f>+SUM(G67/F67)</f>
        <v>258</v>
      </c>
      <c r="I67" s="568" t="s">
        <v>294</v>
      </c>
    </row>
    <row r="68" spans="1:9">
      <c r="A68" s="558"/>
      <c r="B68" s="563" t="s">
        <v>532</v>
      </c>
      <c r="C68" s="562">
        <v>1</v>
      </c>
      <c r="D68" s="576" t="s">
        <v>468</v>
      </c>
      <c r="E68" s="576">
        <f>133*2</f>
        <v>266</v>
      </c>
      <c r="F68" s="563">
        <v>7</v>
      </c>
      <c r="G68" s="560">
        <f t="shared" si="12"/>
        <v>1862</v>
      </c>
      <c r="H68" s="566">
        <f>+SUM(G68/F68)</f>
        <v>266</v>
      </c>
      <c r="I68" s="568">
        <f>+'22'!L37</f>
        <v>5.181</v>
      </c>
    </row>
    <row r="69" spans="1:9">
      <c r="A69" s="558"/>
      <c r="B69" s="563" t="s">
        <v>404</v>
      </c>
      <c r="C69" s="562">
        <v>1</v>
      </c>
      <c r="D69" s="576" t="s">
        <v>416</v>
      </c>
      <c r="E69" s="576">
        <f>129*2</f>
        <v>258</v>
      </c>
      <c r="F69" s="561">
        <f>10+24+25</f>
        <v>59</v>
      </c>
      <c r="G69" s="560">
        <f t="shared" si="12"/>
        <v>15222</v>
      </c>
      <c r="H69" s="566">
        <f>+SUM(G69/F69)</f>
        <v>258</v>
      </c>
      <c r="I69" s="568">
        <f>+'22'!L38</f>
        <v>38.347000000000001</v>
      </c>
    </row>
    <row r="70" spans="1:9" ht="13.5" thickBot="1">
      <c r="A70" s="366"/>
      <c r="B70" s="367"/>
      <c r="C70" s="367"/>
      <c r="D70" s="367"/>
      <c r="E70" s="367"/>
      <c r="F70" s="367"/>
      <c r="G70" s="367"/>
      <c r="H70" s="367"/>
      <c r="I70" s="366"/>
    </row>
    <row r="71" spans="1:9">
      <c r="A71" s="558">
        <v>46045</v>
      </c>
      <c r="B71" s="563" t="s">
        <v>404</v>
      </c>
      <c r="C71" s="562">
        <v>1</v>
      </c>
      <c r="D71" s="576" t="s">
        <v>416</v>
      </c>
      <c r="E71" s="576">
        <f>129*2</f>
        <v>258</v>
      </c>
      <c r="F71" s="561">
        <v>64</v>
      </c>
      <c r="G71" s="560">
        <f t="shared" ref="G71" si="13">+E71*F71</f>
        <v>16512</v>
      </c>
      <c r="H71" s="566">
        <f>+SUM(G71/F71)</f>
        <v>258</v>
      </c>
      <c r="I71" s="568">
        <f>+'23'!I38</f>
        <v>35.89</v>
      </c>
    </row>
    <row r="72" spans="1:9" ht="13.5" thickBot="1">
      <c r="A72" s="366"/>
      <c r="B72" s="367"/>
      <c r="C72" s="367"/>
      <c r="D72" s="367"/>
      <c r="E72" s="367"/>
      <c r="F72" s="367"/>
      <c r="G72" s="367"/>
      <c r="H72" s="367"/>
      <c r="I72" s="366"/>
    </row>
    <row r="73" spans="1:9">
      <c r="A73" s="558">
        <v>46046</v>
      </c>
      <c r="B73" s="563" t="s">
        <v>404</v>
      </c>
      <c r="C73" s="562">
        <v>1</v>
      </c>
      <c r="D73" s="576" t="s">
        <v>416</v>
      </c>
      <c r="E73" s="576">
        <f>129*2</f>
        <v>258</v>
      </c>
      <c r="F73" s="561">
        <f>114/2</f>
        <v>57</v>
      </c>
      <c r="G73" s="560">
        <f t="shared" ref="G73" si="14">+E73*F73</f>
        <v>14706</v>
      </c>
      <c r="H73" s="566">
        <f>+SUM(G73/F73)</f>
        <v>258</v>
      </c>
      <c r="I73" s="568">
        <f>+'24'!I38</f>
        <v>35.772000000000006</v>
      </c>
    </row>
    <row r="74" spans="1:9" ht="13.5" thickBot="1">
      <c r="A74" s="366"/>
      <c r="B74" s="367"/>
      <c r="C74" s="367"/>
      <c r="D74" s="367"/>
      <c r="E74" s="367"/>
      <c r="F74" s="367"/>
      <c r="G74" s="367"/>
      <c r="H74" s="367"/>
      <c r="I74" s="366"/>
    </row>
    <row r="75" spans="1:9">
      <c r="A75" s="558">
        <v>46047</v>
      </c>
      <c r="B75" s="563" t="s">
        <v>404</v>
      </c>
      <c r="C75" s="562">
        <v>1</v>
      </c>
      <c r="D75" s="576" t="s">
        <v>416</v>
      </c>
      <c r="E75" s="576">
        <f>129*2</f>
        <v>258</v>
      </c>
      <c r="F75" s="561">
        <f>118/2</f>
        <v>59</v>
      </c>
      <c r="G75" s="560">
        <f t="shared" ref="G75" si="15">+E75*F75</f>
        <v>15222</v>
      </c>
      <c r="H75" s="566">
        <f>+SUM(G75/F75)</f>
        <v>258</v>
      </c>
      <c r="I75" s="568">
        <f>+'25'!I38</f>
        <v>36.555999999999997</v>
      </c>
    </row>
    <row r="76" spans="1:9" ht="13.5" thickBot="1">
      <c r="A76" s="366"/>
      <c r="B76" s="367"/>
      <c r="C76" s="367"/>
      <c r="D76" s="367"/>
      <c r="E76" s="367"/>
      <c r="F76" s="367"/>
      <c r="G76" s="367"/>
      <c r="H76" s="367"/>
      <c r="I76" s="366"/>
    </row>
    <row r="77" spans="1:9">
      <c r="A77" s="558">
        <v>46048</v>
      </c>
      <c r="B77" s="563" t="s">
        <v>404</v>
      </c>
      <c r="C77" s="562">
        <v>1</v>
      </c>
      <c r="D77" s="576" t="s">
        <v>416</v>
      </c>
      <c r="E77" s="576">
        <f>129*2</f>
        <v>258</v>
      </c>
      <c r="F77" s="561">
        <f>106/2</f>
        <v>53</v>
      </c>
      <c r="G77" s="560">
        <f t="shared" ref="G77" si="16">+E77*F77</f>
        <v>13674</v>
      </c>
      <c r="H77" s="566">
        <f>+SUM(G77/F77)</f>
        <v>258</v>
      </c>
      <c r="I77" s="568">
        <f>+'26'!I38</f>
        <v>30.555999999999997</v>
      </c>
    </row>
    <row r="78" spans="1:9" ht="13.5" thickBot="1">
      <c r="A78" s="366"/>
      <c r="B78" s="367"/>
      <c r="C78" s="367"/>
      <c r="D78" s="367"/>
      <c r="E78" s="367"/>
      <c r="F78" s="367"/>
      <c r="G78" s="367"/>
      <c r="H78" s="367"/>
      <c r="I78" s="366"/>
    </row>
    <row r="79" spans="1:9">
      <c r="A79" s="558">
        <v>46049</v>
      </c>
      <c r="B79" s="563" t="s">
        <v>404</v>
      </c>
      <c r="C79" s="562">
        <v>1</v>
      </c>
      <c r="D79" s="576" t="s">
        <v>416</v>
      </c>
      <c r="E79" s="576">
        <f>129*2</f>
        <v>258</v>
      </c>
      <c r="F79" s="561">
        <f>94/2</f>
        <v>47</v>
      </c>
      <c r="G79" s="560">
        <f t="shared" ref="G79" si="17">+E79*F79</f>
        <v>12126</v>
      </c>
      <c r="H79" s="566">
        <f>+SUM(G79/F79)</f>
        <v>258</v>
      </c>
      <c r="I79" s="568">
        <f>+'27'!I38</f>
        <v>29.414000000000001</v>
      </c>
    </row>
    <row r="80" spans="1:9" ht="13.5" thickBot="1">
      <c r="A80" s="366"/>
      <c r="B80" s="367"/>
      <c r="C80" s="367"/>
      <c r="D80" s="367"/>
      <c r="E80" s="367"/>
      <c r="F80" s="367"/>
      <c r="G80" s="367"/>
      <c r="H80" s="367"/>
      <c r="I80" s="366"/>
    </row>
    <row r="81" spans="1:9">
      <c r="A81" s="558">
        <v>46050</v>
      </c>
      <c r="B81" s="563" t="s">
        <v>404</v>
      </c>
      <c r="C81" s="562">
        <v>1</v>
      </c>
      <c r="D81" s="576" t="s">
        <v>416</v>
      </c>
      <c r="E81" s="576">
        <f>129*2</f>
        <v>258</v>
      </c>
      <c r="F81" s="561">
        <v>45</v>
      </c>
      <c r="G81" s="560">
        <f t="shared" ref="G81" si="18">+E81*F81</f>
        <v>11610</v>
      </c>
      <c r="H81" s="566">
        <f>+SUM(G81/F81)</f>
        <v>258</v>
      </c>
      <c r="I81" s="568">
        <f>+'28'!I38</f>
        <v>26.457000000000001</v>
      </c>
    </row>
    <row r="82" spans="1:9" ht="13.5" thickBot="1">
      <c r="A82" s="366"/>
      <c r="B82" s="367"/>
      <c r="C82" s="367"/>
      <c r="D82" s="367"/>
      <c r="E82" s="367"/>
      <c r="F82" s="367"/>
      <c r="G82" s="367"/>
      <c r="H82" s="367"/>
      <c r="I82" s="366"/>
    </row>
    <row r="83" spans="1:9">
      <c r="A83" s="558">
        <v>46051</v>
      </c>
      <c r="B83" s="563" t="s">
        <v>404</v>
      </c>
      <c r="C83" s="562">
        <v>1</v>
      </c>
      <c r="D83" s="576" t="s">
        <v>416</v>
      </c>
      <c r="E83" s="576">
        <f>129*2</f>
        <v>258</v>
      </c>
      <c r="F83" s="561">
        <v>17</v>
      </c>
      <c r="G83" s="560">
        <f t="shared" ref="G83" si="19">+E83*F83</f>
        <v>4386</v>
      </c>
      <c r="H83" s="566">
        <f>+SUM(G83/F83)</f>
        <v>258</v>
      </c>
      <c r="I83" s="568">
        <f>+'29'!I38</f>
        <v>27.646999999999998</v>
      </c>
    </row>
    <row r="84" spans="1:9">
      <c r="A84" s="558"/>
      <c r="B84" s="563" t="s">
        <v>693</v>
      </c>
      <c r="C84" s="562">
        <v>1</v>
      </c>
      <c r="D84" s="576" t="s">
        <v>700</v>
      </c>
      <c r="E84" s="576">
        <f>256*1</f>
        <v>256</v>
      </c>
      <c r="F84" s="561">
        <f>11+12</f>
        <v>23</v>
      </c>
      <c r="G84" s="560">
        <f t="shared" ref="G84" si="20">+E84*F84</f>
        <v>5888</v>
      </c>
      <c r="H84" s="566">
        <f>+SUM(G84/F84)</f>
        <v>256</v>
      </c>
      <c r="I84" s="568"/>
    </row>
    <row r="85" spans="1:9" ht="13.5" thickBot="1">
      <c r="A85" s="366"/>
      <c r="B85" s="367"/>
      <c r="C85" s="367"/>
      <c r="D85" s="367"/>
      <c r="E85" s="367"/>
      <c r="F85" s="367"/>
      <c r="G85" s="367"/>
      <c r="H85" s="367"/>
      <c r="I85" s="366"/>
    </row>
    <row r="86" spans="1:9">
      <c r="A86" s="558">
        <v>46052</v>
      </c>
      <c r="B86" s="563" t="s">
        <v>693</v>
      </c>
      <c r="C86" s="562">
        <v>1</v>
      </c>
      <c r="D86" s="576" t="s">
        <v>700</v>
      </c>
      <c r="E86" s="576">
        <f>256*1</f>
        <v>256</v>
      </c>
      <c r="F86" s="561">
        <v>42</v>
      </c>
      <c r="G86" s="560">
        <f t="shared" ref="G86" si="21">+E86*F86</f>
        <v>10752</v>
      </c>
      <c r="H86" s="566">
        <f>+SUM(G86/F86)</f>
        <v>256</v>
      </c>
      <c r="I86" s="568">
        <f>+'30'!I38</f>
        <v>35.176000000000002</v>
      </c>
    </row>
    <row r="87" spans="1:9" ht="13.5" thickBot="1">
      <c r="A87" s="366"/>
      <c r="B87" s="367"/>
      <c r="C87" s="367"/>
      <c r="D87" s="367"/>
      <c r="E87" s="367"/>
      <c r="F87" s="367"/>
      <c r="G87" s="367"/>
      <c r="H87" s="367"/>
      <c r="I87" s="366"/>
    </row>
    <row r="88" spans="1:9">
      <c r="A88" s="558">
        <v>46053</v>
      </c>
      <c r="B88" s="563" t="s">
        <v>693</v>
      </c>
      <c r="C88" s="562">
        <v>1</v>
      </c>
      <c r="D88" s="576" t="s">
        <v>700</v>
      </c>
      <c r="E88" s="576">
        <f>256*1</f>
        <v>256</v>
      </c>
      <c r="F88" s="561">
        <f>13+17+1</f>
        <v>31</v>
      </c>
      <c r="G88" s="560">
        <f t="shared" ref="G88:G89" si="22">+E88*F88</f>
        <v>7936</v>
      </c>
      <c r="H88" s="566">
        <f>+SUM(G88/F88)</f>
        <v>256</v>
      </c>
      <c r="I88" s="568">
        <f>+'31'!I38</f>
        <v>38.762999999999998</v>
      </c>
    </row>
    <row r="89" spans="1:9">
      <c r="A89" s="558"/>
      <c r="B89" s="563" t="s">
        <v>547</v>
      </c>
      <c r="C89" s="562">
        <v>1</v>
      </c>
      <c r="D89" s="576" t="s">
        <v>605</v>
      </c>
      <c r="E89" s="576">
        <f>116+140</f>
        <v>256</v>
      </c>
      <c r="F89" s="561">
        <v>25</v>
      </c>
      <c r="G89" s="560">
        <f t="shared" si="22"/>
        <v>6400</v>
      </c>
      <c r="H89" s="566">
        <f>+SUM(G89/F89)</f>
        <v>256</v>
      </c>
      <c r="I89" s="568"/>
    </row>
    <row r="90" spans="1:9" ht="13.5" thickBot="1">
      <c r="A90" s="366"/>
      <c r="B90" s="367"/>
      <c r="C90" s="367"/>
      <c r="D90" s="367"/>
      <c r="E90" s="367"/>
      <c r="F90" s="367"/>
      <c r="G90" s="367"/>
      <c r="H90" s="367"/>
      <c r="I90" s="366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03"/>
  <sheetViews>
    <sheetView zoomScale="90" zoomScaleNormal="90" workbookViewId="0">
      <pane xSplit="6" ySplit="6" topLeftCell="V156" activePane="bottomRight" state="frozen"/>
      <selection pane="topRight" activeCell="F1" sqref="F1"/>
      <selection pane="bottomLeft" activeCell="A7" sqref="A7"/>
      <selection pane="bottomRight" activeCell="AD6" sqref="AD6:AE165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1" width="10.28515625" style="82" customWidth="1"/>
    <col min="12" max="13" width="12.7109375" style="54" customWidth="1"/>
    <col min="14" max="15" width="10.28515625" style="28" customWidth="1"/>
    <col min="16" max="16" width="16.85546875" style="28" customWidth="1"/>
    <col min="17" max="17" width="12.7109375" style="330" customWidth="1"/>
    <col min="18" max="18" width="12.7109375" style="28" customWidth="1"/>
    <col min="19" max="19" width="12" style="28" customWidth="1"/>
    <col min="20" max="20" width="10.7109375" style="28" customWidth="1"/>
    <col min="21" max="21" width="11.85546875" style="28" customWidth="1"/>
    <col min="22" max="22" width="12.28515625" style="28" customWidth="1"/>
    <col min="23" max="23" width="13.5703125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9.28515625" style="28" bestFit="1" customWidth="1"/>
    <col min="30" max="30" width="11.42578125" style="28" bestFit="1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customWidth="1"/>
    <col min="45" max="55" width="10.28515625" style="28" customWidth="1"/>
    <col min="56" max="16384" width="10.28515625" style="28"/>
  </cols>
  <sheetData>
    <row r="1" spans="1:60" s="21" customFormat="1" ht="15.75">
      <c r="A1" s="20" t="s">
        <v>187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60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</row>
    <row r="3" spans="1:60" ht="24" customHeight="1">
      <c r="A3" s="644" t="s">
        <v>7</v>
      </c>
      <c r="B3" s="644" t="s">
        <v>8</v>
      </c>
      <c r="C3" s="644" t="s">
        <v>182</v>
      </c>
      <c r="D3" s="644" t="s">
        <v>90</v>
      </c>
      <c r="E3" s="644" t="s">
        <v>91</v>
      </c>
      <c r="F3" s="644" t="s">
        <v>92</v>
      </c>
      <c r="G3" s="657" t="s">
        <v>93</v>
      </c>
      <c r="H3" s="658"/>
      <c r="I3" s="658"/>
      <c r="J3" s="658"/>
      <c r="K3" s="659"/>
      <c r="L3" s="663" t="s">
        <v>94</v>
      </c>
      <c r="M3" s="664"/>
      <c r="N3" s="665"/>
      <c r="O3" s="669" t="s">
        <v>95</v>
      </c>
      <c r="P3" s="656" t="s">
        <v>107</v>
      </c>
      <c r="Q3" s="669" t="s">
        <v>96</v>
      </c>
      <c r="R3" s="642" t="s">
        <v>97</v>
      </c>
      <c r="S3" s="642" t="s">
        <v>98</v>
      </c>
      <c r="T3" s="644" t="s">
        <v>154</v>
      </c>
      <c r="U3" s="644" t="s">
        <v>153</v>
      </c>
      <c r="V3" s="644" t="s">
        <v>155</v>
      </c>
      <c r="W3" s="642" t="s">
        <v>143</v>
      </c>
      <c r="X3" s="649" t="s">
        <v>100</v>
      </c>
      <c r="Y3" s="649" t="s">
        <v>294</v>
      </c>
      <c r="Z3" s="642" t="s">
        <v>101</v>
      </c>
      <c r="AA3" s="644" t="s">
        <v>156</v>
      </c>
      <c r="AB3" s="644" t="s">
        <v>167</v>
      </c>
      <c r="AC3" s="644" t="s">
        <v>165</v>
      </c>
      <c r="AD3" s="644" t="s">
        <v>125</v>
      </c>
      <c r="AE3" s="644" t="s">
        <v>126</v>
      </c>
      <c r="AF3" s="684" t="s">
        <v>127</v>
      </c>
      <c r="AG3" s="684"/>
      <c r="AH3" s="684"/>
      <c r="AI3" s="684"/>
      <c r="AJ3" s="684"/>
      <c r="AK3" s="684"/>
      <c r="AL3" s="684"/>
      <c r="AM3" s="681" t="s">
        <v>128</v>
      </c>
      <c r="AN3" s="691" t="s">
        <v>102</v>
      </c>
      <c r="AO3" s="691"/>
      <c r="AP3" s="691"/>
      <c r="AQ3" s="691"/>
      <c r="AR3" s="691"/>
      <c r="AS3" s="692" t="s">
        <v>103</v>
      </c>
      <c r="AT3" s="677" t="s">
        <v>290</v>
      </c>
      <c r="AU3" s="678"/>
      <c r="AV3" s="687" t="s">
        <v>129</v>
      </c>
      <c r="AW3" s="688"/>
      <c r="AX3" s="689" t="s">
        <v>129</v>
      </c>
      <c r="AY3" s="690"/>
      <c r="AZ3" s="685" t="s">
        <v>129</v>
      </c>
      <c r="BA3" s="686"/>
      <c r="BB3" s="671" t="s">
        <v>306</v>
      </c>
      <c r="BC3" s="676" t="s">
        <v>104</v>
      </c>
      <c r="BD3" s="640" t="s">
        <v>105</v>
      </c>
      <c r="BE3" s="640" t="s">
        <v>106</v>
      </c>
      <c r="BF3" s="634" t="s">
        <v>396</v>
      </c>
      <c r="BG3" s="637" t="s">
        <v>397</v>
      </c>
      <c r="BH3" s="640" t="s">
        <v>398</v>
      </c>
    </row>
    <row r="4" spans="1:60" ht="12" customHeight="1">
      <c r="A4" s="645"/>
      <c r="B4" s="645"/>
      <c r="C4" s="645"/>
      <c r="D4" s="645"/>
      <c r="E4" s="645"/>
      <c r="F4" s="645"/>
      <c r="G4" s="660"/>
      <c r="H4" s="661"/>
      <c r="I4" s="661"/>
      <c r="J4" s="661"/>
      <c r="K4" s="662"/>
      <c r="L4" s="666"/>
      <c r="M4" s="667"/>
      <c r="N4" s="668"/>
      <c r="O4" s="670"/>
      <c r="P4" s="652"/>
      <c r="Q4" s="670"/>
      <c r="R4" s="643"/>
      <c r="S4" s="643"/>
      <c r="T4" s="645"/>
      <c r="U4" s="645"/>
      <c r="V4" s="645"/>
      <c r="W4" s="643"/>
      <c r="X4" s="650"/>
      <c r="Y4" s="650"/>
      <c r="Z4" s="643"/>
      <c r="AA4" s="645"/>
      <c r="AB4" s="645"/>
      <c r="AC4" s="645"/>
      <c r="AD4" s="645"/>
      <c r="AE4" s="645"/>
      <c r="AF4" s="646" t="s">
        <v>130</v>
      </c>
      <c r="AG4" s="647"/>
      <c r="AH4" s="648"/>
      <c r="AI4" s="652" t="s">
        <v>380</v>
      </c>
      <c r="AJ4" s="652" t="s">
        <v>14</v>
      </c>
      <c r="AK4" s="652" t="s">
        <v>131</v>
      </c>
      <c r="AL4" s="652" t="s">
        <v>17</v>
      </c>
      <c r="AM4" s="682"/>
      <c r="AN4" s="655" t="s">
        <v>108</v>
      </c>
      <c r="AO4" s="655" t="s">
        <v>14</v>
      </c>
      <c r="AP4" s="655" t="s">
        <v>109</v>
      </c>
      <c r="AQ4" s="655" t="s">
        <v>17</v>
      </c>
      <c r="AR4" s="676" t="s">
        <v>110</v>
      </c>
      <c r="AS4" s="692"/>
      <c r="AT4" s="679"/>
      <c r="AU4" s="680"/>
      <c r="AV4" s="511" t="s">
        <v>6</v>
      </c>
      <c r="AW4" s="511" t="s">
        <v>132</v>
      </c>
      <c r="AX4" s="512" t="s">
        <v>6</v>
      </c>
      <c r="AY4" s="513" t="s">
        <v>132</v>
      </c>
      <c r="AZ4" s="569" t="s">
        <v>6</v>
      </c>
      <c r="BA4" s="570" t="s">
        <v>132</v>
      </c>
      <c r="BB4" s="672"/>
      <c r="BC4" s="676"/>
      <c r="BD4" s="640"/>
      <c r="BE4" s="640"/>
      <c r="BF4" s="635"/>
      <c r="BG4" s="638"/>
      <c r="BH4" s="640"/>
    </row>
    <row r="5" spans="1:60" s="31" customFormat="1" ht="48">
      <c r="A5" s="645"/>
      <c r="B5" s="645"/>
      <c r="C5" s="654"/>
      <c r="D5" s="645"/>
      <c r="E5" s="645"/>
      <c r="F5" s="645"/>
      <c r="G5" s="492" t="s">
        <v>111</v>
      </c>
      <c r="H5" s="491" t="s">
        <v>112</v>
      </c>
      <c r="I5" s="29" t="s">
        <v>113</v>
      </c>
      <c r="J5" s="80" t="s">
        <v>114</v>
      </c>
      <c r="K5" s="80" t="s">
        <v>99</v>
      </c>
      <c r="L5" s="30" t="s">
        <v>115</v>
      </c>
      <c r="M5" s="30" t="s">
        <v>116</v>
      </c>
      <c r="N5" s="491" t="s">
        <v>117</v>
      </c>
      <c r="O5" s="670"/>
      <c r="P5" s="653"/>
      <c r="Q5" s="670"/>
      <c r="R5" s="643"/>
      <c r="S5" s="643"/>
      <c r="T5" s="645"/>
      <c r="U5" s="645"/>
      <c r="V5" s="645"/>
      <c r="W5" s="643"/>
      <c r="X5" s="650"/>
      <c r="Y5" s="651"/>
      <c r="Z5" s="643"/>
      <c r="AA5" s="645"/>
      <c r="AB5" s="654"/>
      <c r="AC5" s="645"/>
      <c r="AD5" s="654"/>
      <c r="AE5" s="645"/>
      <c r="AF5" s="441" t="s">
        <v>295</v>
      </c>
      <c r="AG5" s="516" t="s">
        <v>296</v>
      </c>
      <c r="AH5" s="516" t="s">
        <v>297</v>
      </c>
      <c r="AI5" s="653"/>
      <c r="AJ5" s="653"/>
      <c r="AK5" s="653"/>
      <c r="AL5" s="653"/>
      <c r="AM5" s="683"/>
      <c r="AN5" s="656"/>
      <c r="AO5" s="656"/>
      <c r="AP5" s="656"/>
      <c r="AQ5" s="656"/>
      <c r="AR5" s="642"/>
      <c r="AS5" s="693"/>
      <c r="AT5" s="515" t="s">
        <v>291</v>
      </c>
      <c r="AU5" s="515" t="s">
        <v>292</v>
      </c>
      <c r="AV5" s="514" t="s">
        <v>293</v>
      </c>
      <c r="AW5" s="514" t="s">
        <v>293</v>
      </c>
      <c r="AX5" s="512" t="s">
        <v>16</v>
      </c>
      <c r="AY5" s="512" t="s">
        <v>16</v>
      </c>
      <c r="AZ5" s="569" t="s">
        <v>275</v>
      </c>
      <c r="BA5" s="569" t="s">
        <v>275</v>
      </c>
      <c r="BB5" s="673"/>
      <c r="BC5" s="642"/>
      <c r="BD5" s="644"/>
      <c r="BE5" s="644"/>
      <c r="BF5" s="636"/>
      <c r="BG5" s="639"/>
      <c r="BH5" s="641"/>
    </row>
    <row r="6" spans="1:60" ht="12.75" customHeight="1">
      <c r="A6" s="39">
        <f>+Report1!A9</f>
        <v>46023</v>
      </c>
      <c r="B6" s="40" t="s">
        <v>410</v>
      </c>
      <c r="C6" s="412">
        <f>(M6*E6*O6*Q6)/100000000</f>
        <v>42.416649444000001</v>
      </c>
      <c r="D6" s="40" t="s">
        <v>302</v>
      </c>
      <c r="E6" s="41">
        <v>13</v>
      </c>
      <c r="F6" s="41">
        <v>1</v>
      </c>
      <c r="G6" s="497">
        <f>+L6</f>
        <v>1176.1736111111111</v>
      </c>
      <c r="H6" s="43">
        <f>+N6</f>
        <v>0.25331164498816183</v>
      </c>
      <c r="I6" s="44">
        <v>0.88</v>
      </c>
      <c r="J6" s="81">
        <f>E6*G6*(1-H6)*1440/1000000*2.74</f>
        <v>45.047139332000008</v>
      </c>
      <c r="K6" s="81">
        <f>(IF(G6&lt;L6,L6,G6)*(1-IF(H6&lt;N6,H6,N6))*E6*O6*Q6)/100000000</f>
        <v>42.416649444000001</v>
      </c>
      <c r="L6" s="34">
        <v>1176.1736111111111</v>
      </c>
      <c r="M6" s="34">
        <v>878.23513888888897</v>
      </c>
      <c r="N6" s="45">
        <f>1-(M6/L6)</f>
        <v>0.25331164498816183</v>
      </c>
      <c r="O6" s="46">
        <f>+'Trim Rwd'!H4</f>
        <v>258</v>
      </c>
      <c r="P6" s="47">
        <f>O6*(Q6-R6-S6)</f>
        <v>355008</v>
      </c>
      <c r="Q6" s="46">
        <v>1440</v>
      </c>
      <c r="R6" s="498">
        <v>0</v>
      </c>
      <c r="S6" s="498">
        <v>64</v>
      </c>
      <c r="T6" s="36">
        <f>E6*M6*O6*Q6/100000000</f>
        <v>42.416649444000001</v>
      </c>
      <c r="U6" s="36">
        <f>E6*M6*O6*(Q6-R6-S6)/100000000</f>
        <v>40.531465024266666</v>
      </c>
      <c r="V6" s="36">
        <f>E6*G6*(1-N6)*O6/100*(R6+S6)/1000000</f>
        <v>1.8851844197333334</v>
      </c>
      <c r="W6" s="36">
        <f>+'1'!C34/1000</f>
        <v>39.265999999999998</v>
      </c>
      <c r="X6" s="499">
        <f>SUM(W6:W10)/SUM(K6:K10)</f>
        <v>0.92572139748662596</v>
      </c>
      <c r="Y6" s="210">
        <v>0</v>
      </c>
      <c r="Z6" s="36">
        <f>+'1'!D16/1000</f>
        <v>0.51</v>
      </c>
      <c r="AA6" s="48">
        <f>SUM(U6:U10)-SUM(W6:W10)-SUM(Z6:Z10)-SUM(Y6:Y10)</f>
        <v>0.75546502426666762</v>
      </c>
      <c r="AB6" s="48">
        <f>(SUM(K6:K10)-SUM(W6:W10)-SUM(Y6:Y10)-SUM(Z6:Z10)-SUM(AC6:AC10)-SUM(V6:V10))-AA6</f>
        <v>1.7763568394002505E-15</v>
      </c>
      <c r="AC6" s="36">
        <f>K6-T6</f>
        <v>0</v>
      </c>
      <c r="AD6" s="36">
        <f>+AM6+BC6</f>
        <v>0</v>
      </c>
      <c r="AE6" s="228" t="s">
        <v>385</v>
      </c>
      <c r="AF6" s="36">
        <v>0</v>
      </c>
      <c r="AG6" s="36"/>
      <c r="AH6" s="36"/>
      <c r="AI6" s="500"/>
      <c r="AJ6" s="36"/>
      <c r="AK6" s="36"/>
      <c r="AL6" s="36"/>
      <c r="AM6" s="36">
        <f t="shared" ref="AM6:AM9" si="0"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f>+AR6+AS6+AU6+AW6+AY6+BB6</f>
        <v>0</v>
      </c>
      <c r="BD6" s="32">
        <v>0</v>
      </c>
      <c r="BE6" s="50"/>
      <c r="BF6" s="50"/>
      <c r="BG6" s="32"/>
      <c r="BH6" s="50"/>
    </row>
    <row r="7" spans="1:60" ht="12.95" customHeight="1">
      <c r="A7" s="39"/>
      <c r="B7" s="40"/>
      <c r="C7" s="412"/>
      <c r="D7" s="40"/>
      <c r="E7" s="41"/>
      <c r="F7" s="41"/>
      <c r="G7" s="497"/>
      <c r="H7" s="43"/>
      <c r="I7" s="44"/>
      <c r="J7" s="81"/>
      <c r="K7" s="81"/>
      <c r="L7" s="34"/>
      <c r="M7" s="34"/>
      <c r="N7" s="45"/>
      <c r="O7" s="46"/>
      <c r="P7" s="47"/>
      <c r="Q7" s="46"/>
      <c r="R7" s="498"/>
      <c r="S7" s="498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+AM7+BC7</f>
        <v>19</v>
      </c>
      <c r="AE7" s="228" t="s">
        <v>412</v>
      </c>
      <c r="AF7" s="36"/>
      <c r="AG7" s="36">
        <v>19</v>
      </c>
      <c r="AH7" s="36"/>
      <c r="AI7" s="500"/>
      <c r="AJ7" s="36"/>
      <c r="AK7" s="36"/>
      <c r="AL7" s="36"/>
      <c r="AM7" s="36">
        <f t="shared" si="0"/>
        <v>19</v>
      </c>
      <c r="AN7" s="82"/>
      <c r="AO7" s="36"/>
      <c r="AP7" s="36"/>
      <c r="AQ7" s="36"/>
      <c r="AR7" s="36">
        <f t="shared" ref="AR7:AR9" si="1">SUM(AN7:AQ7)</f>
        <v>0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f>+AR7+AS7+AU7+AW7+AY7+BB7</f>
        <v>0</v>
      </c>
      <c r="BD7" s="49"/>
      <c r="BE7" s="50">
        <v>8</v>
      </c>
      <c r="BF7" s="50"/>
      <c r="BG7" s="49"/>
      <c r="BH7" s="50"/>
    </row>
    <row r="8" spans="1:60" ht="12.95" customHeight="1">
      <c r="A8" s="39"/>
      <c r="B8" s="40"/>
      <c r="C8" s="412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498"/>
      <c r="S8" s="498"/>
      <c r="T8" s="36">
        <f ca="1">+T8:AD8</f>
        <v>0</v>
      </c>
      <c r="U8" s="36"/>
      <c r="V8" s="36"/>
      <c r="W8" s="36"/>
      <c r="X8" s="37"/>
      <c r="Y8" s="210"/>
      <c r="Z8" s="36"/>
      <c r="AA8" s="36"/>
      <c r="AB8" s="36"/>
      <c r="AC8" s="36"/>
      <c r="AD8" s="36">
        <f>+AM8+BC8</f>
        <v>45</v>
      </c>
      <c r="AE8" s="228" t="s">
        <v>413</v>
      </c>
      <c r="AF8" s="32"/>
      <c r="AG8" s="32"/>
      <c r="AH8" s="32">
        <v>45</v>
      </c>
      <c r="AJ8" s="36"/>
      <c r="AK8" s="36"/>
      <c r="AL8" s="36"/>
      <c r="AM8" s="36">
        <f t="shared" si="0"/>
        <v>45</v>
      </c>
      <c r="AN8" s="36"/>
      <c r="AO8" s="36"/>
      <c r="AP8" s="36"/>
      <c r="AQ8" s="36"/>
      <c r="AR8" s="36">
        <f t="shared" si="1"/>
        <v>0</v>
      </c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f>+AR8+AS8+AU8+AW8+AY8+BB8</f>
        <v>0</v>
      </c>
      <c r="BD8" s="32"/>
      <c r="BE8" s="501"/>
      <c r="BF8" s="501"/>
      <c r="BG8" s="32"/>
      <c r="BH8" s="501"/>
    </row>
    <row r="9" spans="1:60" ht="12.95" customHeight="1">
      <c r="A9" s="39"/>
      <c r="B9" s="40"/>
      <c r="C9" s="412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498"/>
      <c r="S9" s="498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+AM9+BC9</f>
        <v>0</v>
      </c>
      <c r="AE9" s="231" t="s">
        <v>378</v>
      </c>
      <c r="AF9" s="36"/>
      <c r="AG9" s="36"/>
      <c r="AH9" s="36"/>
      <c r="AI9" s="500">
        <v>0</v>
      </c>
      <c r="AJ9" s="36"/>
      <c r="AK9" s="36"/>
      <c r="AL9" s="36"/>
      <c r="AM9" s="36">
        <f t="shared" si="0"/>
        <v>0</v>
      </c>
      <c r="AN9" s="36"/>
      <c r="AO9" s="36"/>
      <c r="AP9" s="36"/>
      <c r="AQ9" s="36"/>
      <c r="AR9" s="36">
        <f t="shared" si="1"/>
        <v>0</v>
      </c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>
        <f>+AR9+AS9+AU9+AW9+AY9+BB9</f>
        <v>0</v>
      </c>
      <c r="BD9" s="49"/>
      <c r="BE9" s="50"/>
      <c r="BF9" s="50"/>
      <c r="BG9" s="49"/>
      <c r="BH9" s="50"/>
    </row>
    <row r="10" spans="1:60" ht="12.95" customHeight="1">
      <c r="A10" s="39"/>
      <c r="B10" s="40"/>
      <c r="C10" s="412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498"/>
      <c r="S10" s="498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/>
      <c r="AE10" s="231"/>
      <c r="AF10" s="36"/>
      <c r="AG10" s="36"/>
      <c r="AH10" s="36"/>
      <c r="AI10" s="500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49"/>
      <c r="BE10" s="50"/>
      <c r="BF10" s="50"/>
      <c r="BG10" s="32"/>
      <c r="BH10" s="50"/>
    </row>
    <row r="11" spans="1:60" ht="12.75" customHeight="1">
      <c r="A11" s="39">
        <v>46024</v>
      </c>
      <c r="B11" s="40" t="s">
        <v>410</v>
      </c>
      <c r="C11" s="412">
        <f>(M11*E11*O11*Q11)/100000000</f>
        <v>41.816062079999995</v>
      </c>
      <c r="D11" s="40" t="s">
        <v>302</v>
      </c>
      <c r="E11" s="41">
        <v>13</v>
      </c>
      <c r="F11" s="41">
        <v>1</v>
      </c>
      <c r="G11" s="497">
        <f>+L11</f>
        <v>1170</v>
      </c>
      <c r="H11" s="43">
        <f>+N11</f>
        <v>0.26</v>
      </c>
      <c r="I11" s="44">
        <v>0.88</v>
      </c>
      <c r="J11" s="81">
        <f>E11*G11*(1-H11)*1440/1000000*2.74</f>
        <v>44.409306239999999</v>
      </c>
      <c r="K11" s="81">
        <f>(IF(G11&lt;L11,L11,G11)*(1-IF(H11&lt;N11,H11,N11))*E11*O11*Q11)/100000000</f>
        <v>41.816062079999995</v>
      </c>
      <c r="L11" s="34">
        <v>1170</v>
      </c>
      <c r="M11" s="34">
        <v>865.8</v>
      </c>
      <c r="N11" s="45">
        <f>1-(M11/L11)</f>
        <v>0.26</v>
      </c>
      <c r="O11" s="46">
        <f>+'Trim Rwd'!H6</f>
        <v>258</v>
      </c>
      <c r="P11" s="47">
        <f>O11*(Q11-R11-S11)</f>
        <v>353460</v>
      </c>
      <c r="Q11" s="46">
        <v>1440</v>
      </c>
      <c r="R11" s="498">
        <v>0</v>
      </c>
      <c r="S11" s="498">
        <v>70</v>
      </c>
      <c r="T11" s="36">
        <f>E11*M11*O11*Q11/100000000</f>
        <v>41.816062079999995</v>
      </c>
      <c r="U11" s="36">
        <f>E11*M11*O11*(Q11-R11-S11)/100000000</f>
        <v>39.783336839999997</v>
      </c>
      <c r="V11" s="36">
        <f>E11*G11*(1-N11)*O11/100*(R11+S11)/1000000</f>
        <v>2.0327252399999995</v>
      </c>
      <c r="W11" s="36">
        <f>+'2'!K7/1000</f>
        <v>36.225000000000001</v>
      </c>
      <c r="X11" s="499">
        <f>SUM(W11:W15)/SUM(K11:K15)</f>
        <v>0.86629391191108562</v>
      </c>
      <c r="Y11" s="210">
        <v>0</v>
      </c>
      <c r="Z11" s="36">
        <f>+'2'!D34/1000</f>
        <v>0.52</v>
      </c>
      <c r="AA11" s="48">
        <f>SUM(U11:U15)-SUM(W11:W15)-SUM(Z11:Z15)-SUM(Y11:Y15)</f>
        <v>3.0383368399999955</v>
      </c>
      <c r="AB11" s="48">
        <f>(SUM(K11:K15)-SUM(W11:W15)-SUM(Y11:Y15)-SUM(Z11:Z15)-SUM(AC11:AC15)-SUM(V11:V15))-AA11</f>
        <v>0</v>
      </c>
      <c r="AC11" s="36">
        <f>K11-T11</f>
        <v>0</v>
      </c>
      <c r="AD11" s="36">
        <f>+AM11+BC11</f>
        <v>18</v>
      </c>
      <c r="AE11" s="228" t="s">
        <v>429</v>
      </c>
      <c r="AF11" s="36">
        <v>18</v>
      </c>
      <c r="AG11" s="36"/>
      <c r="AH11" s="36"/>
      <c r="AI11" s="500"/>
      <c r="AJ11" s="36"/>
      <c r="AK11" s="36"/>
      <c r="AL11" s="36"/>
      <c r="AM11" s="36">
        <f t="shared" ref="AM11:AM14" si="2">SUM(AF11:AL11)+AT11+AV11+AX11</f>
        <v>18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>
        <f>+AR11+AS11+AU11+AW11+AY11+BB11</f>
        <v>0</v>
      </c>
      <c r="BD11" s="32">
        <v>6</v>
      </c>
      <c r="BE11" s="50"/>
      <c r="BF11" s="50"/>
      <c r="BG11" s="32"/>
      <c r="BH11" s="50"/>
    </row>
    <row r="12" spans="1:60" ht="12.95" customHeight="1">
      <c r="A12" s="39"/>
      <c r="B12" s="40"/>
      <c r="C12" s="412"/>
      <c r="D12" s="40"/>
      <c r="E12" s="41"/>
      <c r="F12" s="41"/>
      <c r="G12" s="497"/>
      <c r="H12" s="43"/>
      <c r="I12" s="44"/>
      <c r="J12" s="81"/>
      <c r="K12" s="81"/>
      <c r="L12" s="34"/>
      <c r="M12" s="34"/>
      <c r="N12" s="45"/>
      <c r="O12" s="46"/>
      <c r="P12" s="47"/>
      <c r="Q12" s="46"/>
      <c r="R12" s="498"/>
      <c r="S12" s="498"/>
      <c r="T12" s="36"/>
      <c r="U12" s="36"/>
      <c r="V12" s="36"/>
      <c r="W12" s="36"/>
      <c r="X12" s="37"/>
      <c r="Y12" s="210"/>
      <c r="Z12" s="36"/>
      <c r="AA12" s="36"/>
      <c r="AB12" s="36"/>
      <c r="AC12" s="36"/>
      <c r="AD12" s="36">
        <f>+AM12+BC12</f>
        <v>8</v>
      </c>
      <c r="AE12" s="228" t="s">
        <v>407</v>
      </c>
      <c r="AF12" s="36"/>
      <c r="AG12" s="36">
        <v>8</v>
      </c>
      <c r="AH12" s="36"/>
      <c r="AI12" s="500"/>
      <c r="AJ12" s="36"/>
      <c r="AK12" s="36"/>
      <c r="AL12" s="36"/>
      <c r="AM12" s="36">
        <f t="shared" si="2"/>
        <v>8</v>
      </c>
      <c r="AN12" s="82"/>
      <c r="AO12" s="36"/>
      <c r="AP12" s="36"/>
      <c r="AQ12" s="36"/>
      <c r="AR12" s="36">
        <f t="shared" ref="AR12:AR14" si="3"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>
        <f>+AR12+AS12+AU12+AW12+AY12+BB12</f>
        <v>0</v>
      </c>
      <c r="BD12" s="49"/>
      <c r="BE12" s="50">
        <v>4</v>
      </c>
      <c r="BF12" s="50"/>
      <c r="BG12" s="49"/>
      <c r="BH12" s="50"/>
    </row>
    <row r="13" spans="1:60" ht="12.95" customHeight="1">
      <c r="A13" s="39"/>
      <c r="B13" s="40"/>
      <c r="C13" s="412"/>
      <c r="D13" s="40"/>
      <c r="E13" s="41"/>
      <c r="F13" s="41"/>
      <c r="G13" s="42"/>
      <c r="H13" s="43"/>
      <c r="I13" s="44"/>
      <c r="J13" s="81"/>
      <c r="K13" s="81"/>
      <c r="L13" s="34"/>
      <c r="M13" s="34"/>
      <c r="N13" s="45"/>
      <c r="O13" s="46"/>
      <c r="P13" s="47"/>
      <c r="Q13" s="46"/>
      <c r="R13" s="498"/>
      <c r="S13" s="498"/>
      <c r="T13" s="36"/>
      <c r="U13" s="36"/>
      <c r="V13" s="36"/>
      <c r="W13" s="36"/>
      <c r="X13" s="37"/>
      <c r="Y13" s="210"/>
      <c r="Z13" s="36"/>
      <c r="AA13" s="36"/>
      <c r="AB13" s="36"/>
      <c r="AC13" s="36"/>
      <c r="AD13" s="36">
        <f>+AM13+BC13</f>
        <v>44</v>
      </c>
      <c r="AE13" s="228" t="s">
        <v>430</v>
      </c>
      <c r="AF13" s="32"/>
      <c r="AG13" s="32"/>
      <c r="AH13" s="32">
        <v>44</v>
      </c>
      <c r="AJ13" s="36"/>
      <c r="AK13" s="36"/>
      <c r="AL13" s="36"/>
      <c r="AM13" s="36">
        <f t="shared" si="2"/>
        <v>44</v>
      </c>
      <c r="AN13" s="36"/>
      <c r="AO13" s="36"/>
      <c r="AP13" s="36"/>
      <c r="AQ13" s="36"/>
      <c r="AR13" s="36">
        <f t="shared" si="3"/>
        <v>0</v>
      </c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>
        <f>+AR13+AS13+AU13+AW13+AY13+BB13</f>
        <v>0</v>
      </c>
      <c r="BD13" s="32"/>
      <c r="BE13" s="501"/>
      <c r="BF13" s="501"/>
      <c r="BG13" s="32"/>
      <c r="BH13" s="501"/>
    </row>
    <row r="14" spans="1:60" ht="12.95" customHeight="1">
      <c r="A14" s="39"/>
      <c r="B14" s="40"/>
      <c r="C14" s="412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33"/>
      <c r="R14" s="498"/>
      <c r="S14" s="498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+AM14+BC14</f>
        <v>0</v>
      </c>
      <c r="AE14" s="231" t="s">
        <v>378</v>
      </c>
      <c r="AF14" s="36"/>
      <c r="AG14" s="36"/>
      <c r="AH14" s="36"/>
      <c r="AI14" s="500">
        <v>0</v>
      </c>
      <c r="AJ14" s="36"/>
      <c r="AK14" s="36"/>
      <c r="AL14" s="36"/>
      <c r="AM14" s="36">
        <f t="shared" si="2"/>
        <v>0</v>
      </c>
      <c r="AN14" s="36"/>
      <c r="AO14" s="36"/>
      <c r="AP14" s="36"/>
      <c r="AQ14" s="36"/>
      <c r="AR14" s="36">
        <f t="shared" si="3"/>
        <v>0</v>
      </c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>
        <f>+AR14+AS14+AU14+AW14+AY14+BB14</f>
        <v>0</v>
      </c>
      <c r="BD14" s="49"/>
      <c r="BE14" s="50"/>
      <c r="BF14" s="50"/>
      <c r="BG14" s="49"/>
      <c r="BH14" s="50"/>
    </row>
    <row r="15" spans="1:60" ht="12.95" customHeight="1">
      <c r="A15" s="39"/>
      <c r="B15" s="40"/>
      <c r="C15" s="412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498"/>
      <c r="S15" s="498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1"/>
      <c r="AF15" s="36"/>
      <c r="AG15" s="36"/>
      <c r="AH15" s="36"/>
      <c r="AI15" s="500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49"/>
      <c r="BE15" s="50"/>
      <c r="BF15" s="50"/>
      <c r="BG15" s="32"/>
      <c r="BH15" s="50"/>
    </row>
    <row r="16" spans="1:60" ht="12.75" customHeight="1">
      <c r="A16" s="39">
        <v>46025</v>
      </c>
      <c r="B16" s="40" t="s">
        <v>410</v>
      </c>
      <c r="C16" s="412">
        <f>(M16*E16*O16*Q16)/100000000</f>
        <v>0.29038931999999995</v>
      </c>
      <c r="D16" s="40" t="s">
        <v>302</v>
      </c>
      <c r="E16" s="41">
        <v>13</v>
      </c>
      <c r="F16" s="41">
        <v>1</v>
      </c>
      <c r="G16" s="497">
        <f>+L16</f>
        <v>1170</v>
      </c>
      <c r="H16" s="43">
        <f>+N16</f>
        <v>0.26</v>
      </c>
      <c r="I16" s="44">
        <v>0.88</v>
      </c>
      <c r="J16" s="81">
        <f>E16*G16*(1-H16)*1440/1000000*2.74</f>
        <v>44.409306239999999</v>
      </c>
      <c r="K16" s="81">
        <f>(IF(G16&lt;L16,L16,G16)*(1-IF(H16&lt;N16,H16,N16))*E16*O16*Q16)/100000000</f>
        <v>0.29038931999999995</v>
      </c>
      <c r="L16" s="34">
        <v>1170</v>
      </c>
      <c r="M16" s="34">
        <v>865.8</v>
      </c>
      <c r="N16" s="45">
        <f>1-(M16/L16)</f>
        <v>0.26</v>
      </c>
      <c r="O16" s="46">
        <f>+'Trim Rwd'!H8</f>
        <v>258</v>
      </c>
      <c r="P16" s="47">
        <f>O16*(Q16-R16-S16)</f>
        <v>1290</v>
      </c>
      <c r="Q16" s="46">
        <v>10</v>
      </c>
      <c r="R16" s="498">
        <v>0</v>
      </c>
      <c r="S16" s="498">
        <v>5</v>
      </c>
      <c r="T16" s="36">
        <f>E16*M16*O16*Q16/100000000</f>
        <v>0.29038931999999995</v>
      </c>
      <c r="U16" s="36">
        <f>E16*M16*O16*(Q16-R16-S16)/100000000</f>
        <v>0.14519465999999998</v>
      </c>
      <c r="V16" s="36">
        <f>E16*G16*(1-N16)*O16/100*(R16+S16)/1000000</f>
        <v>0.14519465999999998</v>
      </c>
      <c r="W16" s="36">
        <f>+'3'!K7/1000</f>
        <v>3.6760000000000002</v>
      </c>
      <c r="X16" s="499">
        <f>SUM(W16:W20)/SUM(K16:K20)</f>
        <v>0.89852330025876059</v>
      </c>
      <c r="Y16" s="210">
        <v>0</v>
      </c>
      <c r="Z16" s="36">
        <f>+'2'!D39/1000</f>
        <v>0</v>
      </c>
      <c r="AA16" s="48">
        <f>SUM(U16:U20)-SUM(W16:W20)-SUM(Z16:Z20)-SUM(Y16:Y20)</f>
        <v>1.7278534704895065</v>
      </c>
      <c r="AB16" s="48">
        <f>(SUM(K16:K20)-SUM(W16:W20)-SUM(Y16:Y20)-SUM(Z16:Z20)-SUM(AC16:AC20)-SUM(V16:V20))-AA16</f>
        <v>-1.7471971819313703E-2</v>
      </c>
      <c r="AC16" s="36">
        <f>K16-T16</f>
        <v>0</v>
      </c>
      <c r="AD16" s="36">
        <f>+AM16+BC16</f>
        <v>4</v>
      </c>
      <c r="AE16" s="228" t="s">
        <v>445</v>
      </c>
      <c r="AF16" s="36">
        <v>4</v>
      </c>
      <c r="AG16" s="36"/>
      <c r="AH16" s="36"/>
      <c r="AI16" s="500"/>
      <c r="AJ16" s="36"/>
      <c r="AK16" s="36"/>
      <c r="AL16" s="36"/>
      <c r="AM16" s="36">
        <f t="shared" ref="AM16:AM19" si="4">SUM(AF16:AL16)+AT16+AV16+AX16</f>
        <v>4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>
        <f>+AR16+AS16+AU16+AW16+AY16+BB16</f>
        <v>0</v>
      </c>
      <c r="BD16" s="32">
        <v>2</v>
      </c>
      <c r="BE16" s="50"/>
      <c r="BF16" s="50"/>
      <c r="BG16" s="32"/>
      <c r="BH16" s="50"/>
    </row>
    <row r="17" spans="1:60" ht="12.95" customHeight="1">
      <c r="A17" s="39"/>
      <c r="B17" s="40" t="s">
        <v>447</v>
      </c>
      <c r="C17" s="412">
        <f>(M17*E17*O17*Q17)/100000000</f>
        <v>41.295838500000002</v>
      </c>
      <c r="D17" s="40" t="s">
        <v>302</v>
      </c>
      <c r="E17" s="41">
        <v>12</v>
      </c>
      <c r="F17" s="41">
        <v>1</v>
      </c>
      <c r="G17" s="497">
        <v>1230</v>
      </c>
      <c r="H17" s="43">
        <v>0.24</v>
      </c>
      <c r="I17" s="44">
        <v>0.88</v>
      </c>
      <c r="J17" s="81">
        <f>E17*G17*(1-H17)*1440/1000000*2.74</f>
        <v>44.260162560000005</v>
      </c>
      <c r="K17" s="81">
        <f>(IF(G17&lt;L17,L17,G17)*(1-IF(H17&lt;N17,H17,N17))*E17*O17*Q17)/100000000</f>
        <v>42.108065999999994</v>
      </c>
      <c r="L17" s="34">
        <v>1216.8531468531469</v>
      </c>
      <c r="M17" s="34">
        <v>916.76853146853148</v>
      </c>
      <c r="N17" s="45">
        <f>1-(M17/L17)</f>
        <v>0.24660709154646288</v>
      </c>
      <c r="O17" s="46">
        <f>+'Trim Rwd'!H9</f>
        <v>262.5</v>
      </c>
      <c r="P17" s="47">
        <f>O17*(Q17-R17-S17)</f>
        <v>360675</v>
      </c>
      <c r="Q17" s="46">
        <v>1430</v>
      </c>
      <c r="R17" s="498">
        <v>0</v>
      </c>
      <c r="S17" s="498">
        <f>61-S16</f>
        <v>56</v>
      </c>
      <c r="T17" s="36">
        <f>E17*M17*O17*Q17/100000000</f>
        <v>41.295838500000002</v>
      </c>
      <c r="U17" s="36">
        <f>E17*M17*O17*(Q17-R17-S17)/100000000</f>
        <v>39.678658810489509</v>
      </c>
      <c r="V17" s="36">
        <f>E17*G17*(1-N17)*O17/100*(R17+S17)/1000000</f>
        <v>1.6346516613298083</v>
      </c>
      <c r="W17" s="36">
        <f>+'3'!K8/1000</f>
        <v>34.42</v>
      </c>
      <c r="X17" s="37"/>
      <c r="Y17" s="210"/>
      <c r="Z17" s="36"/>
      <c r="AA17" s="36"/>
      <c r="AB17" s="36"/>
      <c r="AC17" s="36">
        <f>K17-T17</f>
        <v>0.81222749999999166</v>
      </c>
      <c r="AD17" s="36">
        <f>+AM17+BC17</f>
        <v>9</v>
      </c>
      <c r="AE17" s="228" t="s">
        <v>387</v>
      </c>
      <c r="AF17" s="36"/>
      <c r="AG17" s="36">
        <v>9</v>
      </c>
      <c r="AH17" s="36"/>
      <c r="AI17" s="500"/>
      <c r="AJ17" s="36"/>
      <c r="AK17" s="36"/>
      <c r="AL17" s="36"/>
      <c r="AM17" s="36">
        <f t="shared" si="4"/>
        <v>9</v>
      </c>
      <c r="AN17" s="82"/>
      <c r="AO17" s="36"/>
      <c r="AP17" s="36"/>
      <c r="AQ17" s="36"/>
      <c r="AR17" s="36">
        <f t="shared" ref="AR17:AR19" si="5"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>
        <f>+AR17+AS17+AU17+AW17+AY17+BB17</f>
        <v>0</v>
      </c>
      <c r="BD17" s="49"/>
      <c r="BE17" s="50">
        <v>3</v>
      </c>
      <c r="BF17" s="50"/>
      <c r="BG17" s="49"/>
      <c r="BH17" s="50"/>
    </row>
    <row r="18" spans="1:60" ht="12.95" customHeight="1">
      <c r="A18" s="39"/>
      <c r="B18" s="40"/>
      <c r="C18" s="412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498"/>
      <c r="S18" s="498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+AM18+BC18</f>
        <v>48</v>
      </c>
      <c r="AE18" s="228" t="s">
        <v>430</v>
      </c>
      <c r="AF18" s="32"/>
      <c r="AG18" s="32"/>
      <c r="AH18" s="32">
        <v>48</v>
      </c>
      <c r="AJ18" s="36"/>
      <c r="AK18" s="36"/>
      <c r="AL18" s="36"/>
      <c r="AM18" s="36">
        <f t="shared" si="4"/>
        <v>48</v>
      </c>
      <c r="AN18" s="36"/>
      <c r="AO18" s="36"/>
      <c r="AP18" s="36"/>
      <c r="AQ18" s="36"/>
      <c r="AR18" s="36">
        <f t="shared" si="5"/>
        <v>0</v>
      </c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>
        <f>+AR18+AS18+AU18+AW18+AY18+BB18</f>
        <v>0</v>
      </c>
      <c r="BD18" s="32"/>
      <c r="BE18" s="501"/>
      <c r="BF18" s="501"/>
      <c r="BG18" s="32"/>
      <c r="BH18" s="501"/>
    </row>
    <row r="19" spans="1:60" ht="12.95" customHeight="1">
      <c r="A19" s="39"/>
      <c r="B19" s="40"/>
      <c r="C19" s="412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498"/>
      <c r="S19" s="498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>
        <f>+AM19+BC19</f>
        <v>0</v>
      </c>
      <c r="AE19" s="231" t="s">
        <v>378</v>
      </c>
      <c r="AF19" s="36"/>
      <c r="AG19" s="36"/>
      <c r="AH19" s="36"/>
      <c r="AI19" s="500">
        <v>0</v>
      </c>
      <c r="AJ19" s="36"/>
      <c r="AK19" s="36"/>
      <c r="AL19" s="36"/>
      <c r="AM19" s="36">
        <f t="shared" si="4"/>
        <v>0</v>
      </c>
      <c r="AN19" s="36"/>
      <c r="AO19" s="36"/>
      <c r="AP19" s="36"/>
      <c r="AQ19" s="36"/>
      <c r="AR19" s="36">
        <f t="shared" si="5"/>
        <v>0</v>
      </c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>
        <f>+AR19+AS19+AU19+AW19+AY19+BB19</f>
        <v>0</v>
      </c>
      <c r="BD19" s="49"/>
      <c r="BE19" s="50"/>
      <c r="BF19" s="50"/>
      <c r="BG19" s="49"/>
      <c r="BH19" s="50"/>
    </row>
    <row r="20" spans="1:60" ht="12.95" customHeight="1">
      <c r="A20" s="39"/>
      <c r="B20" s="40"/>
      <c r="C20" s="412"/>
      <c r="D20" s="40"/>
      <c r="E20" s="41"/>
      <c r="F20" s="41"/>
      <c r="G20" s="497"/>
      <c r="H20" s="43"/>
      <c r="I20" s="44"/>
      <c r="J20" s="81"/>
      <c r="K20" s="81"/>
      <c r="L20" s="34"/>
      <c r="M20" s="34"/>
      <c r="N20" s="45"/>
      <c r="O20" s="46"/>
      <c r="P20" s="47"/>
      <c r="Q20" s="46"/>
      <c r="R20" s="498"/>
      <c r="S20" s="498"/>
      <c r="T20" s="36"/>
      <c r="U20" s="36"/>
      <c r="V20" s="36"/>
      <c r="W20" s="36"/>
      <c r="X20" s="37"/>
      <c r="Y20" s="210"/>
      <c r="Z20" s="36"/>
      <c r="AA20" s="36"/>
      <c r="AB20" s="36"/>
      <c r="AC20" s="36"/>
      <c r="AD20" s="36"/>
      <c r="AE20" s="228"/>
      <c r="AF20" s="32"/>
      <c r="AG20" s="32"/>
      <c r="AH20" s="32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2"/>
      <c r="BE20" s="501"/>
      <c r="BF20" s="501"/>
      <c r="BG20" s="32"/>
      <c r="BH20" s="501"/>
    </row>
    <row r="21" spans="1:60" ht="12.75" customHeight="1">
      <c r="A21" s="39">
        <v>46026</v>
      </c>
      <c r="B21" s="40" t="s">
        <v>447</v>
      </c>
      <c r="C21" s="412">
        <f>(M21*E21*O21*Q21)/100000000</f>
        <v>42.402527999999997</v>
      </c>
      <c r="D21" s="40" t="s">
        <v>302</v>
      </c>
      <c r="E21" s="41">
        <v>12</v>
      </c>
      <c r="F21" s="41">
        <v>1</v>
      </c>
      <c r="G21" s="497">
        <v>1230</v>
      </c>
      <c r="H21" s="43">
        <v>0.24</v>
      </c>
      <c r="I21" s="44">
        <v>0.88</v>
      </c>
      <c r="J21" s="81">
        <f>E21*G21*(1-H21)*1440/1000000*2.74</f>
        <v>44.260162560000005</v>
      </c>
      <c r="K21" s="81">
        <f>(IF(G21&lt;L21,L21,G21)*(1-IF(H21&lt;N21,H21,N21))*E21*O21*Q21)/100000000</f>
        <v>42.402527999999997</v>
      </c>
      <c r="L21" s="34">
        <v>1230</v>
      </c>
      <c r="M21" s="34">
        <v>934.8</v>
      </c>
      <c r="N21" s="45">
        <f>1-(M21/L21)</f>
        <v>0.24</v>
      </c>
      <c r="O21" s="46">
        <f>+'Trim Rwd'!H11</f>
        <v>262.5</v>
      </c>
      <c r="P21" s="47">
        <f>O21*(Q21-R21-S21)</f>
        <v>361200</v>
      </c>
      <c r="Q21" s="46">
        <v>1440</v>
      </c>
      <c r="R21" s="498">
        <v>0</v>
      </c>
      <c r="S21" s="498">
        <v>64</v>
      </c>
      <c r="T21" s="36">
        <f>E21*M21*O21*Q21/100000000</f>
        <v>42.402527999999997</v>
      </c>
      <c r="U21" s="36">
        <f>E21*M21*O21*(Q21-R21-S21)/100000000</f>
        <v>40.517971199999998</v>
      </c>
      <c r="V21" s="36">
        <f>E21*G21*(1-N21)*O21/100*(R21+S21)/1000000</f>
        <v>1.8845568000000001</v>
      </c>
      <c r="W21" s="36">
        <f>+'4'!K8/1000</f>
        <v>37.954000000000001</v>
      </c>
      <c r="X21" s="499">
        <f>SUM(W21:W25)/SUM(K21:K25)</f>
        <v>0.89508814191455766</v>
      </c>
      <c r="Y21" s="210">
        <v>0</v>
      </c>
      <c r="Z21" s="36">
        <f>+'2'!D44/1000</f>
        <v>0</v>
      </c>
      <c r="AA21" s="48">
        <f>SUM(U21:U25)-SUM(W21:W25)-SUM(Z21:Z25)-SUM(Y21:Y25)</f>
        <v>2.5639711999999975</v>
      </c>
      <c r="AB21" s="48">
        <f>(SUM(K21:K25)-SUM(W21:W25)-SUM(Y21:Y25)-SUM(Z21:Z25)-SUM(AC21:AC25)-SUM(V21:V25))-AA21</f>
        <v>0</v>
      </c>
      <c r="AC21" s="36">
        <f>K21-T21</f>
        <v>0</v>
      </c>
      <c r="AD21" s="36">
        <f>+AM21+BC21</f>
        <v>15</v>
      </c>
      <c r="AE21" s="228" t="s">
        <v>429</v>
      </c>
      <c r="AF21" s="36">
        <v>15</v>
      </c>
      <c r="AG21" s="36"/>
      <c r="AH21" s="36"/>
      <c r="AI21" s="500"/>
      <c r="AJ21" s="36"/>
      <c r="AK21" s="36"/>
      <c r="AL21" s="36"/>
      <c r="AM21" s="36">
        <f t="shared" ref="AM21:AM24" si="6">SUM(AF21:AL21)+AT21+AV21+AX21</f>
        <v>15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>
        <f>+AR21+AS21+AU21+AW21+AY21+BB21</f>
        <v>0</v>
      </c>
      <c r="BD21" s="32">
        <v>6</v>
      </c>
      <c r="BE21" s="50"/>
      <c r="BF21" s="50"/>
      <c r="BG21" s="32"/>
      <c r="BH21" s="50"/>
    </row>
    <row r="22" spans="1:60" ht="12.95" customHeight="1">
      <c r="A22" s="39"/>
      <c r="B22" s="40"/>
      <c r="C22" s="412"/>
      <c r="D22" s="40"/>
      <c r="E22" s="41"/>
      <c r="F22" s="41"/>
      <c r="G22" s="497"/>
      <c r="H22" s="43"/>
      <c r="I22" s="44"/>
      <c r="J22" s="81"/>
      <c r="K22" s="81"/>
      <c r="L22" s="34"/>
      <c r="M22" s="34"/>
      <c r="N22" s="45"/>
      <c r="O22" s="46"/>
      <c r="P22" s="47"/>
      <c r="Q22" s="46"/>
      <c r="R22" s="498"/>
      <c r="S22" s="498"/>
      <c r="T22" s="36"/>
      <c r="U22" s="36"/>
      <c r="V22" s="36"/>
      <c r="W22" s="36"/>
      <c r="X22" s="37"/>
      <c r="Y22" s="210"/>
      <c r="Z22" s="36"/>
      <c r="AA22" s="36"/>
      <c r="AB22" s="36"/>
      <c r="AC22" s="36"/>
      <c r="AD22" s="36">
        <f>+AM22+BC22</f>
        <v>5</v>
      </c>
      <c r="AE22" s="228" t="s">
        <v>407</v>
      </c>
      <c r="AF22" s="36"/>
      <c r="AG22" s="36">
        <v>5</v>
      </c>
      <c r="AH22" s="36"/>
      <c r="AI22" s="500"/>
      <c r="AJ22" s="36"/>
      <c r="AK22" s="36"/>
      <c r="AL22" s="36"/>
      <c r="AM22" s="36">
        <f t="shared" si="6"/>
        <v>5</v>
      </c>
      <c r="AN22" s="82"/>
      <c r="AO22" s="36"/>
      <c r="AP22" s="36"/>
      <c r="AQ22" s="36"/>
      <c r="AR22" s="36">
        <f t="shared" ref="AR22:AR24" si="7"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>
        <f>+AR22+AS22+AU22+AW22+AY22+BB22</f>
        <v>0</v>
      </c>
      <c r="BD22" s="49"/>
      <c r="BE22" s="50">
        <v>4</v>
      </c>
      <c r="BF22" s="50"/>
      <c r="BG22" s="49"/>
      <c r="BH22" s="50"/>
    </row>
    <row r="23" spans="1:60" ht="12.95" customHeight="1">
      <c r="A23" s="39"/>
      <c r="B23" s="40"/>
      <c r="C23" s="412"/>
      <c r="D23" s="40"/>
      <c r="E23" s="41"/>
      <c r="F23" s="41"/>
      <c r="G23" s="42"/>
      <c r="H23" s="43"/>
      <c r="I23" s="44"/>
      <c r="J23" s="81"/>
      <c r="K23" s="81"/>
      <c r="L23" s="34"/>
      <c r="M23" s="34"/>
      <c r="N23" s="45"/>
      <c r="O23" s="46"/>
      <c r="P23" s="47"/>
      <c r="Q23" s="46"/>
      <c r="R23" s="498"/>
      <c r="S23" s="498"/>
      <c r="T23" s="36"/>
      <c r="U23" s="36"/>
      <c r="V23" s="36"/>
      <c r="W23" s="36"/>
      <c r="X23" s="37"/>
      <c r="Y23" s="210"/>
      <c r="Z23" s="36"/>
      <c r="AA23" s="36"/>
      <c r="AB23" s="36"/>
      <c r="AC23" s="36"/>
      <c r="AD23" s="36">
        <f>+AM23+BC23</f>
        <v>44</v>
      </c>
      <c r="AE23" s="228" t="s">
        <v>449</v>
      </c>
      <c r="AF23" s="32"/>
      <c r="AG23" s="32"/>
      <c r="AH23" s="32">
        <v>44</v>
      </c>
      <c r="AJ23" s="36"/>
      <c r="AK23" s="36"/>
      <c r="AL23" s="36"/>
      <c r="AM23" s="36">
        <f t="shared" si="6"/>
        <v>44</v>
      </c>
      <c r="AN23" s="36"/>
      <c r="AO23" s="36"/>
      <c r="AP23" s="36"/>
      <c r="AQ23" s="36"/>
      <c r="AR23" s="36">
        <f t="shared" si="7"/>
        <v>0</v>
      </c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>
        <f>+AR23+AS23+AU23+AW23+AY23+BB23</f>
        <v>0</v>
      </c>
      <c r="BD23" s="32"/>
      <c r="BE23" s="501"/>
      <c r="BF23" s="501"/>
      <c r="BG23" s="32"/>
      <c r="BH23" s="501"/>
    </row>
    <row r="24" spans="1:60" ht="12.95" customHeight="1">
      <c r="A24" s="39"/>
      <c r="B24" s="40"/>
      <c r="C24" s="412"/>
      <c r="D24" s="40"/>
      <c r="E24" s="41"/>
      <c r="F24" s="41"/>
      <c r="G24" s="42"/>
      <c r="H24" s="43"/>
      <c r="I24" s="44"/>
      <c r="J24" s="81"/>
      <c r="K24" s="81"/>
      <c r="L24" s="34"/>
      <c r="M24" s="34"/>
      <c r="N24" s="45"/>
      <c r="O24" s="46"/>
      <c r="P24" s="47"/>
      <c r="Q24" s="33"/>
      <c r="R24" s="498"/>
      <c r="S24" s="498"/>
      <c r="T24" s="36"/>
      <c r="U24" s="36"/>
      <c r="V24" s="36"/>
      <c r="W24" s="36"/>
      <c r="X24" s="37"/>
      <c r="Y24" s="210"/>
      <c r="Z24" s="36"/>
      <c r="AA24" s="36"/>
      <c r="AB24" s="36"/>
      <c r="AC24" s="36"/>
      <c r="AD24" s="36">
        <f>+AM24+BC24</f>
        <v>0</v>
      </c>
      <c r="AE24" s="231" t="s">
        <v>378</v>
      </c>
      <c r="AF24" s="36"/>
      <c r="AG24" s="36"/>
      <c r="AH24" s="36"/>
      <c r="AI24" s="500">
        <v>0</v>
      </c>
      <c r="AJ24" s="36"/>
      <c r="AK24" s="36"/>
      <c r="AL24" s="36"/>
      <c r="AM24" s="36">
        <f t="shared" si="6"/>
        <v>0</v>
      </c>
      <c r="AN24" s="36"/>
      <c r="AO24" s="36"/>
      <c r="AP24" s="36"/>
      <c r="AQ24" s="36"/>
      <c r="AR24" s="36">
        <f t="shared" si="7"/>
        <v>0</v>
      </c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>
        <f>+AR24+AS24+AU24+AW24+AY24+BB24</f>
        <v>0</v>
      </c>
      <c r="BD24" s="49"/>
      <c r="BE24" s="50"/>
      <c r="BF24" s="50"/>
      <c r="BG24" s="49"/>
      <c r="BH24" s="50"/>
    </row>
    <row r="25" spans="1:60" ht="12.95" customHeight="1">
      <c r="A25" s="39"/>
      <c r="B25" s="40"/>
      <c r="C25" s="412"/>
      <c r="D25" s="40"/>
      <c r="E25" s="41"/>
      <c r="F25" s="41"/>
      <c r="G25" s="42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498"/>
      <c r="S25" s="498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/>
      <c r="AE25" s="228"/>
      <c r="AF25" s="32"/>
      <c r="AG25" s="32"/>
      <c r="AH25" s="32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2"/>
      <c r="BE25" s="501"/>
      <c r="BF25" s="50"/>
      <c r="BG25" s="50"/>
      <c r="BH25" s="50"/>
    </row>
    <row r="26" spans="1:60" ht="12.75" customHeight="1">
      <c r="A26" s="39">
        <v>46027</v>
      </c>
      <c r="B26" s="40" t="s">
        <v>447</v>
      </c>
      <c r="C26" s="412">
        <f>(M26*E26*O26*Q26)/100000000</f>
        <v>2.3556959999999996</v>
      </c>
      <c r="D26" s="40" t="s">
        <v>302</v>
      </c>
      <c r="E26" s="41">
        <v>12</v>
      </c>
      <c r="F26" s="41">
        <v>1</v>
      </c>
      <c r="G26" s="497">
        <v>1230</v>
      </c>
      <c r="H26" s="43">
        <v>0.24</v>
      </c>
      <c r="I26" s="44">
        <v>0.88</v>
      </c>
      <c r="J26" s="81">
        <f>E26*G26*(1-H26)*1440/1000000*2.74</f>
        <v>44.260162560000005</v>
      </c>
      <c r="K26" s="81">
        <f>(IF(G26&lt;L26,L26,G26)*(1-IF(H26&lt;N26,H26,N26))*E26*O26*Q26)/100000000</f>
        <v>2.3556959999999996</v>
      </c>
      <c r="L26" s="34">
        <v>1230</v>
      </c>
      <c r="M26" s="34">
        <v>934.8</v>
      </c>
      <c r="N26" s="45">
        <f>1-(M26/L26)</f>
        <v>0.24</v>
      </c>
      <c r="O26" s="46">
        <f>+'Trim Rwd'!H13</f>
        <v>262.5</v>
      </c>
      <c r="P26" s="47">
        <f>O26*(Q26-R26-S26)</f>
        <v>18900</v>
      </c>
      <c r="Q26" s="46">
        <v>80</v>
      </c>
      <c r="R26" s="498">
        <v>0</v>
      </c>
      <c r="S26" s="498">
        <v>8</v>
      </c>
      <c r="T26" s="36">
        <f>E26*M26*O26*Q26/100000000</f>
        <v>2.3556959999999996</v>
      </c>
      <c r="U26" s="36">
        <f>E26*M26*O26*(Q26-R26-S26)/100000000</f>
        <v>2.1201263999999997</v>
      </c>
      <c r="V26" s="36">
        <f>E26*G26*(1-N26)*O26/100*(R26+S26)/1000000</f>
        <v>0.23556960000000002</v>
      </c>
      <c r="W26" s="36">
        <f>+'5'!K8/1000</f>
        <v>5.1630000000000003</v>
      </c>
      <c r="X26" s="499">
        <f>SUM(W26:W30)/SUM(K26:K30)</f>
        <v>0.88921545164713922</v>
      </c>
      <c r="Y26" s="210">
        <v>0</v>
      </c>
      <c r="Z26" s="36">
        <f>+'2'!D49/1000</f>
        <v>0</v>
      </c>
      <c r="AA26" s="48">
        <f>SUM(U26:U30)-SUM(W26:W30)-SUM(Z26:Z30)-SUM(Y26:Y30)</f>
        <v>2.3760044000000025</v>
      </c>
      <c r="AB26" s="48">
        <f>(SUM(K26:K30)-SUM(W26:W30)-SUM(Y26:Y30)-SUM(Z26:Z30)-SUM(AC26:AC30)-SUM(V26:V30))-AA26</f>
        <v>-1.7236800000002273E-2</v>
      </c>
      <c r="AC26" s="36">
        <f>K26-T26</f>
        <v>0</v>
      </c>
      <c r="AD26" s="36">
        <f>+AM26+BC26</f>
        <v>21</v>
      </c>
      <c r="AE26" s="228" t="s">
        <v>464</v>
      </c>
      <c r="AF26" s="36">
        <v>21</v>
      </c>
      <c r="AG26" s="36"/>
      <c r="AH26" s="36"/>
      <c r="AI26" s="500"/>
      <c r="AJ26" s="36"/>
      <c r="AK26" s="36"/>
      <c r="AL26" s="36"/>
      <c r="AM26" s="36">
        <f t="shared" ref="AM26:AM29" si="8">SUM(AF26:AL26)+AT26+AV26+AX26</f>
        <v>21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>
        <f>+AR26+AS26+AU26+AW26+AY26+BB26</f>
        <v>0</v>
      </c>
      <c r="BD26" s="32">
        <v>9</v>
      </c>
      <c r="BE26" s="50"/>
      <c r="BF26" s="50"/>
      <c r="BG26" s="32"/>
      <c r="BH26" s="50"/>
    </row>
    <row r="27" spans="1:60" ht="12.95" customHeight="1">
      <c r="A27" s="39"/>
      <c r="B27" s="40" t="s">
        <v>447</v>
      </c>
      <c r="C27" s="412">
        <f t="shared" ref="C27:C28" si="9">(M27*E27*O27*Q27)/100000000</f>
        <v>11.445235200000001</v>
      </c>
      <c r="D27" s="40" t="s">
        <v>302</v>
      </c>
      <c r="E27" s="41">
        <v>13.5</v>
      </c>
      <c r="F27" s="41">
        <v>1</v>
      </c>
      <c r="G27" s="497">
        <v>1230</v>
      </c>
      <c r="H27" s="43">
        <f>+N27</f>
        <v>0.19999999999999996</v>
      </c>
      <c r="I27" s="44">
        <v>0.88</v>
      </c>
      <c r="J27" s="81">
        <f t="shared" ref="J27:J28" si="10">E27*G27*(1-H27)*1440/1000000*2.74</f>
        <v>52.413350399999999</v>
      </c>
      <c r="K27" s="81">
        <f t="shared" ref="K27:K28" si="11">(IF(G27&lt;L27,L27,G27)*(1-IF(H27&lt;N27,H27,N27))*E27*O27*Q27)/100000000</f>
        <v>11.731366080000001</v>
      </c>
      <c r="L27" s="34">
        <v>1200</v>
      </c>
      <c r="M27" s="34">
        <v>960</v>
      </c>
      <c r="N27" s="45">
        <f t="shared" ref="N27:N28" si="12">1-(M27/L27)</f>
        <v>0.19999999999999996</v>
      </c>
      <c r="O27" s="46">
        <f>+'Trim Rwd'!H14</f>
        <v>266</v>
      </c>
      <c r="P27" s="47">
        <f t="shared" ref="P27:P28" si="13">O27*(Q27-R27-S27)</f>
        <v>82992</v>
      </c>
      <c r="Q27" s="46">
        <v>332</v>
      </c>
      <c r="R27" s="498">
        <v>0</v>
      </c>
      <c r="S27" s="498">
        <v>20</v>
      </c>
      <c r="T27" s="36">
        <f t="shared" ref="T27:T28" si="14">E27*M27*O27*Q27/100000000</f>
        <v>11.445235200000001</v>
      </c>
      <c r="U27" s="36">
        <f t="shared" ref="U27:U28" si="15">E27*M27*O27*(Q27-R27-S27)/100000000</f>
        <v>10.755763200000001</v>
      </c>
      <c r="V27" s="36">
        <f t="shared" ref="V27:V28" si="16">E27*G27*(1-N27)*O27/100*(R27+S27)/1000000</f>
        <v>0.70670880000000003</v>
      </c>
      <c r="W27" s="36">
        <f>+'5'!K9/1000</f>
        <v>10.666</v>
      </c>
      <c r="X27" s="37"/>
      <c r="Y27" s="210"/>
      <c r="Z27" s="36"/>
      <c r="AA27" s="36"/>
      <c r="AB27" s="36"/>
      <c r="AC27" s="36">
        <f t="shared" ref="AC27:AC28" si="17">K27-T27</f>
        <v>0.28613087999999998</v>
      </c>
      <c r="AD27" s="36">
        <f>+AM27+BC27</f>
        <v>0</v>
      </c>
      <c r="AE27" s="228" t="s">
        <v>427</v>
      </c>
      <c r="AF27" s="36"/>
      <c r="AG27" s="36">
        <v>0</v>
      </c>
      <c r="AH27" s="36"/>
      <c r="AI27" s="500"/>
      <c r="AJ27" s="36"/>
      <c r="AK27" s="36"/>
      <c r="AL27" s="36"/>
      <c r="AM27" s="36">
        <f t="shared" si="8"/>
        <v>0</v>
      </c>
      <c r="AN27" s="82"/>
      <c r="AO27" s="36"/>
      <c r="AP27" s="36"/>
      <c r="AQ27" s="36"/>
      <c r="AR27" s="36">
        <f t="shared" ref="AR27:AR29" si="18"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>
        <f>+AR27+AS27+AU27+AW27+AY27+BB27</f>
        <v>0</v>
      </c>
      <c r="BD27" s="49"/>
      <c r="BE27" s="50">
        <v>0</v>
      </c>
      <c r="BF27" s="50"/>
      <c r="BG27" s="49"/>
      <c r="BH27" s="50"/>
    </row>
    <row r="28" spans="1:60" ht="12.95" customHeight="1">
      <c r="A28" s="39"/>
      <c r="B28" s="40" t="s">
        <v>447</v>
      </c>
      <c r="C28" s="412">
        <f t="shared" si="9"/>
        <v>31.952398800000001</v>
      </c>
      <c r="D28" s="40" t="s">
        <v>302</v>
      </c>
      <c r="E28" s="41">
        <v>12.5</v>
      </c>
      <c r="F28" s="41">
        <v>1</v>
      </c>
      <c r="G28" s="497">
        <v>1230</v>
      </c>
      <c r="H28" s="43">
        <f>+N28</f>
        <v>0.24</v>
      </c>
      <c r="I28" s="44">
        <v>0.88</v>
      </c>
      <c r="J28" s="81">
        <f t="shared" si="10"/>
        <v>46.104336000000004</v>
      </c>
      <c r="K28" s="81">
        <f t="shared" si="11"/>
        <v>31.952398800000001</v>
      </c>
      <c r="L28" s="34">
        <v>1230</v>
      </c>
      <c r="M28" s="34">
        <v>934.8</v>
      </c>
      <c r="N28" s="45">
        <f t="shared" si="12"/>
        <v>0.24</v>
      </c>
      <c r="O28" s="46">
        <f>+'Trim Rwd'!H15</f>
        <v>266</v>
      </c>
      <c r="P28" s="47">
        <f t="shared" si="13"/>
        <v>262808</v>
      </c>
      <c r="Q28" s="46">
        <v>1028</v>
      </c>
      <c r="R28" s="498">
        <v>0</v>
      </c>
      <c r="S28" s="498">
        <v>40</v>
      </c>
      <c r="T28" s="36">
        <f t="shared" si="14"/>
        <v>31.952398800000001</v>
      </c>
      <c r="U28" s="36">
        <f t="shared" si="15"/>
        <v>30.709114799999998</v>
      </c>
      <c r="V28" s="36">
        <f t="shared" si="16"/>
        <v>1.2432840000000001</v>
      </c>
      <c r="W28" s="36">
        <f>+'5'!K10/1000</f>
        <v>25.11</v>
      </c>
      <c r="X28" s="37"/>
      <c r="Y28" s="210"/>
      <c r="Z28" s="36">
        <f>+'5'!D16/1000</f>
        <v>0.27</v>
      </c>
      <c r="AA28" s="36"/>
      <c r="AB28" s="36"/>
      <c r="AC28" s="36">
        <f t="shared" si="17"/>
        <v>0</v>
      </c>
      <c r="AD28" s="36">
        <f>+AM28+BC28</f>
        <v>47</v>
      </c>
      <c r="AE28" s="228" t="s">
        <v>465</v>
      </c>
      <c r="AF28" s="32"/>
      <c r="AG28" s="32"/>
      <c r="AH28" s="32">
        <v>47</v>
      </c>
      <c r="AJ28" s="36"/>
      <c r="AK28" s="36"/>
      <c r="AL28" s="36"/>
      <c r="AM28" s="36">
        <f t="shared" si="8"/>
        <v>47</v>
      </c>
      <c r="AN28" s="36"/>
      <c r="AO28" s="36"/>
      <c r="AP28" s="36"/>
      <c r="AQ28" s="36"/>
      <c r="AR28" s="36">
        <f t="shared" si="18"/>
        <v>0</v>
      </c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>
        <f>+AR28+AS28+AU28+AW28+AY28+BB28</f>
        <v>0</v>
      </c>
      <c r="BD28" s="32"/>
      <c r="BE28" s="501"/>
      <c r="BF28" s="501"/>
      <c r="BG28" s="32"/>
      <c r="BH28" s="501"/>
    </row>
    <row r="29" spans="1:60" ht="12.95" customHeight="1">
      <c r="A29" s="39"/>
      <c r="B29" s="40"/>
      <c r="C29" s="412"/>
      <c r="D29" s="40"/>
      <c r="E29" s="41"/>
      <c r="F29" s="41"/>
      <c r="G29" s="42"/>
      <c r="H29" s="43"/>
      <c r="I29" s="44"/>
      <c r="J29" s="81"/>
      <c r="K29" s="81"/>
      <c r="L29" s="34"/>
      <c r="M29" s="34"/>
      <c r="N29" s="45"/>
      <c r="O29" s="46"/>
      <c r="P29" s="47"/>
      <c r="Q29" s="33"/>
      <c r="R29" s="498"/>
      <c r="S29" s="498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+AM29+BC29</f>
        <v>0</v>
      </c>
      <c r="AE29" s="231" t="s">
        <v>378</v>
      </c>
      <c r="AF29" s="36"/>
      <c r="AG29" s="36"/>
      <c r="AH29" s="36"/>
      <c r="AI29" s="500">
        <v>0</v>
      </c>
      <c r="AJ29" s="36"/>
      <c r="AK29" s="36"/>
      <c r="AL29" s="36"/>
      <c r="AM29" s="36">
        <f t="shared" si="8"/>
        <v>0</v>
      </c>
      <c r="AN29" s="36"/>
      <c r="AO29" s="36"/>
      <c r="AP29" s="36"/>
      <c r="AQ29" s="36"/>
      <c r="AR29" s="36">
        <f t="shared" si="18"/>
        <v>0</v>
      </c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>
        <f>+AR29+AS29+AU29+AW29+AY29+BB29</f>
        <v>0</v>
      </c>
      <c r="BD29" s="49"/>
      <c r="BE29" s="50"/>
      <c r="BF29" s="50"/>
      <c r="BG29" s="49"/>
      <c r="BH29" s="50"/>
    </row>
    <row r="30" spans="1:60" ht="12.95" customHeight="1">
      <c r="A30" s="39"/>
      <c r="B30" s="40"/>
      <c r="C30" s="412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498"/>
      <c r="S30" s="498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/>
      <c r="AE30" s="228"/>
      <c r="AF30" s="32"/>
      <c r="AG30" s="32"/>
      <c r="AH30" s="32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2"/>
      <c r="BE30" s="501"/>
      <c r="BF30" s="50"/>
      <c r="BG30" s="50"/>
      <c r="BH30" s="50"/>
    </row>
    <row r="31" spans="1:60" ht="12.75" customHeight="1">
      <c r="A31" s="39">
        <v>46028</v>
      </c>
      <c r="B31" s="40" t="s">
        <v>447</v>
      </c>
      <c r="C31" s="412">
        <f t="shared" ref="C31" si="19">(M31*E31*O31*Q31)/100000000</f>
        <v>25.2386652</v>
      </c>
      <c r="D31" s="40" t="s">
        <v>302</v>
      </c>
      <c r="E31" s="41">
        <v>12.5</v>
      </c>
      <c r="F31" s="41">
        <v>1</v>
      </c>
      <c r="G31" s="497">
        <v>1230</v>
      </c>
      <c r="H31" s="43">
        <f>+N31</f>
        <v>0.24</v>
      </c>
      <c r="I31" s="44">
        <v>0.88</v>
      </c>
      <c r="J31" s="81">
        <f t="shared" ref="J31" si="20">E31*G31*(1-H31)*1440/1000000*2.74</f>
        <v>46.104336000000004</v>
      </c>
      <c r="K31" s="81">
        <f t="shared" ref="K31" si="21">(IF(G31&lt;L31,L31,G31)*(1-IF(H31&lt;N31,H31,N31))*E31*O31*Q31)/100000000</f>
        <v>25.2386652</v>
      </c>
      <c r="L31" s="34">
        <v>1230</v>
      </c>
      <c r="M31" s="34">
        <v>934.8</v>
      </c>
      <c r="N31" s="45">
        <f t="shared" ref="N31" si="22">1-(M31/L31)</f>
        <v>0.24</v>
      </c>
      <c r="O31" s="46">
        <f>+'Trim Rwd'!H17</f>
        <v>266</v>
      </c>
      <c r="P31" s="47">
        <f t="shared" ref="P31" si="23">O31*(Q31-R31-S31)</f>
        <v>204022</v>
      </c>
      <c r="Q31" s="46">
        <v>812</v>
      </c>
      <c r="R31" s="498">
        <v>0</v>
      </c>
      <c r="S31" s="498">
        <v>45</v>
      </c>
      <c r="T31" s="36">
        <f t="shared" ref="T31" si="24">E31*M31*O31*Q31/100000000</f>
        <v>25.2386652</v>
      </c>
      <c r="U31" s="36">
        <f t="shared" ref="U31" si="25">E31*M31*O31*(Q31-R31-S31)/100000000</f>
        <v>23.839970699999999</v>
      </c>
      <c r="V31" s="36">
        <f t="shared" ref="V31" si="26">E31*G31*(1-N31)*O31/100*(R31+S31)/1000000</f>
        <v>1.3986945</v>
      </c>
      <c r="W31" s="36">
        <f>+'6'!K10/1000</f>
        <v>25.568000000000001</v>
      </c>
      <c r="X31" s="499">
        <f>SUM(W31:W35)/SUM(K31:K35)</f>
        <v>0.84412500715075345</v>
      </c>
      <c r="Y31" s="210">
        <v>0</v>
      </c>
      <c r="Z31" s="36">
        <f>+'6'!D16/1000</f>
        <v>0.27</v>
      </c>
      <c r="AA31" s="48">
        <f>SUM(U31:U35)-SUM(W31:W35)-SUM(Z31:Z35)-SUM(Y31:Y35)</f>
        <v>4.3708186599999941</v>
      </c>
      <c r="AB31" s="48">
        <f>(SUM(K31:K35)-SUM(W31:W35)-SUM(Y31:Y35)-SUM(Z31:Z35)-SUM(AC31:AC35)-SUM(V31:V35))-AA31</f>
        <v>0</v>
      </c>
      <c r="AC31" s="36">
        <f>K31-T31</f>
        <v>0</v>
      </c>
      <c r="AD31" s="36">
        <f>+AM31+BC31</f>
        <v>18</v>
      </c>
      <c r="AE31" s="228" t="s">
        <v>464</v>
      </c>
      <c r="AF31" s="36">
        <v>18</v>
      </c>
      <c r="AG31" s="36"/>
      <c r="AH31" s="36"/>
      <c r="AI31" s="500"/>
      <c r="AJ31" s="36"/>
      <c r="AK31" s="36"/>
      <c r="AL31" s="36"/>
      <c r="AM31" s="36">
        <f t="shared" ref="AM31:AM34" si="27">SUM(AF31:AL31)+AT31+AV31+AX31</f>
        <v>18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>
        <f>+AR31+AS31+AU31+AW31+AY31+BB31</f>
        <v>0</v>
      </c>
      <c r="BD31" s="32">
        <v>9</v>
      </c>
      <c r="BE31" s="50"/>
      <c r="BF31" s="50"/>
      <c r="BG31" s="32"/>
      <c r="BH31" s="50"/>
    </row>
    <row r="32" spans="1:60" ht="12.95" customHeight="1">
      <c r="A32" s="39"/>
      <c r="B32" s="40" t="s">
        <v>447</v>
      </c>
      <c r="C32" s="412">
        <f t="shared" ref="C32" si="28">(M32*E32*O32*Q32)/100000000</f>
        <v>18.139980959999999</v>
      </c>
      <c r="D32" s="40" t="s">
        <v>302</v>
      </c>
      <c r="E32" s="41">
        <v>12</v>
      </c>
      <c r="F32" s="41">
        <v>1</v>
      </c>
      <c r="G32" s="497">
        <v>1230</v>
      </c>
      <c r="H32" s="43">
        <f>+N32</f>
        <v>0.24</v>
      </c>
      <c r="I32" s="44">
        <v>0.88</v>
      </c>
      <c r="J32" s="81">
        <f t="shared" ref="J32" si="29">E32*G32*(1-H32)*1440/1000000*2.74</f>
        <v>44.260162560000005</v>
      </c>
      <c r="K32" s="81">
        <f t="shared" ref="K32" si="30">(IF(G32&lt;L32,L32,G32)*(1-IF(H32&lt;N32,H32,N32))*E32*O32*Q32)/100000000</f>
        <v>18.139980959999999</v>
      </c>
      <c r="L32" s="34">
        <v>1230</v>
      </c>
      <c r="M32" s="34">
        <v>934.8</v>
      </c>
      <c r="N32" s="45">
        <f t="shared" ref="N32" si="31">1-(M32/L32)</f>
        <v>0.24</v>
      </c>
      <c r="O32" s="46">
        <f>+'Trim Rwd'!H18</f>
        <v>257.5</v>
      </c>
      <c r="P32" s="47">
        <f t="shared" ref="P32" si="32">O32*(Q32-R32-S32)</f>
        <v>155272.5</v>
      </c>
      <c r="Q32" s="46">
        <v>628</v>
      </c>
      <c r="R32" s="498">
        <v>0</v>
      </c>
      <c r="S32" s="498">
        <v>25</v>
      </c>
      <c r="T32" s="36">
        <f t="shared" ref="T32" si="33">E32*M32*O32*Q32/100000000</f>
        <v>18.139980959999999</v>
      </c>
      <c r="U32" s="36">
        <f t="shared" ref="U32" si="34">E32*M32*O32*(Q32-R32-S32)/100000000</f>
        <v>17.417847959999996</v>
      </c>
      <c r="V32" s="36">
        <f t="shared" ref="V32" si="35">E32*G32*(1-N32)*O32/100*(R32+S32)/1000000</f>
        <v>0.72213300000000002</v>
      </c>
      <c r="W32" s="36">
        <f>+'6'!K8/1000</f>
        <v>11.048999999999999</v>
      </c>
      <c r="X32" s="37"/>
      <c r="Y32" s="210"/>
      <c r="Z32" s="36"/>
      <c r="AA32" s="36"/>
      <c r="AB32" s="36"/>
      <c r="AC32" s="36">
        <f>K32-T32</f>
        <v>0</v>
      </c>
      <c r="AD32" s="36">
        <f>+AM32+BC32</f>
        <v>0</v>
      </c>
      <c r="AE32" s="228" t="s">
        <v>427</v>
      </c>
      <c r="AF32" s="36"/>
      <c r="AG32" s="36">
        <v>0</v>
      </c>
      <c r="AH32" s="36"/>
      <c r="AI32" s="500"/>
      <c r="AJ32" s="36"/>
      <c r="AK32" s="36"/>
      <c r="AL32" s="36"/>
      <c r="AM32" s="36">
        <f t="shared" si="27"/>
        <v>0</v>
      </c>
      <c r="AN32" s="82"/>
      <c r="AO32" s="36"/>
      <c r="AP32" s="36"/>
      <c r="AQ32" s="36"/>
      <c r="AR32" s="36">
        <f t="shared" ref="AR32:AR34" si="36"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>
        <f>+AR32+AS32+AU32+AW32+AY32+BB32</f>
        <v>0</v>
      </c>
      <c r="BD32" s="49"/>
      <c r="BE32" s="50">
        <v>0</v>
      </c>
      <c r="BF32" s="50"/>
      <c r="BG32" s="49"/>
      <c r="BH32" s="50"/>
    </row>
    <row r="33" spans="1:60" ht="12.95" customHeight="1">
      <c r="A33" s="39"/>
      <c r="B33" s="40"/>
      <c r="C33" s="412"/>
      <c r="D33" s="40"/>
      <c r="E33" s="41"/>
      <c r="F33" s="41"/>
      <c r="G33" s="42"/>
      <c r="H33" s="43"/>
      <c r="I33" s="44"/>
      <c r="J33" s="81"/>
      <c r="K33" s="81"/>
      <c r="L33" s="34"/>
      <c r="M33" s="34"/>
      <c r="N33" s="45"/>
      <c r="O33" s="46"/>
      <c r="P33" s="47"/>
      <c r="Q33" s="46"/>
      <c r="R33" s="498"/>
      <c r="S33" s="498"/>
      <c r="T33" s="36"/>
      <c r="U33" s="36"/>
      <c r="V33" s="36"/>
      <c r="W33" s="36"/>
      <c r="X33" s="37"/>
      <c r="Y33" s="210"/>
      <c r="Z33" s="36"/>
      <c r="AA33" s="36"/>
      <c r="AB33" s="36"/>
      <c r="AC33" s="36"/>
      <c r="AD33" s="36">
        <f>+AM33+BC33</f>
        <v>52</v>
      </c>
      <c r="AE33" s="228" t="s">
        <v>449</v>
      </c>
      <c r="AF33" s="32"/>
      <c r="AG33" s="32"/>
      <c r="AH33" s="32">
        <v>52</v>
      </c>
      <c r="AJ33" s="36"/>
      <c r="AK33" s="36"/>
      <c r="AL33" s="36"/>
      <c r="AM33" s="36">
        <f t="shared" si="27"/>
        <v>52</v>
      </c>
      <c r="AN33" s="36"/>
      <c r="AO33" s="36"/>
      <c r="AP33" s="36"/>
      <c r="AQ33" s="36"/>
      <c r="AR33" s="36">
        <f t="shared" si="36"/>
        <v>0</v>
      </c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>
        <f>+AR33+AS33+AU33+AW33+AY33+BB33</f>
        <v>0</v>
      </c>
      <c r="BD33" s="32"/>
      <c r="BE33" s="501"/>
      <c r="BF33" s="501"/>
      <c r="BG33" s="32"/>
      <c r="BH33" s="501"/>
    </row>
    <row r="34" spans="1:60" ht="12.95" customHeight="1">
      <c r="A34" s="39"/>
      <c r="B34" s="40"/>
      <c r="C34" s="412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33"/>
      <c r="R34" s="498"/>
      <c r="S34" s="498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+AM34+BC34</f>
        <v>0</v>
      </c>
      <c r="AE34" s="231" t="s">
        <v>378</v>
      </c>
      <c r="AF34" s="36"/>
      <c r="AG34" s="36"/>
      <c r="AH34" s="36"/>
      <c r="AI34" s="500">
        <v>0</v>
      </c>
      <c r="AJ34" s="36"/>
      <c r="AK34" s="36"/>
      <c r="AL34" s="36"/>
      <c r="AM34" s="36">
        <f t="shared" si="27"/>
        <v>0</v>
      </c>
      <c r="AN34" s="36"/>
      <c r="AO34" s="36"/>
      <c r="AP34" s="36"/>
      <c r="AQ34" s="36"/>
      <c r="AR34" s="36">
        <f t="shared" si="36"/>
        <v>0</v>
      </c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>
        <f>+AR34+AS34+AU34+AW34+AY34+BB34</f>
        <v>0</v>
      </c>
      <c r="BD34" s="49"/>
      <c r="BE34" s="50"/>
      <c r="BF34" s="50"/>
      <c r="BG34" s="49"/>
      <c r="BH34" s="50"/>
    </row>
    <row r="35" spans="1:60" ht="12.95" customHeight="1">
      <c r="A35" s="39"/>
      <c r="B35" s="40"/>
      <c r="C35" s="412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498"/>
      <c r="S35" s="498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8"/>
      <c r="AF35" s="32"/>
      <c r="AG35" s="32"/>
      <c r="AH35" s="32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2"/>
      <c r="BE35" s="501"/>
      <c r="BF35" s="50"/>
      <c r="BG35" s="49"/>
      <c r="BH35" s="50"/>
    </row>
    <row r="36" spans="1:60" ht="12.75" customHeight="1">
      <c r="A36" s="39">
        <v>46029</v>
      </c>
      <c r="B36" s="40" t="s">
        <v>447</v>
      </c>
      <c r="C36" s="412">
        <f t="shared" ref="C36" si="37">(M36*E36*O36*Q36)/100000000</f>
        <v>41.594860799999992</v>
      </c>
      <c r="D36" s="40" t="s">
        <v>302</v>
      </c>
      <c r="E36" s="41">
        <v>12</v>
      </c>
      <c r="F36" s="41">
        <v>1</v>
      </c>
      <c r="G36" s="497">
        <v>1230</v>
      </c>
      <c r="H36" s="43">
        <f>+N36</f>
        <v>0.24</v>
      </c>
      <c r="I36" s="44">
        <v>0.88</v>
      </c>
      <c r="J36" s="81">
        <f t="shared" ref="J36" si="38">E36*G36*(1-H36)*1440/1000000*2.74</f>
        <v>44.260162560000005</v>
      </c>
      <c r="K36" s="81">
        <f t="shared" ref="K36" si="39">(IF(G36&lt;L36,L36,G36)*(1-IF(H36&lt;N36,H36,N36))*E36*O36*Q36)/100000000</f>
        <v>41.594860799999992</v>
      </c>
      <c r="L36" s="34">
        <v>1230</v>
      </c>
      <c r="M36" s="34">
        <v>934.8</v>
      </c>
      <c r="N36" s="45">
        <f t="shared" ref="N36" si="40">1-(M36/L36)</f>
        <v>0.24</v>
      </c>
      <c r="O36" s="46">
        <f>+'Trim Rwd'!H20</f>
        <v>257.5</v>
      </c>
      <c r="P36" s="47">
        <f t="shared" ref="P36" si="41">O36*(Q36-R36-S36)</f>
        <v>353032.5</v>
      </c>
      <c r="Q36" s="46">
        <v>1440</v>
      </c>
      <c r="R36" s="498">
        <v>0</v>
      </c>
      <c r="S36" s="498">
        <v>69</v>
      </c>
      <c r="T36" s="36">
        <f t="shared" ref="T36" si="42">E36*M36*O36*Q36/100000000</f>
        <v>41.594860799999992</v>
      </c>
      <c r="U36" s="36">
        <f t="shared" ref="U36" si="43">E36*M36*O36*(Q36-R36-S36)/100000000</f>
        <v>39.601773719999997</v>
      </c>
      <c r="V36" s="36">
        <f t="shared" ref="V36" si="44">E36*G36*(1-N36)*O36/100*(R36+S36)/1000000</f>
        <v>1.99308708</v>
      </c>
      <c r="W36" s="36">
        <f>+'7'!K8/1000</f>
        <v>37.741</v>
      </c>
      <c r="X36" s="499">
        <f>SUM(W36:W40)/SUM(K36:K40)</f>
        <v>0.90734766925821775</v>
      </c>
      <c r="Y36" s="210">
        <v>0</v>
      </c>
      <c r="Z36" s="36">
        <f>+'7'!D7/1000</f>
        <v>0.57899999999999996</v>
      </c>
      <c r="AA36" s="48">
        <f>SUM(U36:U40)-SUM(W36:W40)-SUM(Z36:Z40)-SUM(Y36:Y40)</f>
        <v>1.2817737199999975</v>
      </c>
      <c r="AB36" s="48">
        <f>(SUM(K36:K40)-SUM(W36:W40)-SUM(Y36:Y40)-SUM(Z36:Z40)-SUM(AC36:AC40)-SUM(V36:V40))-AA36</f>
        <v>-4.6629367034256575E-15</v>
      </c>
      <c r="AC36" s="36">
        <f>K36-T36</f>
        <v>0</v>
      </c>
      <c r="AD36" s="36">
        <f>+AM36+BC36</f>
        <v>24</v>
      </c>
      <c r="AE36" s="228" t="s">
        <v>464</v>
      </c>
      <c r="AF36" s="36">
        <v>24</v>
      </c>
      <c r="AG36" s="36"/>
      <c r="AH36" s="36"/>
      <c r="AI36" s="500"/>
      <c r="AJ36" s="36"/>
      <c r="AK36" s="36"/>
      <c r="AL36" s="36"/>
      <c r="AM36" s="36">
        <f t="shared" ref="AM36:AM39" si="45">SUM(AF36:AL36)+AT36+AV36+AX36</f>
        <v>24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>
        <f>+AR36+AS36+AU36+AW36+AY36+BB36</f>
        <v>0</v>
      </c>
      <c r="BD36" s="32">
        <v>9</v>
      </c>
      <c r="BE36" s="50"/>
      <c r="BF36" s="50"/>
      <c r="BG36" s="32"/>
      <c r="BH36" s="50"/>
    </row>
    <row r="37" spans="1:60" ht="12.95" customHeight="1">
      <c r="A37" s="39"/>
      <c r="B37" s="40"/>
      <c r="C37" s="412"/>
      <c r="D37" s="40"/>
      <c r="E37" s="41"/>
      <c r="F37" s="41"/>
      <c r="G37" s="497"/>
      <c r="H37" s="43"/>
      <c r="I37" s="44"/>
      <c r="J37" s="81"/>
      <c r="K37" s="81"/>
      <c r="L37" s="34"/>
      <c r="M37" s="34"/>
      <c r="N37" s="45"/>
      <c r="O37" s="46"/>
      <c r="P37" s="47"/>
      <c r="Q37" s="46"/>
      <c r="R37" s="498"/>
      <c r="S37" s="498"/>
      <c r="T37" s="36"/>
      <c r="U37" s="36"/>
      <c r="V37" s="36"/>
      <c r="W37" s="36"/>
      <c r="X37" s="37"/>
      <c r="Y37" s="210"/>
      <c r="Z37" s="36"/>
      <c r="AA37" s="36"/>
      <c r="AB37" s="36"/>
      <c r="AC37" s="36"/>
      <c r="AD37" s="36">
        <f>+AM37+BC37</f>
        <v>0</v>
      </c>
      <c r="AE37" s="228" t="s">
        <v>427</v>
      </c>
      <c r="AF37" s="36"/>
      <c r="AG37" s="36">
        <v>0</v>
      </c>
      <c r="AH37" s="36"/>
      <c r="AI37" s="500"/>
      <c r="AJ37" s="36"/>
      <c r="AK37" s="36"/>
      <c r="AL37" s="36"/>
      <c r="AM37" s="36">
        <f t="shared" si="45"/>
        <v>0</v>
      </c>
      <c r="AN37" s="82"/>
      <c r="AO37" s="36"/>
      <c r="AP37" s="36"/>
      <c r="AQ37" s="36"/>
      <c r="AR37" s="36">
        <f t="shared" ref="AR37:AR39" si="46"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>
        <f>+AR37+AS37+AU37+AW37+AY37+BB37</f>
        <v>0</v>
      </c>
      <c r="BD37" s="49"/>
      <c r="BE37" s="50">
        <v>0</v>
      </c>
      <c r="BF37" s="50"/>
      <c r="BG37" s="49"/>
      <c r="BH37" s="50"/>
    </row>
    <row r="38" spans="1:60" ht="12.95" customHeight="1">
      <c r="A38" s="39"/>
      <c r="B38" s="40"/>
      <c r="C38" s="412"/>
      <c r="D38" s="40"/>
      <c r="E38" s="41"/>
      <c r="F38" s="41"/>
      <c r="G38" s="42"/>
      <c r="H38" s="43"/>
      <c r="I38" s="44"/>
      <c r="J38" s="81"/>
      <c r="K38" s="81"/>
      <c r="L38" s="34"/>
      <c r="M38" s="34"/>
      <c r="N38" s="45"/>
      <c r="O38" s="46"/>
      <c r="P38" s="47"/>
      <c r="Q38" s="46"/>
      <c r="R38" s="498"/>
      <c r="S38" s="498"/>
      <c r="T38" s="36"/>
      <c r="U38" s="36"/>
      <c r="V38" s="36"/>
      <c r="W38" s="36"/>
      <c r="X38" s="37"/>
      <c r="Y38" s="210"/>
      <c r="Z38" s="36"/>
      <c r="AA38" s="36"/>
      <c r="AB38" s="36"/>
      <c r="AC38" s="36"/>
      <c r="AD38" s="36">
        <f>+AM38+BC38</f>
        <v>45</v>
      </c>
      <c r="AE38" s="228" t="s">
        <v>413</v>
      </c>
      <c r="AF38" s="32"/>
      <c r="AG38" s="32"/>
      <c r="AH38" s="32">
        <v>45</v>
      </c>
      <c r="AJ38" s="36"/>
      <c r="AK38" s="36"/>
      <c r="AL38" s="36"/>
      <c r="AM38" s="36">
        <f t="shared" si="45"/>
        <v>45</v>
      </c>
      <c r="AN38" s="36"/>
      <c r="AO38" s="36"/>
      <c r="AP38" s="36"/>
      <c r="AQ38" s="36"/>
      <c r="AR38" s="36">
        <f t="shared" si="46"/>
        <v>0</v>
      </c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>
        <f>+AR38+AS38+AU38+AW38+AY38+BB38</f>
        <v>0</v>
      </c>
      <c r="BD38" s="32"/>
      <c r="BE38" s="501"/>
      <c r="BF38" s="501"/>
      <c r="BG38" s="32"/>
      <c r="BH38" s="501"/>
    </row>
    <row r="39" spans="1:60" ht="12.95" customHeight="1">
      <c r="A39" s="39"/>
      <c r="B39" s="40"/>
      <c r="C39" s="412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33"/>
      <c r="R39" s="498"/>
      <c r="S39" s="498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>
        <f>+AM39+BC39</f>
        <v>0</v>
      </c>
      <c r="AE39" s="231" t="s">
        <v>378</v>
      </c>
      <c r="AF39" s="36"/>
      <c r="AG39" s="36"/>
      <c r="AH39" s="36"/>
      <c r="AI39" s="500">
        <v>0</v>
      </c>
      <c r="AJ39" s="36"/>
      <c r="AK39" s="36"/>
      <c r="AL39" s="36"/>
      <c r="AM39" s="36">
        <f t="shared" si="45"/>
        <v>0</v>
      </c>
      <c r="AN39" s="36"/>
      <c r="AO39" s="36"/>
      <c r="AP39" s="36"/>
      <c r="AQ39" s="36"/>
      <c r="AR39" s="36">
        <f t="shared" si="46"/>
        <v>0</v>
      </c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>
        <f>+AR39+AS39+AU39+AW39+AY39+BB39</f>
        <v>0</v>
      </c>
      <c r="BD39" s="49"/>
      <c r="BE39" s="50"/>
      <c r="BF39" s="50"/>
      <c r="BG39" s="49"/>
      <c r="BH39" s="50"/>
    </row>
    <row r="40" spans="1:60" ht="12.95" customHeight="1">
      <c r="A40" s="39"/>
      <c r="B40" s="40"/>
      <c r="C40" s="412"/>
      <c r="D40" s="40"/>
      <c r="E40" s="41"/>
      <c r="F40" s="41"/>
      <c r="G40" s="497"/>
      <c r="H40" s="43"/>
      <c r="I40" s="44"/>
      <c r="J40" s="81"/>
      <c r="K40" s="81"/>
      <c r="L40" s="34"/>
      <c r="M40" s="34"/>
      <c r="N40" s="45"/>
      <c r="O40" s="46"/>
      <c r="P40" s="47"/>
      <c r="Q40" s="46"/>
      <c r="R40" s="498"/>
      <c r="S40" s="498"/>
      <c r="T40" s="36"/>
      <c r="U40" s="36"/>
      <c r="V40" s="36"/>
      <c r="W40" s="36"/>
      <c r="X40" s="37"/>
      <c r="Y40" s="210"/>
      <c r="Z40" s="36"/>
      <c r="AA40" s="36"/>
      <c r="AB40" s="36"/>
      <c r="AC40" s="36"/>
      <c r="AD40" s="36"/>
      <c r="AE40" s="228"/>
      <c r="AF40" s="36"/>
      <c r="AG40" s="36"/>
      <c r="AH40" s="36"/>
      <c r="AI40" s="500"/>
      <c r="AJ40" s="36"/>
      <c r="AK40" s="36"/>
      <c r="AL40" s="36"/>
      <c r="AM40" s="36"/>
      <c r="AN40" s="82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49"/>
      <c r="BE40" s="50"/>
      <c r="BF40" s="501"/>
      <c r="BG40" s="32"/>
      <c r="BH40" s="501"/>
    </row>
    <row r="41" spans="1:60" ht="12.75" customHeight="1">
      <c r="A41" s="39">
        <v>46030</v>
      </c>
      <c r="B41" s="40" t="s">
        <v>447</v>
      </c>
      <c r="C41" s="412">
        <f t="shared" ref="C41" si="47">(M41*E41*O41*Q41)/100000000</f>
        <v>41.770440626086952</v>
      </c>
      <c r="D41" s="40" t="s">
        <v>302</v>
      </c>
      <c r="E41" s="41">
        <v>12</v>
      </c>
      <c r="F41" s="41">
        <v>1</v>
      </c>
      <c r="G41" s="497">
        <v>1230</v>
      </c>
      <c r="H41" s="43">
        <f>+N41</f>
        <v>0.24</v>
      </c>
      <c r="I41" s="44">
        <v>0.88</v>
      </c>
      <c r="J41" s="81">
        <f t="shared" ref="J41" si="48">E41*G41*(1-H41)*1440/1000000*2.74</f>
        <v>44.260162560000005</v>
      </c>
      <c r="K41" s="81">
        <f t="shared" ref="K41" si="49">(IF(G41&lt;L41,L41,G41)*(1-IF(H41&lt;N41,H41,N41))*E41*O41*Q41)/100000000</f>
        <v>41.770440626086952</v>
      </c>
      <c r="L41" s="34">
        <v>1230</v>
      </c>
      <c r="M41" s="34">
        <v>934.8</v>
      </c>
      <c r="N41" s="45">
        <f t="shared" ref="N41" si="50">1-(M41/L41)</f>
        <v>0.24</v>
      </c>
      <c r="O41" s="46">
        <f>+'Trim Rwd'!H22</f>
        <v>258.58695652173913</v>
      </c>
      <c r="P41" s="47">
        <f t="shared" ref="P41" si="51">O41*(Q41-R41-S41)</f>
        <v>352971.19565217389</v>
      </c>
      <c r="Q41" s="46">
        <v>1440</v>
      </c>
      <c r="R41" s="498">
        <v>0</v>
      </c>
      <c r="S41" s="498">
        <v>75</v>
      </c>
      <c r="T41" s="36">
        <f t="shared" ref="T41" si="52">E41*M41*O41*Q41/100000000</f>
        <v>41.770440626086952</v>
      </c>
      <c r="U41" s="36">
        <f t="shared" ref="U41" si="53">E41*M41*O41*(Q41-R41-S41)/100000000</f>
        <v>39.594896843478253</v>
      </c>
      <c r="V41" s="36">
        <f t="shared" ref="V41" si="54">E41*G41*(1-N41)*O41/100*(R41+S41)/1000000</f>
        <v>2.1755437826086954</v>
      </c>
      <c r="W41" s="36">
        <f>+'8'!K8/1000</f>
        <v>36.515000000000001</v>
      </c>
      <c r="X41" s="499">
        <f>SUM(W41:W45)/SUM(K41:K45)</f>
        <v>0.87418278219443146</v>
      </c>
      <c r="Y41" s="210">
        <v>0</v>
      </c>
      <c r="Z41" s="36">
        <f>+'7'!D12/1000</f>
        <v>0</v>
      </c>
      <c r="AA41" s="48">
        <f>SUM(U41:U45)-SUM(W41:W45)-SUM(Z41:Z45)-SUM(Y41:Y45)</f>
        <v>3.0798968434782523</v>
      </c>
      <c r="AB41" s="48">
        <f>(SUM(K41:K45)-SUM(W41:W45)-SUM(Y41:Y45)-SUM(Z41:Z45)-SUM(AC41:AC45)-SUM(V41:V45))-AA41</f>
        <v>3.5527136788005009E-15</v>
      </c>
      <c r="AC41" s="36">
        <f>K41-T41</f>
        <v>0</v>
      </c>
      <c r="AD41" s="36">
        <f>+AM41+BC41</f>
        <v>15</v>
      </c>
      <c r="AE41" s="228" t="s">
        <v>429</v>
      </c>
      <c r="AF41" s="36">
        <v>15</v>
      </c>
      <c r="AG41" s="36"/>
      <c r="AH41" s="36"/>
      <c r="AI41" s="500"/>
      <c r="AJ41" s="36"/>
      <c r="AK41" s="36"/>
      <c r="AL41" s="36"/>
      <c r="AM41" s="36">
        <f t="shared" ref="AM41:AM44" si="55">SUM(AF41:AL41)+AT41+AV41+AX41</f>
        <v>15</v>
      </c>
      <c r="AN41" s="36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>
        <f>+AR41+AS41+AU41+AW41+AY41+BB41</f>
        <v>0</v>
      </c>
      <c r="BD41" s="32">
        <v>6</v>
      </c>
      <c r="BE41" s="50"/>
      <c r="BF41" s="50"/>
      <c r="BG41" s="32"/>
      <c r="BH41" s="50"/>
    </row>
    <row r="42" spans="1:60" ht="12.95" customHeight="1">
      <c r="A42" s="39"/>
      <c r="B42" s="40"/>
      <c r="C42" s="412"/>
      <c r="D42" s="40"/>
      <c r="E42" s="41"/>
      <c r="F42" s="41"/>
      <c r="G42" s="497"/>
      <c r="H42" s="43"/>
      <c r="I42" s="44"/>
      <c r="J42" s="81"/>
      <c r="K42" s="81"/>
      <c r="L42" s="34"/>
      <c r="M42" s="34"/>
      <c r="N42" s="45"/>
      <c r="O42" s="46"/>
      <c r="P42" s="47"/>
      <c r="Q42" s="46"/>
      <c r="R42" s="498"/>
      <c r="S42" s="498"/>
      <c r="T42" s="36"/>
      <c r="U42" s="36"/>
      <c r="V42" s="36"/>
      <c r="W42" s="36"/>
      <c r="X42" s="37"/>
      <c r="Y42" s="210"/>
      <c r="Z42" s="36"/>
      <c r="AA42" s="36"/>
      <c r="AB42" s="36"/>
      <c r="AC42" s="36"/>
      <c r="AD42" s="36">
        <f>+AM42+BC42</f>
        <v>8</v>
      </c>
      <c r="AE42" s="228" t="s">
        <v>407</v>
      </c>
      <c r="AF42" s="36"/>
      <c r="AG42" s="36">
        <v>8</v>
      </c>
      <c r="AH42" s="36"/>
      <c r="AI42" s="500"/>
      <c r="AJ42" s="36"/>
      <c r="AK42" s="36"/>
      <c r="AL42" s="36"/>
      <c r="AM42" s="36">
        <f t="shared" si="55"/>
        <v>8</v>
      </c>
      <c r="AN42" s="82"/>
      <c r="AO42" s="36"/>
      <c r="AP42" s="36"/>
      <c r="AQ42" s="36"/>
      <c r="AR42" s="36">
        <f t="shared" ref="AR42:AR44" si="56"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>
        <f>+AR42+AS42+AU42+AW42+AY42+BB42</f>
        <v>0</v>
      </c>
      <c r="BD42" s="49"/>
      <c r="BE42" s="50">
        <v>4</v>
      </c>
      <c r="BF42" s="50"/>
      <c r="BG42" s="49"/>
      <c r="BH42" s="50"/>
    </row>
    <row r="43" spans="1:60" ht="12.95" customHeight="1">
      <c r="A43" s="39"/>
      <c r="B43" s="40"/>
      <c r="C43" s="412"/>
      <c r="D43" s="40"/>
      <c r="E43" s="41"/>
      <c r="F43" s="41"/>
      <c r="G43" s="42"/>
      <c r="H43" s="43"/>
      <c r="I43" s="44"/>
      <c r="J43" s="81"/>
      <c r="K43" s="81"/>
      <c r="L43" s="34"/>
      <c r="M43" s="34"/>
      <c r="N43" s="45"/>
      <c r="O43" s="46"/>
      <c r="P43" s="47"/>
      <c r="Q43" s="46"/>
      <c r="R43" s="498"/>
      <c r="S43" s="498"/>
      <c r="T43" s="36"/>
      <c r="U43" s="36"/>
      <c r="V43" s="36"/>
      <c r="W43" s="36"/>
      <c r="X43" s="37"/>
      <c r="Y43" s="210"/>
      <c r="Z43" s="36"/>
      <c r="AA43" s="36"/>
      <c r="AB43" s="36"/>
      <c r="AC43" s="36"/>
      <c r="AD43" s="36">
        <f>+AM43+BC43</f>
        <v>52</v>
      </c>
      <c r="AE43" s="228" t="s">
        <v>481</v>
      </c>
      <c r="AF43" s="32"/>
      <c r="AG43" s="32"/>
      <c r="AH43" s="32">
        <v>52</v>
      </c>
      <c r="AJ43" s="36"/>
      <c r="AK43" s="36"/>
      <c r="AL43" s="36"/>
      <c r="AM43" s="36">
        <f t="shared" si="55"/>
        <v>52</v>
      </c>
      <c r="AN43" s="36"/>
      <c r="AO43" s="36"/>
      <c r="AP43" s="36"/>
      <c r="AQ43" s="36"/>
      <c r="AR43" s="36">
        <f t="shared" si="56"/>
        <v>0</v>
      </c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>
        <f>+AR43+AS43+AU43+AW43+AY43+BB43</f>
        <v>0</v>
      </c>
      <c r="BD43" s="32"/>
      <c r="BE43" s="501"/>
      <c r="BF43" s="501"/>
      <c r="BG43" s="32"/>
      <c r="BH43" s="501"/>
    </row>
    <row r="44" spans="1:60" ht="12.95" customHeight="1">
      <c r="A44" s="39"/>
      <c r="B44" s="40"/>
      <c r="C44" s="412"/>
      <c r="D44" s="40"/>
      <c r="E44" s="41"/>
      <c r="F44" s="41"/>
      <c r="G44" s="42"/>
      <c r="H44" s="43"/>
      <c r="I44" s="44"/>
      <c r="J44" s="81"/>
      <c r="K44" s="81"/>
      <c r="L44" s="34"/>
      <c r="M44" s="34"/>
      <c r="N44" s="45"/>
      <c r="O44" s="46"/>
      <c r="P44" s="47"/>
      <c r="Q44" s="33"/>
      <c r="R44" s="498"/>
      <c r="S44" s="498"/>
      <c r="T44" s="36"/>
      <c r="U44" s="36"/>
      <c r="V44" s="36"/>
      <c r="W44" s="36"/>
      <c r="X44" s="37"/>
      <c r="Y44" s="210"/>
      <c r="Z44" s="36"/>
      <c r="AA44" s="36"/>
      <c r="AB44" s="36"/>
      <c r="AC44" s="36"/>
      <c r="AD44" s="36">
        <f>+AM44+BC44</f>
        <v>0</v>
      </c>
      <c r="AE44" s="231" t="s">
        <v>378</v>
      </c>
      <c r="AF44" s="36"/>
      <c r="AG44" s="36"/>
      <c r="AH44" s="36"/>
      <c r="AI44" s="500">
        <v>0</v>
      </c>
      <c r="AJ44" s="36"/>
      <c r="AK44" s="36"/>
      <c r="AL44" s="36"/>
      <c r="AM44" s="36">
        <f t="shared" si="55"/>
        <v>0</v>
      </c>
      <c r="AN44" s="36"/>
      <c r="AO44" s="36"/>
      <c r="AP44" s="36"/>
      <c r="AQ44" s="36"/>
      <c r="AR44" s="36">
        <f t="shared" si="56"/>
        <v>0</v>
      </c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>
        <f>+AR44+AS44+AU44+AW44+AY44+BB44</f>
        <v>0</v>
      </c>
      <c r="BD44" s="49"/>
      <c r="BE44" s="50"/>
      <c r="BF44" s="50"/>
      <c r="BG44" s="49"/>
      <c r="BH44" s="50"/>
    </row>
    <row r="45" spans="1:60" ht="12.95" customHeight="1">
      <c r="A45" s="39"/>
      <c r="B45" s="40"/>
      <c r="C45" s="412"/>
      <c r="D45" s="40"/>
      <c r="E45" s="41"/>
      <c r="F45" s="41"/>
      <c r="G45" s="497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498"/>
      <c r="S45" s="498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/>
      <c r="AE45" s="228"/>
      <c r="AF45" s="36"/>
      <c r="AG45" s="36"/>
      <c r="AH45" s="36"/>
      <c r="AI45" s="500"/>
      <c r="AJ45" s="36"/>
      <c r="AK45" s="36"/>
      <c r="AL45" s="36"/>
      <c r="AM45" s="36"/>
      <c r="AN45" s="82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49"/>
      <c r="BE45" s="50"/>
      <c r="BF45" s="50"/>
      <c r="BG45" s="49"/>
      <c r="BH45" s="50"/>
    </row>
    <row r="46" spans="1:60" ht="12.75" customHeight="1">
      <c r="A46" s="39">
        <v>46031</v>
      </c>
      <c r="B46" s="40" t="s">
        <v>447</v>
      </c>
      <c r="C46" s="412">
        <f t="shared" ref="C46" si="57">(M46*E46*O46*Q46)/100000000</f>
        <v>7.5918473279999992</v>
      </c>
      <c r="D46" s="40" t="s">
        <v>302</v>
      </c>
      <c r="E46" s="41">
        <v>12</v>
      </c>
      <c r="F46" s="41">
        <v>1</v>
      </c>
      <c r="G46" s="497">
        <v>1230</v>
      </c>
      <c r="H46" s="43">
        <f>+N46</f>
        <v>0.24</v>
      </c>
      <c r="I46" s="44">
        <v>0.88</v>
      </c>
      <c r="J46" s="81">
        <f t="shared" ref="J46" si="58">E46*G46*(1-H46)*1440/1000000*2.74</f>
        <v>44.260162560000005</v>
      </c>
      <c r="K46" s="81">
        <f t="shared" ref="K46" si="59">(IF(G46&lt;L46,L46,G46)*(1-IF(H46&lt;N46,H46,N46))*E46*O46*Q46)/100000000</f>
        <v>7.5918473279999992</v>
      </c>
      <c r="L46" s="34">
        <v>1230</v>
      </c>
      <c r="M46" s="34">
        <v>934.8</v>
      </c>
      <c r="N46" s="45">
        <f t="shared" ref="N46" si="60">1-(M46/L46)</f>
        <v>0.24</v>
      </c>
      <c r="O46" s="46">
        <f>+'Trim Rwd'!H25</f>
        <v>260.3</v>
      </c>
      <c r="P46" s="47">
        <f t="shared" ref="P46" si="61">O46*(Q46-R46-S46)</f>
        <v>66116.2</v>
      </c>
      <c r="Q46" s="46">
        <v>260</v>
      </c>
      <c r="R46" s="498">
        <v>0</v>
      </c>
      <c r="S46" s="498">
        <v>6</v>
      </c>
      <c r="T46" s="36">
        <f t="shared" ref="T46" si="62">E46*M46*O46*Q46/100000000</f>
        <v>7.5918473279999992</v>
      </c>
      <c r="U46" s="36">
        <f t="shared" ref="U46" si="63">E46*M46*O46*(Q46-R46-S46)/100000000</f>
        <v>7.4166508512</v>
      </c>
      <c r="V46" s="36">
        <f t="shared" ref="V46" si="64">E46*G46*(1-N46)*O46/100*(R46+S46)/1000000</f>
        <v>0.1751964768</v>
      </c>
      <c r="W46" s="36">
        <f>+'9'!K8/1000</f>
        <v>9.8569999999999993</v>
      </c>
      <c r="X46" s="499">
        <f>SUM(W46:W50)/SUM(K46:K50)</f>
        <v>0.53621733200421717</v>
      </c>
      <c r="Y46" s="210">
        <v>0</v>
      </c>
      <c r="Z46" s="36">
        <f>+'9'!D7/1000</f>
        <v>0.27</v>
      </c>
      <c r="AA46" s="48">
        <f>SUM(U46:U50)-SUM(W46:W50)-SUM(Z46:Z50)-SUM(Y46:Y50)</f>
        <v>-1.3852849553934061</v>
      </c>
      <c r="AB46" s="48">
        <f>(SUM(K46:K50)-SUM(W46:W50)-SUM(Y46:Y50)-SUM(Z46:Z50)-SUM(AC46:AC50)-SUM(V46:V50))-AA46</f>
        <v>-3.1849481429010917</v>
      </c>
      <c r="AC46" s="36">
        <f>K46-T46</f>
        <v>0</v>
      </c>
      <c r="AD46" s="36">
        <f>+AM46+BC46</f>
        <v>15</v>
      </c>
      <c r="AE46" s="228" t="s">
        <v>429</v>
      </c>
      <c r="AF46" s="36">
        <v>15</v>
      </c>
      <c r="AG46" s="36"/>
      <c r="AH46" s="36"/>
      <c r="AI46" s="500"/>
      <c r="AJ46" s="36"/>
      <c r="AK46" s="36"/>
      <c r="AL46" s="36"/>
      <c r="AM46" s="36">
        <f t="shared" ref="AM46:AM49" si="65">SUM(AF46:AL46)+AT46+AV46+AX46</f>
        <v>15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>
        <f>+AR46+AS46+AU46+AW46+AY46+BB46</f>
        <v>0</v>
      </c>
      <c r="BD46" s="32">
        <v>6</v>
      </c>
      <c r="BE46" s="50"/>
      <c r="BF46" s="50"/>
      <c r="BG46" s="32"/>
      <c r="BH46" s="50"/>
    </row>
    <row r="47" spans="1:60" ht="12.95" customHeight="1">
      <c r="A47" s="39"/>
      <c r="B47" s="40" t="s">
        <v>447</v>
      </c>
      <c r="C47" s="412">
        <f t="shared" ref="C47" si="66">(M47*E47*O47*Q47)/100000000</f>
        <v>33.164649494505497</v>
      </c>
      <c r="D47" s="40" t="s">
        <v>302</v>
      </c>
      <c r="E47" s="41">
        <v>13.5</v>
      </c>
      <c r="F47" s="41">
        <v>1</v>
      </c>
      <c r="G47" s="497">
        <v>1230</v>
      </c>
      <c r="H47" s="43">
        <f>+N47</f>
        <v>0.2400000000000001</v>
      </c>
      <c r="I47" s="44">
        <v>0.88</v>
      </c>
      <c r="J47" s="81">
        <f t="shared" ref="J47" si="67">E47*G47*(1-H47)*1440/1000000*2.74</f>
        <v>49.792682879999994</v>
      </c>
      <c r="K47" s="81">
        <f t="shared" ref="K47" si="68">(IF(G47&lt;L47,L47,G47)*(1-IF(H47&lt;N47,H47,N47))*E47*O47*Q47)/100000000</f>
        <v>39.611028239999989</v>
      </c>
      <c r="L47" s="34">
        <v>1029.8273155416014</v>
      </c>
      <c r="M47" s="34">
        <v>782.66875981161695</v>
      </c>
      <c r="N47" s="45">
        <f t="shared" ref="N47" si="69">1-(M47/L47)</f>
        <v>0.2400000000000001</v>
      </c>
      <c r="O47" s="46">
        <f>+'Trim Rwd'!H27</f>
        <v>266</v>
      </c>
      <c r="P47" s="47">
        <f t="shared" ref="P47" si="70">O47*(Q47-R47-S47)</f>
        <v>158802</v>
      </c>
      <c r="Q47" s="46">
        <f>637+543</f>
        <v>1180</v>
      </c>
      <c r="R47" s="498">
        <v>543</v>
      </c>
      <c r="S47" s="498">
        <v>40</v>
      </c>
      <c r="T47" s="36">
        <f t="shared" ref="T47" si="71">E47*M47*O47*Q47/100000000</f>
        <v>33.164649494505497</v>
      </c>
      <c r="U47" s="36">
        <f t="shared" ref="U47" si="72">E47*M47*O47*(Q47-R47-S47)/100000000</f>
        <v>16.779064193406594</v>
      </c>
      <c r="V47" s="36">
        <f t="shared" ref="V47" si="73">E47*G47*(1-N47)*O47/100*(R47+S47)/1000000</f>
        <v>19.570533443999995</v>
      </c>
      <c r="W47" s="36">
        <f>+'9'!K9/1000</f>
        <v>15.454000000000001</v>
      </c>
      <c r="X47" s="37"/>
      <c r="Y47" s="210"/>
      <c r="Z47" s="36"/>
      <c r="AA47" s="36"/>
      <c r="AB47" s="36"/>
      <c r="AC47" s="36">
        <f>K47-T47</f>
        <v>6.4463787454944921</v>
      </c>
      <c r="AD47" s="36">
        <f>+AM47+BC47</f>
        <v>0</v>
      </c>
      <c r="AE47" s="228" t="s">
        <v>427</v>
      </c>
      <c r="AF47" s="36"/>
      <c r="AG47" s="36">
        <v>0</v>
      </c>
      <c r="AH47" s="36"/>
      <c r="AI47" s="500"/>
      <c r="AJ47" s="36"/>
      <c r="AK47" s="36"/>
      <c r="AL47" s="36"/>
      <c r="AM47" s="36">
        <f t="shared" si="65"/>
        <v>0</v>
      </c>
      <c r="AN47" s="82"/>
      <c r="AO47" s="36"/>
      <c r="AP47" s="36"/>
      <c r="AQ47" s="36"/>
      <c r="AR47" s="36">
        <f t="shared" ref="AR47:AR49" si="74"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>
        <f>+AR47+AS47+AU47+AW47+AY47+BB47</f>
        <v>0</v>
      </c>
      <c r="BD47" s="49"/>
      <c r="BE47" s="50">
        <v>0</v>
      </c>
      <c r="BF47" s="50"/>
      <c r="BG47" s="49"/>
      <c r="BH47" s="50"/>
    </row>
    <row r="48" spans="1:60" ht="12.95" customHeight="1">
      <c r="A48" s="39"/>
      <c r="B48" s="40"/>
      <c r="C48" s="412"/>
      <c r="D48" s="40"/>
      <c r="E48" s="41"/>
      <c r="F48" s="41"/>
      <c r="G48" s="42"/>
      <c r="H48" s="43"/>
      <c r="I48" s="44"/>
      <c r="J48" s="81"/>
      <c r="K48" s="81"/>
      <c r="L48" s="34"/>
      <c r="M48" s="34"/>
      <c r="N48" s="45"/>
      <c r="O48" s="46"/>
      <c r="P48" s="47"/>
      <c r="Q48" s="46"/>
      <c r="R48" s="498"/>
      <c r="S48" s="498"/>
      <c r="T48" s="36"/>
      <c r="U48" s="36"/>
      <c r="V48" s="36"/>
      <c r="W48" s="36"/>
      <c r="X48" s="37"/>
      <c r="Y48" s="210"/>
      <c r="Z48" s="36"/>
      <c r="AA48" s="36"/>
      <c r="AB48" s="36"/>
      <c r="AC48" s="36"/>
      <c r="AD48" s="36">
        <f>+AM48+BC48</f>
        <v>31</v>
      </c>
      <c r="AE48" s="228" t="s">
        <v>495</v>
      </c>
      <c r="AF48" s="32"/>
      <c r="AG48" s="32"/>
      <c r="AH48" s="32">
        <v>31</v>
      </c>
      <c r="AJ48" s="36"/>
      <c r="AK48" s="36"/>
      <c r="AL48" s="36"/>
      <c r="AM48" s="36">
        <f t="shared" si="65"/>
        <v>31</v>
      </c>
      <c r="AN48" s="36"/>
      <c r="AO48" s="36"/>
      <c r="AP48" s="36"/>
      <c r="AQ48" s="36"/>
      <c r="AR48" s="36">
        <f t="shared" si="74"/>
        <v>0</v>
      </c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>
        <f>+AR48+AS48+AU48+AW48+AY48+BB48</f>
        <v>0</v>
      </c>
      <c r="BD48" s="32"/>
      <c r="BE48" s="501"/>
      <c r="BF48" s="501"/>
      <c r="BG48" s="32"/>
      <c r="BH48" s="501"/>
    </row>
    <row r="49" spans="1:60" ht="12.95" customHeight="1">
      <c r="A49" s="39"/>
      <c r="B49" s="40"/>
      <c r="C49" s="412"/>
      <c r="D49" s="40"/>
      <c r="E49" s="41"/>
      <c r="F49" s="41"/>
      <c r="G49" s="42"/>
      <c r="H49" s="43"/>
      <c r="I49" s="44"/>
      <c r="J49" s="81"/>
      <c r="K49" s="81"/>
      <c r="L49" s="34"/>
      <c r="M49" s="34"/>
      <c r="N49" s="45"/>
      <c r="O49" s="46"/>
      <c r="P49" s="47"/>
      <c r="Q49" s="33"/>
      <c r="R49" s="498"/>
      <c r="S49" s="498"/>
      <c r="T49" s="36"/>
      <c r="U49" s="36"/>
      <c r="V49" s="36"/>
      <c r="W49" s="36"/>
      <c r="X49" s="37"/>
      <c r="Y49" s="210"/>
      <c r="Z49" s="36"/>
      <c r="AA49" s="36"/>
      <c r="AB49" s="36"/>
      <c r="AC49" s="36"/>
      <c r="AD49" s="36">
        <f>+AM49+BC49</f>
        <v>0</v>
      </c>
      <c r="AE49" s="231" t="s">
        <v>378</v>
      </c>
      <c r="AF49" s="36"/>
      <c r="AG49" s="36"/>
      <c r="AH49" s="36"/>
      <c r="AI49" s="500">
        <v>0</v>
      </c>
      <c r="AJ49" s="36"/>
      <c r="AK49" s="36"/>
      <c r="AL49" s="36"/>
      <c r="AM49" s="36">
        <f t="shared" si="65"/>
        <v>0</v>
      </c>
      <c r="AN49" s="36"/>
      <c r="AO49" s="36"/>
      <c r="AP49" s="36"/>
      <c r="AQ49" s="36"/>
      <c r="AR49" s="36">
        <f t="shared" si="74"/>
        <v>0</v>
      </c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>
        <f>+AR49+AS49+AU49+AW49+AY49+BB49</f>
        <v>0</v>
      </c>
      <c r="BD49" s="49"/>
      <c r="BE49" s="50"/>
      <c r="BF49" s="50"/>
      <c r="BG49" s="49"/>
      <c r="BH49" s="50"/>
    </row>
    <row r="50" spans="1:60" ht="12.95" customHeight="1">
      <c r="A50" s="39"/>
      <c r="B50" s="40"/>
      <c r="C50" s="412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33"/>
      <c r="R50" s="498"/>
      <c r="S50" s="498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>+AM50+BC50</f>
        <v>543</v>
      </c>
      <c r="AE50" s="231" t="s">
        <v>496</v>
      </c>
      <c r="AF50" s="36"/>
      <c r="AG50" s="36"/>
      <c r="AH50" s="36"/>
      <c r="AI50" s="500"/>
      <c r="AJ50" s="36"/>
      <c r="AK50" s="36"/>
      <c r="AL50" s="36"/>
      <c r="AM50" s="36">
        <f t="shared" ref="AM50" si="75">SUM(AF50:AL50)+AT50+AV50+AX50</f>
        <v>0</v>
      </c>
      <c r="AN50" s="36"/>
      <c r="AO50" s="36"/>
      <c r="AP50" s="36"/>
      <c r="AQ50" s="36"/>
      <c r="AR50" s="36">
        <f t="shared" ref="AR50" si="76"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v>543</v>
      </c>
      <c r="BB50" s="36"/>
      <c r="BC50" s="36">
        <f>+AR50+AS50+AU50+AW50+AY50+BB50+BA50</f>
        <v>543</v>
      </c>
      <c r="BD50" s="49"/>
      <c r="BE50" s="50"/>
      <c r="BF50" s="50"/>
      <c r="BG50" s="49"/>
      <c r="BH50" s="50"/>
    </row>
    <row r="51" spans="1:60" ht="12.95" customHeight="1">
      <c r="A51" s="39"/>
      <c r="B51" s="40"/>
      <c r="C51" s="412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46"/>
      <c r="R51" s="498"/>
      <c r="S51" s="498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>
        <f t="shared" ref="AD51" si="77">+AM51+BC51</f>
        <v>0</v>
      </c>
      <c r="AE51" s="231" t="s">
        <v>519</v>
      </c>
      <c r="AF51" s="32"/>
      <c r="AG51" s="32"/>
      <c r="AH51" s="32"/>
      <c r="AJ51" s="36"/>
      <c r="AK51" s="36"/>
      <c r="AL51" s="36"/>
      <c r="AM51" s="36">
        <f>SUM(AF51:AL51)+AT51+AV51+AX51+AZ51</f>
        <v>0</v>
      </c>
      <c r="AN51" s="36"/>
      <c r="AO51" s="36"/>
      <c r="AP51" s="36"/>
      <c r="AQ51" s="36"/>
      <c r="AR51" s="36">
        <f t="shared" ref="AR51" si="78">SUM(AN51:AQ51)</f>
        <v>0</v>
      </c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>
        <f>+AR51+AS51+AU51+AW51+AY51+BB51+BA51</f>
        <v>0</v>
      </c>
      <c r="BD51" s="32"/>
      <c r="BE51" s="501"/>
      <c r="BF51" s="501"/>
      <c r="BG51" s="32"/>
      <c r="BH51" s="501"/>
    </row>
    <row r="52" spans="1:60" ht="12.95" customHeight="1">
      <c r="A52" s="39"/>
      <c r="B52" s="40"/>
      <c r="C52" s="412"/>
      <c r="D52" s="40"/>
      <c r="E52" s="41"/>
      <c r="F52" s="41"/>
      <c r="G52" s="497"/>
      <c r="H52" s="43"/>
      <c r="I52" s="44"/>
      <c r="J52" s="81"/>
      <c r="K52" s="81"/>
      <c r="L52" s="34"/>
      <c r="M52" s="34"/>
      <c r="N52" s="45"/>
      <c r="O52" s="46"/>
      <c r="P52" s="47"/>
      <c r="Q52" s="46"/>
      <c r="R52" s="498"/>
      <c r="S52" s="498"/>
      <c r="T52" s="36"/>
      <c r="U52" s="36"/>
      <c r="V52" s="36"/>
      <c r="W52" s="36"/>
      <c r="X52" s="37"/>
      <c r="Y52" s="210"/>
      <c r="Z52" s="36"/>
      <c r="AA52" s="36"/>
      <c r="AB52" s="36"/>
      <c r="AC52" s="36"/>
      <c r="AD52" s="36"/>
      <c r="AE52" s="228"/>
      <c r="AF52" s="36"/>
      <c r="AG52" s="36"/>
      <c r="AH52" s="36"/>
      <c r="AI52" s="500"/>
      <c r="AJ52" s="36"/>
      <c r="AK52" s="36"/>
      <c r="AL52" s="36"/>
      <c r="AM52" s="36"/>
      <c r="AN52" s="82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49"/>
      <c r="BE52" s="50"/>
      <c r="BF52" s="50"/>
      <c r="BG52" s="32"/>
      <c r="BH52" s="50"/>
    </row>
    <row r="53" spans="1:60" ht="12.75" customHeight="1">
      <c r="A53" s="39">
        <v>46032</v>
      </c>
      <c r="B53" s="40" t="s">
        <v>447</v>
      </c>
      <c r="C53" s="412">
        <f t="shared" ref="C53:C54" si="79">(M53*E53*O53*Q53)/100000000</f>
        <v>10.188864000000001</v>
      </c>
      <c r="D53" s="40" t="s">
        <v>302</v>
      </c>
      <c r="E53" s="41">
        <v>12</v>
      </c>
      <c r="F53" s="41">
        <v>1</v>
      </c>
      <c r="G53" s="497">
        <v>1230</v>
      </c>
      <c r="H53" s="43">
        <f>+N53</f>
        <v>0.24</v>
      </c>
      <c r="I53" s="44">
        <v>0.88</v>
      </c>
      <c r="J53" s="81">
        <f t="shared" ref="J53:J54" si="80">E53*G53*(1-H53)*1440/1000000*2.74</f>
        <v>44.260162560000005</v>
      </c>
      <c r="K53" s="81">
        <f t="shared" ref="K53:K54" si="81">(IF(G53&lt;L53,L53,G53)*(1-IF(H53&lt;N53,H53,N53))*E53*O53*Q53)/100000000</f>
        <v>12.532302719999997</v>
      </c>
      <c r="L53" s="34">
        <v>1000</v>
      </c>
      <c r="M53" s="34">
        <v>760</v>
      </c>
      <c r="N53" s="45">
        <f t="shared" ref="N53:N54" si="82">1-(M53/L53)</f>
        <v>0.24</v>
      </c>
      <c r="O53" s="46">
        <f>+'Trim Rwd'!H30</f>
        <v>266</v>
      </c>
      <c r="P53" s="47">
        <f t="shared" ref="P53:P54" si="83">O53*(Q53-R53-S53)</f>
        <v>82992</v>
      </c>
      <c r="Q53" s="46">
        <f>339+81</f>
        <v>420</v>
      </c>
      <c r="R53" s="498">
        <v>81</v>
      </c>
      <c r="S53" s="498">
        <f>18+9</f>
        <v>27</v>
      </c>
      <c r="T53" s="36">
        <f t="shared" ref="T53:T54" si="84">E53*M53*O53*Q53/100000000</f>
        <v>10.188864000000001</v>
      </c>
      <c r="U53" s="36">
        <f t="shared" ref="U53:U54" si="85">E53*M53*O53*(Q53-R53-S53)/100000000</f>
        <v>7.5688703999999998</v>
      </c>
      <c r="V53" s="36">
        <f t="shared" ref="V53:V54" si="86">E53*G53*(1-N53)*O53/100*(R53+S53)/1000000</f>
        <v>3.2225921280000005</v>
      </c>
      <c r="W53" s="36">
        <f>+'10'!K8/1000</f>
        <v>7.343</v>
      </c>
      <c r="X53" s="499">
        <f>SUM(W53:W57)/SUM(K53:K57)</f>
        <v>0.66680429671550479</v>
      </c>
      <c r="Y53" s="210">
        <v>0</v>
      </c>
      <c r="Z53" s="36">
        <f>+'9'!D13/1000</f>
        <v>0</v>
      </c>
      <c r="AA53" s="48">
        <f>SUM(U53:U57)-SUM(W53:W57)-SUM(Z53:Z57)-SUM(Y53:Y57)</f>
        <v>5.7563502176823498</v>
      </c>
      <c r="AB53" s="48">
        <f>(SUM(K53:K57)-SUM(W53:W57)-SUM(Y53:Y57)-SUM(Z53:Z57)-SUM(AC53:AC57)-SUM(V53:V57))-AA53</f>
        <v>-0.73894976968235149</v>
      </c>
      <c r="AC53" s="36">
        <f>K53-T53</f>
        <v>2.3434387199999964</v>
      </c>
      <c r="AD53" s="36">
        <f t="shared" ref="AD53:AD58" si="87">+AM53+BC53</f>
        <v>18</v>
      </c>
      <c r="AE53" s="228" t="s">
        <v>429</v>
      </c>
      <c r="AF53" s="36">
        <v>18</v>
      </c>
      <c r="AG53" s="36"/>
      <c r="AH53" s="36"/>
      <c r="AI53" s="500"/>
      <c r="AJ53" s="36"/>
      <c r="AK53" s="36"/>
      <c r="AL53" s="36"/>
      <c r="AM53" s="36">
        <f t="shared" ref="AM53:AM56" si="88">SUM(AF53:AL53)+AT53+AV53+AX53</f>
        <v>18</v>
      </c>
      <c r="AN53" s="36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>
        <f>+AR53+AS53+AU53+AW53+AY53+BB53</f>
        <v>0</v>
      </c>
      <c r="BD53" s="32">
        <v>6</v>
      </c>
      <c r="BE53" s="50"/>
      <c r="BF53" s="50"/>
      <c r="BG53" s="32"/>
      <c r="BH53" s="50"/>
    </row>
    <row r="54" spans="1:60" ht="12.95" customHeight="1">
      <c r="A54" s="39"/>
      <c r="B54" s="40" t="s">
        <v>447</v>
      </c>
      <c r="C54" s="412">
        <f t="shared" si="79"/>
        <v>30.481169291999997</v>
      </c>
      <c r="D54" s="40" t="s">
        <v>302</v>
      </c>
      <c r="E54" s="41">
        <v>13.5</v>
      </c>
      <c r="F54" s="41">
        <v>1</v>
      </c>
      <c r="G54" s="497">
        <v>1230</v>
      </c>
      <c r="H54" s="43">
        <f>+N54</f>
        <v>0.2400000000000001</v>
      </c>
      <c r="I54" s="44">
        <v>0.88</v>
      </c>
      <c r="J54" s="81">
        <f t="shared" si="80"/>
        <v>49.792682879999994</v>
      </c>
      <c r="K54" s="81">
        <f t="shared" si="81"/>
        <v>34.240041359999992</v>
      </c>
      <c r="L54" s="34">
        <v>1094.9705882352941</v>
      </c>
      <c r="M54" s="34">
        <v>832.17764705882348</v>
      </c>
      <c r="N54" s="45">
        <f t="shared" si="82"/>
        <v>0.2400000000000001</v>
      </c>
      <c r="O54" s="46">
        <f>+'Trim Rwd'!H29</f>
        <v>266</v>
      </c>
      <c r="P54" s="47">
        <f t="shared" si="83"/>
        <v>261478</v>
      </c>
      <c r="Q54" s="46">
        <v>1020</v>
      </c>
      <c r="R54" s="498">
        <v>0</v>
      </c>
      <c r="S54" s="498">
        <v>37</v>
      </c>
      <c r="T54" s="36">
        <f t="shared" si="84"/>
        <v>30.481169291999997</v>
      </c>
      <c r="U54" s="36">
        <f t="shared" si="85"/>
        <v>29.375479817682351</v>
      </c>
      <c r="V54" s="36">
        <f t="shared" si="86"/>
        <v>1.2420407159999995</v>
      </c>
      <c r="W54" s="36">
        <f>+'10'!K9/1000</f>
        <v>23.844999999999999</v>
      </c>
      <c r="X54" s="37"/>
      <c r="Y54" s="210"/>
      <c r="Z54" s="36"/>
      <c r="AA54" s="36"/>
      <c r="AB54" s="36"/>
      <c r="AC54" s="36">
        <f>K54-T54</f>
        <v>3.7588720679999952</v>
      </c>
      <c r="AD54" s="36">
        <f t="shared" si="87"/>
        <v>9</v>
      </c>
      <c r="AE54" s="228" t="s">
        <v>427</v>
      </c>
      <c r="AF54" s="36"/>
      <c r="AG54" s="36">
        <v>9</v>
      </c>
      <c r="AH54" s="36"/>
      <c r="AI54" s="500"/>
      <c r="AJ54" s="36"/>
      <c r="AK54" s="36"/>
      <c r="AL54" s="36"/>
      <c r="AM54" s="36">
        <f t="shared" si="88"/>
        <v>9</v>
      </c>
      <c r="AN54" s="82"/>
      <c r="AO54" s="36"/>
      <c r="AP54" s="36"/>
      <c r="AQ54" s="36"/>
      <c r="AR54" s="36">
        <f t="shared" ref="AR54:AR56" si="89"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>
        <f>+AR54+AS54+AU54+AW54+AY54+BB54</f>
        <v>0</v>
      </c>
      <c r="BD54" s="49"/>
      <c r="BE54" s="50">
        <v>0</v>
      </c>
      <c r="BF54" s="50"/>
      <c r="BG54" s="49"/>
      <c r="BH54" s="50"/>
    </row>
    <row r="55" spans="1:60" ht="12.95" customHeight="1">
      <c r="A55" s="39"/>
      <c r="B55" s="40"/>
      <c r="C55" s="412"/>
      <c r="D55" s="40"/>
      <c r="E55" s="41"/>
      <c r="F55" s="41"/>
      <c r="G55" s="42"/>
      <c r="H55" s="43"/>
      <c r="I55" s="44"/>
      <c r="J55" s="81"/>
      <c r="K55" s="81"/>
      <c r="L55" s="34"/>
      <c r="M55" s="34"/>
      <c r="N55" s="45"/>
      <c r="O55" s="46"/>
      <c r="P55" s="47"/>
      <c r="Q55" s="46"/>
      <c r="R55" s="498"/>
      <c r="S55" s="498"/>
      <c r="T55" s="36"/>
      <c r="U55" s="36"/>
      <c r="V55" s="36"/>
      <c r="W55" s="36"/>
      <c r="X55" s="37"/>
      <c r="Y55" s="210"/>
      <c r="Z55" s="36"/>
      <c r="AA55" s="36"/>
      <c r="AB55" s="36"/>
      <c r="AC55" s="36"/>
      <c r="AD55" s="36">
        <f t="shared" si="87"/>
        <v>37</v>
      </c>
      <c r="AE55" s="228" t="s">
        <v>495</v>
      </c>
      <c r="AF55" s="32"/>
      <c r="AG55" s="32"/>
      <c r="AH55" s="32">
        <v>37</v>
      </c>
      <c r="AJ55" s="36"/>
      <c r="AK55" s="36"/>
      <c r="AL55" s="36"/>
      <c r="AM55" s="36">
        <f t="shared" si="88"/>
        <v>37</v>
      </c>
      <c r="AN55" s="36"/>
      <c r="AO55" s="36"/>
      <c r="AP55" s="36"/>
      <c r="AQ55" s="36"/>
      <c r="AR55" s="36">
        <f t="shared" si="89"/>
        <v>0</v>
      </c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>
        <f>+AR55+AS55+AU55+AW55+AY55+BB55</f>
        <v>0</v>
      </c>
      <c r="BD55" s="32"/>
      <c r="BE55" s="501"/>
      <c r="BF55" s="501"/>
      <c r="BG55" s="32"/>
      <c r="BH55" s="501"/>
    </row>
    <row r="56" spans="1:60" ht="12.95" customHeight="1">
      <c r="A56" s="39"/>
      <c r="B56" s="40"/>
      <c r="C56" s="412"/>
      <c r="D56" s="40"/>
      <c r="E56" s="41"/>
      <c r="F56" s="41"/>
      <c r="G56" s="42"/>
      <c r="H56" s="43"/>
      <c r="I56" s="44"/>
      <c r="J56" s="81"/>
      <c r="K56" s="81"/>
      <c r="L56" s="34"/>
      <c r="M56" s="34"/>
      <c r="N56" s="45"/>
      <c r="O56" s="46"/>
      <c r="P56" s="47"/>
      <c r="Q56" s="33"/>
      <c r="R56" s="498"/>
      <c r="S56" s="498"/>
      <c r="T56" s="36"/>
      <c r="U56" s="36"/>
      <c r="V56" s="36"/>
      <c r="W56" s="36"/>
      <c r="X56" s="37"/>
      <c r="Y56" s="210"/>
      <c r="Z56" s="36"/>
      <c r="AA56" s="36"/>
      <c r="AB56" s="36"/>
      <c r="AC56" s="36"/>
      <c r="AD56" s="36">
        <f t="shared" si="87"/>
        <v>0</v>
      </c>
      <c r="AE56" s="231" t="s">
        <v>378</v>
      </c>
      <c r="AF56" s="36"/>
      <c r="AG56" s="36"/>
      <c r="AH56" s="36"/>
      <c r="AI56" s="500">
        <v>0</v>
      </c>
      <c r="AJ56" s="36"/>
      <c r="AK56" s="36"/>
      <c r="AL56" s="36"/>
      <c r="AM56" s="36">
        <f t="shared" si="88"/>
        <v>0</v>
      </c>
      <c r="AN56" s="36"/>
      <c r="AO56" s="36"/>
      <c r="AP56" s="36"/>
      <c r="AQ56" s="36"/>
      <c r="AR56" s="36">
        <f t="shared" si="89"/>
        <v>0</v>
      </c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>
        <f>+AR56+AS56+AU56+AW56+AY56+BB56</f>
        <v>0</v>
      </c>
      <c r="BD56" s="49"/>
      <c r="BE56" s="50"/>
      <c r="BF56" s="50"/>
      <c r="BG56" s="49"/>
      <c r="BH56" s="50"/>
    </row>
    <row r="57" spans="1:60" ht="12.95" customHeight="1">
      <c r="A57" s="39"/>
      <c r="B57" s="40"/>
      <c r="C57" s="412"/>
      <c r="D57" s="40"/>
      <c r="E57" s="41"/>
      <c r="F57" s="41"/>
      <c r="G57" s="42"/>
      <c r="H57" s="43"/>
      <c r="I57" s="44"/>
      <c r="J57" s="81"/>
      <c r="K57" s="81"/>
      <c r="L57" s="34"/>
      <c r="M57" s="34"/>
      <c r="N57" s="45"/>
      <c r="O57" s="46"/>
      <c r="P57" s="47"/>
      <c r="Q57" s="33"/>
      <c r="R57" s="498"/>
      <c r="S57" s="498"/>
      <c r="T57" s="36"/>
      <c r="U57" s="36"/>
      <c r="V57" s="36"/>
      <c r="W57" s="36"/>
      <c r="X57" s="37"/>
      <c r="Y57" s="210"/>
      <c r="Z57" s="36"/>
      <c r="AA57" s="36"/>
      <c r="AB57" s="36"/>
      <c r="AC57" s="36"/>
      <c r="AD57" s="36">
        <f t="shared" si="87"/>
        <v>81</v>
      </c>
      <c r="AE57" s="231" t="s">
        <v>520</v>
      </c>
      <c r="AF57" s="36"/>
      <c r="AG57" s="36"/>
      <c r="AH57" s="36"/>
      <c r="AI57" s="500"/>
      <c r="AJ57" s="36"/>
      <c r="AK57" s="36"/>
      <c r="AL57" s="36"/>
      <c r="AM57" s="36">
        <f t="shared" ref="AM57" si="90">SUM(AF57:AL57)+AT57+AV57+AX57</f>
        <v>0</v>
      </c>
      <c r="AN57" s="36"/>
      <c r="AO57" s="36"/>
      <c r="AP57" s="36"/>
      <c r="AQ57" s="36"/>
      <c r="AR57" s="36">
        <f t="shared" ref="AR57:AR58" si="91"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v>81</v>
      </c>
      <c r="BB57" s="36"/>
      <c r="BC57" s="36">
        <f>+AR57+AS57+AU57+AW57+AY57+BB57+BA57</f>
        <v>81</v>
      </c>
      <c r="BD57" s="49"/>
      <c r="BE57" s="50"/>
      <c r="BF57" s="50"/>
      <c r="BG57" s="49"/>
      <c r="BH57" s="50"/>
    </row>
    <row r="58" spans="1:60" ht="12.95" customHeight="1">
      <c r="A58" s="39"/>
      <c r="B58" s="40"/>
      <c r="C58" s="412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498"/>
      <c r="S58" s="498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>
        <f t="shared" si="87"/>
        <v>0</v>
      </c>
      <c r="AE58" s="231" t="s">
        <v>519</v>
      </c>
      <c r="AF58" s="32"/>
      <c r="AG58" s="32"/>
      <c r="AH58" s="32"/>
      <c r="AJ58" s="36"/>
      <c r="AK58" s="36"/>
      <c r="AL58" s="36"/>
      <c r="AM58" s="36">
        <f>SUM(AF58:AL58)+AT58+AV58+AX58+AZ58</f>
        <v>0</v>
      </c>
      <c r="AN58" s="36"/>
      <c r="AO58" s="36"/>
      <c r="AP58" s="36"/>
      <c r="AQ58" s="36"/>
      <c r="AR58" s="36">
        <f t="shared" si="91"/>
        <v>0</v>
      </c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>
        <f>+AR58+AS58+AU58+AW58+AY58+BB58+BA58</f>
        <v>0</v>
      </c>
      <c r="BD58" s="32"/>
      <c r="BE58" s="501"/>
      <c r="BF58" s="501"/>
      <c r="BG58" s="32"/>
      <c r="BH58" s="501"/>
    </row>
    <row r="59" spans="1:60" ht="12.95" customHeight="1">
      <c r="A59" s="39"/>
      <c r="B59" s="40"/>
      <c r="C59" s="412"/>
      <c r="D59" s="40"/>
      <c r="E59" s="41"/>
      <c r="F59" s="41"/>
      <c r="G59" s="42"/>
      <c r="H59" s="43"/>
      <c r="I59" s="44"/>
      <c r="J59" s="81"/>
      <c r="K59" s="81"/>
      <c r="L59" s="34"/>
      <c r="M59" s="34"/>
      <c r="N59" s="45"/>
      <c r="O59" s="46"/>
      <c r="P59" s="47"/>
      <c r="Q59" s="33"/>
      <c r="R59" s="498"/>
      <c r="S59" s="498"/>
      <c r="T59" s="36"/>
      <c r="U59" s="36"/>
      <c r="V59" s="36"/>
      <c r="W59" s="36"/>
      <c r="X59" s="37"/>
      <c r="Y59" s="210"/>
      <c r="Z59" s="36"/>
      <c r="AA59" s="36"/>
      <c r="AB59" s="36"/>
      <c r="AC59" s="36"/>
      <c r="AD59" s="36"/>
      <c r="AE59" s="231"/>
      <c r="AF59" s="36"/>
      <c r="AG59" s="36"/>
      <c r="AH59" s="36"/>
      <c r="AI59" s="500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49"/>
      <c r="BE59" s="50"/>
      <c r="BF59" s="50"/>
      <c r="BG59" s="50"/>
      <c r="BH59" s="50"/>
    </row>
    <row r="60" spans="1:60" ht="12.75" customHeight="1">
      <c r="A60" s="39">
        <v>46033</v>
      </c>
      <c r="B60" s="40" t="s">
        <v>447</v>
      </c>
      <c r="C60" s="412">
        <f t="shared" ref="C60" si="92">(M60*E60*O60*Q60)/100000000</f>
        <v>47.1598848</v>
      </c>
      <c r="D60" s="40" t="s">
        <v>302</v>
      </c>
      <c r="E60" s="41">
        <v>13.5</v>
      </c>
      <c r="F60" s="41">
        <v>1</v>
      </c>
      <c r="G60" s="497">
        <v>1230</v>
      </c>
      <c r="H60" s="43">
        <f>+N60</f>
        <v>0.24</v>
      </c>
      <c r="I60" s="44">
        <v>0.88</v>
      </c>
      <c r="J60" s="81">
        <f t="shared" ref="J60" si="93">E60*G60*(1-H60)*1440/1000000*2.74</f>
        <v>49.792682880000008</v>
      </c>
      <c r="K60" s="81">
        <f t="shared" ref="K60" si="94">(IF(G60&lt;L60,L60,G60)*(1-IF(H60&lt;N60,H60,N60))*E60*O60*Q60)/100000000</f>
        <v>48.338881919999999</v>
      </c>
      <c r="L60" s="34">
        <v>1200</v>
      </c>
      <c r="M60" s="34">
        <v>912</v>
      </c>
      <c r="N60" s="45">
        <f t="shared" ref="N60" si="95">1-(M60/L60)</f>
        <v>0.24</v>
      </c>
      <c r="O60" s="46">
        <f>+'Trim Rwd'!H32</f>
        <v>266</v>
      </c>
      <c r="P60" s="47">
        <f t="shared" ref="P60" si="96">O60*(Q60-R60-S60)</f>
        <v>365750</v>
      </c>
      <c r="Q60" s="46">
        <v>1440</v>
      </c>
      <c r="R60" s="498">
        <v>0</v>
      </c>
      <c r="S60" s="498">
        <v>65</v>
      </c>
      <c r="T60" s="36">
        <f t="shared" ref="T60" si="97">E60*M60*O60*Q60/100000000</f>
        <v>47.1598848</v>
      </c>
      <c r="U60" s="36">
        <f t="shared" ref="U60" si="98">E60*M60*O60*(Q60-R60-S60)/100000000</f>
        <v>45.031140000000001</v>
      </c>
      <c r="V60" s="36">
        <f t="shared" ref="V60" si="99">E60*G60*(1-N60)*O60/100*(R60+S60)/1000000</f>
        <v>2.1819634199999998</v>
      </c>
      <c r="W60" s="36">
        <f>+'11'!K9/1000</f>
        <v>45.264000000000003</v>
      </c>
      <c r="X60" s="499">
        <f>SUM(W60:W64)/SUM(K60:K64)</f>
        <v>0.93638905581041632</v>
      </c>
      <c r="Y60" s="210">
        <v>0</v>
      </c>
      <c r="Z60" s="36">
        <f>+'7'!D30/1000</f>
        <v>0</v>
      </c>
      <c r="AA60" s="48">
        <f>SUM(U60:U64)-SUM(W60:W64)-SUM(Z60:Z64)-SUM(Y60:Y64)</f>
        <v>-0.23286000000000229</v>
      </c>
      <c r="AB60" s="48">
        <f>(SUM(K60:K64)-SUM(W60:W64)-SUM(Y60:Y64)-SUM(Z60:Z64)-SUM(AC60:AC64)-SUM(V60:V64))-AA60</f>
        <v>-5.3218619999999994E-2</v>
      </c>
      <c r="AC60" s="36">
        <f>K60-T60</f>
        <v>1.1789971199999982</v>
      </c>
      <c r="AD60" s="36">
        <f>+AM60+BC60</f>
        <v>27</v>
      </c>
      <c r="AE60" s="228" t="s">
        <v>464</v>
      </c>
      <c r="AF60" s="36">
        <v>27</v>
      </c>
      <c r="AG60" s="36"/>
      <c r="AH60" s="36"/>
      <c r="AI60" s="500"/>
      <c r="AJ60" s="36"/>
      <c r="AK60" s="36"/>
      <c r="AL60" s="36"/>
      <c r="AM60" s="36">
        <f t="shared" ref="AM60:AM63" si="100">SUM(AF60:AL60)+AT60+AV60+AX60</f>
        <v>27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>
        <f>+AR60+AS60+AU60+AW60+AY60+BB60</f>
        <v>0</v>
      </c>
      <c r="BD60" s="32">
        <v>9</v>
      </c>
      <c r="BE60" s="50"/>
      <c r="BF60" s="50"/>
      <c r="BG60" s="32"/>
      <c r="BH60" s="50"/>
    </row>
    <row r="61" spans="1:60" ht="12.95" customHeight="1">
      <c r="A61" s="39"/>
      <c r="B61" s="40"/>
      <c r="C61" s="412"/>
      <c r="D61" s="40"/>
      <c r="E61" s="41"/>
      <c r="F61" s="41"/>
      <c r="G61" s="497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498"/>
      <c r="S61" s="498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+AM61+BC61</f>
        <v>0</v>
      </c>
      <c r="AE61" s="228" t="s">
        <v>427</v>
      </c>
      <c r="AF61" s="36"/>
      <c r="AG61" s="36">
        <v>0</v>
      </c>
      <c r="AH61" s="36"/>
      <c r="AI61" s="500"/>
      <c r="AJ61" s="36"/>
      <c r="AK61" s="36"/>
      <c r="AL61" s="36"/>
      <c r="AM61" s="36">
        <f t="shared" si="100"/>
        <v>0</v>
      </c>
      <c r="AN61" s="82"/>
      <c r="AO61" s="36"/>
      <c r="AP61" s="36"/>
      <c r="AQ61" s="36"/>
      <c r="AR61" s="36">
        <f t="shared" ref="AR61:AR63" si="101"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>
        <f>+AR61+AS61+AU61+AW61+AY61+BB61</f>
        <v>0</v>
      </c>
      <c r="BD61" s="49"/>
      <c r="BE61" s="50">
        <v>0</v>
      </c>
      <c r="BF61" s="50"/>
      <c r="BG61" s="49"/>
      <c r="BH61" s="50"/>
    </row>
    <row r="62" spans="1:60" ht="12.95" customHeight="1">
      <c r="A62" s="39"/>
      <c r="B62" s="40"/>
      <c r="C62" s="412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46"/>
      <c r="R62" s="498"/>
      <c r="S62" s="498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+AM62+BC62</f>
        <v>38</v>
      </c>
      <c r="AE62" s="228" t="s">
        <v>481</v>
      </c>
      <c r="AF62" s="32"/>
      <c r="AG62" s="32"/>
      <c r="AH62" s="32">
        <v>38</v>
      </c>
      <c r="AJ62" s="36"/>
      <c r="AK62" s="36"/>
      <c r="AL62" s="36"/>
      <c r="AM62" s="36">
        <f t="shared" si="100"/>
        <v>38</v>
      </c>
      <c r="AN62" s="36"/>
      <c r="AO62" s="36"/>
      <c r="AP62" s="36"/>
      <c r="AQ62" s="36"/>
      <c r="AR62" s="36">
        <f t="shared" si="101"/>
        <v>0</v>
      </c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>
        <f>+AR62+AS62+AU62+AW62+AY62+BB62</f>
        <v>0</v>
      </c>
      <c r="BD62" s="32"/>
      <c r="BE62" s="501"/>
      <c r="BF62" s="501"/>
      <c r="BG62" s="32"/>
      <c r="BH62" s="501"/>
    </row>
    <row r="63" spans="1:60" ht="12.95" customHeight="1">
      <c r="A63" s="39"/>
      <c r="B63" s="40"/>
      <c r="C63" s="412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33"/>
      <c r="R63" s="498"/>
      <c r="S63" s="498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>
        <f>+AM63+BC63</f>
        <v>0</v>
      </c>
      <c r="AE63" s="231" t="s">
        <v>378</v>
      </c>
      <c r="AF63" s="36"/>
      <c r="AG63" s="36"/>
      <c r="AH63" s="36"/>
      <c r="AI63" s="500">
        <v>0</v>
      </c>
      <c r="AJ63" s="36"/>
      <c r="AK63" s="36"/>
      <c r="AL63" s="36"/>
      <c r="AM63" s="36">
        <f t="shared" si="100"/>
        <v>0</v>
      </c>
      <c r="AN63" s="36"/>
      <c r="AO63" s="36"/>
      <c r="AP63" s="36"/>
      <c r="AQ63" s="36"/>
      <c r="AR63" s="36">
        <f t="shared" si="101"/>
        <v>0</v>
      </c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>
        <f>+AR63+AS63+AU63+AW63+AY63+BB63</f>
        <v>0</v>
      </c>
      <c r="BD63" s="49"/>
      <c r="BE63" s="50"/>
      <c r="BF63" s="50"/>
      <c r="BG63" s="49"/>
      <c r="BH63" s="50"/>
    </row>
    <row r="64" spans="1:60" ht="12.95" customHeight="1">
      <c r="A64" s="39"/>
      <c r="B64" s="40"/>
      <c r="C64" s="412"/>
      <c r="D64" s="40"/>
      <c r="E64" s="41"/>
      <c r="F64" s="41"/>
      <c r="G64" s="42"/>
      <c r="H64" s="43"/>
      <c r="I64" s="44"/>
      <c r="J64" s="81"/>
      <c r="K64" s="81"/>
      <c r="L64" s="34"/>
      <c r="M64" s="34"/>
      <c r="N64" s="45"/>
      <c r="O64" s="46"/>
      <c r="P64" s="47"/>
      <c r="Q64" s="33"/>
      <c r="R64" s="498"/>
      <c r="S64" s="498"/>
      <c r="T64" s="36"/>
      <c r="U64" s="36"/>
      <c r="V64" s="36"/>
      <c r="W64" s="36"/>
      <c r="X64" s="37"/>
      <c r="Y64" s="210"/>
      <c r="Z64" s="36"/>
      <c r="AA64" s="36"/>
      <c r="AB64" s="36"/>
      <c r="AC64" s="36"/>
      <c r="AD64" s="36"/>
      <c r="AE64" s="231"/>
      <c r="AF64" s="36"/>
      <c r="AG64" s="36"/>
      <c r="AH64" s="36"/>
      <c r="AI64" s="500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49"/>
      <c r="BE64" s="50"/>
      <c r="BF64" s="50"/>
      <c r="BG64" s="49"/>
      <c r="BH64" s="50"/>
    </row>
    <row r="65" spans="1:60" ht="12.75" customHeight="1">
      <c r="A65" s="39">
        <v>46034</v>
      </c>
      <c r="B65" s="40" t="s">
        <v>447</v>
      </c>
      <c r="C65" s="412">
        <f t="shared" ref="C65" si="102">(M65*E65*O65*Q65)/100000000</f>
        <v>14.002314480000001</v>
      </c>
      <c r="D65" s="40" t="s">
        <v>302</v>
      </c>
      <c r="E65" s="41">
        <v>13.5</v>
      </c>
      <c r="F65" s="41">
        <v>1</v>
      </c>
      <c r="G65" s="497">
        <v>1230</v>
      </c>
      <c r="H65" s="43">
        <f>+N65</f>
        <v>0.22999999999999998</v>
      </c>
      <c r="I65" s="44">
        <v>0.88</v>
      </c>
      <c r="J65" s="81">
        <f t="shared" ref="J65" si="103">E65*G65*(1-H65)*1440/1000000*2.74</f>
        <v>50.447849760000004</v>
      </c>
      <c r="K65" s="81">
        <f t="shared" ref="K65" si="104">(IF(G65&lt;L65,L65,G65)*(1-IF(H65&lt;N65,H65,N65))*E65*O65*Q65)/100000000</f>
        <v>14.352372342000001</v>
      </c>
      <c r="L65" s="34">
        <v>1200</v>
      </c>
      <c r="M65" s="34">
        <v>924</v>
      </c>
      <c r="N65" s="45">
        <f t="shared" ref="N65" si="105">1-(M65/L65)</f>
        <v>0.22999999999999998</v>
      </c>
      <c r="O65" s="46">
        <f>+'Trim Rwd'!H34</f>
        <v>266</v>
      </c>
      <c r="P65" s="47">
        <f t="shared" ref="P65" si="106">O65*(Q65-R65-S65)</f>
        <v>105336</v>
      </c>
      <c r="Q65" s="46">
        <v>422</v>
      </c>
      <c r="R65" s="498">
        <v>0</v>
      </c>
      <c r="S65" s="498">
        <v>26</v>
      </c>
      <c r="T65" s="36">
        <f t="shared" ref="T65" si="107">E65*M65*O65*Q65/100000000</f>
        <v>14.002314480000001</v>
      </c>
      <c r="U65" s="36">
        <f t="shared" ref="U65" si="108">E65*M65*O65*(Q65-R65-S65)/100000000</f>
        <v>13.139612639999999</v>
      </c>
      <c r="V65" s="36">
        <f t="shared" ref="V65" si="109">E65*G65*(1-N65)*O65/100*(R65+S65)/1000000</f>
        <v>0.88426938600000016</v>
      </c>
      <c r="W65" s="36">
        <f>+'12'!K9/1000</f>
        <v>16.573</v>
      </c>
      <c r="X65" s="499">
        <f>SUM(W65:W69)/SUM(K65:K69)</f>
        <v>0.88552141149303754</v>
      </c>
      <c r="Y65" s="210">
        <v>0</v>
      </c>
      <c r="Z65" s="36">
        <f>+'7'!D35/1000</f>
        <v>1.5109603340292276E-5</v>
      </c>
      <c r="AA65" s="48">
        <f>SUM(U65:U69)-SUM(W65:W69)-SUM(Z65:Z69)-SUM(Y65:Y69)</f>
        <v>2.2657347623966482</v>
      </c>
      <c r="AB65" s="48">
        <f>(SUM(K65:K69)-SUM(W65:W69)-SUM(Y65:Y69)-SUM(Z65:Z69)-SUM(AC65:AC69)-SUM(V65:V69))-AA65</f>
        <v>-2.1567546000003546E-2</v>
      </c>
      <c r="AC65" s="36">
        <f>K65-T65</f>
        <v>0.35005786199999989</v>
      </c>
      <c r="AD65" s="36">
        <f>+AM65+BC65</f>
        <v>12</v>
      </c>
      <c r="AE65" s="228" t="s">
        <v>429</v>
      </c>
      <c r="AF65" s="36">
        <v>12</v>
      </c>
      <c r="AG65" s="36"/>
      <c r="AH65" s="36"/>
      <c r="AI65" s="500"/>
      <c r="AJ65" s="36"/>
      <c r="AK65" s="36"/>
      <c r="AL65" s="36"/>
      <c r="AM65" s="36">
        <f t="shared" ref="AM65:AM68" si="110">SUM(AF65:AL65)+AT65+AV65+AX65</f>
        <v>12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>
        <f>+AR65+AS65+AU65+AW65+AY65+BB65</f>
        <v>0</v>
      </c>
      <c r="BD65" s="32">
        <v>6</v>
      </c>
      <c r="BE65" s="50"/>
      <c r="BF65" s="50"/>
      <c r="BG65" s="32"/>
      <c r="BH65" s="50"/>
    </row>
    <row r="66" spans="1:60" ht="12.95" customHeight="1">
      <c r="A66" s="39"/>
      <c r="B66" s="40" t="s">
        <v>447</v>
      </c>
      <c r="C66" s="412">
        <f t="shared" ref="C66" si="111">(M66*E66*O66*Q66)/100000000</f>
        <v>29.576548511999992</v>
      </c>
      <c r="D66" s="40" t="s">
        <v>302</v>
      </c>
      <c r="E66" s="41">
        <v>12</v>
      </c>
      <c r="F66" s="41">
        <v>1</v>
      </c>
      <c r="G66" s="497">
        <v>1230</v>
      </c>
      <c r="H66" s="43">
        <f>+N66</f>
        <v>0.24</v>
      </c>
      <c r="I66" s="44">
        <v>0.88</v>
      </c>
      <c r="J66" s="81">
        <f t="shared" ref="J66" si="112">E66*G66*(1-H66)*1440/1000000*2.74</f>
        <v>44.260162560000005</v>
      </c>
      <c r="K66" s="81">
        <f t="shared" ref="K66" si="113">(IF(G66&lt;L66,L66,G66)*(1-IF(H66&lt;N66,H66,N66))*E66*O66*Q66)/100000000</f>
        <v>29.576548511999992</v>
      </c>
      <c r="L66" s="34">
        <v>1230</v>
      </c>
      <c r="M66" s="34">
        <v>934.8</v>
      </c>
      <c r="N66" s="45">
        <f t="shared" ref="N66" si="114">1-(M66/L66)</f>
        <v>0.24</v>
      </c>
      <c r="O66" s="46">
        <f>+'Trim Rwd'!H35</f>
        <v>259</v>
      </c>
      <c r="P66" s="47">
        <f t="shared" ref="P66" si="115">O66*(Q66-R66-S66)</f>
        <v>252007</v>
      </c>
      <c r="Q66" s="46">
        <v>1018</v>
      </c>
      <c r="R66" s="498">
        <v>0</v>
      </c>
      <c r="S66" s="498">
        <v>45</v>
      </c>
      <c r="T66" s="36">
        <f t="shared" ref="T66" si="116">E66*M66*O66*Q66/100000000</f>
        <v>29.576548511999992</v>
      </c>
      <c r="U66" s="36">
        <f t="shared" ref="U66" si="117">E66*M66*O66*(Q66-R66-S66)/100000000</f>
        <v>28.269137231999995</v>
      </c>
      <c r="V66" s="36">
        <f t="shared" ref="V66" si="118">E66*G66*(1-N66)*O66/100*(R66+S66)/1000000</f>
        <v>1.30741128</v>
      </c>
      <c r="W66" s="36">
        <f>+'12'!K8/1000</f>
        <v>22.327000000000002</v>
      </c>
      <c r="X66" s="37"/>
      <c r="Y66" s="210"/>
      <c r="Z66" s="36">
        <f>+'12'!D17/1000</f>
        <v>0.24299999999999999</v>
      </c>
      <c r="AA66" s="36"/>
      <c r="AB66" s="36"/>
      <c r="AC66" s="36">
        <f>K66-T66</f>
        <v>0</v>
      </c>
      <c r="AD66" s="36">
        <f>+AM66+BC66</f>
        <v>10</v>
      </c>
      <c r="AE66" s="228" t="s">
        <v>514</v>
      </c>
      <c r="AF66" s="36"/>
      <c r="AG66" s="36">
        <v>10</v>
      </c>
      <c r="AH66" s="36"/>
      <c r="AI66" s="500"/>
      <c r="AJ66" s="36"/>
      <c r="AK66" s="36"/>
      <c r="AL66" s="36"/>
      <c r="AM66" s="36">
        <f t="shared" si="110"/>
        <v>10</v>
      </c>
      <c r="AN66" s="82"/>
      <c r="AO66" s="36"/>
      <c r="AP66" s="36"/>
      <c r="AQ66" s="36"/>
      <c r="AR66" s="36">
        <f t="shared" ref="AR66:AR68" si="119">SUM(AN66:AQ66)</f>
        <v>0</v>
      </c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>
        <f>+AR66+AS66+AU66+AW66+AY66+BB66</f>
        <v>0</v>
      </c>
      <c r="BD66" s="49"/>
      <c r="BE66" s="50">
        <v>5</v>
      </c>
      <c r="BF66" s="50"/>
      <c r="BG66" s="49"/>
      <c r="BH66" s="50"/>
    </row>
    <row r="67" spans="1:60" ht="12.95" customHeight="1">
      <c r="A67" s="39"/>
      <c r="B67" s="40"/>
      <c r="C67" s="412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46"/>
      <c r="R67" s="498"/>
      <c r="S67" s="498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>
        <f>+AM67+BC67</f>
        <v>49</v>
      </c>
      <c r="AE67" s="228" t="s">
        <v>413</v>
      </c>
      <c r="AF67" s="32"/>
      <c r="AG67" s="32"/>
      <c r="AH67" s="32">
        <v>49</v>
      </c>
      <c r="AJ67" s="36"/>
      <c r="AK67" s="36"/>
      <c r="AL67" s="36"/>
      <c r="AM67" s="36">
        <f t="shared" si="110"/>
        <v>49</v>
      </c>
      <c r="AN67" s="36"/>
      <c r="AO67" s="36"/>
      <c r="AP67" s="36"/>
      <c r="AQ67" s="36"/>
      <c r="AR67" s="36">
        <f t="shared" si="119"/>
        <v>0</v>
      </c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>
        <f>+AR67+AS67+AU67+AW67+AY67+BB67</f>
        <v>0</v>
      </c>
      <c r="BD67" s="32"/>
      <c r="BE67" s="501"/>
      <c r="BF67" s="501"/>
      <c r="BG67" s="32"/>
      <c r="BH67" s="501"/>
    </row>
    <row r="68" spans="1:60" ht="12.95" customHeight="1">
      <c r="A68" s="39"/>
      <c r="B68" s="40"/>
      <c r="C68" s="412"/>
      <c r="D68" s="40"/>
      <c r="E68" s="41"/>
      <c r="F68" s="41"/>
      <c r="G68" s="42"/>
      <c r="H68" s="43"/>
      <c r="I68" s="44"/>
      <c r="J68" s="81"/>
      <c r="K68" s="81"/>
      <c r="L68" s="34"/>
      <c r="M68" s="34"/>
      <c r="N68" s="45"/>
      <c r="O68" s="46"/>
      <c r="P68" s="47"/>
      <c r="Q68" s="33"/>
      <c r="R68" s="498"/>
      <c r="S68" s="498"/>
      <c r="T68" s="36"/>
      <c r="U68" s="36"/>
      <c r="V68" s="36"/>
      <c r="W68" s="36"/>
      <c r="X68" s="37"/>
      <c r="Y68" s="210"/>
      <c r="Z68" s="36"/>
      <c r="AA68" s="36"/>
      <c r="AB68" s="36"/>
      <c r="AC68" s="36"/>
      <c r="AD68" s="36">
        <f>+AM68+BC68</f>
        <v>0</v>
      </c>
      <c r="AE68" s="231" t="s">
        <v>378</v>
      </c>
      <c r="AF68" s="36"/>
      <c r="AG68" s="36"/>
      <c r="AH68" s="36"/>
      <c r="AI68" s="500">
        <v>0</v>
      </c>
      <c r="AJ68" s="36"/>
      <c r="AK68" s="36"/>
      <c r="AL68" s="36"/>
      <c r="AM68" s="36">
        <f t="shared" si="110"/>
        <v>0</v>
      </c>
      <c r="AN68" s="36"/>
      <c r="AO68" s="36"/>
      <c r="AP68" s="36"/>
      <c r="AQ68" s="36"/>
      <c r="AR68" s="36">
        <f t="shared" si="119"/>
        <v>0</v>
      </c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>
        <f>+AR68+AS68+AU68+AW68+AY68+BB68</f>
        <v>0</v>
      </c>
      <c r="BD68" s="49"/>
      <c r="BE68" s="50"/>
      <c r="BF68" s="50"/>
      <c r="BG68" s="49"/>
      <c r="BH68" s="50"/>
    </row>
    <row r="69" spans="1:60" ht="12.95" customHeight="1">
      <c r="A69" s="39"/>
      <c r="B69" s="40"/>
      <c r="C69" s="412"/>
      <c r="D69" s="40"/>
      <c r="E69" s="41"/>
      <c r="F69" s="41"/>
      <c r="G69" s="42"/>
      <c r="H69" s="43"/>
      <c r="I69" s="44"/>
      <c r="J69" s="81"/>
      <c r="K69" s="81"/>
      <c r="L69" s="34"/>
      <c r="M69" s="34"/>
      <c r="N69" s="45"/>
      <c r="O69" s="46"/>
      <c r="P69" s="47"/>
      <c r="Q69" s="46"/>
      <c r="R69" s="498"/>
      <c r="S69" s="498"/>
      <c r="T69" s="36"/>
      <c r="U69" s="36"/>
      <c r="V69" s="36"/>
      <c r="W69" s="36"/>
      <c r="X69" s="37"/>
      <c r="Y69" s="210"/>
      <c r="Z69" s="36"/>
      <c r="AA69" s="36"/>
      <c r="AB69" s="36"/>
      <c r="AC69" s="36"/>
      <c r="AD69" s="36"/>
      <c r="AE69" s="228"/>
      <c r="AF69" s="32"/>
      <c r="AG69" s="32"/>
      <c r="AH69" s="32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2"/>
      <c r="BE69" s="501"/>
      <c r="BF69" s="50"/>
      <c r="BG69" s="49"/>
      <c r="BH69" s="50"/>
    </row>
    <row r="70" spans="1:60" ht="12.75" customHeight="1">
      <c r="A70" s="39">
        <v>46035</v>
      </c>
      <c r="B70" s="40" t="s">
        <v>447</v>
      </c>
      <c r="C70" s="412">
        <f t="shared" ref="C70" si="120">(M70*E70*O70*Q70)/100000000</f>
        <v>26.990779535999994</v>
      </c>
      <c r="D70" s="40" t="s">
        <v>302</v>
      </c>
      <c r="E70" s="41">
        <v>12</v>
      </c>
      <c r="F70" s="41">
        <v>1</v>
      </c>
      <c r="G70" s="497">
        <v>1230</v>
      </c>
      <c r="H70" s="43">
        <f>+N70</f>
        <v>0.24</v>
      </c>
      <c r="I70" s="44">
        <v>0.88</v>
      </c>
      <c r="J70" s="81">
        <f t="shared" ref="J70" si="121">E70*G70*(1-H70)*1440/1000000*2.74</f>
        <v>44.260162560000005</v>
      </c>
      <c r="K70" s="81">
        <f t="shared" ref="K70" si="122">(IF(G70&lt;L70,L70,G70)*(1-IF(H70&lt;N70,H70,N70))*E70*O70*Q70)/100000000</f>
        <v>26.990779535999994</v>
      </c>
      <c r="L70" s="34">
        <v>1230</v>
      </c>
      <c r="M70" s="34">
        <v>934.8</v>
      </c>
      <c r="N70" s="45">
        <f t="shared" ref="N70" si="123">1-(M70/L70)</f>
        <v>0.24</v>
      </c>
      <c r="O70" s="46">
        <f>+'Trim Rwd'!H37</f>
        <v>259</v>
      </c>
      <c r="P70" s="47">
        <f t="shared" ref="P70" si="124">O70*(Q70-R70-S70)</f>
        <v>229474</v>
      </c>
      <c r="Q70" s="46">
        <v>929</v>
      </c>
      <c r="R70" s="498">
        <v>0</v>
      </c>
      <c r="S70" s="498">
        <v>43</v>
      </c>
      <c r="T70" s="36">
        <f t="shared" ref="T70" si="125">E70*M70*O70*Q70/100000000</f>
        <v>26.990779535999994</v>
      </c>
      <c r="U70" s="36">
        <f t="shared" ref="U70" si="126">E70*M70*O70*(Q70-R70-S70)/100000000</f>
        <v>25.741475423999997</v>
      </c>
      <c r="V70" s="36">
        <f t="shared" ref="V70" si="127">E70*G70*(1-N70)*O70/100*(R70+S70)/1000000</f>
        <v>1.2493041119999999</v>
      </c>
      <c r="W70" s="36">
        <f>+'13'!K8/1000</f>
        <v>23.678000000000001</v>
      </c>
      <c r="X70" s="499">
        <f>SUM(W70:W74)/SUM(K70:K74)</f>
        <v>0.89266474565140097</v>
      </c>
      <c r="Y70" s="210">
        <v>0</v>
      </c>
      <c r="Z70" s="36">
        <f>+'13'!D7/1000</f>
        <v>0.5</v>
      </c>
      <c r="AA70" s="48">
        <f>SUM(U70:U74)-SUM(W70:W74)-SUM(Z70:Z74)-SUM(Y70:Y74)</f>
        <v>2.2834875199999942</v>
      </c>
      <c r="AB70" s="48">
        <f>(SUM(K70:K74)-SUM(W70:W74)-SUM(Y70:Y74)-SUM(Z70:Z74)-SUM(AC70:AC74)-SUM(V70:V74))-AA70</f>
        <v>0</v>
      </c>
      <c r="AC70" s="36">
        <f>K70-T70</f>
        <v>0</v>
      </c>
      <c r="AD70" s="36">
        <f>+AM70+BC70</f>
        <v>8</v>
      </c>
      <c r="AE70" s="228" t="s">
        <v>428</v>
      </c>
      <c r="AF70" s="36">
        <v>8</v>
      </c>
      <c r="AG70" s="36"/>
      <c r="AH70" s="36"/>
      <c r="AI70" s="500"/>
      <c r="AJ70" s="36"/>
      <c r="AK70" s="36"/>
      <c r="AL70" s="36"/>
      <c r="AM70" s="36">
        <f t="shared" ref="AM70:AM73" si="128">SUM(AF70:AL70)+AT70+AV70+AX70</f>
        <v>8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>
        <f>+AR70+AS70+AU70+AW70+AY70+BB70</f>
        <v>0</v>
      </c>
      <c r="BD70" s="32">
        <v>3</v>
      </c>
      <c r="BE70" s="50"/>
      <c r="BF70" s="50"/>
      <c r="BG70" s="32"/>
      <c r="BH70" s="50"/>
    </row>
    <row r="71" spans="1:60" ht="12.95" customHeight="1">
      <c r="A71" s="39"/>
      <c r="B71" s="40" t="s">
        <v>447</v>
      </c>
      <c r="C71" s="412">
        <f t="shared" ref="C71" si="129">(M71*E71*O71*Q71)/100000000</f>
        <v>16.653825215999998</v>
      </c>
      <c r="D71" s="40" t="s">
        <v>302</v>
      </c>
      <c r="E71" s="41">
        <v>14</v>
      </c>
      <c r="F71" s="41">
        <v>1</v>
      </c>
      <c r="G71" s="497">
        <f>+L71</f>
        <v>1180</v>
      </c>
      <c r="H71" s="43">
        <f>+N71</f>
        <v>0.28000000000000003</v>
      </c>
      <c r="I71" s="44">
        <v>0.88</v>
      </c>
      <c r="J71" s="81">
        <f t="shared" ref="J71" si="130">E71*G71*(1-H71)*1440/1000000*2.74</f>
        <v>46.930544640000001</v>
      </c>
      <c r="K71" s="81">
        <f t="shared" ref="K71" si="131">(IF(G71&lt;L71,L71,G71)*(1-IF(H71&lt;N71,H71,N71))*E71*O71*Q71)/100000000</f>
        <v>16.653825216000001</v>
      </c>
      <c r="L71" s="34">
        <v>1180</v>
      </c>
      <c r="M71" s="34">
        <v>849.59999999999991</v>
      </c>
      <c r="N71" s="45">
        <f t="shared" ref="N71" si="132">1-(M71/L71)</f>
        <v>0.28000000000000003</v>
      </c>
      <c r="O71" s="46">
        <f>+'Trim Rwd'!H38</f>
        <v>274</v>
      </c>
      <c r="P71" s="47">
        <f t="shared" ref="P71" si="133">O71*(Q71-R71-S71)</f>
        <v>134534</v>
      </c>
      <c r="Q71" s="46">
        <v>511</v>
      </c>
      <c r="R71" s="498">
        <v>0</v>
      </c>
      <c r="S71" s="498">
        <v>20</v>
      </c>
      <c r="T71" s="36">
        <f t="shared" ref="T71" si="134">E71*M71*O71*Q71/100000000</f>
        <v>16.653825215999998</v>
      </c>
      <c r="U71" s="36">
        <f t="shared" ref="U71" si="135">E71*M71*O71*(Q71-R71-S71)/100000000</f>
        <v>16.002012095999998</v>
      </c>
      <c r="V71" s="36">
        <f t="shared" ref="V71" si="136">E71*G71*(1-N71)*O71/100*(R71+S71)/1000000</f>
        <v>0.65181312000000013</v>
      </c>
      <c r="W71" s="36">
        <f>+'13'!K11/1000</f>
        <v>15.282</v>
      </c>
      <c r="X71" s="37"/>
      <c r="Y71" s="210"/>
      <c r="Z71" s="36">
        <f>+'12'!D22/1000</f>
        <v>0</v>
      </c>
      <c r="AA71" s="36"/>
      <c r="AB71" s="36"/>
      <c r="AC71" s="36">
        <f>K71-T71</f>
        <v>0</v>
      </c>
      <c r="AD71" s="36">
        <f>+AM71+BC71</f>
        <v>14</v>
      </c>
      <c r="AE71" s="228" t="s">
        <v>537</v>
      </c>
      <c r="AF71" s="36"/>
      <c r="AG71" s="36">
        <v>14</v>
      </c>
      <c r="AH71" s="36"/>
      <c r="AI71" s="500"/>
      <c r="AJ71" s="36"/>
      <c r="AK71" s="36"/>
      <c r="AL71" s="36"/>
      <c r="AM71" s="36">
        <f t="shared" si="128"/>
        <v>14</v>
      </c>
      <c r="AN71" s="82"/>
      <c r="AO71" s="36"/>
      <c r="AP71" s="36"/>
      <c r="AQ71" s="36"/>
      <c r="AR71" s="36">
        <f t="shared" ref="AR71:AR73" si="137">SUM(AN71:AQ71)</f>
        <v>0</v>
      </c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>
        <f>+AR71+AS71+AU71+AW71+AY71+BB71</f>
        <v>0</v>
      </c>
      <c r="BD71" s="49"/>
      <c r="BE71" s="50">
        <v>9</v>
      </c>
      <c r="BF71" s="50"/>
      <c r="BG71" s="49"/>
      <c r="BH71" s="50"/>
    </row>
    <row r="72" spans="1:60" ht="12.95" customHeight="1">
      <c r="A72" s="39"/>
      <c r="B72" s="40"/>
      <c r="C72" s="412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46"/>
      <c r="R72" s="498"/>
      <c r="S72" s="498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>
        <f>+AM72+BC72</f>
        <v>41</v>
      </c>
      <c r="AE72" s="228" t="s">
        <v>538</v>
      </c>
      <c r="AF72" s="32"/>
      <c r="AG72" s="32"/>
      <c r="AH72" s="32">
        <v>41</v>
      </c>
      <c r="AJ72" s="36"/>
      <c r="AK72" s="36"/>
      <c r="AL72" s="36"/>
      <c r="AM72" s="36">
        <f t="shared" si="128"/>
        <v>41</v>
      </c>
      <c r="AN72" s="36"/>
      <c r="AO72" s="36"/>
      <c r="AP72" s="36"/>
      <c r="AQ72" s="36"/>
      <c r="AR72" s="36">
        <f t="shared" si="137"/>
        <v>0</v>
      </c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>
        <f>+AR72+AS72+AU72+AW72+AY72+BB72</f>
        <v>0</v>
      </c>
      <c r="BD72" s="32"/>
      <c r="BE72" s="501"/>
      <c r="BF72" s="501"/>
      <c r="BG72" s="32"/>
      <c r="BH72" s="501"/>
    </row>
    <row r="73" spans="1:60" ht="12.95" customHeight="1">
      <c r="A73" s="39"/>
      <c r="B73" s="40"/>
      <c r="C73" s="412"/>
      <c r="D73" s="40"/>
      <c r="E73" s="41"/>
      <c r="F73" s="41"/>
      <c r="G73" s="42"/>
      <c r="H73" s="43"/>
      <c r="I73" s="44"/>
      <c r="J73" s="81"/>
      <c r="K73" s="81"/>
      <c r="L73" s="34"/>
      <c r="M73" s="34"/>
      <c r="N73" s="45"/>
      <c r="O73" s="46"/>
      <c r="P73" s="47"/>
      <c r="Q73" s="33"/>
      <c r="R73" s="498"/>
      <c r="S73" s="498"/>
      <c r="T73" s="36"/>
      <c r="U73" s="36"/>
      <c r="V73" s="36"/>
      <c r="W73" s="36"/>
      <c r="X73" s="37"/>
      <c r="Y73" s="210"/>
      <c r="Z73" s="36"/>
      <c r="AA73" s="36"/>
      <c r="AB73" s="36"/>
      <c r="AC73" s="36"/>
      <c r="AD73" s="36">
        <f>+AM73+BC73</f>
        <v>0</v>
      </c>
      <c r="AE73" s="231" t="s">
        <v>378</v>
      </c>
      <c r="AF73" s="36"/>
      <c r="AG73" s="36"/>
      <c r="AH73" s="36"/>
      <c r="AI73" s="500">
        <v>0</v>
      </c>
      <c r="AJ73" s="36"/>
      <c r="AK73" s="36"/>
      <c r="AL73" s="36"/>
      <c r="AM73" s="36">
        <f t="shared" si="128"/>
        <v>0</v>
      </c>
      <c r="AN73" s="36"/>
      <c r="AO73" s="36"/>
      <c r="AP73" s="36"/>
      <c r="AQ73" s="36"/>
      <c r="AR73" s="36">
        <f t="shared" si="137"/>
        <v>0</v>
      </c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>
        <f>+AR73+AS73+AU73+AW73+AY73+BB73</f>
        <v>0</v>
      </c>
      <c r="BD73" s="49"/>
      <c r="BE73" s="50"/>
      <c r="BF73" s="50"/>
      <c r="BG73" s="49"/>
      <c r="BH73" s="50"/>
    </row>
    <row r="74" spans="1:60" ht="13.5" customHeight="1">
      <c r="A74" s="39"/>
      <c r="B74" s="40"/>
      <c r="C74" s="412"/>
      <c r="D74" s="40"/>
      <c r="E74" s="41"/>
      <c r="F74" s="41"/>
      <c r="G74" s="497"/>
      <c r="H74" s="43"/>
      <c r="I74" s="44"/>
      <c r="J74" s="81"/>
      <c r="K74" s="81"/>
      <c r="L74" s="34"/>
      <c r="M74" s="34"/>
      <c r="N74" s="45"/>
      <c r="O74" s="46"/>
      <c r="P74" s="47"/>
      <c r="Q74" s="46"/>
      <c r="R74" s="498"/>
      <c r="S74" s="498"/>
      <c r="T74" s="36"/>
      <c r="U74" s="36"/>
      <c r="V74" s="36"/>
      <c r="W74" s="36"/>
      <c r="X74" s="499"/>
      <c r="Y74" s="210"/>
      <c r="Z74" s="36"/>
      <c r="AA74" s="48"/>
      <c r="AB74" s="48"/>
      <c r="AC74" s="36"/>
      <c r="AD74" s="36"/>
      <c r="AE74" s="228"/>
      <c r="AF74" s="36"/>
      <c r="AG74" s="36"/>
      <c r="AH74" s="36"/>
      <c r="AI74" s="500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2"/>
      <c r="BE74" s="50"/>
      <c r="BF74" s="50"/>
      <c r="BG74" s="50"/>
      <c r="BH74" s="50"/>
    </row>
    <row r="75" spans="1:60" ht="12.75" customHeight="1">
      <c r="A75" s="39">
        <v>46036</v>
      </c>
      <c r="B75" s="40" t="s">
        <v>447</v>
      </c>
      <c r="C75" s="412">
        <f t="shared" ref="C75:C76" si="138">(M75*E75*O75*Q75)/100000000</f>
        <v>23.097599279999994</v>
      </c>
      <c r="D75" s="40" t="s">
        <v>302</v>
      </c>
      <c r="E75" s="41">
        <v>12</v>
      </c>
      <c r="F75" s="41">
        <v>1</v>
      </c>
      <c r="G75" s="497">
        <v>1230</v>
      </c>
      <c r="H75" s="43">
        <f>+N75</f>
        <v>0.24</v>
      </c>
      <c r="I75" s="44">
        <v>0.88</v>
      </c>
      <c r="J75" s="81">
        <f t="shared" ref="J75:J76" si="139">E75*G75*(1-H75)*1440/1000000*2.74</f>
        <v>44.260162560000005</v>
      </c>
      <c r="K75" s="81">
        <f t="shared" ref="K75:K76" si="140">(IF(G75&lt;L75,L75,G75)*(1-IF(H75&lt;N75,H75,N75))*E75*O75*Q75)/100000000</f>
        <v>23.097599279999994</v>
      </c>
      <c r="L75" s="34">
        <v>1230</v>
      </c>
      <c r="M75" s="34">
        <v>934.8</v>
      </c>
      <c r="N75" s="45">
        <f t="shared" ref="N75:N76" si="141">1-(M75/L75)</f>
        <v>0.24</v>
      </c>
      <c r="O75" s="46">
        <f>+'Trim Rwd'!H40</f>
        <v>259</v>
      </c>
      <c r="P75" s="47">
        <f t="shared" ref="P75:P76" si="142">O75*(Q75-R75-S75)</f>
        <v>195545</v>
      </c>
      <c r="Q75" s="46">
        <v>795</v>
      </c>
      <c r="R75" s="498">
        <v>0</v>
      </c>
      <c r="S75" s="498">
        <v>40</v>
      </c>
      <c r="T75" s="36">
        <f t="shared" ref="T75:T76" si="143">E75*M75*O75*Q75/100000000</f>
        <v>23.097599279999994</v>
      </c>
      <c r="U75" s="36">
        <f t="shared" ref="U75:U76" si="144">E75*M75*O75*(Q75-R75-S75)/100000000</f>
        <v>21.935455919999995</v>
      </c>
      <c r="V75" s="36">
        <f t="shared" ref="V75:V76" si="145">E75*G75*(1-N75)*O75/100*(R75+S75)/1000000</f>
        <v>1.16214336</v>
      </c>
      <c r="W75" s="36">
        <f>+'14'!K8/1000</f>
        <v>17.623999999999999</v>
      </c>
      <c r="X75" s="499">
        <f>SUM(W75:W79)/SUM(K75:K79)</f>
        <v>0.87886983646450489</v>
      </c>
      <c r="Y75" s="210">
        <v>0</v>
      </c>
      <c r="Z75" s="36">
        <f>+'13'!D12/1000</f>
        <v>0</v>
      </c>
      <c r="AA75" s="48">
        <f>SUM(U75:U79)-SUM(W75:W79)-SUM(Z75:Z79)-SUM(Y75:Y79)</f>
        <v>3.0274167167999977</v>
      </c>
      <c r="AB75" s="48">
        <f>(SUM(K75:K79)-SUM(W75:W79)-SUM(Y75:Y79)-SUM(Z75:Z79)-SUM(AC75:AC79)-SUM(V75:V79))-AA75</f>
        <v>-4.3369248000035832E-3</v>
      </c>
      <c r="AC75" s="36">
        <f>K75-T75</f>
        <v>0</v>
      </c>
      <c r="AD75" s="36">
        <f>+AM75+BC75</f>
        <v>16</v>
      </c>
      <c r="AE75" s="228" t="s">
        <v>552</v>
      </c>
      <c r="AF75" s="36">
        <v>16</v>
      </c>
      <c r="AG75" s="36"/>
      <c r="AH75" s="36"/>
      <c r="AI75" s="500"/>
      <c r="AJ75" s="36"/>
      <c r="AK75" s="36"/>
      <c r="AL75" s="36"/>
      <c r="AM75" s="36">
        <f t="shared" ref="AM75:AM78" si="146">SUM(AF75:AL75)+AT75+AV75+AX75</f>
        <v>16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>
        <f>+AR75+AS75+AU75+AW75+AY75+BB75</f>
        <v>0</v>
      </c>
      <c r="BD75" s="32">
        <v>8</v>
      </c>
      <c r="BE75" s="50"/>
      <c r="BF75" s="50"/>
      <c r="BG75" s="32"/>
      <c r="BH75" s="50"/>
    </row>
    <row r="76" spans="1:60" ht="12.95" customHeight="1">
      <c r="A76" s="39"/>
      <c r="B76" s="40" t="s">
        <v>447</v>
      </c>
      <c r="C76" s="412">
        <f t="shared" si="138"/>
        <v>20.132572824</v>
      </c>
      <c r="D76" s="40" t="s">
        <v>302</v>
      </c>
      <c r="E76" s="41">
        <v>13</v>
      </c>
      <c r="F76" s="41">
        <v>1</v>
      </c>
      <c r="G76" s="497">
        <v>1230</v>
      </c>
      <c r="H76" s="43">
        <f>+N76</f>
        <v>0.2400000000000001</v>
      </c>
      <c r="I76" s="44">
        <v>0.88</v>
      </c>
      <c r="J76" s="81">
        <f t="shared" si="139"/>
        <v>47.948509439999988</v>
      </c>
      <c r="K76" s="81">
        <f t="shared" si="140"/>
        <v>20.222808839999995</v>
      </c>
      <c r="L76" s="34">
        <v>1224.5116279069769</v>
      </c>
      <c r="M76" s="34">
        <v>930.62883720930233</v>
      </c>
      <c r="N76" s="45">
        <f t="shared" si="141"/>
        <v>0.2400000000000001</v>
      </c>
      <c r="O76" s="46">
        <f>+'Trim Rwd'!H41</f>
        <v>258</v>
      </c>
      <c r="P76" s="47">
        <f t="shared" si="142"/>
        <v>158412</v>
      </c>
      <c r="Q76" s="46">
        <v>645</v>
      </c>
      <c r="R76" s="498">
        <v>0</v>
      </c>
      <c r="S76" s="498">
        <v>31</v>
      </c>
      <c r="T76" s="36">
        <f t="shared" si="143"/>
        <v>20.132572824</v>
      </c>
      <c r="U76" s="36">
        <f t="shared" si="144"/>
        <v>19.164960796799999</v>
      </c>
      <c r="V76" s="36">
        <f t="shared" si="145"/>
        <v>0.97194895199999964</v>
      </c>
      <c r="W76" s="36">
        <f>+'14'!K12/1000</f>
        <v>20.449000000000002</v>
      </c>
      <c r="X76" s="37"/>
      <c r="Y76" s="210"/>
      <c r="Z76" s="36">
        <f>+'12'!D27/1000</f>
        <v>0</v>
      </c>
      <c r="AA76" s="36"/>
      <c r="AB76" s="36"/>
      <c r="AC76" s="36">
        <f>K76-T76</f>
        <v>9.0236015999995089E-2</v>
      </c>
      <c r="AD76" s="36">
        <f>+AM76+BC76</f>
        <v>0</v>
      </c>
      <c r="AE76" s="228" t="s">
        <v>427</v>
      </c>
      <c r="AF76" s="36"/>
      <c r="AG76" s="36">
        <v>0</v>
      </c>
      <c r="AH76" s="36"/>
      <c r="AI76" s="500"/>
      <c r="AJ76" s="36"/>
      <c r="AK76" s="36"/>
      <c r="AL76" s="36"/>
      <c r="AM76" s="36">
        <f t="shared" si="146"/>
        <v>0</v>
      </c>
      <c r="AN76" s="82"/>
      <c r="AO76" s="36"/>
      <c r="AP76" s="36"/>
      <c r="AQ76" s="36"/>
      <c r="AR76" s="36">
        <f t="shared" ref="AR76:AR78" si="147"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>
        <f>+AR76+AS76+AU76+AW76+AY76+BB76</f>
        <v>0</v>
      </c>
      <c r="BD76" s="49"/>
      <c r="BE76" s="50">
        <v>0</v>
      </c>
      <c r="BF76" s="50"/>
      <c r="BG76" s="49"/>
      <c r="BH76" s="50"/>
    </row>
    <row r="77" spans="1:60" ht="12.95" customHeight="1">
      <c r="A77" s="39"/>
      <c r="B77" s="40"/>
      <c r="C77" s="412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498"/>
      <c r="S77" s="498"/>
      <c r="T77" s="36"/>
      <c r="U77" s="36"/>
      <c r="V77" s="36"/>
      <c r="W77" s="36"/>
      <c r="X77" s="37"/>
      <c r="Y77" s="210"/>
      <c r="Z77" s="36"/>
      <c r="AA77" s="36"/>
      <c r="AB77" s="36"/>
      <c r="AC77" s="36"/>
      <c r="AD77" s="36">
        <f>+AM77+BC77</f>
        <v>55</v>
      </c>
      <c r="AE77" s="228" t="s">
        <v>553</v>
      </c>
      <c r="AF77" s="32"/>
      <c r="AG77" s="32"/>
      <c r="AH77" s="32">
        <v>55</v>
      </c>
      <c r="AJ77" s="36"/>
      <c r="AK77" s="36"/>
      <c r="AL77" s="36"/>
      <c r="AM77" s="36">
        <f t="shared" si="146"/>
        <v>55</v>
      </c>
      <c r="AN77" s="36"/>
      <c r="AO77" s="36"/>
      <c r="AP77" s="36"/>
      <c r="AQ77" s="36"/>
      <c r="AR77" s="36">
        <f t="shared" si="147"/>
        <v>0</v>
      </c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>
        <f>+AR77+AS77+AU77+AW77+AY77+BB77</f>
        <v>0</v>
      </c>
      <c r="BD77" s="32"/>
      <c r="BE77" s="501"/>
      <c r="BF77" s="501"/>
      <c r="BG77" s="32"/>
      <c r="BH77" s="501"/>
    </row>
    <row r="78" spans="1:60" ht="12.95" customHeight="1">
      <c r="A78" s="39"/>
      <c r="B78" s="40"/>
      <c r="C78" s="412"/>
      <c r="D78" s="40"/>
      <c r="E78" s="41"/>
      <c r="F78" s="41"/>
      <c r="G78" s="42"/>
      <c r="H78" s="43"/>
      <c r="I78" s="44"/>
      <c r="J78" s="81"/>
      <c r="K78" s="81"/>
      <c r="L78" s="34"/>
      <c r="M78" s="34"/>
      <c r="N78" s="45"/>
      <c r="O78" s="46"/>
      <c r="P78" s="47"/>
      <c r="Q78" s="33"/>
      <c r="R78" s="498"/>
      <c r="S78" s="498"/>
      <c r="T78" s="36"/>
      <c r="U78" s="36"/>
      <c r="V78" s="36"/>
      <c r="W78" s="36"/>
      <c r="X78" s="37"/>
      <c r="Y78" s="210"/>
      <c r="Z78" s="36"/>
      <c r="AA78" s="36"/>
      <c r="AB78" s="36"/>
      <c r="AC78" s="36"/>
      <c r="AD78" s="36">
        <f>+AM78+BC78</f>
        <v>0</v>
      </c>
      <c r="AE78" s="231" t="s">
        <v>378</v>
      </c>
      <c r="AF78" s="36"/>
      <c r="AG78" s="36"/>
      <c r="AH78" s="36"/>
      <c r="AI78" s="500">
        <v>0</v>
      </c>
      <c r="AJ78" s="36"/>
      <c r="AK78" s="36"/>
      <c r="AL78" s="36"/>
      <c r="AM78" s="36">
        <f t="shared" si="146"/>
        <v>0</v>
      </c>
      <c r="AN78" s="36"/>
      <c r="AO78" s="36"/>
      <c r="AP78" s="36"/>
      <c r="AQ78" s="36"/>
      <c r="AR78" s="36">
        <f t="shared" si="147"/>
        <v>0</v>
      </c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>
        <f>+AR78+AS78+AU78+AW78+AY78+BB78</f>
        <v>0</v>
      </c>
      <c r="BD78" s="49"/>
      <c r="BE78" s="50"/>
      <c r="BF78" s="50"/>
      <c r="BG78" s="49"/>
      <c r="BH78" s="50"/>
    </row>
    <row r="79" spans="1:60" ht="13.5" customHeight="1">
      <c r="A79" s="39"/>
      <c r="B79" s="40"/>
      <c r="C79" s="412"/>
      <c r="D79" s="40"/>
      <c r="E79" s="41"/>
      <c r="F79" s="41"/>
      <c r="G79" s="497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498"/>
      <c r="S79" s="498"/>
      <c r="T79" s="36"/>
      <c r="U79" s="36"/>
      <c r="V79" s="36"/>
      <c r="W79" s="36"/>
      <c r="X79" s="499"/>
      <c r="Y79" s="210"/>
      <c r="Z79" s="36"/>
      <c r="AA79" s="48"/>
      <c r="AB79" s="48"/>
      <c r="AC79" s="36"/>
      <c r="AD79" s="36"/>
      <c r="AE79" s="228"/>
      <c r="AF79" s="36"/>
      <c r="AG79" s="36"/>
      <c r="AH79" s="36"/>
      <c r="AI79" s="500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2"/>
      <c r="BE79" s="50"/>
      <c r="BF79" s="50"/>
      <c r="BG79" s="50"/>
      <c r="BH79" s="50"/>
    </row>
    <row r="80" spans="1:60" ht="12.75" customHeight="1">
      <c r="A80" s="39">
        <v>46037</v>
      </c>
      <c r="B80" s="40" t="s">
        <v>447</v>
      </c>
      <c r="C80" s="412">
        <f t="shared" ref="C80:C81" si="148">(M80*E80*O80*Q80)/100000000</f>
        <v>6.6179352959999989</v>
      </c>
      <c r="D80" s="40" t="s">
        <v>302</v>
      </c>
      <c r="E80" s="41">
        <v>12</v>
      </c>
      <c r="F80" s="41">
        <v>1</v>
      </c>
      <c r="G80" s="497">
        <v>1230</v>
      </c>
      <c r="H80" s="43">
        <f>+N80</f>
        <v>0.24</v>
      </c>
      <c r="I80" s="44">
        <v>0.88</v>
      </c>
      <c r="J80" s="81">
        <f t="shared" ref="J80:J81" si="149">E80*G80*(1-H80)*1440/1000000*2.74</f>
        <v>44.260162560000005</v>
      </c>
      <c r="K80" s="81">
        <f t="shared" ref="K80:K81" si="150">(IF(G80&lt;L80,L80,G80)*(1-IF(H80&lt;N80,H80,N80))*E80*O80*Q80)/100000000</f>
        <v>6.6179352959999989</v>
      </c>
      <c r="L80" s="34">
        <v>1230</v>
      </c>
      <c r="M80" s="34">
        <v>934.8</v>
      </c>
      <c r="N80" s="45">
        <f t="shared" ref="N80:N81" si="151">1-(M80/L80)</f>
        <v>0.24</v>
      </c>
      <c r="O80" s="46">
        <f>+'Trim Rwd'!H43</f>
        <v>263.375</v>
      </c>
      <c r="P80" s="47">
        <f t="shared" ref="P80:P81" si="152">O80*(Q80-R80-S80)</f>
        <v>55045.375</v>
      </c>
      <c r="Q80" s="46">
        <v>224</v>
      </c>
      <c r="R80" s="498">
        <v>0</v>
      </c>
      <c r="S80" s="498">
        <v>15</v>
      </c>
      <c r="T80" s="36">
        <f t="shared" ref="T80:T81" si="153">E80*M80*O80*Q80/100000000</f>
        <v>6.6179352959999989</v>
      </c>
      <c r="U80" s="36">
        <f t="shared" ref="U80:U81" si="154">E80*M80*O80*(Q80-R80-S80)/100000000</f>
        <v>6.1747699859999994</v>
      </c>
      <c r="V80" s="36">
        <f t="shared" ref="V80:V81" si="155">E80*G80*(1-N80)*O80/100*(R80+S80)/1000000</f>
        <v>0.44316530999999998</v>
      </c>
      <c r="W80" s="36">
        <f>+'15'!K8/1000</f>
        <v>9.766</v>
      </c>
      <c r="X80" s="499">
        <f>SUM(W80:W84)/SUM(K80:K84)</f>
        <v>0.8314135807942663</v>
      </c>
      <c r="Y80" s="210">
        <v>0</v>
      </c>
      <c r="Z80" s="36">
        <f>+'13'!D17/1000</f>
        <v>0</v>
      </c>
      <c r="AA80" s="48">
        <f>SUM(U80:U84)-SUM(W80:W84)-SUM(Z80:Z84)-SUM(Y80:Y84)</f>
        <v>1.7058281390097092</v>
      </c>
      <c r="AB80" s="48">
        <f>(SUM(K80:K84)-SUM(W80:W84)-SUM(Y80:Y84)-SUM(Z80:Z84)-SUM(AC80:AC84)-SUM(V80:V84))-AA80</f>
        <v>-0.13551397700970491</v>
      </c>
      <c r="AC80" s="36">
        <f>K80-T80</f>
        <v>0</v>
      </c>
      <c r="AD80" s="36">
        <f>+AM80+BC80</f>
        <v>14</v>
      </c>
      <c r="AE80" s="228" t="s">
        <v>429</v>
      </c>
      <c r="AF80" s="36">
        <v>14</v>
      </c>
      <c r="AG80" s="36"/>
      <c r="AH80" s="36"/>
      <c r="AI80" s="500"/>
      <c r="AJ80" s="36"/>
      <c r="AK80" s="36"/>
      <c r="AL80" s="36"/>
      <c r="AM80" s="36">
        <f t="shared" ref="AM80:AM83" si="156">SUM(AF80:AL80)+AT80+AV80+AX80</f>
        <v>14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>
        <f>+AR80+AS80+AU80+AW80+AY80+BB80</f>
        <v>0</v>
      </c>
      <c r="BD80" s="32">
        <v>6</v>
      </c>
      <c r="BE80" s="50"/>
      <c r="BF80" s="50"/>
      <c r="BG80" s="32"/>
      <c r="BH80" s="50"/>
    </row>
    <row r="81" spans="1:60" ht="12.95" customHeight="1">
      <c r="A81" s="39"/>
      <c r="B81" s="40" t="s">
        <v>447</v>
      </c>
      <c r="C81" s="412">
        <f t="shared" si="148"/>
        <v>2.6175676800000001</v>
      </c>
      <c r="D81" s="40" t="s">
        <v>302</v>
      </c>
      <c r="E81" s="41">
        <v>13</v>
      </c>
      <c r="F81" s="41">
        <v>1</v>
      </c>
      <c r="G81" s="497">
        <v>1230</v>
      </c>
      <c r="H81" s="43">
        <f>+N81</f>
        <v>0.24</v>
      </c>
      <c r="I81" s="44">
        <v>0.88</v>
      </c>
      <c r="J81" s="81">
        <f t="shared" si="149"/>
        <v>47.948509440000002</v>
      </c>
      <c r="K81" s="81">
        <f t="shared" si="150"/>
        <v>2.683006872</v>
      </c>
      <c r="L81" s="34">
        <v>1200</v>
      </c>
      <c r="M81" s="34">
        <v>912</v>
      </c>
      <c r="N81" s="45">
        <f t="shared" si="151"/>
        <v>0.24</v>
      </c>
      <c r="O81" s="46">
        <f>+'Trim Rwd'!H45</f>
        <v>266</v>
      </c>
      <c r="P81" s="47">
        <f t="shared" si="152"/>
        <v>20482</v>
      </c>
      <c r="Q81" s="46">
        <v>83</v>
      </c>
      <c r="R81" s="498">
        <v>0</v>
      </c>
      <c r="S81" s="498">
        <v>6</v>
      </c>
      <c r="T81" s="36">
        <f t="shared" si="153"/>
        <v>2.6175676800000001</v>
      </c>
      <c r="U81" s="36">
        <f t="shared" si="154"/>
        <v>2.4283459199999999</v>
      </c>
      <c r="V81" s="36">
        <f t="shared" si="155"/>
        <v>0.19395230399999999</v>
      </c>
      <c r="W81" s="36">
        <f>+'15'!K12/1000</f>
        <v>5.3789999999999996</v>
      </c>
      <c r="X81" s="37"/>
      <c r="Y81" s="210"/>
      <c r="Z81" s="36">
        <f>+'12'!D32/1000</f>
        <v>0</v>
      </c>
      <c r="AA81" s="36"/>
      <c r="AB81" s="36"/>
      <c r="AC81" s="36">
        <f>K81-T81</f>
        <v>6.5439191999999924E-2</v>
      </c>
      <c r="AD81" s="36">
        <f>+AM81+BC81</f>
        <v>0</v>
      </c>
      <c r="AE81" s="228" t="s">
        <v>427</v>
      </c>
      <c r="AF81" s="36"/>
      <c r="AG81" s="36">
        <v>0</v>
      </c>
      <c r="AH81" s="36"/>
      <c r="AI81" s="500"/>
      <c r="AJ81" s="36"/>
      <c r="AK81" s="36"/>
      <c r="AL81" s="36"/>
      <c r="AM81" s="36">
        <f t="shared" si="156"/>
        <v>0</v>
      </c>
      <c r="AN81" s="82"/>
      <c r="AO81" s="36"/>
      <c r="AP81" s="36"/>
      <c r="AQ81" s="36"/>
      <c r="AR81" s="36">
        <f t="shared" ref="AR81:AR83" si="157"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>
        <f>+AR81+AS81+AU81+AW81+AY81+BB81</f>
        <v>0</v>
      </c>
      <c r="BD81" s="49"/>
      <c r="BE81" s="50">
        <v>0</v>
      </c>
      <c r="BF81" s="50"/>
      <c r="BG81" s="49"/>
      <c r="BH81" s="50"/>
    </row>
    <row r="82" spans="1:60" ht="12.95" customHeight="1">
      <c r="A82" s="39"/>
      <c r="B82" s="40" t="s">
        <v>447</v>
      </c>
      <c r="C82" s="412">
        <f t="shared" ref="C82" si="158">(M82*E82*O82*Q82)/100000000</f>
        <v>39.731340000000003</v>
      </c>
      <c r="D82" s="40" t="s">
        <v>302</v>
      </c>
      <c r="E82" s="41">
        <v>16</v>
      </c>
      <c r="F82" s="41">
        <v>1</v>
      </c>
      <c r="G82" s="497">
        <v>1180</v>
      </c>
      <c r="H82" s="43">
        <f>+N82</f>
        <v>0.26</v>
      </c>
      <c r="I82" s="44">
        <v>0.88</v>
      </c>
      <c r="J82" s="81">
        <f t="shared" ref="J82" si="159">E82*G82*(1-H82)*1440/1000000*2.74</f>
        <v>55.124766720000011</v>
      </c>
      <c r="K82" s="81">
        <f t="shared" ref="K82" si="160">(IF(G82&lt;L82,L82,G82)*(1-IF(H82&lt;N82,H82,N82))*E82*O82*Q82)/100000000</f>
        <v>43.530766399999997</v>
      </c>
      <c r="L82" s="34">
        <v>1077.007943512798</v>
      </c>
      <c r="M82" s="34">
        <v>796.98587819947045</v>
      </c>
      <c r="N82" s="45">
        <f t="shared" ref="N82" si="161">1-(M82/L82)</f>
        <v>0.26</v>
      </c>
      <c r="O82" s="46">
        <f>+'Trim Rwd'!H47</f>
        <v>275</v>
      </c>
      <c r="P82" s="47">
        <f t="shared" ref="P82" si="162">O82*(Q82-R82-S82)</f>
        <v>300850</v>
      </c>
      <c r="Q82" s="46">
        <v>1133</v>
      </c>
      <c r="R82" s="498">
        <v>0</v>
      </c>
      <c r="S82" s="498">
        <f>60-S80-S81</f>
        <v>39</v>
      </c>
      <c r="T82" s="36">
        <f t="shared" ref="T82" si="163">E82*M82*O82*Q82/100000000</f>
        <v>39.731340000000003</v>
      </c>
      <c r="U82" s="36">
        <f t="shared" ref="U82" si="164">E82*M82*O82*(Q82-R82-S82)/100000000</f>
        <v>38.363712233009707</v>
      </c>
      <c r="V82" s="36">
        <f t="shared" ref="V82" si="165">E82*G82*(1-N82)*O82/100*(R82+S82)/1000000</f>
        <v>1.4984112000000003</v>
      </c>
      <c r="W82" s="36">
        <f>+'15'!K13/1000</f>
        <v>28.78</v>
      </c>
      <c r="X82" s="37"/>
      <c r="Y82" s="210"/>
      <c r="Z82" s="36">
        <f>+'15'!D25/1000</f>
        <v>1.3360000000000001</v>
      </c>
      <c r="AA82" s="36"/>
      <c r="AB82" s="36"/>
      <c r="AC82" s="36">
        <f>K82-T82</f>
        <v>3.7994263999999944</v>
      </c>
      <c r="AD82" s="36">
        <f>+AM82+BC82</f>
        <v>46</v>
      </c>
      <c r="AE82" s="228" t="s">
        <v>575</v>
      </c>
      <c r="AF82" s="32"/>
      <c r="AG82" s="32"/>
      <c r="AH82" s="32">
        <v>46</v>
      </c>
      <c r="AJ82" s="36"/>
      <c r="AK82" s="36"/>
      <c r="AL82" s="36"/>
      <c r="AM82" s="36">
        <f t="shared" si="156"/>
        <v>46</v>
      </c>
      <c r="AN82" s="36"/>
      <c r="AO82" s="36"/>
      <c r="AP82" s="36"/>
      <c r="AQ82" s="36"/>
      <c r="AR82" s="36">
        <f t="shared" si="157"/>
        <v>0</v>
      </c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>
        <f>+AR82+AS82+AU82+AW82+AY82+BB82</f>
        <v>0</v>
      </c>
      <c r="BD82" s="32"/>
      <c r="BE82" s="501"/>
      <c r="BF82" s="501"/>
      <c r="BG82" s="32"/>
      <c r="BH82" s="501"/>
    </row>
    <row r="83" spans="1:60" ht="12.95" customHeight="1">
      <c r="A83" s="39"/>
      <c r="B83" s="40"/>
      <c r="C83" s="412"/>
      <c r="D83" s="40"/>
      <c r="E83" s="41"/>
      <c r="F83" s="41"/>
      <c r="G83" s="42"/>
      <c r="H83" s="43"/>
      <c r="I83" s="44"/>
      <c r="J83" s="81"/>
      <c r="K83" s="81"/>
      <c r="L83" s="34"/>
      <c r="M83" s="34"/>
      <c r="N83" s="45"/>
      <c r="O83" s="46"/>
      <c r="P83" s="47"/>
      <c r="Q83" s="33"/>
      <c r="R83" s="498"/>
      <c r="S83" s="498"/>
      <c r="T83" s="36"/>
      <c r="U83" s="36"/>
      <c r="V83" s="36"/>
      <c r="W83" s="36"/>
      <c r="X83" s="37"/>
      <c r="Y83" s="210"/>
      <c r="Z83" s="36"/>
      <c r="AA83" s="36"/>
      <c r="AB83" s="36"/>
      <c r="AC83" s="36"/>
      <c r="AD83" s="36">
        <f>+AM83+BC83</f>
        <v>0</v>
      </c>
      <c r="AE83" s="231" t="s">
        <v>378</v>
      </c>
      <c r="AF83" s="36"/>
      <c r="AG83" s="36"/>
      <c r="AH83" s="36"/>
      <c r="AI83" s="500">
        <v>0</v>
      </c>
      <c r="AJ83" s="36"/>
      <c r="AK83" s="36"/>
      <c r="AL83" s="36"/>
      <c r="AM83" s="36">
        <f t="shared" si="156"/>
        <v>0</v>
      </c>
      <c r="AN83" s="36"/>
      <c r="AO83" s="36"/>
      <c r="AP83" s="36"/>
      <c r="AQ83" s="36"/>
      <c r="AR83" s="36">
        <f t="shared" si="157"/>
        <v>0</v>
      </c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>
        <f>+AR83+AS83+AU83+AW83+AY83+BB83</f>
        <v>0</v>
      </c>
      <c r="BD83" s="49"/>
      <c r="BE83" s="50"/>
      <c r="BF83" s="50"/>
      <c r="BG83" s="49"/>
      <c r="BH83" s="50"/>
    </row>
    <row r="84" spans="1:60" ht="13.5" customHeight="1">
      <c r="A84" s="39"/>
      <c r="B84" s="40"/>
      <c r="C84" s="412"/>
      <c r="D84" s="40"/>
      <c r="E84" s="41"/>
      <c r="F84" s="41"/>
      <c r="G84" s="497"/>
      <c r="H84" s="43"/>
      <c r="I84" s="44"/>
      <c r="J84" s="81"/>
      <c r="K84" s="81"/>
      <c r="L84" s="34"/>
      <c r="M84" s="34"/>
      <c r="N84" s="45"/>
      <c r="O84" s="46"/>
      <c r="P84" s="47"/>
      <c r="Q84" s="46"/>
      <c r="R84" s="498"/>
      <c r="S84" s="498"/>
      <c r="T84" s="36"/>
      <c r="U84" s="36"/>
      <c r="V84" s="36"/>
      <c r="W84" s="36"/>
      <c r="X84" s="499"/>
      <c r="Y84" s="210"/>
      <c r="Z84" s="36"/>
      <c r="AA84" s="48"/>
      <c r="AB84" s="48"/>
      <c r="AC84" s="36"/>
      <c r="AD84" s="36"/>
      <c r="AE84" s="228"/>
      <c r="AF84" s="36"/>
      <c r="AG84" s="36"/>
      <c r="AH84" s="36"/>
      <c r="AI84" s="500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2"/>
      <c r="BE84" s="50"/>
      <c r="BF84" s="50"/>
      <c r="BG84" s="50"/>
      <c r="BH84" s="50"/>
    </row>
    <row r="85" spans="1:60" ht="12.75" customHeight="1">
      <c r="A85" s="39">
        <v>46038</v>
      </c>
      <c r="B85" s="40" t="s">
        <v>447</v>
      </c>
      <c r="C85" s="412">
        <f t="shared" ref="C85" si="166">(M85*E85*O85*Q85)/100000000</f>
        <v>11.850537599999999</v>
      </c>
      <c r="D85" s="40" t="s">
        <v>302</v>
      </c>
      <c r="E85" s="41">
        <v>16</v>
      </c>
      <c r="F85" s="41">
        <v>1</v>
      </c>
      <c r="G85" s="497">
        <v>1180</v>
      </c>
      <c r="H85" s="43">
        <f>+N85</f>
        <v>0.26</v>
      </c>
      <c r="I85" s="44">
        <v>0.88</v>
      </c>
      <c r="J85" s="81">
        <f t="shared" ref="J85:J86" si="167">E85*G85*(1-H85)*1440/1000000*2.74</f>
        <v>55.124766720000011</v>
      </c>
      <c r="K85" s="81">
        <f t="shared" ref="K85:K86" si="168">(IF(G85&lt;L85,L85,G85)*(1-IF(H85&lt;N85,H85,N85))*E85*O85*Q85)/100000000</f>
        <v>12.947809599999999</v>
      </c>
      <c r="L85" s="34">
        <v>1080</v>
      </c>
      <c r="M85" s="34">
        <v>799.2</v>
      </c>
      <c r="N85" s="45">
        <f t="shared" ref="N85:N86" si="169">1-(M85/L85)</f>
        <v>0.26</v>
      </c>
      <c r="O85" s="46">
        <f>+'Trim Rwd'!H49</f>
        <v>275</v>
      </c>
      <c r="P85" s="47">
        <f t="shared" ref="P85:P86" si="170">O85*(Q85-R85-S85)</f>
        <v>88825</v>
      </c>
      <c r="Q85" s="46">
        <v>337</v>
      </c>
      <c r="R85" s="498">
        <v>0</v>
      </c>
      <c r="S85" s="498">
        <v>14</v>
      </c>
      <c r="T85" s="36">
        <f t="shared" ref="T85:T86" si="171">E85*M85*O85*Q85/100000000</f>
        <v>11.850537599999999</v>
      </c>
      <c r="U85" s="36">
        <f t="shared" ref="U85:U86" si="172">E85*M85*O85*(Q85-R85-S85)/100000000</f>
        <v>11.3582304</v>
      </c>
      <c r="V85" s="36">
        <f t="shared" ref="V85:V86" si="173">E85*G85*(1-N85)*O85/100*(R85+S85)/1000000</f>
        <v>0.53789120000000012</v>
      </c>
      <c r="W85" s="36">
        <f>+'16'!K12/1000</f>
        <v>27.06</v>
      </c>
      <c r="X85" s="499">
        <f>SUM(W85:W89)/SUM(K85:K89)</f>
        <v>0.81060253938061111</v>
      </c>
      <c r="Y85" s="210">
        <v>0</v>
      </c>
      <c r="Z85" s="36">
        <f>+'13'!D22/1000</f>
        <v>0</v>
      </c>
      <c r="AA85" s="48">
        <f>SUM(U85:U89)-SUM(W85:W89)-SUM(Z85:Z89)-SUM(Y85:Y89)</f>
        <v>5.5718468708384492</v>
      </c>
      <c r="AB85" s="48">
        <f>(SUM(K85:K89)-SUM(W85:W89)-SUM(Y85:Y89)-SUM(Z85:Z89)-SUM(AC85:AC89)-SUM(V85:V89))-AA85</f>
        <v>-6.9080307987105627E-2</v>
      </c>
      <c r="AC85" s="36">
        <f>K85-T85</f>
        <v>1.0972720000000002</v>
      </c>
      <c r="AD85" s="36">
        <f>+AM85+BC85</f>
        <v>8</v>
      </c>
      <c r="AE85" s="228" t="s">
        <v>550</v>
      </c>
      <c r="AF85" s="36">
        <v>8</v>
      </c>
      <c r="AG85" s="36"/>
      <c r="AH85" s="36"/>
      <c r="AI85" s="500"/>
      <c r="AJ85" s="36"/>
      <c r="AK85" s="36"/>
      <c r="AL85" s="36"/>
      <c r="AM85" s="36">
        <f t="shared" ref="AM85:AM88" si="174">SUM(AF85:AL85)+AT85+AV85+AX85</f>
        <v>8</v>
      </c>
      <c r="AN85" s="36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>
        <f>+AR85+AS85+AU85+AW85+AY85+BB85</f>
        <v>0</v>
      </c>
      <c r="BD85" s="32">
        <v>4</v>
      </c>
      <c r="BE85" s="50"/>
      <c r="BF85" s="50"/>
      <c r="BG85" s="32"/>
      <c r="BH85" s="50"/>
    </row>
    <row r="86" spans="1:60" ht="12.95" customHeight="1">
      <c r="A86" s="39"/>
      <c r="B86" s="40" t="s">
        <v>447</v>
      </c>
      <c r="C86" s="412">
        <f t="shared" ref="C86" si="175">(M86*E86*O86*Q86)/100000000</f>
        <v>34.691502329872343</v>
      </c>
      <c r="D86" s="40" t="s">
        <v>302</v>
      </c>
      <c r="E86" s="41">
        <v>13</v>
      </c>
      <c r="F86" s="41">
        <v>1</v>
      </c>
      <c r="G86" s="497">
        <v>1230</v>
      </c>
      <c r="H86" s="43">
        <f>+N86</f>
        <v>0.24435369254295225</v>
      </c>
      <c r="I86" s="44">
        <v>0.88</v>
      </c>
      <c r="J86" s="81">
        <f t="shared" si="167"/>
        <v>47.673834350533426</v>
      </c>
      <c r="K86" s="81">
        <f t="shared" si="168"/>
        <v>35.280512050549092</v>
      </c>
      <c r="L86" s="34">
        <v>1209.4650951949229</v>
      </c>
      <c r="M86" s="34">
        <v>913.9278331822303</v>
      </c>
      <c r="N86" s="45">
        <f t="shared" si="169"/>
        <v>0.24435369254295225</v>
      </c>
      <c r="O86" s="46">
        <f>+'Trim Rwd'!H50</f>
        <v>264.72340425531917</v>
      </c>
      <c r="P86" s="47">
        <f t="shared" si="170"/>
        <v>280342.08510638302</v>
      </c>
      <c r="Q86" s="46">
        <v>1103</v>
      </c>
      <c r="R86" s="498">
        <v>0</v>
      </c>
      <c r="S86" s="498">
        <f>58-S85</f>
        <v>44</v>
      </c>
      <c r="T86" s="36">
        <f t="shared" si="171"/>
        <v>34.691502329872343</v>
      </c>
      <c r="U86" s="36">
        <f t="shared" si="172"/>
        <v>33.307616470838447</v>
      </c>
      <c r="V86" s="36">
        <f t="shared" si="173"/>
        <v>1.4073821670209972</v>
      </c>
      <c r="W86" s="36">
        <f>+'16'!K13/1000</f>
        <v>12.034000000000001</v>
      </c>
      <c r="X86" s="37"/>
      <c r="Y86" s="210"/>
      <c r="Z86" s="36"/>
      <c r="AA86" s="36"/>
      <c r="AB86" s="36"/>
      <c r="AC86" s="36">
        <f>K86-T86</f>
        <v>0.58900972067674928</v>
      </c>
      <c r="AD86" s="36">
        <f>+AM86+BC86</f>
        <v>0</v>
      </c>
      <c r="AE86" s="228" t="s">
        <v>427</v>
      </c>
      <c r="AF86" s="36"/>
      <c r="AG86" s="36">
        <v>0</v>
      </c>
      <c r="AH86" s="36"/>
      <c r="AI86" s="500"/>
      <c r="AJ86" s="36"/>
      <c r="AK86" s="36"/>
      <c r="AL86" s="36"/>
      <c r="AM86" s="36">
        <f t="shared" si="174"/>
        <v>0</v>
      </c>
      <c r="AN86" s="82"/>
      <c r="AO86" s="36"/>
      <c r="AP86" s="36"/>
      <c r="AQ86" s="36"/>
      <c r="AR86" s="36">
        <f t="shared" ref="AR86:AR88" si="176"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>
        <f>+AR86+AS86+AU86+AW86+AY86+BB86</f>
        <v>0</v>
      </c>
      <c r="BD86" s="49"/>
      <c r="BE86" s="50">
        <v>0</v>
      </c>
      <c r="BF86" s="50"/>
      <c r="BG86" s="49"/>
      <c r="BH86" s="50"/>
    </row>
    <row r="87" spans="1:60" ht="12.95" customHeight="1">
      <c r="A87" s="39"/>
      <c r="B87" s="40"/>
      <c r="C87" s="412"/>
      <c r="D87" s="40"/>
      <c r="E87" s="41"/>
      <c r="F87" s="41"/>
      <c r="G87" s="42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498"/>
      <c r="S87" s="498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+AM87+BC87</f>
        <v>50</v>
      </c>
      <c r="AE87" s="228" t="s">
        <v>430</v>
      </c>
      <c r="AF87" s="32"/>
      <c r="AG87" s="32"/>
      <c r="AH87" s="32">
        <v>50</v>
      </c>
      <c r="AJ87" s="36"/>
      <c r="AK87" s="36"/>
      <c r="AL87" s="36"/>
      <c r="AM87" s="36">
        <f t="shared" si="174"/>
        <v>50</v>
      </c>
      <c r="AN87" s="36"/>
      <c r="AO87" s="36"/>
      <c r="AP87" s="36"/>
      <c r="AQ87" s="36"/>
      <c r="AR87" s="36">
        <f t="shared" si="176"/>
        <v>0</v>
      </c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>
        <f>+AR87+AS87+AU87+AW87+AY87+BB87</f>
        <v>0</v>
      </c>
      <c r="BD87" s="32"/>
      <c r="BE87" s="501"/>
      <c r="BF87" s="501"/>
      <c r="BG87" s="32"/>
      <c r="BH87" s="501"/>
    </row>
    <row r="88" spans="1:60" ht="12.95" customHeight="1">
      <c r="A88" s="39"/>
      <c r="B88" s="40"/>
      <c r="C88" s="412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33"/>
      <c r="R88" s="498"/>
      <c r="S88" s="498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+AM88+BC88</f>
        <v>0</v>
      </c>
      <c r="AE88" s="231" t="s">
        <v>378</v>
      </c>
      <c r="AF88" s="36"/>
      <c r="AG88" s="36"/>
      <c r="AH88" s="36"/>
      <c r="AI88" s="500">
        <v>0</v>
      </c>
      <c r="AJ88" s="36"/>
      <c r="AK88" s="36"/>
      <c r="AL88" s="36"/>
      <c r="AM88" s="36">
        <f t="shared" si="174"/>
        <v>0</v>
      </c>
      <c r="AN88" s="36"/>
      <c r="AO88" s="36"/>
      <c r="AP88" s="36"/>
      <c r="AQ88" s="36"/>
      <c r="AR88" s="36">
        <f t="shared" si="176"/>
        <v>0</v>
      </c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>
        <f>+AR88+AS88+AU88+AW88+AY88+BB88</f>
        <v>0</v>
      </c>
      <c r="BD88" s="49"/>
      <c r="BE88" s="50"/>
      <c r="BF88" s="50"/>
      <c r="BG88" s="49"/>
      <c r="BH88" s="50"/>
    </row>
    <row r="89" spans="1:60" ht="13.5" customHeight="1">
      <c r="A89" s="39"/>
      <c r="B89" s="40"/>
      <c r="C89" s="412"/>
      <c r="D89" s="40"/>
      <c r="E89" s="41"/>
      <c r="F89" s="41"/>
      <c r="G89" s="497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498"/>
      <c r="S89" s="498"/>
      <c r="T89" s="36"/>
      <c r="U89" s="36"/>
      <c r="V89" s="36"/>
      <c r="W89" s="36"/>
      <c r="X89" s="499"/>
      <c r="Y89" s="210"/>
      <c r="Z89" s="36"/>
      <c r="AA89" s="48"/>
      <c r="AB89" s="48"/>
      <c r="AC89" s="36"/>
      <c r="AD89" s="36"/>
      <c r="AE89" s="228"/>
      <c r="AF89" s="36"/>
      <c r="AG89" s="36"/>
      <c r="AH89" s="36"/>
      <c r="AI89" s="500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2"/>
      <c r="BE89" s="50"/>
      <c r="BF89" s="50"/>
      <c r="BG89" s="50"/>
      <c r="BH89" s="50"/>
    </row>
    <row r="90" spans="1:60" ht="12.75" customHeight="1">
      <c r="A90" s="39">
        <v>46039</v>
      </c>
      <c r="B90" s="40" t="s">
        <v>447</v>
      </c>
      <c r="C90" s="412">
        <f t="shared" ref="C90" si="177">(M90*E90*O90*Q90)/100000000</f>
        <v>45.31209072</v>
      </c>
      <c r="D90" s="40" t="s">
        <v>302</v>
      </c>
      <c r="E90" s="41">
        <v>13</v>
      </c>
      <c r="F90" s="41">
        <v>1</v>
      </c>
      <c r="G90" s="497">
        <v>1230</v>
      </c>
      <c r="H90" s="43">
        <f>+N90</f>
        <v>0.24</v>
      </c>
      <c r="I90" s="44">
        <v>0.88</v>
      </c>
      <c r="J90" s="81">
        <f t="shared" ref="J90" si="178">E90*G90*(1-H90)*1440/1000000*2.74</f>
        <v>47.948509440000002</v>
      </c>
      <c r="K90" s="81">
        <f t="shared" ref="K90" si="179">(IF(G90&lt;L90,L90,G90)*(1-IF(H90&lt;N90,H90,N90))*E90*O90*Q90)/100000000</f>
        <v>45.498585599999998</v>
      </c>
      <c r="L90" s="34">
        <v>1224.9583333333333</v>
      </c>
      <c r="M90" s="34">
        <v>930.96833333333325</v>
      </c>
      <c r="N90" s="45">
        <f t="shared" ref="N90" si="180">1-(M90/L90)</f>
        <v>0.24</v>
      </c>
      <c r="O90" s="46">
        <f>+'Trim Rwd'!H53</f>
        <v>260</v>
      </c>
      <c r="P90" s="47">
        <f t="shared" ref="P90" si="181">O90*(Q90-R90-S90)</f>
        <v>354380</v>
      </c>
      <c r="Q90" s="46">
        <v>1440</v>
      </c>
      <c r="R90" s="498">
        <v>0</v>
      </c>
      <c r="S90" s="498">
        <v>77</v>
      </c>
      <c r="T90" s="36">
        <f t="shared" ref="T90" si="182">E90*M90*O90*Q90/100000000</f>
        <v>45.31209072</v>
      </c>
      <c r="U90" s="36">
        <f t="shared" ref="U90" si="183">E90*M90*O90*(Q90-R90-S90)/100000000</f>
        <v>42.889152535666668</v>
      </c>
      <c r="V90" s="36">
        <f t="shared" ref="V90" si="184">E90*G90*(1-N90)*O90/100*(R90+S90)/1000000</f>
        <v>2.4329104799999999</v>
      </c>
      <c r="W90" s="36">
        <f>+'17'!K12/1000</f>
        <v>43.94</v>
      </c>
      <c r="X90" s="499">
        <f>SUM(W90:W94)/SUM(K90:K94)</f>
        <v>0.96574430656587262</v>
      </c>
      <c r="Y90" s="210">
        <v>0</v>
      </c>
      <c r="Z90" s="36">
        <f>+'17'!D34/1000</f>
        <v>0.52700000000000002</v>
      </c>
      <c r="AA90" s="48">
        <f>SUM(U90:U94)-SUM(W90:W94)-SUM(Z90:Z94)-SUM(Y90:Y94)</f>
        <v>-1.5778474643333302</v>
      </c>
      <c r="AB90" s="48">
        <f>(SUM(K90:K94)-SUM(W90:W94)-SUM(Y90:Y94)-SUM(Z90:Z94)-SUM(AC90:AC94)-SUM(V90:V94))-AA90</f>
        <v>-9.9722956666670193E-3</v>
      </c>
      <c r="AC90" s="36">
        <f>K90-T90</f>
        <v>0.18649487999999792</v>
      </c>
      <c r="AD90" s="36">
        <f>+AM90+BC90</f>
        <v>16</v>
      </c>
      <c r="AE90" s="228" t="s">
        <v>429</v>
      </c>
      <c r="AF90" s="36">
        <v>16</v>
      </c>
      <c r="AG90" s="36"/>
      <c r="AH90" s="36"/>
      <c r="AI90" s="500"/>
      <c r="AJ90" s="36"/>
      <c r="AK90" s="36"/>
      <c r="AL90" s="36"/>
      <c r="AM90" s="36">
        <f t="shared" ref="AM90:AM93" si="185">SUM(AF90:AL90)+AT90+AV90+AX90</f>
        <v>16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>
        <f>+AR90+AS90+AU90+AW90+AY90+BB90</f>
        <v>0</v>
      </c>
      <c r="BD90" s="32">
        <v>6</v>
      </c>
      <c r="BE90" s="50"/>
      <c r="BF90" s="50"/>
      <c r="BG90" s="32"/>
      <c r="BH90" s="50"/>
    </row>
    <row r="91" spans="1:60" ht="12.95" customHeight="1">
      <c r="A91" s="39"/>
      <c r="B91" s="40"/>
      <c r="C91" s="412"/>
      <c r="D91" s="40"/>
      <c r="E91" s="41"/>
      <c r="F91" s="41"/>
      <c r="G91" s="497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498"/>
      <c r="S91" s="498"/>
      <c r="T91" s="36"/>
      <c r="U91" s="36"/>
      <c r="V91" s="36"/>
      <c r="W91" s="36"/>
      <c r="X91" s="37"/>
      <c r="Y91" s="210"/>
      <c r="Z91" s="36"/>
      <c r="AA91" s="36"/>
      <c r="AB91" s="36"/>
      <c r="AC91" s="36">
        <f>K91-T91</f>
        <v>0</v>
      </c>
      <c r="AD91" s="36">
        <f>+AM91+BC91</f>
        <v>0</v>
      </c>
      <c r="AE91" s="228" t="s">
        <v>427</v>
      </c>
      <c r="AF91" s="36"/>
      <c r="AG91" s="36">
        <v>0</v>
      </c>
      <c r="AH91" s="36"/>
      <c r="AI91" s="500"/>
      <c r="AJ91" s="36"/>
      <c r="AK91" s="36"/>
      <c r="AL91" s="36"/>
      <c r="AM91" s="36">
        <f t="shared" si="185"/>
        <v>0</v>
      </c>
      <c r="AN91" s="82"/>
      <c r="AO91" s="36"/>
      <c r="AP91" s="36"/>
      <c r="AQ91" s="36"/>
      <c r="AR91" s="36">
        <f t="shared" ref="AR91:AR93" si="186"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>
        <f>+AR91+AS91+AU91+AW91+AY91+BB91</f>
        <v>0</v>
      </c>
      <c r="BD91" s="49"/>
      <c r="BE91" s="50">
        <v>0</v>
      </c>
      <c r="BF91" s="50"/>
      <c r="BG91" s="49"/>
      <c r="BH91" s="50"/>
    </row>
    <row r="92" spans="1:60" ht="12.95" customHeight="1">
      <c r="A92" s="39"/>
      <c r="B92" s="40"/>
      <c r="C92" s="412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498"/>
      <c r="S92" s="498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+AM92+BC92</f>
        <v>61</v>
      </c>
      <c r="AE92" s="228" t="s">
        <v>481</v>
      </c>
      <c r="AF92" s="32"/>
      <c r="AG92" s="32"/>
      <c r="AH92" s="32">
        <v>61</v>
      </c>
      <c r="AJ92" s="36"/>
      <c r="AK92" s="36"/>
      <c r="AL92" s="36"/>
      <c r="AM92" s="36">
        <f t="shared" si="185"/>
        <v>61</v>
      </c>
      <c r="AN92" s="36"/>
      <c r="AO92" s="36"/>
      <c r="AP92" s="36"/>
      <c r="AQ92" s="36"/>
      <c r="AR92" s="36">
        <f t="shared" si="186"/>
        <v>0</v>
      </c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>
        <f>+AR92+AS92+AU92+AW92+AY92+BB92</f>
        <v>0</v>
      </c>
      <c r="BD92" s="32"/>
      <c r="BE92" s="501"/>
      <c r="BF92" s="501"/>
      <c r="BG92" s="32"/>
      <c r="BH92" s="501"/>
    </row>
    <row r="93" spans="1:60" ht="12.95" customHeight="1">
      <c r="A93" s="39"/>
      <c r="B93" s="40"/>
      <c r="C93" s="412"/>
      <c r="D93" s="40"/>
      <c r="E93" s="41"/>
      <c r="F93" s="41"/>
      <c r="G93" s="42"/>
      <c r="H93" s="43"/>
      <c r="I93" s="44"/>
      <c r="J93" s="81"/>
      <c r="K93" s="81"/>
      <c r="L93" s="34"/>
      <c r="M93" s="34"/>
      <c r="N93" s="45"/>
      <c r="O93" s="46"/>
      <c r="P93" s="47"/>
      <c r="Q93" s="33"/>
      <c r="R93" s="498"/>
      <c r="S93" s="498"/>
      <c r="T93" s="36"/>
      <c r="U93" s="36"/>
      <c r="V93" s="36"/>
      <c r="W93" s="36"/>
      <c r="X93" s="37"/>
      <c r="Y93" s="210"/>
      <c r="Z93" s="36"/>
      <c r="AA93" s="36"/>
      <c r="AB93" s="36"/>
      <c r="AC93" s="36"/>
      <c r="AD93" s="36">
        <f>+AM93+BC93</f>
        <v>0</v>
      </c>
      <c r="AE93" s="231" t="s">
        <v>378</v>
      </c>
      <c r="AF93" s="36"/>
      <c r="AG93" s="36"/>
      <c r="AH93" s="36"/>
      <c r="AI93" s="500">
        <v>0</v>
      </c>
      <c r="AJ93" s="36"/>
      <c r="AK93" s="36"/>
      <c r="AL93" s="36"/>
      <c r="AM93" s="36">
        <f t="shared" si="185"/>
        <v>0</v>
      </c>
      <c r="AN93" s="36"/>
      <c r="AO93" s="36"/>
      <c r="AP93" s="36"/>
      <c r="AQ93" s="36"/>
      <c r="AR93" s="36">
        <f t="shared" si="186"/>
        <v>0</v>
      </c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>
        <f>+AR93+AS93+AU93+AW93+AY93+BB93</f>
        <v>0</v>
      </c>
      <c r="BD93" s="49"/>
      <c r="BE93" s="50"/>
      <c r="BF93" s="50"/>
      <c r="BG93" s="49"/>
      <c r="BH93" s="50"/>
    </row>
    <row r="94" spans="1:60" ht="13.5" customHeight="1">
      <c r="A94" s="39"/>
      <c r="B94" s="40"/>
      <c r="C94" s="412"/>
      <c r="D94" s="40"/>
      <c r="E94" s="41"/>
      <c r="F94" s="41"/>
      <c r="G94" s="497"/>
      <c r="H94" s="43"/>
      <c r="I94" s="44"/>
      <c r="J94" s="81"/>
      <c r="K94" s="81"/>
      <c r="L94" s="34"/>
      <c r="M94" s="34"/>
      <c r="N94" s="45"/>
      <c r="O94" s="46"/>
      <c r="P94" s="47"/>
      <c r="Q94" s="46"/>
      <c r="R94" s="498"/>
      <c r="S94" s="498"/>
      <c r="T94" s="36"/>
      <c r="U94" s="36"/>
      <c r="V94" s="36"/>
      <c r="W94" s="36"/>
      <c r="X94" s="499"/>
      <c r="Y94" s="210"/>
      <c r="Z94" s="36"/>
      <c r="AA94" s="48"/>
      <c r="AB94" s="48"/>
      <c r="AC94" s="36"/>
      <c r="AD94" s="36"/>
      <c r="AE94" s="228"/>
      <c r="AF94" s="36"/>
      <c r="AG94" s="36"/>
      <c r="AH94" s="36"/>
      <c r="AI94" s="500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2"/>
      <c r="BE94" s="50"/>
      <c r="BF94" s="50"/>
      <c r="BG94" s="50"/>
      <c r="BH94" s="50"/>
    </row>
    <row r="95" spans="1:60" ht="12.75" customHeight="1">
      <c r="A95" s="39">
        <v>46040</v>
      </c>
      <c r="B95" s="40" t="s">
        <v>447</v>
      </c>
      <c r="C95" s="412">
        <f t="shared" ref="C95" si="187">(M95*E95*O95*Q95)/100000000</f>
        <v>15.166195200000001</v>
      </c>
      <c r="D95" s="40" t="s">
        <v>302</v>
      </c>
      <c r="E95" s="41">
        <v>13</v>
      </c>
      <c r="F95" s="41">
        <v>1</v>
      </c>
      <c r="G95" s="497">
        <v>1230</v>
      </c>
      <c r="H95" s="43">
        <f>+N95</f>
        <v>0.24</v>
      </c>
      <c r="I95" s="44">
        <v>0.88</v>
      </c>
      <c r="J95" s="81">
        <f t="shared" ref="J95" si="188">E95*G95*(1-H95)*1440/1000000*2.74</f>
        <v>47.948509440000002</v>
      </c>
      <c r="K95" s="81">
        <f t="shared" ref="K95" si="189">(IF(G95&lt;L95,L95,G95)*(1-IF(H95&lt;N95,H95,N95))*E95*O95*Q95)/100000000</f>
        <v>15.166195200000001</v>
      </c>
      <c r="L95" s="34">
        <v>1230</v>
      </c>
      <c r="M95" s="34">
        <v>934.8</v>
      </c>
      <c r="N95" s="45">
        <f t="shared" ref="N95" si="190">1-(M95/L95)</f>
        <v>0.24</v>
      </c>
      <c r="O95" s="46">
        <f>+'Trim Rwd'!H55</f>
        <v>260</v>
      </c>
      <c r="P95" s="47">
        <f t="shared" ref="P95" si="191">O95*(Q95-R95-S95)</f>
        <v>119600</v>
      </c>
      <c r="Q95" s="46">
        <v>480</v>
      </c>
      <c r="R95" s="498">
        <v>0</v>
      </c>
      <c r="S95" s="498">
        <v>20</v>
      </c>
      <c r="T95" s="36">
        <f t="shared" ref="T95" si="192">E95*M95*O95*Q95/100000000</f>
        <v>15.166195200000001</v>
      </c>
      <c r="U95" s="36">
        <f t="shared" ref="U95" si="193">E95*M95*O95*(Q95-R95-S95)/100000000</f>
        <v>14.5342704</v>
      </c>
      <c r="V95" s="36">
        <f t="shared" ref="V95" si="194">E95*G95*(1-N95)*O95/100*(R95+S95)/1000000</f>
        <v>0.63192480000000006</v>
      </c>
      <c r="W95" s="36">
        <f>+'18'!K12/1000</f>
        <v>15.583</v>
      </c>
      <c r="X95" s="499">
        <f>SUM(W95:W99)/SUM(K95:K99)</f>
        <v>0.87883815059360693</v>
      </c>
      <c r="Y95" s="210">
        <v>0</v>
      </c>
      <c r="Z95" s="36">
        <f>+'13'!D32/1000</f>
        <v>0</v>
      </c>
      <c r="AA95" s="48">
        <f>SUM(U95:U99)-SUM(W95:W99)-SUM(Z95:Z99)-SUM(Y95:Y99)</f>
        <v>2.2560716000000021</v>
      </c>
      <c r="AB95" s="48">
        <f>(SUM(K95:K99)-SUM(W95:W99)-SUM(Y95:Y99)-SUM(Z95:Z99)-SUM(AC95:AC99)-SUM(V95:V99))-AA95</f>
        <v>0</v>
      </c>
      <c r="AC95" s="36">
        <f>K95-T95</f>
        <v>0</v>
      </c>
      <c r="AD95" s="36">
        <f>+AM95+BC95</f>
        <v>23</v>
      </c>
      <c r="AE95" s="228" t="s">
        <v>552</v>
      </c>
      <c r="AF95" s="36">
        <v>23</v>
      </c>
      <c r="AG95" s="36"/>
      <c r="AH95" s="36"/>
      <c r="AI95" s="500"/>
      <c r="AJ95" s="36"/>
      <c r="AK95" s="36"/>
      <c r="AL95" s="36"/>
      <c r="AM95" s="36">
        <f t="shared" ref="AM95:AM98" si="195">SUM(AF95:AL95)+AT95+AV95+AX95</f>
        <v>23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>
        <f>+AR95+AS95+AU95+AW95+AY95+BB95</f>
        <v>0</v>
      </c>
      <c r="BD95" s="32">
        <v>8</v>
      </c>
      <c r="BE95" s="50"/>
      <c r="BF95" s="50"/>
      <c r="BG95" s="32"/>
      <c r="BH95" s="50"/>
    </row>
    <row r="96" spans="1:60" ht="12.95" customHeight="1">
      <c r="A96" s="39"/>
      <c r="B96" s="40" t="s">
        <v>447</v>
      </c>
      <c r="C96" s="412">
        <f t="shared" ref="C96" si="196">(M96*E96*O96*Q96)/100000000</f>
        <v>32.225921280000001</v>
      </c>
      <c r="D96" s="40" t="s">
        <v>302</v>
      </c>
      <c r="E96" s="41">
        <v>13.5</v>
      </c>
      <c r="F96" s="41">
        <v>1</v>
      </c>
      <c r="G96" s="497">
        <v>1230</v>
      </c>
      <c r="H96" s="43">
        <f>+N96</f>
        <v>0.24</v>
      </c>
      <c r="I96" s="44">
        <v>0.88</v>
      </c>
      <c r="J96" s="81">
        <f t="shared" ref="J96" si="197">E96*G96*(1-H96)*1440/1000000*2.74</f>
        <v>49.792682880000008</v>
      </c>
      <c r="K96" s="81">
        <f t="shared" ref="K96" si="198">(IF(G96&lt;L96,L96,G96)*(1-IF(H96&lt;N96,H96,N96))*E96*O96*Q96)/100000000</f>
        <v>32.225921280000001</v>
      </c>
      <c r="L96" s="34">
        <v>1230</v>
      </c>
      <c r="M96" s="34">
        <v>934.8</v>
      </c>
      <c r="N96" s="45">
        <f t="shared" ref="N96" si="199">1-(M96/L96)</f>
        <v>0.24</v>
      </c>
      <c r="O96" s="46">
        <f>+'Trim Rwd'!H56</f>
        <v>266</v>
      </c>
      <c r="P96" s="47">
        <f t="shared" ref="P96" si="200">O96*(Q96-R96-S96)</f>
        <v>239400</v>
      </c>
      <c r="Q96" s="46">
        <f>1440-Q95</f>
        <v>960</v>
      </c>
      <c r="R96" s="498">
        <v>0</v>
      </c>
      <c r="S96" s="498">
        <f>80-S95</f>
        <v>60</v>
      </c>
      <c r="T96" s="36">
        <f t="shared" ref="T96" si="201">E96*M96*O96*Q96/100000000</f>
        <v>32.225921280000001</v>
      </c>
      <c r="U96" s="36">
        <f t="shared" ref="U96" si="202">E96*M96*O96*(Q96-R96-S96)/100000000</f>
        <v>30.2118012</v>
      </c>
      <c r="V96" s="36">
        <f t="shared" ref="V96" si="203">E96*G96*(1-N96)*O96/100*(R96+S96)/1000000</f>
        <v>2.0141200799999996</v>
      </c>
      <c r="W96" s="36">
        <f>+'18'!K9/1000</f>
        <v>26.067</v>
      </c>
      <c r="X96" s="37"/>
      <c r="Y96" s="210"/>
      <c r="Z96" s="36">
        <f>+'18'!D25/1000</f>
        <v>0.84</v>
      </c>
      <c r="AA96" s="36"/>
      <c r="AB96" s="36"/>
      <c r="AC96" s="36">
        <f>K96-T96</f>
        <v>0</v>
      </c>
      <c r="AD96" s="36">
        <f>+AM96+BC96</f>
        <v>0</v>
      </c>
      <c r="AE96" s="228" t="s">
        <v>427</v>
      </c>
      <c r="AF96" s="36"/>
      <c r="AG96" s="36">
        <v>0</v>
      </c>
      <c r="AH96" s="36"/>
      <c r="AI96" s="500"/>
      <c r="AJ96" s="36"/>
      <c r="AK96" s="36"/>
      <c r="AL96" s="36"/>
      <c r="AM96" s="36">
        <f t="shared" si="195"/>
        <v>0</v>
      </c>
      <c r="AN96" s="82"/>
      <c r="AO96" s="36"/>
      <c r="AP96" s="36"/>
      <c r="AQ96" s="36"/>
      <c r="AR96" s="36">
        <f t="shared" ref="AR96:AR98" si="204"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>
        <f>+AR96+AS96+AU96+AW96+AY96+BB96</f>
        <v>0</v>
      </c>
      <c r="BD96" s="49"/>
      <c r="BE96" s="50">
        <v>0</v>
      </c>
      <c r="BF96" s="50"/>
      <c r="BG96" s="49"/>
      <c r="BH96" s="50"/>
    </row>
    <row r="97" spans="1:60" ht="12.95" customHeight="1">
      <c r="A97" s="39"/>
      <c r="B97" s="40"/>
      <c r="C97" s="412"/>
      <c r="D97" s="40"/>
      <c r="E97" s="41"/>
      <c r="F97" s="41"/>
      <c r="G97" s="42"/>
      <c r="H97" s="43"/>
      <c r="I97" s="44"/>
      <c r="J97" s="81"/>
      <c r="K97" s="81"/>
      <c r="L97" s="34"/>
      <c r="M97" s="34"/>
      <c r="N97" s="45"/>
      <c r="O97" s="46"/>
      <c r="P97" s="47"/>
      <c r="Q97" s="46"/>
      <c r="R97" s="498"/>
      <c r="S97" s="498"/>
      <c r="T97" s="36"/>
      <c r="U97" s="36"/>
      <c r="V97" s="36"/>
      <c r="W97" s="36"/>
      <c r="X97" s="37"/>
      <c r="Y97" s="210"/>
      <c r="Z97" s="36"/>
      <c r="AA97" s="36"/>
      <c r="AB97" s="36"/>
      <c r="AC97" s="36"/>
      <c r="AD97" s="36">
        <f>+AM97+BC97</f>
        <v>49</v>
      </c>
      <c r="AE97" s="228" t="s">
        <v>430</v>
      </c>
      <c r="AF97" s="32"/>
      <c r="AG97" s="32"/>
      <c r="AH97" s="32">
        <v>49</v>
      </c>
      <c r="AJ97" s="36"/>
      <c r="AK97" s="36"/>
      <c r="AL97" s="36"/>
      <c r="AM97" s="36">
        <f t="shared" si="195"/>
        <v>49</v>
      </c>
      <c r="AN97" s="36"/>
      <c r="AO97" s="36"/>
      <c r="AP97" s="36"/>
      <c r="AQ97" s="36"/>
      <c r="AR97" s="36">
        <f t="shared" si="204"/>
        <v>0</v>
      </c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>
        <f>+AR97+AS97+AU97+AW97+AY97+BB97</f>
        <v>0</v>
      </c>
      <c r="BD97" s="32"/>
      <c r="BE97" s="501"/>
      <c r="BF97" s="501"/>
      <c r="BG97" s="32"/>
      <c r="BH97" s="501"/>
    </row>
    <row r="98" spans="1:60" ht="12.95" customHeight="1">
      <c r="A98" s="39"/>
      <c r="B98" s="40"/>
      <c r="C98" s="412"/>
      <c r="D98" s="40"/>
      <c r="E98" s="41"/>
      <c r="F98" s="41"/>
      <c r="G98" s="42"/>
      <c r="H98" s="43"/>
      <c r="I98" s="44"/>
      <c r="J98" s="81"/>
      <c r="K98" s="81"/>
      <c r="L98" s="34"/>
      <c r="M98" s="34"/>
      <c r="N98" s="45"/>
      <c r="O98" s="46"/>
      <c r="P98" s="47"/>
      <c r="Q98" s="33"/>
      <c r="R98" s="498"/>
      <c r="S98" s="498"/>
      <c r="T98" s="36"/>
      <c r="U98" s="36"/>
      <c r="V98" s="36"/>
      <c r="W98" s="36"/>
      <c r="X98" s="37"/>
      <c r="Y98" s="210"/>
      <c r="Z98" s="36"/>
      <c r="AA98" s="36"/>
      <c r="AB98" s="36"/>
      <c r="AC98" s="36"/>
      <c r="AD98" s="36">
        <f>+AM98+BC98</f>
        <v>8</v>
      </c>
      <c r="AE98" s="231" t="s">
        <v>378</v>
      </c>
      <c r="AF98" s="36"/>
      <c r="AG98" s="36"/>
      <c r="AH98" s="36"/>
      <c r="AI98" s="500">
        <v>8</v>
      </c>
      <c r="AJ98" s="36"/>
      <c r="AK98" s="36"/>
      <c r="AL98" s="36"/>
      <c r="AM98" s="36">
        <f t="shared" si="195"/>
        <v>8</v>
      </c>
      <c r="AN98" s="36"/>
      <c r="AO98" s="36"/>
      <c r="AP98" s="36"/>
      <c r="AQ98" s="36"/>
      <c r="AR98" s="36">
        <f t="shared" si="204"/>
        <v>0</v>
      </c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>
        <f>+AR98+AS98+AU98+AW98+AY98+BB98</f>
        <v>0</v>
      </c>
      <c r="BD98" s="49"/>
      <c r="BE98" s="50"/>
      <c r="BF98" s="50"/>
      <c r="BG98" s="49"/>
      <c r="BH98" s="50"/>
    </row>
    <row r="99" spans="1:60" ht="13.5" customHeight="1">
      <c r="A99" s="39"/>
      <c r="B99" s="40"/>
      <c r="C99" s="412"/>
      <c r="D99" s="40"/>
      <c r="E99" s="41"/>
      <c r="F99" s="41"/>
      <c r="G99" s="497"/>
      <c r="H99" s="43"/>
      <c r="I99" s="44"/>
      <c r="J99" s="81"/>
      <c r="K99" s="81"/>
      <c r="L99" s="34"/>
      <c r="M99" s="34"/>
      <c r="N99" s="45"/>
      <c r="O99" s="46"/>
      <c r="P99" s="47"/>
      <c r="Q99" s="46"/>
      <c r="R99" s="498"/>
      <c r="S99" s="498"/>
      <c r="T99" s="36"/>
      <c r="U99" s="36"/>
      <c r="V99" s="36"/>
      <c r="W99" s="36"/>
      <c r="X99" s="499"/>
      <c r="Y99" s="210"/>
      <c r="Z99" s="36"/>
      <c r="AA99" s="48"/>
      <c r="AB99" s="48"/>
      <c r="AC99" s="36"/>
      <c r="AD99" s="36"/>
      <c r="AE99" s="228"/>
      <c r="AF99" s="36"/>
      <c r="AG99" s="36"/>
      <c r="AH99" s="36"/>
      <c r="AI99" s="500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2"/>
      <c r="BE99" s="50"/>
      <c r="BF99" s="50"/>
      <c r="BG99" s="50"/>
      <c r="BH99" s="50"/>
    </row>
    <row r="100" spans="1:60" ht="12.75" customHeight="1">
      <c r="A100" s="39">
        <v>46041</v>
      </c>
      <c r="B100" s="40" t="s">
        <v>447</v>
      </c>
      <c r="C100" s="412">
        <f t="shared" ref="C100" si="205">(M100*E100*O100*Q100)/100000000</f>
        <v>47.509217280000001</v>
      </c>
      <c r="D100" s="40" t="s">
        <v>302</v>
      </c>
      <c r="E100" s="41">
        <v>13.5</v>
      </c>
      <c r="F100" s="41">
        <v>1</v>
      </c>
      <c r="G100" s="497">
        <v>1230</v>
      </c>
      <c r="H100" s="43">
        <f>+N100</f>
        <v>0.24</v>
      </c>
      <c r="I100" s="44">
        <v>0.88</v>
      </c>
      <c r="J100" s="81">
        <f t="shared" ref="J100" si="206">E100*G100*(1-H100)*1440/1000000*2.74</f>
        <v>49.792682880000008</v>
      </c>
      <c r="K100" s="81">
        <f t="shared" ref="K100" si="207">(IF(G100&lt;L100,L100,G100)*(1-IF(H100&lt;N100,H100,N100))*E100*O100*Q100)/100000000</f>
        <v>48.338881919999999</v>
      </c>
      <c r="L100" s="34">
        <v>1208.8888888888889</v>
      </c>
      <c r="M100" s="34">
        <v>918.75555555555559</v>
      </c>
      <c r="N100" s="45">
        <f t="shared" ref="N100" si="208">1-(M100/L100)</f>
        <v>0.24</v>
      </c>
      <c r="O100" s="46">
        <f>+'Trim Rwd'!H58</f>
        <v>266</v>
      </c>
      <c r="P100" s="47">
        <f t="shared" ref="P100" si="209">O100*(Q100-R100-S100)</f>
        <v>352982</v>
      </c>
      <c r="Q100" s="46">
        <f>1440-Q99</f>
        <v>1440</v>
      </c>
      <c r="R100" s="498">
        <v>0</v>
      </c>
      <c r="S100" s="498">
        <v>113</v>
      </c>
      <c r="T100" s="36">
        <f t="shared" ref="T100" si="210">E100*M100*O100*Q100/100000000</f>
        <v>47.509217280000001</v>
      </c>
      <c r="U100" s="36">
        <f t="shared" ref="U100" si="211">E100*M100*O100*(Q100-R100-S100)/100000000</f>
        <v>43.781063424000003</v>
      </c>
      <c r="V100" s="36">
        <f t="shared" ref="V100" si="212">E100*G100*(1-N100)*O100/100*(R100+S100)/1000000</f>
        <v>3.7932594839999996</v>
      </c>
      <c r="W100" s="36">
        <f>+'19'!K9/1000</f>
        <v>43.503</v>
      </c>
      <c r="X100" s="499">
        <f>SUM(W100:W104)/SUM(K100:K104)</f>
        <v>0.89995875519000834</v>
      </c>
      <c r="Y100" s="210">
        <v>0</v>
      </c>
      <c r="Z100" s="36">
        <v>0</v>
      </c>
      <c r="AA100" s="48">
        <f>SUM(U100:U104)-SUM(W100:W104)-SUM(Z100:Z104)-SUM(Y100:Y104)</f>
        <v>0.27806342400000261</v>
      </c>
      <c r="AB100" s="48">
        <f>(SUM(K100:K104)-SUM(W100:W104)-SUM(Y100:Y104)-SUM(Z100:Z104)-SUM(AC100:AC104)-SUM(V100:V104))-AA100</f>
        <v>-6.5105628000000859E-2</v>
      </c>
      <c r="AC100" s="36">
        <f>K100-T100</f>
        <v>0.82966463999999718</v>
      </c>
      <c r="AD100" s="36">
        <f>+AM100+BC100</f>
        <v>27</v>
      </c>
      <c r="AE100" s="228" t="s">
        <v>464</v>
      </c>
      <c r="AF100" s="36">
        <v>27</v>
      </c>
      <c r="AG100" s="36"/>
      <c r="AH100" s="36"/>
      <c r="AI100" s="500"/>
      <c r="AJ100" s="36"/>
      <c r="AK100" s="36"/>
      <c r="AL100" s="36"/>
      <c r="AM100" s="36">
        <f t="shared" ref="AM100:AM103" si="213">SUM(AF100:AL100)+AT100+AV100+AX100</f>
        <v>27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>
        <f>+AR100+AS100+AU100+AW100+AY100+BB100</f>
        <v>0</v>
      </c>
      <c r="BD100" s="32">
        <v>9</v>
      </c>
      <c r="BE100" s="50"/>
      <c r="BF100" s="50"/>
      <c r="BG100" s="32"/>
      <c r="BH100" s="50"/>
    </row>
    <row r="101" spans="1:60" ht="12.95" customHeight="1">
      <c r="A101" s="39"/>
      <c r="B101" s="40"/>
      <c r="C101" s="412"/>
      <c r="D101" s="40"/>
      <c r="E101" s="41"/>
      <c r="F101" s="41"/>
      <c r="G101" s="497"/>
      <c r="H101" s="43"/>
      <c r="I101" s="44"/>
      <c r="J101" s="81"/>
      <c r="K101" s="81"/>
      <c r="L101" s="34"/>
      <c r="M101" s="34"/>
      <c r="N101" s="45"/>
      <c r="O101" s="46"/>
      <c r="P101" s="47"/>
      <c r="Q101" s="46"/>
      <c r="R101" s="498"/>
      <c r="S101" s="498"/>
      <c r="T101" s="36"/>
      <c r="U101" s="36"/>
      <c r="V101" s="36"/>
      <c r="W101" s="36"/>
      <c r="X101" s="37"/>
      <c r="Y101" s="210"/>
      <c r="Z101" s="36"/>
      <c r="AA101" s="36"/>
      <c r="AB101" s="36"/>
      <c r="AC101" s="36">
        <f>K101-T101</f>
        <v>0</v>
      </c>
      <c r="AD101" s="36">
        <f>+AM101+BC101</f>
        <v>0</v>
      </c>
      <c r="AE101" s="228" t="s">
        <v>427</v>
      </c>
      <c r="AF101" s="36"/>
      <c r="AG101" s="36">
        <v>0</v>
      </c>
      <c r="AH101" s="36"/>
      <c r="AI101" s="500"/>
      <c r="AJ101" s="36"/>
      <c r="AK101" s="36"/>
      <c r="AL101" s="36"/>
      <c r="AM101" s="36">
        <f t="shared" si="213"/>
        <v>0</v>
      </c>
      <c r="AN101" s="82"/>
      <c r="AO101" s="36"/>
      <c r="AP101" s="36"/>
      <c r="AQ101" s="36"/>
      <c r="AR101" s="36">
        <f t="shared" ref="AR101:AR103" si="214"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>
        <f>+AR101+AS101+AU101+AW101+AY101+BB101</f>
        <v>0</v>
      </c>
      <c r="BD101" s="49"/>
      <c r="BE101" s="50">
        <v>0</v>
      </c>
      <c r="BF101" s="50"/>
      <c r="BG101" s="49"/>
      <c r="BH101" s="50"/>
    </row>
    <row r="102" spans="1:60" ht="12.95" customHeight="1">
      <c r="A102" s="39"/>
      <c r="B102" s="40"/>
      <c r="C102" s="412"/>
      <c r="D102" s="40"/>
      <c r="E102" s="41"/>
      <c r="F102" s="41"/>
      <c r="G102" s="42"/>
      <c r="H102" s="43"/>
      <c r="I102" s="44"/>
      <c r="J102" s="81"/>
      <c r="K102" s="81"/>
      <c r="L102" s="34"/>
      <c r="M102" s="34"/>
      <c r="N102" s="45"/>
      <c r="O102" s="46"/>
      <c r="P102" s="47"/>
      <c r="Q102" s="46"/>
      <c r="R102" s="498"/>
      <c r="S102" s="498"/>
      <c r="T102" s="36"/>
      <c r="U102" s="36"/>
      <c r="V102" s="36"/>
      <c r="W102" s="36"/>
      <c r="X102" s="37"/>
      <c r="Y102" s="210"/>
      <c r="Z102" s="36"/>
      <c r="AA102" s="36"/>
      <c r="AB102" s="36"/>
      <c r="AC102" s="36"/>
      <c r="AD102" s="36">
        <f>+AM102+BC102</f>
        <v>36</v>
      </c>
      <c r="AE102" s="228" t="s">
        <v>413</v>
      </c>
      <c r="AF102" s="32"/>
      <c r="AG102" s="32"/>
      <c r="AH102" s="32">
        <v>36</v>
      </c>
      <c r="AJ102" s="36"/>
      <c r="AK102" s="36"/>
      <c r="AL102" s="36"/>
      <c r="AM102" s="36">
        <f t="shared" si="213"/>
        <v>36</v>
      </c>
      <c r="AN102" s="36"/>
      <c r="AO102" s="36"/>
      <c r="AP102" s="36"/>
      <c r="AQ102" s="36"/>
      <c r="AR102" s="36">
        <f t="shared" si="214"/>
        <v>0</v>
      </c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>
        <f>+AR102+AS102+AU102+AW102+AY102+BB102</f>
        <v>0</v>
      </c>
      <c r="BD102" s="32"/>
      <c r="BE102" s="501"/>
      <c r="BF102" s="501"/>
      <c r="BG102" s="32"/>
      <c r="BH102" s="501"/>
    </row>
    <row r="103" spans="1:60" ht="12.95" customHeight="1">
      <c r="A103" s="39"/>
      <c r="B103" s="40"/>
      <c r="C103" s="412"/>
      <c r="D103" s="40"/>
      <c r="E103" s="41"/>
      <c r="F103" s="41"/>
      <c r="G103" s="42"/>
      <c r="H103" s="43"/>
      <c r="I103" s="44"/>
      <c r="J103" s="81"/>
      <c r="K103" s="81"/>
      <c r="L103" s="34"/>
      <c r="M103" s="34"/>
      <c r="N103" s="45"/>
      <c r="O103" s="46"/>
      <c r="P103" s="47"/>
      <c r="Q103" s="33"/>
      <c r="R103" s="498"/>
      <c r="S103" s="498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+AM103+BC103</f>
        <v>50</v>
      </c>
      <c r="AE103" s="231" t="s">
        <v>596</v>
      </c>
      <c r="AF103" s="36"/>
      <c r="AG103" s="36"/>
      <c r="AH103" s="36"/>
      <c r="AI103" s="500"/>
      <c r="AJ103" s="36"/>
      <c r="AK103" s="36">
        <v>50</v>
      </c>
      <c r="AL103" s="36"/>
      <c r="AM103" s="36">
        <f t="shared" si="213"/>
        <v>50</v>
      </c>
      <c r="AN103" s="36"/>
      <c r="AO103" s="36"/>
      <c r="AP103" s="36"/>
      <c r="AQ103" s="36"/>
      <c r="AR103" s="36">
        <f t="shared" si="214"/>
        <v>0</v>
      </c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>
        <f>+AR103+AS103+AU103+AW103+AY103+BB103</f>
        <v>0</v>
      </c>
      <c r="BD103" s="49"/>
      <c r="BE103" s="50"/>
      <c r="BF103" s="50"/>
      <c r="BG103" s="49"/>
      <c r="BH103" s="50"/>
    </row>
    <row r="104" spans="1:60" ht="13.5" customHeight="1">
      <c r="A104" s="39"/>
      <c r="B104" s="40"/>
      <c r="C104" s="412"/>
      <c r="D104" s="40"/>
      <c r="E104" s="41"/>
      <c r="F104" s="41"/>
      <c r="G104" s="497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498"/>
      <c r="S104" s="498"/>
      <c r="T104" s="36"/>
      <c r="U104" s="36"/>
      <c r="V104" s="36"/>
      <c r="W104" s="36"/>
      <c r="X104" s="499"/>
      <c r="Y104" s="210"/>
      <c r="Z104" s="36"/>
      <c r="AA104" s="48"/>
      <c r="AB104" s="48"/>
      <c r="AC104" s="36"/>
      <c r="AD104" s="36"/>
      <c r="AE104" s="228"/>
      <c r="AF104" s="36"/>
      <c r="AG104" s="36"/>
      <c r="AH104" s="36"/>
      <c r="AI104" s="500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2"/>
      <c r="BE104" s="50"/>
      <c r="BF104" s="50"/>
      <c r="BG104" s="50"/>
      <c r="BH104" s="50"/>
    </row>
    <row r="105" spans="1:60" ht="12.75" customHeight="1">
      <c r="A105" s="39">
        <v>46042</v>
      </c>
      <c r="B105" s="40" t="s">
        <v>447</v>
      </c>
      <c r="C105" s="412">
        <f t="shared" ref="C105" si="215">(M105*E105*O105*Q105)/100000000</f>
        <v>32.044159223999998</v>
      </c>
      <c r="D105" s="40" t="s">
        <v>302</v>
      </c>
      <c r="E105" s="41">
        <v>13.5</v>
      </c>
      <c r="F105" s="41">
        <v>1</v>
      </c>
      <c r="G105" s="497">
        <v>1230</v>
      </c>
      <c r="H105" s="43">
        <f>+N105</f>
        <v>0.24</v>
      </c>
      <c r="I105" s="44">
        <v>0.88</v>
      </c>
      <c r="J105" s="81">
        <f t="shared" ref="J105" si="216">E105*G105*(1-H105)*1440/1000000*2.74</f>
        <v>49.792682880000008</v>
      </c>
      <c r="K105" s="81">
        <f t="shared" ref="K105" si="217">(IF(G105&lt;L105,L105,G105)*(1-IF(H105&lt;N105,H105,N105))*E105*O105*Q105)/100000000</f>
        <v>32.225921280000001</v>
      </c>
      <c r="L105" s="34">
        <v>1223.0625</v>
      </c>
      <c r="M105" s="34">
        <v>929.52750000000003</v>
      </c>
      <c r="N105" s="45">
        <f t="shared" ref="N105" si="218">1-(M105/L105)</f>
        <v>0.24</v>
      </c>
      <c r="O105" s="46">
        <f>+'Trim Rwd'!H60</f>
        <v>266</v>
      </c>
      <c r="P105" s="47">
        <f t="shared" ref="P105" si="219">O105*(Q105-R105-S105)</f>
        <v>235144</v>
      </c>
      <c r="Q105" s="46">
        <v>960</v>
      </c>
      <c r="R105" s="498">
        <v>0</v>
      </c>
      <c r="S105" s="498">
        <v>76</v>
      </c>
      <c r="T105" s="36">
        <f t="shared" ref="T105" si="220">E105*M105*O105*Q105/100000000</f>
        <v>32.044159223999998</v>
      </c>
      <c r="U105" s="36">
        <f t="shared" ref="U105" si="221">E105*M105*O105*(Q105-R105-S105)/100000000</f>
        <v>29.507329952100001</v>
      </c>
      <c r="V105" s="36">
        <f t="shared" ref="V105" si="222">E105*G105*(1-N105)*O105/100*(R105+S105)/1000000</f>
        <v>2.5512187679999996</v>
      </c>
      <c r="W105" s="36">
        <f>+'20'!K9/1000</f>
        <v>35.350999999999999</v>
      </c>
      <c r="X105" s="499">
        <f>SUM(W105:W109)/SUM(K105:K109)</f>
        <v>0.98248915222388733</v>
      </c>
      <c r="Y105" s="210">
        <v>0</v>
      </c>
      <c r="Z105" s="36">
        <v>0</v>
      </c>
      <c r="AA105" s="48">
        <f>SUM(U105:U109)-SUM(W105:W109)-SUM(Z105:Z109)-SUM(Y105:Y109)</f>
        <v>-2.5150038079000012</v>
      </c>
      <c r="AB105" s="48">
        <f>(SUM(K105:K109)-SUM(W105:W109)-SUM(Y105:Y109)-SUM(Z105:Z109)-SUM(AC105:AC109)-SUM(V105:V109))-AA105</f>
        <v>-1.4389496099999732E-2</v>
      </c>
      <c r="AC105" s="36">
        <f>K105-T105</f>
        <v>0.18176205600000372</v>
      </c>
      <c r="AD105" s="36">
        <f>+AM105+BC105</f>
        <v>12</v>
      </c>
      <c r="AE105" s="228" t="s">
        <v>429</v>
      </c>
      <c r="AF105" s="36">
        <v>12</v>
      </c>
      <c r="AG105" s="36"/>
      <c r="AH105" s="36"/>
      <c r="AI105" s="500"/>
      <c r="AJ105" s="36"/>
      <c r="AK105" s="36"/>
      <c r="AL105" s="36"/>
      <c r="AM105" s="36">
        <f t="shared" ref="AM105:AM108" si="223">SUM(AF105:AL105)+AT105+AV105+AX105</f>
        <v>12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>
        <f>+AR105+AS105+AU105+AW105+AY105+BB105</f>
        <v>0</v>
      </c>
      <c r="BD105" s="32">
        <v>6</v>
      </c>
      <c r="BE105" s="50"/>
      <c r="BF105" s="50"/>
      <c r="BG105" s="32"/>
      <c r="BH105" s="50"/>
    </row>
    <row r="106" spans="1:60" ht="12.95" customHeight="1">
      <c r="A106" s="39"/>
      <c r="B106" s="40" t="s">
        <v>447</v>
      </c>
      <c r="C106" s="412">
        <f t="shared" ref="C106" si="224">(M106*E106*O106*Q106)/100000000</f>
        <v>14.932869119999999</v>
      </c>
      <c r="D106" s="40" t="s">
        <v>302</v>
      </c>
      <c r="E106" s="41">
        <v>13</v>
      </c>
      <c r="F106" s="41">
        <v>1</v>
      </c>
      <c r="G106" s="497">
        <v>1230</v>
      </c>
      <c r="H106" s="43">
        <f>+N106</f>
        <v>0.24</v>
      </c>
      <c r="I106" s="44">
        <v>0.88</v>
      </c>
      <c r="J106" s="81">
        <f t="shared" ref="J106" si="225">E106*G106*(1-H106)*1440/1000000*2.74</f>
        <v>47.948509440000002</v>
      </c>
      <c r="K106" s="81">
        <f t="shared" ref="K106" si="226">(IF(G106&lt;L106,L106,G106)*(1-IF(H106&lt;N106,H106,N106))*E106*O106*Q106)/100000000</f>
        <v>14.932869119999999</v>
      </c>
      <c r="L106" s="34">
        <v>1230</v>
      </c>
      <c r="M106" s="34">
        <v>934.8</v>
      </c>
      <c r="N106" s="45">
        <f t="shared" ref="N106" si="227">1-(M106/L106)</f>
        <v>0.24</v>
      </c>
      <c r="O106" s="46">
        <f>+'Trim Rwd'!H61</f>
        <v>256</v>
      </c>
      <c r="P106" s="47">
        <f t="shared" ref="P106" si="228">O106*(Q106-R106-S106)</f>
        <v>117760</v>
      </c>
      <c r="Q106" s="46">
        <v>480</v>
      </c>
      <c r="R106" s="498">
        <v>0</v>
      </c>
      <c r="S106" s="498">
        <v>20</v>
      </c>
      <c r="T106" s="36">
        <f t="shared" ref="T106" si="229">E106*M106*O106*Q106/100000000</f>
        <v>14.932869119999999</v>
      </c>
      <c r="U106" s="36">
        <f t="shared" ref="U106" si="230">E106*M106*O106*(Q106-R106-S106)/100000000</f>
        <v>14.31066624</v>
      </c>
      <c r="V106" s="36">
        <f t="shared" ref="V106" si="231">E106*G106*(1-N106)*O106/100*(R106+S106)/1000000</f>
        <v>0.62220288000000001</v>
      </c>
      <c r="W106" s="36">
        <f>+'20'!K12/1000</f>
        <v>10.981999999999999</v>
      </c>
      <c r="X106" s="37"/>
      <c r="Y106" s="210"/>
      <c r="Z106" s="36"/>
      <c r="AA106" s="36"/>
      <c r="AB106" s="36"/>
      <c r="AC106" s="36">
        <f>K106-T106</f>
        <v>0</v>
      </c>
      <c r="AD106" s="36">
        <f>+AM106+BC106</f>
        <v>8</v>
      </c>
      <c r="AE106" s="228" t="s">
        <v>407</v>
      </c>
      <c r="AF106" s="36"/>
      <c r="AG106" s="36">
        <v>8</v>
      </c>
      <c r="AH106" s="36"/>
      <c r="AI106" s="500"/>
      <c r="AJ106" s="36"/>
      <c r="AK106" s="36"/>
      <c r="AL106" s="36"/>
      <c r="AM106" s="36">
        <f t="shared" si="223"/>
        <v>8</v>
      </c>
      <c r="AN106" s="82"/>
      <c r="AO106" s="36"/>
      <c r="AP106" s="36"/>
      <c r="AQ106" s="36"/>
      <c r="AR106" s="36">
        <f t="shared" ref="AR106:AR108" si="232"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>
        <f>+AR106+AS106+AU106+AW106+AY106+BB106</f>
        <v>0</v>
      </c>
      <c r="BD106" s="49"/>
      <c r="BE106" s="50">
        <v>4</v>
      </c>
      <c r="BF106" s="50"/>
      <c r="BG106" s="49"/>
      <c r="BH106" s="50"/>
    </row>
    <row r="107" spans="1:60" ht="12.95" customHeight="1">
      <c r="A107" s="39"/>
      <c r="B107" s="40"/>
      <c r="C107" s="412"/>
      <c r="D107" s="40"/>
      <c r="E107" s="41"/>
      <c r="F107" s="41"/>
      <c r="G107" s="42"/>
      <c r="H107" s="43"/>
      <c r="I107" s="44"/>
      <c r="J107" s="81"/>
      <c r="K107" s="81"/>
      <c r="L107" s="34"/>
      <c r="M107" s="34"/>
      <c r="N107" s="45"/>
      <c r="O107" s="46"/>
      <c r="P107" s="47"/>
      <c r="Q107" s="46"/>
      <c r="R107" s="498"/>
      <c r="S107" s="498"/>
      <c r="T107" s="36"/>
      <c r="U107" s="36"/>
      <c r="V107" s="36"/>
      <c r="W107" s="36"/>
      <c r="X107" s="37"/>
      <c r="Y107" s="210"/>
      <c r="Z107" s="36"/>
      <c r="AA107" s="36"/>
      <c r="AB107" s="36"/>
      <c r="AC107" s="36"/>
      <c r="AD107" s="36">
        <f>+AM107+BC107</f>
        <v>39</v>
      </c>
      <c r="AE107" s="228" t="s">
        <v>449</v>
      </c>
      <c r="AF107" s="32"/>
      <c r="AG107" s="32"/>
      <c r="AH107" s="32">
        <v>39</v>
      </c>
      <c r="AJ107" s="36"/>
      <c r="AK107" s="36"/>
      <c r="AL107" s="36"/>
      <c r="AM107" s="36">
        <f t="shared" si="223"/>
        <v>39</v>
      </c>
      <c r="AN107" s="36"/>
      <c r="AO107" s="36"/>
      <c r="AP107" s="36"/>
      <c r="AQ107" s="36"/>
      <c r="AR107" s="36">
        <f t="shared" si="232"/>
        <v>0</v>
      </c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>
        <f>+AR107+AS107+AU107+AW107+AY107+BB107</f>
        <v>0</v>
      </c>
      <c r="BD107" s="32"/>
      <c r="BE107" s="501"/>
      <c r="BF107" s="501"/>
      <c r="BG107" s="32"/>
      <c r="BH107" s="501"/>
    </row>
    <row r="108" spans="1:60" ht="12.95" customHeight="1">
      <c r="A108" s="39"/>
      <c r="B108" s="40"/>
      <c r="C108" s="412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33"/>
      <c r="R108" s="498"/>
      <c r="S108" s="498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+AM108+BC108</f>
        <v>37</v>
      </c>
      <c r="AE108" s="231" t="s">
        <v>596</v>
      </c>
      <c r="AF108" s="36"/>
      <c r="AG108" s="36"/>
      <c r="AH108" s="36"/>
      <c r="AI108" s="500"/>
      <c r="AJ108" s="36"/>
      <c r="AK108" s="36">
        <v>37</v>
      </c>
      <c r="AL108" s="36"/>
      <c r="AM108" s="36">
        <f t="shared" si="223"/>
        <v>37</v>
      </c>
      <c r="AN108" s="36"/>
      <c r="AO108" s="36"/>
      <c r="AP108" s="36"/>
      <c r="AQ108" s="36"/>
      <c r="AR108" s="36">
        <f t="shared" si="232"/>
        <v>0</v>
      </c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>
        <f>+AR108+AS108+AU108+AW108+AY108+BB108</f>
        <v>0</v>
      </c>
      <c r="BD108" s="49"/>
      <c r="BE108" s="50"/>
      <c r="BF108" s="50"/>
      <c r="BG108" s="49"/>
      <c r="BH108" s="50"/>
    </row>
    <row r="109" spans="1:60" ht="13.5" customHeight="1">
      <c r="A109" s="39"/>
      <c r="B109" s="40"/>
      <c r="C109" s="412"/>
      <c r="D109" s="40"/>
      <c r="E109" s="41"/>
      <c r="F109" s="41"/>
      <c r="G109" s="497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498"/>
      <c r="S109" s="498"/>
      <c r="T109" s="36"/>
      <c r="U109" s="36"/>
      <c r="V109" s="36"/>
      <c r="W109" s="36"/>
      <c r="X109" s="499"/>
      <c r="Y109" s="210"/>
      <c r="Z109" s="36"/>
      <c r="AA109" s="48"/>
      <c r="AB109" s="48"/>
      <c r="AC109" s="36"/>
      <c r="AD109" s="36"/>
      <c r="AE109" s="228"/>
      <c r="AF109" s="36"/>
      <c r="AG109" s="36"/>
      <c r="AH109" s="36"/>
      <c r="AI109" s="500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2"/>
      <c r="BE109" s="50"/>
      <c r="BF109" s="50"/>
      <c r="BG109" s="50"/>
      <c r="BH109" s="50"/>
    </row>
    <row r="110" spans="1:60" ht="12.75" customHeight="1">
      <c r="A110" s="39">
        <v>46043</v>
      </c>
      <c r="B110" s="40" t="s">
        <v>447</v>
      </c>
      <c r="C110" s="412">
        <f t="shared" ref="C110" si="233">(M110*E110*O110*Q110)/100000000</f>
        <v>30.612381696</v>
      </c>
      <c r="D110" s="40" t="s">
        <v>302</v>
      </c>
      <c r="E110" s="41">
        <v>13</v>
      </c>
      <c r="F110" s="41">
        <v>1</v>
      </c>
      <c r="G110" s="497">
        <v>1230</v>
      </c>
      <c r="H110" s="43">
        <f>+N110</f>
        <v>0.24</v>
      </c>
      <c r="I110" s="44">
        <v>0.88</v>
      </c>
      <c r="J110" s="81">
        <f t="shared" ref="J110" si="234">E110*G110*(1-H110)*1440/1000000*2.74</f>
        <v>47.948509440000002</v>
      </c>
      <c r="K110" s="81">
        <f t="shared" ref="K110" si="235">(IF(G110&lt;L110,L110,G110)*(1-IF(H110&lt;N110,H110,N110))*E110*O110*Q110)/100000000</f>
        <v>30.612381696</v>
      </c>
      <c r="L110" s="34">
        <v>1230</v>
      </c>
      <c r="M110" s="34">
        <v>934.8</v>
      </c>
      <c r="N110" s="45">
        <f t="shared" ref="N110" si="236">1-(M110/L110)</f>
        <v>0.24</v>
      </c>
      <c r="O110" s="46">
        <f>+'Trim Rwd'!H63</f>
        <v>256</v>
      </c>
      <c r="P110" s="47">
        <f t="shared" ref="P110" si="237">O110*(Q110-R110-S110)</f>
        <v>241664</v>
      </c>
      <c r="Q110" s="46">
        <v>984</v>
      </c>
      <c r="R110" s="498">
        <v>0</v>
      </c>
      <c r="S110" s="498">
        <v>40</v>
      </c>
      <c r="T110" s="36">
        <f t="shared" ref="T110" si="238">E110*M110*O110*Q110/100000000</f>
        <v>30.612381696</v>
      </c>
      <c r="U110" s="36">
        <f t="shared" ref="U110" si="239">E110*M110*O110*(Q110-R110-S110)/100000000</f>
        <v>29.367975936000001</v>
      </c>
      <c r="V110" s="36">
        <f t="shared" ref="V110" si="240">E110*G110*(1-N110)*O110/100*(R110+S110)/1000000</f>
        <v>1.24440576</v>
      </c>
      <c r="W110" s="36">
        <f>+'21'!K12/1000</f>
        <v>31.542000000000002</v>
      </c>
      <c r="X110" s="499">
        <f>SUM(W110:W113)/SUM(K110:K113)</f>
        <v>0.91274433956464951</v>
      </c>
      <c r="Y110" s="210">
        <v>0</v>
      </c>
      <c r="Z110" s="36">
        <v>0</v>
      </c>
      <c r="AA110" s="48">
        <f>SUM(U110:U113)-SUM(W110:W113)-SUM(Z110:Z113)-SUM(Y110:Y113)</f>
        <v>1.5775013999999956</v>
      </c>
      <c r="AB110" s="48">
        <f>(SUM(K110:K113)-SUM(W110:W113)-SUM(Y110:Y113)-SUM(Z110:Z113)-SUM(AC110:AC113)-SUM(V110:V113))-AA110</f>
        <v>5.4340608000002177E-2</v>
      </c>
      <c r="AC110" s="36">
        <f>K110-T110</f>
        <v>0</v>
      </c>
      <c r="AD110" s="36">
        <f>+AM110+BC110</f>
        <v>18</v>
      </c>
      <c r="AE110" s="228" t="s">
        <v>429</v>
      </c>
      <c r="AF110" s="36">
        <v>18</v>
      </c>
      <c r="AG110" s="36"/>
      <c r="AH110" s="36"/>
      <c r="AI110" s="500"/>
      <c r="AJ110" s="36"/>
      <c r="AK110" s="36"/>
      <c r="AL110" s="36"/>
      <c r="AM110" s="36">
        <f t="shared" ref="AM110:AM112" si="241">SUM(AF110:AL110)+AT110+AV110+AX110</f>
        <v>18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>
        <f>+AR110+AS110+AU110+AW110+AY110+BB110</f>
        <v>0</v>
      </c>
      <c r="BD110" s="32">
        <v>6</v>
      </c>
      <c r="BE110" s="50"/>
      <c r="BF110" s="50"/>
      <c r="BG110" s="32"/>
      <c r="BH110" s="50"/>
    </row>
    <row r="111" spans="1:60" ht="12.95" customHeight="1">
      <c r="A111" s="39"/>
      <c r="B111" s="40" t="s">
        <v>447</v>
      </c>
      <c r="C111" s="412">
        <f t="shared" ref="C111:C112" si="242">(M111*E111*O111*Q111)/100000000</f>
        <v>11.301619823999999</v>
      </c>
      <c r="D111" s="40" t="s">
        <v>302</v>
      </c>
      <c r="E111" s="41">
        <v>11</v>
      </c>
      <c r="F111" s="41">
        <v>1</v>
      </c>
      <c r="G111" s="497">
        <v>1230</v>
      </c>
      <c r="H111" s="43">
        <f t="shared" ref="H111:H112" si="243">+N111</f>
        <v>0.24</v>
      </c>
      <c r="I111" s="44">
        <v>0.88</v>
      </c>
      <c r="J111" s="81">
        <f t="shared" ref="J111:J112" si="244">E111*G111*(1-H111)*1440/1000000*2.74</f>
        <v>40.571815679999993</v>
      </c>
      <c r="K111" s="81">
        <f t="shared" ref="K111:K112" si="245">(IF(G111&lt;L111,L111,G111)*(1-IF(H111&lt;N111,H111,N111))*E111*O111*Q111)/100000000</f>
        <v>11.301619823999999</v>
      </c>
      <c r="L111" s="34">
        <v>1230</v>
      </c>
      <c r="M111" s="34">
        <v>934.8</v>
      </c>
      <c r="N111" s="45">
        <f t="shared" ref="N111:N112" si="246">1-(M111/L111)</f>
        <v>0.24</v>
      </c>
      <c r="O111" s="46">
        <f>+'Trim Rwd'!H64</f>
        <v>258</v>
      </c>
      <c r="P111" s="47">
        <f t="shared" ref="P111:P112" si="247">O111*(Q111-R111-S111)</f>
        <v>103458</v>
      </c>
      <c r="Q111" s="46">
        <v>426</v>
      </c>
      <c r="R111" s="498">
        <v>0</v>
      </c>
      <c r="S111" s="498">
        <v>25</v>
      </c>
      <c r="T111" s="36">
        <f t="shared" ref="T111:T112" si="248">E111*M111*O111*Q111/100000000</f>
        <v>11.301619823999999</v>
      </c>
      <c r="U111" s="36">
        <f t="shared" ref="U111:U112" si="249">E111*M111*O111*(Q111-R111-S111)/100000000</f>
        <v>10.638379223999999</v>
      </c>
      <c r="V111" s="36">
        <f t="shared" ref="V111:V112" si="250">E111*G111*(1-N111)*O111/100*(R111+S111)/1000000</f>
        <v>0.66324059999999996</v>
      </c>
      <c r="W111" s="36">
        <f>+'21'!K14/1000</f>
        <v>7.6680000000000001</v>
      </c>
      <c r="X111" s="37"/>
      <c r="Y111" s="210"/>
      <c r="Z111" s="36"/>
      <c r="AA111" s="36"/>
      <c r="AB111" s="36"/>
      <c r="AC111" s="36">
        <f>K111-T111</f>
        <v>0</v>
      </c>
      <c r="AD111" s="36">
        <f>+AM111+BC111</f>
        <v>9</v>
      </c>
      <c r="AE111" s="228" t="s">
        <v>514</v>
      </c>
      <c r="AF111" s="36"/>
      <c r="AG111" s="36">
        <v>9</v>
      </c>
      <c r="AH111" s="36"/>
      <c r="AI111" s="500"/>
      <c r="AJ111" s="36"/>
      <c r="AK111" s="36"/>
      <c r="AL111" s="36"/>
      <c r="AM111" s="36">
        <f t="shared" si="241"/>
        <v>9</v>
      </c>
      <c r="AN111" s="82"/>
      <c r="AO111" s="36"/>
      <c r="AP111" s="36"/>
      <c r="AQ111" s="36"/>
      <c r="AR111" s="36">
        <f t="shared" ref="AR111:AR112" si="251"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>
        <f>+AR111+AS111+AU111+AW111+AY111+BB111</f>
        <v>0</v>
      </c>
      <c r="BD111" s="49"/>
      <c r="BE111" s="50">
        <v>5</v>
      </c>
      <c r="BF111" s="50"/>
      <c r="BG111" s="49"/>
      <c r="BH111" s="50"/>
    </row>
    <row r="112" spans="1:60" ht="12.95" customHeight="1">
      <c r="A112" s="39"/>
      <c r="B112" s="40" t="s">
        <v>447</v>
      </c>
      <c r="C112" s="412">
        <f t="shared" si="242"/>
        <v>0.97643279999999999</v>
      </c>
      <c r="D112" s="40" t="s">
        <v>302</v>
      </c>
      <c r="E112" s="41">
        <v>14</v>
      </c>
      <c r="F112" s="41">
        <v>1</v>
      </c>
      <c r="G112" s="497">
        <v>1230</v>
      </c>
      <c r="H112" s="43">
        <f t="shared" si="243"/>
        <v>0.24</v>
      </c>
      <c r="I112" s="44">
        <v>0.88</v>
      </c>
      <c r="J112" s="81">
        <f t="shared" si="244"/>
        <v>51.636856320000007</v>
      </c>
      <c r="K112" s="81">
        <f t="shared" si="245"/>
        <v>1.0443585599999998</v>
      </c>
      <c r="L112" s="34">
        <v>1150</v>
      </c>
      <c r="M112" s="34">
        <v>874</v>
      </c>
      <c r="N112" s="45">
        <f t="shared" si="246"/>
        <v>0.24</v>
      </c>
      <c r="O112" s="46">
        <f>+'Trim Rwd'!H65</f>
        <v>266</v>
      </c>
      <c r="P112" s="47">
        <f t="shared" si="247"/>
        <v>6384</v>
      </c>
      <c r="Q112" s="46">
        <v>30</v>
      </c>
      <c r="R112" s="498">
        <v>0</v>
      </c>
      <c r="S112" s="498">
        <f>71-S110-S111</f>
        <v>6</v>
      </c>
      <c r="T112" s="36">
        <f t="shared" si="248"/>
        <v>0.97643279999999999</v>
      </c>
      <c r="U112" s="36">
        <f t="shared" si="249"/>
        <v>0.78114623999999999</v>
      </c>
      <c r="V112" s="36">
        <f t="shared" si="250"/>
        <v>0.20887171200000001</v>
      </c>
      <c r="W112" s="36">
        <f>+'20'!K16/1000</f>
        <v>0</v>
      </c>
      <c r="X112" s="37"/>
      <c r="Y112" s="210"/>
      <c r="Z112" s="36"/>
      <c r="AA112" s="36"/>
      <c r="AB112" s="36"/>
      <c r="AC112" s="36"/>
      <c r="AD112" s="36">
        <f>+AM112+BC112</f>
        <v>44</v>
      </c>
      <c r="AE112" s="228" t="s">
        <v>612</v>
      </c>
      <c r="AF112" s="32"/>
      <c r="AG112" s="32"/>
      <c r="AH112" s="32">
        <v>44</v>
      </c>
      <c r="AJ112" s="36"/>
      <c r="AK112" s="36"/>
      <c r="AL112" s="36"/>
      <c r="AM112" s="36">
        <f t="shared" si="241"/>
        <v>44</v>
      </c>
      <c r="AN112" s="36"/>
      <c r="AO112" s="36"/>
      <c r="AP112" s="36"/>
      <c r="AQ112" s="36"/>
      <c r="AR112" s="36">
        <f t="shared" si="251"/>
        <v>0</v>
      </c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>
        <f>+AR112+AS112+AU112+AW112+AY112+BB112</f>
        <v>0</v>
      </c>
      <c r="BD112" s="32"/>
      <c r="BE112" s="501"/>
      <c r="BF112" s="501"/>
      <c r="BG112" s="32"/>
      <c r="BH112" s="501"/>
    </row>
    <row r="113" spans="1:60" ht="12.95" customHeight="1">
      <c r="A113" s="39"/>
      <c r="B113" s="40"/>
      <c r="C113" s="412"/>
      <c r="D113" s="40"/>
      <c r="E113" s="41"/>
      <c r="F113" s="41"/>
      <c r="G113" s="497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498"/>
      <c r="S113" s="498"/>
      <c r="T113" s="36"/>
      <c r="U113" s="36"/>
      <c r="V113" s="36"/>
      <c r="W113" s="36"/>
      <c r="X113" s="37"/>
      <c r="Y113" s="210"/>
      <c r="Z113" s="36"/>
      <c r="AA113" s="36"/>
      <c r="AB113" s="36"/>
      <c r="AC113" s="36"/>
      <c r="AD113" s="36"/>
      <c r="AE113" s="228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2"/>
      <c r="BE113" s="50"/>
      <c r="BF113" s="50"/>
      <c r="BG113" s="50"/>
      <c r="BH113" s="50"/>
    </row>
    <row r="114" spans="1:60" ht="12.75" customHeight="1">
      <c r="A114" s="39">
        <v>46044</v>
      </c>
      <c r="B114" s="40" t="s">
        <v>447</v>
      </c>
      <c r="C114" s="412">
        <f t="shared" ref="C114" si="252">(M114*E114*O114*Q114)/100000000</f>
        <v>5.2076415999999996</v>
      </c>
      <c r="D114" s="40" t="s">
        <v>302</v>
      </c>
      <c r="E114" s="41">
        <v>14</v>
      </c>
      <c r="F114" s="41">
        <v>1</v>
      </c>
      <c r="G114" s="497">
        <v>1230</v>
      </c>
      <c r="H114" s="43">
        <f t="shared" ref="H114" si="253">+N114</f>
        <v>0.24</v>
      </c>
      <c r="I114" s="44">
        <v>0.88</v>
      </c>
      <c r="J114" s="81">
        <f t="shared" ref="J114" si="254">E114*G114*(1-H114)*1440/1000000*2.74</f>
        <v>51.636856320000007</v>
      </c>
      <c r="K114" s="81">
        <f t="shared" ref="K114" si="255">(IF(G114&lt;L114,L114,G114)*(1-IF(H114&lt;N114,H114,N114))*E114*O114*Q114)/100000000</f>
        <v>5.5699123200000002</v>
      </c>
      <c r="L114" s="34">
        <v>1150</v>
      </c>
      <c r="M114" s="34">
        <f>+L114-L114*0.24</f>
        <v>874</v>
      </c>
      <c r="N114" s="45">
        <f t="shared" ref="N114" si="256">1-(M114/L114)</f>
        <v>0.24</v>
      </c>
      <c r="O114" s="46">
        <f>+'Trim Rwd'!H68</f>
        <v>266</v>
      </c>
      <c r="P114" s="47">
        <f t="shared" ref="P114" si="257">O114*(Q114-R114-S114)</f>
        <v>40166</v>
      </c>
      <c r="Q114" s="46">
        <v>160</v>
      </c>
      <c r="R114" s="498">
        <v>0</v>
      </c>
      <c r="S114" s="498">
        <v>9</v>
      </c>
      <c r="T114" s="36">
        <f t="shared" ref="T114" si="258">E114*M114*O114*Q114/100000000</f>
        <v>5.2076415999999996</v>
      </c>
      <c r="U114" s="36">
        <f t="shared" ref="U114" si="259">E114*M114*O114*(Q114-R114-S114)/100000000</f>
        <v>4.9147117600000003</v>
      </c>
      <c r="V114" s="36">
        <f t="shared" ref="V114" si="260">E114*G114*(1-N114)*O114/100*(R114+S114)/1000000</f>
        <v>0.31330756800000004</v>
      </c>
      <c r="W114" s="36">
        <f>+'22'!K11/1000</f>
        <v>5.0919999999999996</v>
      </c>
      <c r="X114" s="499">
        <f>SUM(W114:W117)/SUM(K114:K117)</f>
        <v>0.93140347880387475</v>
      </c>
      <c r="Y114" s="210">
        <v>0</v>
      </c>
      <c r="Z114" s="36">
        <v>0</v>
      </c>
      <c r="AA114" s="48">
        <f>SUM(U114:U117)-SUM(W114:W117)-SUM(Z114:Z117)-SUM(Y114:Y117)</f>
        <v>0.59860599999999664</v>
      </c>
      <c r="AB114" s="48">
        <f>(SUM(K114:K117)-SUM(W114:W117)-SUM(Y114:Y117)-SUM(Z114:Z117)-SUM(AC114:AC117)-SUM(V114:V117))-AA114</f>
        <v>-2.0377728000001483E-2</v>
      </c>
      <c r="AC114" s="36">
        <f>K114-T114</f>
        <v>0.3622707200000006</v>
      </c>
      <c r="AD114" s="36">
        <f>+AM114+BC114</f>
        <v>38</v>
      </c>
      <c r="AE114" s="228" t="s">
        <v>552</v>
      </c>
      <c r="AF114" s="36">
        <v>38</v>
      </c>
      <c r="AG114" s="36"/>
      <c r="AH114" s="36"/>
      <c r="AI114" s="500"/>
      <c r="AJ114" s="36"/>
      <c r="AK114" s="36"/>
      <c r="AL114" s="36"/>
      <c r="AM114" s="36">
        <f t="shared" ref="AM114:AM116" si="261">SUM(AF114:AL114)+AT114+AV114+AX114</f>
        <v>38</v>
      </c>
      <c r="AN114" s="36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>
        <f>+AR114+AS114+AU114+AW114+AY114+BB114</f>
        <v>0</v>
      </c>
      <c r="BD114" s="32">
        <v>8</v>
      </c>
      <c r="BE114" s="50"/>
      <c r="BF114" s="50"/>
      <c r="BG114" s="32"/>
      <c r="BH114" s="50"/>
    </row>
    <row r="115" spans="1:60" ht="12.95" customHeight="1">
      <c r="A115" s="39"/>
      <c r="B115" s="40" t="s">
        <v>410</v>
      </c>
      <c r="C115" s="412">
        <f t="shared" ref="C115" si="262">(M115*E115*O115*Q115)/100000000</f>
        <v>40.132085759999995</v>
      </c>
      <c r="D115" s="40" t="s">
        <v>302</v>
      </c>
      <c r="E115" s="41">
        <v>13</v>
      </c>
      <c r="F115" s="41">
        <v>1</v>
      </c>
      <c r="G115" s="574">
        <f>+L115</f>
        <v>1230</v>
      </c>
      <c r="H115" s="575">
        <f>+N115</f>
        <v>0.24</v>
      </c>
      <c r="I115" s="44">
        <v>0.88</v>
      </c>
      <c r="J115" s="81">
        <f t="shared" ref="J115" si="263">E115*G115*(1-H115)*1440/1000000*2.74</f>
        <v>47.948509440000002</v>
      </c>
      <c r="K115" s="81">
        <f t="shared" ref="K115" si="264">(IF(G115&lt;L115,L115,G115)*(1-IF(H115&lt;N115,H115,N115))*E115*O115*Q115)/100000000</f>
        <v>40.132085759999995</v>
      </c>
      <c r="L115" s="34">
        <v>1230</v>
      </c>
      <c r="M115" s="34">
        <f>+L115-L115*0.24</f>
        <v>934.8</v>
      </c>
      <c r="N115" s="45">
        <f t="shared" ref="N115" si="265">1-(M115/L115)</f>
        <v>0.24</v>
      </c>
      <c r="O115" s="46">
        <f>+'Trim Rwd'!H69</f>
        <v>258</v>
      </c>
      <c r="P115" s="47">
        <f t="shared" ref="P115" si="266">O115*(Q115-R115-S115)</f>
        <v>314760</v>
      </c>
      <c r="Q115" s="46">
        <v>1280</v>
      </c>
      <c r="R115" s="498">
        <v>0</v>
      </c>
      <c r="S115" s="498">
        <v>60</v>
      </c>
      <c r="T115" s="36">
        <f t="shared" ref="T115" si="267">E115*M115*O115*Q115/100000000</f>
        <v>40.132085759999995</v>
      </c>
      <c r="U115" s="36">
        <f t="shared" ref="U115" si="268">E115*M115*O115*(Q115-R115-S115)/100000000</f>
        <v>38.250894239999994</v>
      </c>
      <c r="V115" s="36">
        <f t="shared" ref="V115" si="269">E115*G115*(1-N115)*O115/100*(R115+S115)/1000000</f>
        <v>1.8811915199999998</v>
      </c>
      <c r="W115" s="36">
        <f>+'22'!K7/1000</f>
        <v>34.83</v>
      </c>
      <c r="X115" s="37"/>
      <c r="Y115" s="210"/>
      <c r="Z115" s="36"/>
      <c r="AA115" s="36"/>
      <c r="AB115" s="36"/>
      <c r="AC115" s="36">
        <f>K115-T115</f>
        <v>0</v>
      </c>
      <c r="AD115" s="36">
        <f>+AM115+BC115</f>
        <v>0</v>
      </c>
      <c r="AE115" s="228" t="s">
        <v>427</v>
      </c>
      <c r="AF115" s="36"/>
      <c r="AG115" s="36">
        <v>0</v>
      </c>
      <c r="AH115" s="36"/>
      <c r="AI115" s="500"/>
      <c r="AJ115" s="36"/>
      <c r="AK115" s="36"/>
      <c r="AL115" s="36"/>
      <c r="AM115" s="36">
        <f t="shared" si="261"/>
        <v>0</v>
      </c>
      <c r="AN115" s="82"/>
      <c r="AO115" s="36"/>
      <c r="AP115" s="36"/>
      <c r="AQ115" s="36"/>
      <c r="AR115" s="36">
        <f t="shared" ref="AR115:AR116" si="270"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>
        <f>+AR115+AS115+AU115+AW115+AY115+BB115</f>
        <v>0</v>
      </c>
      <c r="BD115" s="49"/>
      <c r="BE115" s="50">
        <v>0</v>
      </c>
      <c r="BF115" s="50"/>
      <c r="BG115" s="49"/>
      <c r="BH115" s="50"/>
    </row>
    <row r="116" spans="1:60" ht="12.95" customHeight="1">
      <c r="A116" s="39"/>
      <c r="B116" s="40" t="s">
        <v>447</v>
      </c>
      <c r="C116" s="412"/>
      <c r="D116" s="40"/>
      <c r="E116" s="41">
        <v>11</v>
      </c>
      <c r="F116" s="41"/>
      <c r="G116" s="497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498"/>
      <c r="S116" s="498"/>
      <c r="T116" s="36"/>
      <c r="U116" s="36"/>
      <c r="V116" s="36"/>
      <c r="W116" s="36">
        <f>+'22'!K14/1000</f>
        <v>2.645</v>
      </c>
      <c r="X116" s="37"/>
      <c r="Y116" s="210"/>
      <c r="Z116" s="36"/>
      <c r="AA116" s="36"/>
      <c r="AB116" s="36"/>
      <c r="AC116" s="36">
        <f>K116-T116</f>
        <v>0</v>
      </c>
      <c r="AD116" s="36">
        <f>+AM116+BC116</f>
        <v>31</v>
      </c>
      <c r="AE116" s="228" t="s">
        <v>481</v>
      </c>
      <c r="AF116" s="32"/>
      <c r="AG116" s="32"/>
      <c r="AH116" s="32">
        <v>31</v>
      </c>
      <c r="AJ116" s="36"/>
      <c r="AK116" s="36"/>
      <c r="AL116" s="36"/>
      <c r="AM116" s="36">
        <f t="shared" si="261"/>
        <v>31</v>
      </c>
      <c r="AN116" s="36"/>
      <c r="AO116" s="36"/>
      <c r="AP116" s="36"/>
      <c r="AQ116" s="36"/>
      <c r="AR116" s="36">
        <f t="shared" si="270"/>
        <v>0</v>
      </c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>
        <f>+AR116+AS116+AU116+AW116+AY116+BB116</f>
        <v>0</v>
      </c>
      <c r="BD116" s="32"/>
      <c r="BE116" s="501"/>
      <c r="BF116" s="501"/>
      <c r="BG116" s="32"/>
      <c r="BH116" s="501"/>
    </row>
    <row r="117" spans="1:60" ht="12.95" customHeight="1">
      <c r="A117" s="39"/>
      <c r="B117" s="40"/>
      <c r="C117" s="412"/>
      <c r="D117" s="40"/>
      <c r="E117" s="41"/>
      <c r="F117" s="41"/>
      <c r="G117" s="497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498"/>
      <c r="S117" s="498"/>
      <c r="T117" s="36"/>
      <c r="U117" s="36"/>
      <c r="V117" s="36"/>
      <c r="W117" s="36"/>
      <c r="X117" s="37"/>
      <c r="Y117" s="210"/>
      <c r="Z117" s="36"/>
      <c r="AA117" s="36"/>
      <c r="AB117" s="36"/>
      <c r="AC117" s="36"/>
      <c r="AD117" s="36"/>
      <c r="AE117" s="228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2"/>
      <c r="BE117" s="50"/>
      <c r="BF117" s="50"/>
      <c r="BG117" s="50"/>
      <c r="BH117" s="50"/>
    </row>
    <row r="118" spans="1:60" ht="12.75" customHeight="1">
      <c r="A118" s="39">
        <v>46045</v>
      </c>
      <c r="B118" s="40" t="s">
        <v>410</v>
      </c>
      <c r="C118" s="412">
        <f t="shared" ref="C118" si="271">(M118*E118*O118*Q118)/100000000</f>
        <v>38.250894240000001</v>
      </c>
      <c r="D118" s="40" t="s">
        <v>302</v>
      </c>
      <c r="E118" s="41">
        <v>13</v>
      </c>
      <c r="F118" s="41">
        <v>1</v>
      </c>
      <c r="G118" s="574">
        <v>1230</v>
      </c>
      <c r="H118" s="575">
        <f>+N118</f>
        <v>0.23999999999999988</v>
      </c>
      <c r="I118" s="44">
        <v>0.88</v>
      </c>
      <c r="J118" s="81">
        <f t="shared" ref="J118" si="272">E118*G118*(1-H118)*1440/1000000*2.74</f>
        <v>47.948509440000009</v>
      </c>
      <c r="K118" s="81">
        <f t="shared" ref="K118" si="273">(IF(G118&lt;L118,L118,G118)*(1-IF(H118&lt;N118,H118,N118))*E118*O118*Q118)/100000000</f>
        <v>45.148596480000002</v>
      </c>
      <c r="L118" s="34">
        <v>1042.0833333333333</v>
      </c>
      <c r="M118" s="34">
        <v>791.98333333333335</v>
      </c>
      <c r="N118" s="45">
        <f t="shared" ref="N118" si="274">1-(M118/L118)</f>
        <v>0.23999999999999988</v>
      </c>
      <c r="O118" s="46">
        <f>+'Trim Rwd'!H71</f>
        <v>258</v>
      </c>
      <c r="P118" s="47">
        <f t="shared" ref="P118" si="275">O118*(Q118-R118-S118)</f>
        <v>356040</v>
      </c>
      <c r="Q118" s="46">
        <v>1440</v>
      </c>
      <c r="R118" s="498">
        <v>0</v>
      </c>
      <c r="S118" s="498">
        <f>24+36</f>
        <v>60</v>
      </c>
      <c r="T118" s="36">
        <f t="shared" ref="T118" si="276">E118*M118*O118*Q118/100000000</f>
        <v>38.250894240000001</v>
      </c>
      <c r="U118" s="36">
        <f t="shared" ref="U118" si="277">E118*M118*O118*(Q118-R118-S118)/100000000</f>
        <v>36.657106980000002</v>
      </c>
      <c r="V118" s="36">
        <f t="shared" ref="V118" si="278">E118*G118*(1-N118)*O118/100*(R118+S118)/1000000</f>
        <v>1.8811915200000002</v>
      </c>
      <c r="W118" s="36">
        <f>+'23'!K7/1000</f>
        <v>36.118000000000002</v>
      </c>
      <c r="X118" s="499">
        <f>SUM(W118:W122)/SUM(K118:K122)</f>
        <v>0.79998057117898702</v>
      </c>
      <c r="Y118" s="210">
        <v>0</v>
      </c>
      <c r="Z118" s="36">
        <f>+'23'!D16/1000</f>
        <v>0.28499999999999998</v>
      </c>
      <c r="AA118" s="48">
        <f>SUM(U118:U122)-SUM(W118:W122)-SUM(Z118:Z122)-SUM(Y118:Y122)</f>
        <v>0.2541069799999997</v>
      </c>
      <c r="AB118" s="48">
        <f>(SUM(K118:K122)-SUM(W118:W122)-SUM(Y118:Y122)-SUM(Z118:Z122)-SUM(AC118:AC122)-SUM(V118:V122))-AA118</f>
        <v>-0.28740426000000124</v>
      </c>
      <c r="AC118" s="36">
        <f>K118-T118</f>
        <v>6.897702240000001</v>
      </c>
      <c r="AD118" s="36">
        <f>+AM118+BC118</f>
        <v>24</v>
      </c>
      <c r="AE118" s="228" t="s">
        <v>464</v>
      </c>
      <c r="AF118" s="36">
        <v>24</v>
      </c>
      <c r="AG118" s="36"/>
      <c r="AH118" s="36"/>
      <c r="AI118" s="36"/>
      <c r="AJ118" s="36"/>
      <c r="AK118" s="36"/>
      <c r="AL118" s="36"/>
      <c r="AM118" s="36">
        <f t="shared" ref="AM118:AM120" si="279">SUM(AF118:AL118)+AT118+AV118+AX118</f>
        <v>24</v>
      </c>
      <c r="AN118" s="36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>
        <f>+AR118+AS118+AU118+AW118+AY118+BB118</f>
        <v>0</v>
      </c>
      <c r="BD118" s="32">
        <v>9</v>
      </c>
      <c r="BE118" s="50"/>
      <c r="BF118" s="50"/>
      <c r="BG118" s="32"/>
      <c r="BH118" s="50"/>
    </row>
    <row r="119" spans="1:60" ht="12.95" customHeight="1">
      <c r="A119" s="39"/>
      <c r="B119" s="40"/>
      <c r="C119" s="412"/>
      <c r="D119" s="40"/>
      <c r="E119" s="41"/>
      <c r="F119" s="41"/>
      <c r="G119" s="497"/>
      <c r="H119" s="43"/>
      <c r="I119" s="44"/>
      <c r="J119" s="81"/>
      <c r="K119" s="81"/>
      <c r="L119" s="34"/>
      <c r="M119" s="34"/>
      <c r="N119" s="45"/>
      <c r="O119" s="46"/>
      <c r="P119" s="47"/>
      <c r="Q119" s="46"/>
      <c r="R119" s="498"/>
      <c r="S119" s="498"/>
      <c r="T119" s="36"/>
      <c r="U119" s="36"/>
      <c r="V119" s="36"/>
      <c r="W119" s="36"/>
      <c r="X119" s="37"/>
      <c r="Y119" s="210"/>
      <c r="Z119" s="36"/>
      <c r="AA119" s="36"/>
      <c r="AB119" s="36"/>
      <c r="AC119" s="36">
        <f>K119-T119</f>
        <v>0</v>
      </c>
      <c r="AD119" s="36">
        <f>+AM119+BC119</f>
        <v>0</v>
      </c>
      <c r="AE119" s="228" t="s">
        <v>427</v>
      </c>
      <c r="AF119" s="36"/>
      <c r="AG119" s="36">
        <v>0</v>
      </c>
      <c r="AH119" s="36"/>
      <c r="AI119" s="36"/>
      <c r="AJ119" s="36"/>
      <c r="AK119" s="36"/>
      <c r="AL119" s="36"/>
      <c r="AM119" s="36">
        <f t="shared" si="279"/>
        <v>0</v>
      </c>
      <c r="AN119" s="82"/>
      <c r="AO119" s="36"/>
      <c r="AP119" s="36"/>
      <c r="AQ119" s="36"/>
      <c r="AR119" s="36">
        <f t="shared" ref="AR119:AR120" si="280"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>
        <f>+AR119+AS119+AU119+AW119+AY119+BB119</f>
        <v>0</v>
      </c>
      <c r="BD119" s="49"/>
      <c r="BE119" s="50">
        <v>0</v>
      </c>
      <c r="BF119" s="50"/>
      <c r="BG119" s="49"/>
      <c r="BH119" s="50"/>
    </row>
    <row r="120" spans="1:60" ht="12.95" customHeight="1">
      <c r="A120" s="39"/>
      <c r="B120" s="40"/>
      <c r="C120" s="412"/>
      <c r="D120" s="40"/>
      <c r="E120" s="41"/>
      <c r="F120" s="41"/>
      <c r="G120" s="42"/>
      <c r="H120" s="43"/>
      <c r="I120" s="44"/>
      <c r="J120" s="81"/>
      <c r="K120" s="81"/>
      <c r="L120" s="34"/>
      <c r="M120" s="34"/>
      <c r="N120" s="45"/>
      <c r="O120" s="46"/>
      <c r="P120" s="47"/>
      <c r="Q120" s="46"/>
      <c r="R120" s="498"/>
      <c r="S120" s="498"/>
      <c r="T120" s="36"/>
      <c r="U120" s="36"/>
      <c r="V120" s="36"/>
      <c r="W120" s="36"/>
      <c r="X120" s="37"/>
      <c r="Y120" s="210"/>
      <c r="Z120" s="36"/>
      <c r="AA120" s="36"/>
      <c r="AB120" s="36"/>
      <c r="AC120" s="36"/>
      <c r="AD120" s="36">
        <f>+AM120+BC120</f>
        <v>36</v>
      </c>
      <c r="AE120" s="228" t="s">
        <v>631</v>
      </c>
      <c r="AF120" s="32"/>
      <c r="AG120" s="32"/>
      <c r="AH120" s="32">
        <v>36</v>
      </c>
      <c r="AI120" s="36"/>
      <c r="AJ120" s="36"/>
      <c r="AK120" s="36"/>
      <c r="AL120" s="36"/>
      <c r="AM120" s="36">
        <f t="shared" si="279"/>
        <v>36</v>
      </c>
      <c r="AN120" s="36"/>
      <c r="AO120" s="36"/>
      <c r="AP120" s="36"/>
      <c r="AQ120" s="36"/>
      <c r="AR120" s="36">
        <f t="shared" si="280"/>
        <v>0</v>
      </c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>
        <f>+AR120+AS120+AU120+AW120+AY120+BB120</f>
        <v>0</v>
      </c>
      <c r="BD120" s="32"/>
      <c r="BE120" s="501"/>
      <c r="BF120" s="501"/>
      <c r="BG120" s="32"/>
      <c r="BH120" s="501"/>
    </row>
    <row r="121" spans="1:60" ht="12.95" customHeight="1">
      <c r="A121" s="39"/>
      <c r="B121" s="40"/>
      <c r="C121" s="412"/>
      <c r="D121" s="40"/>
      <c r="E121" s="41"/>
      <c r="F121" s="41"/>
      <c r="G121" s="42"/>
      <c r="H121" s="43"/>
      <c r="I121" s="44"/>
      <c r="J121" s="81"/>
      <c r="K121" s="81"/>
      <c r="L121" s="34"/>
      <c r="M121" s="34"/>
      <c r="N121" s="45"/>
      <c r="O121" s="46"/>
      <c r="P121" s="47"/>
      <c r="Q121" s="46"/>
      <c r="R121" s="498"/>
      <c r="S121" s="498"/>
      <c r="T121" s="36"/>
      <c r="U121" s="36"/>
      <c r="V121" s="36"/>
      <c r="W121" s="36"/>
      <c r="X121" s="37"/>
      <c r="Y121" s="210"/>
      <c r="Z121" s="36"/>
      <c r="AA121" s="36"/>
      <c r="AB121" s="36"/>
      <c r="AC121" s="36"/>
      <c r="AD121" s="36">
        <f t="shared" ref="AD121" si="281">+AM121+BC121</f>
        <v>0</v>
      </c>
      <c r="AE121" s="231" t="s">
        <v>519</v>
      </c>
      <c r="AF121" s="32"/>
      <c r="AG121" s="32"/>
      <c r="AH121" s="32"/>
      <c r="AI121" s="36"/>
      <c r="AJ121" s="36"/>
      <c r="AK121" s="36"/>
      <c r="AL121" s="36"/>
      <c r="AM121" s="36">
        <f>SUM(AF121:AL121)+AT121+AV121+AX121+AZ121</f>
        <v>0</v>
      </c>
      <c r="AN121" s="36"/>
      <c r="AO121" s="36"/>
      <c r="AP121" s="36"/>
      <c r="AQ121" s="36"/>
      <c r="AR121" s="36">
        <f t="shared" ref="AR121" si="282"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>
        <f>+AR121+AS121+AU121+AW121+AY121+BB121+BA121</f>
        <v>0</v>
      </c>
      <c r="BD121" s="32"/>
      <c r="BE121" s="501"/>
      <c r="BF121" s="501"/>
      <c r="BG121" s="32"/>
      <c r="BH121" s="501"/>
    </row>
    <row r="122" spans="1:60" ht="12.95" customHeight="1">
      <c r="A122" s="39"/>
      <c r="B122" s="40"/>
      <c r="C122" s="412"/>
      <c r="D122" s="40"/>
      <c r="E122" s="41"/>
      <c r="F122" s="41"/>
      <c r="G122" s="42"/>
      <c r="H122" s="43"/>
      <c r="I122" s="44"/>
      <c r="J122" s="81"/>
      <c r="K122" s="81"/>
      <c r="L122" s="34"/>
      <c r="M122" s="34"/>
      <c r="N122" s="45"/>
      <c r="O122" s="46"/>
      <c r="P122" s="47"/>
      <c r="Q122" s="33"/>
      <c r="R122" s="498"/>
      <c r="S122" s="498"/>
      <c r="T122" s="36"/>
      <c r="U122" s="36"/>
      <c r="V122" s="36"/>
      <c r="W122" s="36"/>
      <c r="X122" s="37"/>
      <c r="Y122" s="210"/>
      <c r="Z122" s="36"/>
      <c r="AA122" s="36"/>
      <c r="AB122" s="36"/>
      <c r="AC122" s="36"/>
      <c r="AD122" s="36"/>
      <c r="AE122" s="231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49"/>
      <c r="BE122" s="50"/>
      <c r="BF122" s="50"/>
      <c r="BG122" s="50"/>
      <c r="BH122" s="50"/>
    </row>
    <row r="123" spans="1:60" ht="12.75" customHeight="1">
      <c r="A123" s="39">
        <v>46046</v>
      </c>
      <c r="B123" s="40" t="s">
        <v>410</v>
      </c>
      <c r="C123" s="412">
        <f t="shared" ref="C123" si="283">(M123*E123*O123*Q123)/100000000</f>
        <v>36.310310088000008</v>
      </c>
      <c r="D123" s="40" t="s">
        <v>302</v>
      </c>
      <c r="E123" s="41">
        <v>13</v>
      </c>
      <c r="F123" s="41">
        <v>1</v>
      </c>
      <c r="G123" s="574">
        <v>1230</v>
      </c>
      <c r="H123" s="575">
        <f>+N123</f>
        <v>0.24</v>
      </c>
      <c r="I123" s="44">
        <v>0.88</v>
      </c>
      <c r="J123" s="81">
        <f t="shared" ref="J123" si="284">E123*G123*(1-H123)*1440/1000000*2.74</f>
        <v>47.948509440000002</v>
      </c>
      <c r="K123" s="81">
        <f t="shared" ref="K123" si="285">(IF(G123&lt;L123,L123,G123)*(1-IF(H123&lt;N123,H123,N123))*E123*O123*Q123)/100000000</f>
        <v>45.148596480000002</v>
      </c>
      <c r="L123" s="34">
        <v>989.21527777777783</v>
      </c>
      <c r="M123" s="34">
        <v>751.80361111111119</v>
      </c>
      <c r="N123" s="45">
        <f t="shared" ref="N123" si="286">1-(M123/L123)</f>
        <v>0.24</v>
      </c>
      <c r="O123" s="46">
        <f>+'Trim Rwd'!H73</f>
        <v>258</v>
      </c>
      <c r="P123" s="47">
        <f t="shared" ref="P123" si="287">O123*(Q123-R123-S123)</f>
        <v>355266</v>
      </c>
      <c r="Q123" s="46">
        <v>1440</v>
      </c>
      <c r="R123" s="498">
        <v>0</v>
      </c>
      <c r="S123" s="498">
        <v>63</v>
      </c>
      <c r="T123" s="36">
        <f t="shared" ref="T123" si="288">E123*M123*O123*Q123/100000000</f>
        <v>36.310310088000008</v>
      </c>
      <c r="U123" s="36">
        <f t="shared" ref="U123" si="289">E123*M123*O123*(Q123-R123-S123)/100000000</f>
        <v>34.721734021650008</v>
      </c>
      <c r="V123" s="36">
        <f t="shared" ref="V123" si="290">E123*G123*(1-N123)*O123/100*(R123+S123)/1000000</f>
        <v>1.9752510959999996</v>
      </c>
      <c r="W123" s="36">
        <f>+'24'!K7/1000</f>
        <v>33.08</v>
      </c>
      <c r="X123" s="499">
        <f>SUM(W123:W127)/SUM(K123:K127)</f>
        <v>0.73269165774962308</v>
      </c>
      <c r="Y123" s="210">
        <v>0</v>
      </c>
      <c r="Z123" s="36">
        <f>+'23'!D21/1000</f>
        <v>0</v>
      </c>
      <c r="AA123" s="48">
        <f>SUM(U123:U127)-SUM(W123:W127)-SUM(Z123:Z127)-SUM(Y123:Y127)</f>
        <v>1.6417340216500094</v>
      </c>
      <c r="AB123" s="48">
        <f>(SUM(K123:K127)-SUM(W123:W127)-SUM(Y123:Y127)-SUM(Z123:Z127)-SUM(AC123:AC127)-SUM(V123:V127))-AA123</f>
        <v>-0.38667502964999878</v>
      </c>
      <c r="AC123" s="36">
        <f>K123-T123</f>
        <v>8.8382863919999934</v>
      </c>
      <c r="AD123" s="36">
        <f>+AM123+BC123</f>
        <v>12</v>
      </c>
      <c r="AE123" s="228" t="s">
        <v>429</v>
      </c>
      <c r="AF123" s="36">
        <v>12</v>
      </c>
      <c r="AG123" s="36"/>
      <c r="AH123" s="36"/>
      <c r="AI123" s="36"/>
      <c r="AJ123" s="36"/>
      <c r="AK123" s="36"/>
      <c r="AL123" s="36"/>
      <c r="AM123" s="36">
        <f t="shared" ref="AM123:AM125" si="291">SUM(AF123:AL123)+AT123+AV123+AX123</f>
        <v>12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>
        <f>+AR123+AS123+AU123+AW123+AY123+BB123</f>
        <v>0</v>
      </c>
      <c r="BD123" s="32">
        <v>6</v>
      </c>
      <c r="BE123" s="50"/>
      <c r="BF123" s="50"/>
      <c r="BG123" s="32"/>
      <c r="BH123" s="50"/>
    </row>
    <row r="124" spans="1:60" ht="12.95" customHeight="1">
      <c r="A124" s="39"/>
      <c r="B124" s="40"/>
      <c r="C124" s="412"/>
      <c r="D124" s="40"/>
      <c r="E124" s="41"/>
      <c r="F124" s="41"/>
      <c r="G124" s="497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498"/>
      <c r="S124" s="498"/>
      <c r="T124" s="36"/>
      <c r="U124" s="36"/>
      <c r="V124" s="36"/>
      <c r="W124" s="36"/>
      <c r="X124" s="37"/>
      <c r="Y124" s="210"/>
      <c r="Z124" s="36"/>
      <c r="AA124" s="36"/>
      <c r="AB124" s="36"/>
      <c r="AC124" s="36">
        <f>K124-T124</f>
        <v>0</v>
      </c>
      <c r="AD124" s="36">
        <f>+AM124+BC124</f>
        <v>6</v>
      </c>
      <c r="AE124" s="228" t="s">
        <v>387</v>
      </c>
      <c r="AF124" s="36"/>
      <c r="AG124" s="36">
        <v>6</v>
      </c>
      <c r="AH124" s="36"/>
      <c r="AI124" s="36"/>
      <c r="AJ124" s="36"/>
      <c r="AK124" s="36"/>
      <c r="AL124" s="36"/>
      <c r="AM124" s="36">
        <f t="shared" si="291"/>
        <v>6</v>
      </c>
      <c r="AN124" s="82"/>
      <c r="AO124" s="36"/>
      <c r="AP124" s="36"/>
      <c r="AQ124" s="36"/>
      <c r="AR124" s="36">
        <f t="shared" ref="AR124:AR125" si="292"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>
        <f>+AR124+AS124+AU124+AW124+AY124+BB124</f>
        <v>0</v>
      </c>
      <c r="BD124" s="49"/>
      <c r="BE124" s="50">
        <v>3</v>
      </c>
      <c r="BF124" s="50"/>
      <c r="BG124" s="49"/>
      <c r="BH124" s="50"/>
    </row>
    <row r="125" spans="1:60" ht="12" customHeight="1">
      <c r="A125" s="39"/>
      <c r="B125" s="40"/>
      <c r="C125" s="412"/>
      <c r="D125" s="40"/>
      <c r="E125" s="41"/>
      <c r="F125" s="41"/>
      <c r="G125" s="42"/>
      <c r="H125" s="43"/>
      <c r="I125" s="44"/>
      <c r="J125" s="81"/>
      <c r="K125" s="81"/>
      <c r="L125" s="34"/>
      <c r="M125" s="34"/>
      <c r="N125" s="45"/>
      <c r="O125" s="46"/>
      <c r="P125" s="47"/>
      <c r="Q125" s="46"/>
      <c r="R125" s="498"/>
      <c r="S125" s="498"/>
      <c r="T125" s="36"/>
      <c r="U125" s="36"/>
      <c r="V125" s="36"/>
      <c r="W125" s="36"/>
      <c r="X125" s="37"/>
      <c r="Y125" s="210"/>
      <c r="Z125" s="36"/>
      <c r="AA125" s="36"/>
      <c r="AB125" s="36"/>
      <c r="AC125" s="36"/>
      <c r="AD125" s="36">
        <f>+AM125+BC125</f>
        <v>45</v>
      </c>
      <c r="AE125" s="228" t="s">
        <v>413</v>
      </c>
      <c r="AF125" s="32"/>
      <c r="AG125" s="32"/>
      <c r="AH125" s="32">
        <v>45</v>
      </c>
      <c r="AI125" s="36"/>
      <c r="AJ125" s="36"/>
      <c r="AK125" s="36"/>
      <c r="AL125" s="36"/>
      <c r="AM125" s="36">
        <f t="shared" si="291"/>
        <v>45</v>
      </c>
      <c r="AN125" s="36"/>
      <c r="AO125" s="36"/>
      <c r="AP125" s="36"/>
      <c r="AQ125" s="36"/>
      <c r="AR125" s="36">
        <f t="shared" si="292"/>
        <v>0</v>
      </c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>
        <f>+AR125+AS125+AU125+AW125+AY125+BB125</f>
        <v>0</v>
      </c>
      <c r="BD125" s="32"/>
      <c r="BE125" s="501"/>
      <c r="BF125" s="501"/>
      <c r="BG125" s="32"/>
      <c r="BH125" s="501"/>
    </row>
    <row r="126" spans="1:60" ht="12.95" customHeight="1">
      <c r="A126" s="39"/>
      <c r="B126" s="40"/>
      <c r="C126" s="412"/>
      <c r="D126" s="40"/>
      <c r="E126" s="41"/>
      <c r="F126" s="41"/>
      <c r="G126" s="42"/>
      <c r="H126" s="43"/>
      <c r="I126" s="44"/>
      <c r="J126" s="81"/>
      <c r="K126" s="81"/>
      <c r="L126" s="34"/>
      <c r="M126" s="34"/>
      <c r="N126" s="45"/>
      <c r="O126" s="46"/>
      <c r="P126" s="47"/>
      <c r="Q126" s="46"/>
      <c r="R126" s="498"/>
      <c r="S126" s="498"/>
      <c r="T126" s="36"/>
      <c r="U126" s="36"/>
      <c r="V126" s="36"/>
      <c r="W126" s="36"/>
      <c r="X126" s="37"/>
      <c r="Y126" s="210"/>
      <c r="Z126" s="36"/>
      <c r="AA126" s="36"/>
      <c r="AB126" s="36"/>
      <c r="AC126" s="36"/>
      <c r="AD126" s="36">
        <f t="shared" ref="AD126" si="293">+AM126+BC126</f>
        <v>0</v>
      </c>
      <c r="AE126" s="231" t="s">
        <v>519</v>
      </c>
      <c r="AF126" s="32"/>
      <c r="AG126" s="32"/>
      <c r="AH126" s="32"/>
      <c r="AI126" s="36"/>
      <c r="AJ126" s="36"/>
      <c r="AK126" s="36"/>
      <c r="AL126" s="36"/>
      <c r="AM126" s="36">
        <f>SUM(AF126:AL126)+AT126+AV126+AX126+AZ126</f>
        <v>0</v>
      </c>
      <c r="AN126" s="36"/>
      <c r="AO126" s="36"/>
      <c r="AP126" s="36"/>
      <c r="AQ126" s="36"/>
      <c r="AR126" s="36">
        <f t="shared" ref="AR126" si="294"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>
        <f>+AR126+AS126+AU126+AW126+AY126+BB126+BA126</f>
        <v>0</v>
      </c>
      <c r="BD126" s="32"/>
      <c r="BE126" s="501"/>
      <c r="BF126" s="501"/>
      <c r="BG126" s="32"/>
      <c r="BH126" s="501"/>
    </row>
    <row r="127" spans="1:60" ht="12.75" customHeight="1">
      <c r="A127" s="39"/>
      <c r="B127" s="40"/>
      <c r="C127" s="412"/>
      <c r="D127" s="40"/>
      <c r="E127" s="41"/>
      <c r="F127" s="41"/>
      <c r="G127" s="42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498"/>
      <c r="S127" s="498"/>
      <c r="T127" s="36"/>
      <c r="U127" s="36"/>
      <c r="V127" s="36"/>
      <c r="W127" s="36"/>
      <c r="X127" s="37"/>
      <c r="Y127" s="210"/>
      <c r="Z127" s="36"/>
      <c r="AA127" s="36"/>
      <c r="AB127" s="36"/>
      <c r="AC127" s="36"/>
      <c r="AD127" s="36"/>
      <c r="AE127" s="228"/>
      <c r="AF127" s="32"/>
      <c r="AG127" s="32"/>
      <c r="AH127" s="32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2"/>
      <c r="BE127" s="501"/>
      <c r="BF127" s="50"/>
      <c r="BG127" s="50"/>
      <c r="BH127" s="50"/>
    </row>
    <row r="128" spans="1:60" ht="12.75" customHeight="1">
      <c r="A128" s="39">
        <v>46047</v>
      </c>
      <c r="B128" s="40" t="s">
        <v>410</v>
      </c>
      <c r="C128" s="412">
        <f t="shared" ref="C128" si="295">(M128*E128*O128*Q128)/100000000</f>
        <v>40.970561482423292</v>
      </c>
      <c r="D128" s="40" t="s">
        <v>302</v>
      </c>
      <c r="E128" s="41">
        <v>13</v>
      </c>
      <c r="F128" s="41">
        <v>1</v>
      </c>
      <c r="G128" s="574">
        <v>1230</v>
      </c>
      <c r="H128" s="575">
        <f>+N128</f>
        <v>0.24</v>
      </c>
      <c r="I128" s="44">
        <v>0.88</v>
      </c>
      <c r="J128" s="81">
        <f t="shared" ref="J128" si="296">E128*G128*(1-H128)*1440/1000000*2.74</f>
        <v>47.948509440000002</v>
      </c>
      <c r="K128" s="81">
        <f t="shared" ref="K128" si="297">(IF(G128&lt;L128,L128,G128)*(1-IF(H128&lt;N128,H128,N128))*E128*O128*Q128)/100000000</f>
        <v>45.148596480000002</v>
      </c>
      <c r="L128" s="34">
        <v>1116.1762391817467</v>
      </c>
      <c r="M128" s="34">
        <v>848.29394177812753</v>
      </c>
      <c r="N128" s="45">
        <f t="shared" ref="N128" si="298">1-(M128/L128)</f>
        <v>0.24</v>
      </c>
      <c r="O128" s="46">
        <f>+'Trim Rwd'!H75</f>
        <v>258</v>
      </c>
      <c r="P128" s="47">
        <f t="shared" ref="P128" si="299">O128*(Q128-R128-S128)</f>
        <v>313470</v>
      </c>
      <c r="Q128" s="46">
        <v>1440</v>
      </c>
      <c r="R128" s="498">
        <v>169</v>
      </c>
      <c r="S128" s="498">
        <v>56</v>
      </c>
      <c r="T128" s="36">
        <f t="shared" ref="T128" si="300">E128*M128*O128*Q128/100000000</f>
        <v>40.970561482423292</v>
      </c>
      <c r="U128" s="36">
        <f t="shared" ref="U128" si="301">E128*M128*O128*(Q128-R128-S128)/100000000</f>
        <v>34.568911250794649</v>
      </c>
      <c r="V128" s="36">
        <f t="shared" ref="V128" si="302">E128*G128*(1-N128)*O128/100*(R128+S128)/1000000</f>
        <v>7.0544681999999996</v>
      </c>
      <c r="W128" s="36">
        <f>+'25'!K7/1000</f>
        <v>34.482999999999997</v>
      </c>
      <c r="X128" s="499">
        <f>SUM(W128:W132)/SUM(K128:K132)</f>
        <v>0.76376682086397374</v>
      </c>
      <c r="Y128" s="210">
        <v>0</v>
      </c>
      <c r="Z128" s="36">
        <f>+'23'!D25/1000</f>
        <v>0</v>
      </c>
      <c r="AA128" s="48">
        <f>SUM(U128:U132)-SUM(W128:W132)-SUM(Z128:Z132)-SUM(Y128:Y132)</f>
        <v>8.5911250794652005E-2</v>
      </c>
      <c r="AB128" s="48">
        <f>(SUM(K128:K132)-SUM(W128:W132)-SUM(Y128:Y132)-SUM(Z128:Z132)-SUM(AC128:AC132)-SUM(V128:V132))-AA128</f>
        <v>-0.65281796837135619</v>
      </c>
      <c r="AC128" s="36">
        <f>K128-T128</f>
        <v>4.1780349975767095</v>
      </c>
      <c r="AD128" s="36">
        <f>+AM128+BC128</f>
        <v>10</v>
      </c>
      <c r="AE128" s="228" t="s">
        <v>653</v>
      </c>
      <c r="AF128" s="36">
        <v>10</v>
      </c>
      <c r="AG128" s="36"/>
      <c r="AH128" s="36"/>
      <c r="AI128" s="36"/>
      <c r="AJ128" s="36"/>
      <c r="AK128" s="36"/>
      <c r="AL128" s="36"/>
      <c r="AM128" s="36">
        <f t="shared" ref="AM128:AM130" si="303">SUM(AF128:AL128)+AT128+AV128+AX128</f>
        <v>10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>
        <f>+AR128+AS128+AU128+AW128+AY128+BB128</f>
        <v>0</v>
      </c>
      <c r="BD128" s="32">
        <v>5</v>
      </c>
      <c r="BE128" s="50"/>
      <c r="BF128" s="50"/>
      <c r="BG128" s="32"/>
      <c r="BH128" s="50"/>
    </row>
    <row r="129" spans="1:60" ht="12.95" customHeight="1">
      <c r="A129" s="39"/>
      <c r="B129" s="40"/>
      <c r="C129" s="412"/>
      <c r="D129" s="40"/>
      <c r="E129" s="41"/>
      <c r="F129" s="41"/>
      <c r="G129" s="497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498"/>
      <c r="S129" s="498"/>
      <c r="T129" s="36"/>
      <c r="U129" s="36"/>
      <c r="V129" s="36"/>
      <c r="W129" s="36"/>
      <c r="X129" s="37"/>
      <c r="Y129" s="210"/>
      <c r="Z129" s="36"/>
      <c r="AA129" s="36"/>
      <c r="AB129" s="36"/>
      <c r="AC129" s="36">
        <f>K129-T129</f>
        <v>0</v>
      </c>
      <c r="AD129" s="36">
        <f>+AM129+BC129</f>
        <v>4</v>
      </c>
      <c r="AE129" s="228" t="s">
        <v>652</v>
      </c>
      <c r="AF129" s="36"/>
      <c r="AG129" s="36">
        <v>4</v>
      </c>
      <c r="AH129" s="36"/>
      <c r="AI129" s="36"/>
      <c r="AJ129" s="36"/>
      <c r="AK129" s="36"/>
      <c r="AL129" s="36"/>
      <c r="AM129" s="36">
        <f t="shared" si="303"/>
        <v>4</v>
      </c>
      <c r="AN129" s="82"/>
      <c r="AO129" s="36"/>
      <c r="AP129" s="36"/>
      <c r="AQ129" s="36"/>
      <c r="AR129" s="36">
        <f t="shared" ref="AR129:AR130" si="304">SUM(AN129:AQ129)</f>
        <v>0</v>
      </c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>
        <f>+AR129+AS129+AU129+AW129+AY129+BB129</f>
        <v>0</v>
      </c>
      <c r="BD129" s="49"/>
      <c r="BE129" s="50">
        <v>2</v>
      </c>
      <c r="BF129" s="50"/>
      <c r="BG129" s="49"/>
      <c r="BH129" s="50"/>
    </row>
    <row r="130" spans="1:60" ht="12.95" customHeight="1">
      <c r="A130" s="39"/>
      <c r="B130" s="40"/>
      <c r="C130" s="412"/>
      <c r="D130" s="40"/>
      <c r="E130" s="41"/>
      <c r="F130" s="41"/>
      <c r="G130" s="42"/>
      <c r="H130" s="43"/>
      <c r="I130" s="44"/>
      <c r="J130" s="81"/>
      <c r="K130" s="81"/>
      <c r="L130" s="34"/>
      <c r="M130" s="34"/>
      <c r="N130" s="45"/>
      <c r="O130" s="46"/>
      <c r="P130" s="47"/>
      <c r="Q130" s="46"/>
      <c r="R130" s="498"/>
      <c r="S130" s="498"/>
      <c r="T130" s="36"/>
      <c r="U130" s="36"/>
      <c r="V130" s="36"/>
      <c r="W130" s="36"/>
      <c r="X130" s="37"/>
      <c r="Y130" s="210"/>
      <c r="Z130" s="36"/>
      <c r="AA130" s="36"/>
      <c r="AB130" s="36"/>
      <c r="AC130" s="36"/>
      <c r="AD130" s="36">
        <f>+AM130+BC130</f>
        <v>42</v>
      </c>
      <c r="AE130" s="228" t="s">
        <v>631</v>
      </c>
      <c r="AF130" s="32"/>
      <c r="AG130" s="32"/>
      <c r="AH130" s="32">
        <v>42</v>
      </c>
      <c r="AI130" s="36"/>
      <c r="AJ130" s="36"/>
      <c r="AK130" s="36"/>
      <c r="AL130" s="36"/>
      <c r="AM130" s="36">
        <f t="shared" si="303"/>
        <v>42</v>
      </c>
      <c r="AN130" s="36"/>
      <c r="AO130" s="36"/>
      <c r="AP130" s="36"/>
      <c r="AQ130" s="36"/>
      <c r="AR130" s="36">
        <f t="shared" si="304"/>
        <v>0</v>
      </c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>
        <f>+AR130+AS130+AU130+AW130+AY130+BB130</f>
        <v>0</v>
      </c>
      <c r="BD130" s="32"/>
      <c r="BE130" s="501"/>
      <c r="BF130" s="501"/>
      <c r="BG130" s="32"/>
      <c r="BH130" s="501"/>
    </row>
    <row r="131" spans="1:60" ht="12.95" customHeight="1">
      <c r="A131" s="39"/>
      <c r="B131" s="40"/>
      <c r="C131" s="412"/>
      <c r="D131" s="40"/>
      <c r="E131" s="41"/>
      <c r="F131" s="41"/>
      <c r="G131" s="42"/>
      <c r="H131" s="43"/>
      <c r="I131" s="44"/>
      <c r="J131" s="81"/>
      <c r="K131" s="81"/>
      <c r="L131" s="34"/>
      <c r="M131" s="34"/>
      <c r="N131" s="45"/>
      <c r="O131" s="46"/>
      <c r="P131" s="47"/>
      <c r="Q131" s="46"/>
      <c r="R131" s="498"/>
      <c r="S131" s="498"/>
      <c r="T131" s="36"/>
      <c r="U131" s="36"/>
      <c r="V131" s="36"/>
      <c r="W131" s="36"/>
      <c r="X131" s="37"/>
      <c r="Y131" s="210"/>
      <c r="Z131" s="36"/>
      <c r="AA131" s="36"/>
      <c r="AB131" s="36"/>
      <c r="AC131" s="36"/>
      <c r="AD131" s="36">
        <f t="shared" ref="AD131" si="305">+AM131+BC131</f>
        <v>0</v>
      </c>
      <c r="AE131" s="231" t="s">
        <v>519</v>
      </c>
      <c r="AF131" s="32"/>
      <c r="AG131" s="32"/>
      <c r="AH131" s="32"/>
      <c r="AI131" s="36"/>
      <c r="AJ131" s="36"/>
      <c r="AK131" s="36"/>
      <c r="AL131" s="36"/>
      <c r="AM131" s="36">
        <f>SUM(AF131:AL131)+AT131+AV131+AX131+AZ131</f>
        <v>0</v>
      </c>
      <c r="AN131" s="36"/>
      <c r="AO131" s="36"/>
      <c r="AP131" s="36"/>
      <c r="AQ131" s="36"/>
      <c r="AR131" s="36">
        <f t="shared" ref="AR131" si="306"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>
        <f>+AR131+AS131+AU131+AW131+AY131+BB131+BA131</f>
        <v>0</v>
      </c>
      <c r="BD131" s="32"/>
      <c r="BE131" s="501"/>
      <c r="BF131" s="501"/>
      <c r="BG131" s="32"/>
      <c r="BH131" s="501"/>
    </row>
    <row r="132" spans="1:60" ht="12.95" customHeight="1">
      <c r="A132" s="39"/>
      <c r="B132" s="40"/>
      <c r="C132" s="412"/>
      <c r="D132" s="40"/>
      <c r="E132" s="41"/>
      <c r="F132" s="41"/>
      <c r="G132" s="42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498"/>
      <c r="S132" s="498"/>
      <c r="T132" s="36"/>
      <c r="U132" s="36"/>
      <c r="V132" s="36"/>
      <c r="W132" s="36"/>
      <c r="X132" s="37"/>
      <c r="Y132" s="210"/>
      <c r="Z132" s="36"/>
      <c r="AA132" s="36"/>
      <c r="AB132" s="36"/>
      <c r="AC132" s="36"/>
      <c r="AD132" s="36">
        <f>+AM132+BC132</f>
        <v>169</v>
      </c>
      <c r="AE132" s="228" t="s">
        <v>654</v>
      </c>
      <c r="AF132" s="32"/>
      <c r="AG132" s="32"/>
      <c r="AH132" s="32"/>
      <c r="AI132" s="36"/>
      <c r="AJ132" s="36"/>
      <c r="AK132" s="36"/>
      <c r="AL132" s="36"/>
      <c r="AM132" s="36">
        <f t="shared" ref="AM132:AM133" si="307">SUM(AF132:AL132)+AT132+AV132+AX132</f>
        <v>0</v>
      </c>
      <c r="AN132" s="36"/>
      <c r="AO132" s="36"/>
      <c r="AP132" s="36"/>
      <c r="AQ132" s="36"/>
      <c r="AR132" s="36">
        <f t="shared" ref="AR132:AR133" si="308">SUM(AN132:AQ132)</f>
        <v>0</v>
      </c>
      <c r="AS132" s="36"/>
      <c r="AT132" s="36"/>
      <c r="AU132" s="36"/>
      <c r="AV132" s="36"/>
      <c r="AW132" s="36">
        <v>169</v>
      </c>
      <c r="AX132" s="36"/>
      <c r="AY132" s="36"/>
      <c r="AZ132" s="36"/>
      <c r="BA132" s="36"/>
      <c r="BB132" s="36"/>
      <c r="BC132" s="36">
        <f>+AR132+AS132+AU132+AW132+AY132+BB132</f>
        <v>169</v>
      </c>
      <c r="BD132" s="32"/>
      <c r="BE132" s="501"/>
      <c r="BF132" s="501">
        <v>1</v>
      </c>
      <c r="BG132" s="32"/>
      <c r="BH132" s="501"/>
    </row>
    <row r="133" spans="1:60" ht="12.95" customHeight="1">
      <c r="A133" s="39"/>
      <c r="B133" s="40"/>
      <c r="C133" s="412"/>
      <c r="D133" s="40"/>
      <c r="E133" s="41"/>
      <c r="F133" s="41"/>
      <c r="G133" s="42"/>
      <c r="H133" s="43"/>
      <c r="I133" s="44"/>
      <c r="J133" s="81"/>
      <c r="K133" s="81"/>
      <c r="L133" s="34"/>
      <c r="M133" s="34"/>
      <c r="N133" s="45"/>
      <c r="O133" s="46"/>
      <c r="P133" s="47"/>
      <c r="Q133" s="33"/>
      <c r="R133" s="498"/>
      <c r="S133" s="498"/>
      <c r="T133" s="36"/>
      <c r="U133" s="36"/>
      <c r="V133" s="36"/>
      <c r="W133" s="36"/>
      <c r="X133" s="37"/>
      <c r="Y133" s="210"/>
      <c r="Z133" s="36"/>
      <c r="AA133" s="36"/>
      <c r="AB133" s="36"/>
      <c r="AC133" s="36"/>
      <c r="AD133" s="36"/>
      <c r="AE133" s="231"/>
      <c r="AF133" s="36"/>
      <c r="AG133" s="36"/>
      <c r="AH133" s="36"/>
      <c r="AI133" s="36"/>
      <c r="AJ133" s="36"/>
      <c r="AK133" s="36"/>
      <c r="AL133" s="36"/>
      <c r="AM133" s="36">
        <f t="shared" si="307"/>
        <v>0</v>
      </c>
      <c r="AN133" s="36"/>
      <c r="AO133" s="36"/>
      <c r="AP133" s="36"/>
      <c r="AQ133" s="36"/>
      <c r="AR133" s="36">
        <f t="shared" si="308"/>
        <v>0</v>
      </c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>
        <f>+AR133+AS133+AU133+AW133+AY133+BB133</f>
        <v>0</v>
      </c>
      <c r="BD133" s="49"/>
      <c r="BE133" s="50"/>
      <c r="BF133" s="50"/>
      <c r="BG133" s="50"/>
      <c r="BH133" s="50"/>
    </row>
    <row r="134" spans="1:60" ht="12.75" customHeight="1">
      <c r="A134" s="39">
        <v>46048</v>
      </c>
      <c r="B134" s="40" t="s">
        <v>410</v>
      </c>
      <c r="C134" s="412">
        <f t="shared" ref="C134" si="309">(M134*E134*O134*Q134)/100000000</f>
        <v>29.87898790371991</v>
      </c>
      <c r="D134" s="40" t="s">
        <v>302</v>
      </c>
      <c r="E134" s="41">
        <v>13</v>
      </c>
      <c r="F134" s="41">
        <v>1</v>
      </c>
      <c r="G134" s="574">
        <v>1230</v>
      </c>
      <c r="H134" s="575">
        <f>+N134</f>
        <v>0.2400000000000001</v>
      </c>
      <c r="I134" s="44">
        <v>0.88</v>
      </c>
      <c r="J134" s="81">
        <f t="shared" ref="J134" si="310">E134*G134*(1-H134)*1440/1000000*2.74</f>
        <v>47.948509439999988</v>
      </c>
      <c r="K134" s="81">
        <f t="shared" ref="K134" si="311">(IF(G134&lt;L134,L134,G134)*(1-IF(H134&lt;N134,H134,N134))*E134*O134*Q134)/100000000</f>
        <v>45.148596479999988</v>
      </c>
      <c r="L134" s="34">
        <v>814.0043763676149</v>
      </c>
      <c r="M134" s="34">
        <v>618.64332603938726</v>
      </c>
      <c r="N134" s="45">
        <f t="shared" ref="N134" si="312">1-(M134/L134)</f>
        <v>0.2400000000000001</v>
      </c>
      <c r="O134" s="46">
        <f>+'Trim Rwd'!H77</f>
        <v>258</v>
      </c>
      <c r="P134" s="47">
        <f t="shared" ref="P134" si="313">O134*(Q134-R134-S134)</f>
        <v>340302</v>
      </c>
      <c r="Q134" s="46">
        <v>1440</v>
      </c>
      <c r="R134" s="498">
        <v>69</v>
      </c>
      <c r="S134" s="498">
        <v>52</v>
      </c>
      <c r="T134" s="36">
        <f t="shared" ref="T134" si="314">E134*M134*O134*Q134/100000000</f>
        <v>29.87898790371991</v>
      </c>
      <c r="U134" s="36">
        <f t="shared" ref="U134" si="315">E134*M134*O134*(Q134-R134-S134)/100000000</f>
        <v>27.368322947921225</v>
      </c>
      <c r="V134" s="36">
        <f t="shared" ref="V134" si="316">E134*G134*(1-N134)*O134/100*(R134+S134)/1000000</f>
        <v>3.7937362319999988</v>
      </c>
      <c r="W134" s="36">
        <f>+'26'!K7/1000</f>
        <v>32.168999999999997</v>
      </c>
      <c r="X134" s="499">
        <f>SUM(W134:W138)/SUM(K134:K138)</f>
        <v>0.71251384335391876</v>
      </c>
      <c r="Y134" s="210">
        <v>0</v>
      </c>
      <c r="Z134" s="36">
        <f>+'23'!D31/1000</f>
        <v>0</v>
      </c>
      <c r="AA134" s="48">
        <f>SUM(U134:U138)-SUM(W134:W138)-SUM(Z134:Z138)-SUM(Y134:Y138)</f>
        <v>-4.8006770520787718</v>
      </c>
      <c r="AB134" s="48">
        <f>(SUM(K134:K138)-SUM(W134:W138)-SUM(Y134:Y138)-SUM(Z134:Z138)-SUM(AC134:AC138)-SUM(V134:V138))-AA134</f>
        <v>-1.2830712762013139</v>
      </c>
      <c r="AC134" s="36">
        <f>K134-T134</f>
        <v>15.269608576280078</v>
      </c>
      <c r="AD134" s="36">
        <f>+AM134+BC134</f>
        <v>10</v>
      </c>
      <c r="AE134" s="228" t="s">
        <v>653</v>
      </c>
      <c r="AF134" s="36">
        <v>10</v>
      </c>
      <c r="AG134" s="36"/>
      <c r="AH134" s="36"/>
      <c r="AI134" s="36"/>
      <c r="AJ134" s="36"/>
      <c r="AK134" s="36"/>
      <c r="AL134" s="36"/>
      <c r="AM134" s="36">
        <f t="shared" ref="AM134:AM136" si="317">SUM(AF134:AL134)+AT134+AV134+AX134</f>
        <v>10</v>
      </c>
      <c r="AN134" s="36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>
        <f>+AR134+AS134+AU134+AW134+AY134+BB134</f>
        <v>0</v>
      </c>
      <c r="BD134" s="32">
        <v>5</v>
      </c>
      <c r="BE134" s="50"/>
      <c r="BF134" s="50"/>
      <c r="BG134" s="32"/>
      <c r="BH134" s="50"/>
    </row>
    <row r="135" spans="1:60" ht="12.95" customHeight="1">
      <c r="A135" s="39"/>
      <c r="B135" s="40"/>
      <c r="C135" s="412"/>
      <c r="D135" s="40"/>
      <c r="E135" s="41"/>
      <c r="F135" s="41"/>
      <c r="G135" s="497"/>
      <c r="H135" s="43"/>
      <c r="I135" s="44"/>
      <c r="J135" s="81"/>
      <c r="K135" s="81"/>
      <c r="L135" s="34"/>
      <c r="M135" s="34"/>
      <c r="N135" s="45"/>
      <c r="O135" s="46"/>
      <c r="P135" s="47"/>
      <c r="Q135" s="46"/>
      <c r="R135" s="498"/>
      <c r="S135" s="498"/>
      <c r="T135" s="36"/>
      <c r="U135" s="36"/>
      <c r="V135" s="36"/>
      <c r="W135" s="36"/>
      <c r="X135" s="37"/>
      <c r="Y135" s="210"/>
      <c r="Z135" s="36"/>
      <c r="AA135" s="36"/>
      <c r="AB135" s="36"/>
      <c r="AC135" s="36">
        <f>K135-T135</f>
        <v>0</v>
      </c>
      <c r="AD135" s="36">
        <f>+AM135+BC135</f>
        <v>4</v>
      </c>
      <c r="AE135" s="228" t="s">
        <v>652</v>
      </c>
      <c r="AF135" s="36"/>
      <c r="AG135" s="36">
        <v>4</v>
      </c>
      <c r="AH135" s="36"/>
      <c r="AI135" s="36"/>
      <c r="AJ135" s="36"/>
      <c r="AK135" s="36"/>
      <c r="AL135" s="36"/>
      <c r="AM135" s="36">
        <f t="shared" si="317"/>
        <v>4</v>
      </c>
      <c r="AN135" s="82"/>
      <c r="AO135" s="36"/>
      <c r="AP135" s="36"/>
      <c r="AQ135" s="36"/>
      <c r="AR135" s="36">
        <f t="shared" ref="AR135:AR136" si="318"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>
        <f>+AR135+AS135+AU135+AW135+AY135+BB135</f>
        <v>0</v>
      </c>
      <c r="BD135" s="49"/>
      <c r="BE135" s="50">
        <v>2</v>
      </c>
      <c r="BF135" s="50"/>
      <c r="BG135" s="49"/>
      <c r="BH135" s="50"/>
    </row>
    <row r="136" spans="1:60" ht="12.95" customHeight="1">
      <c r="A136" s="39"/>
      <c r="B136" s="40"/>
      <c r="C136" s="412"/>
      <c r="D136" s="40"/>
      <c r="E136" s="41"/>
      <c r="F136" s="41"/>
      <c r="G136" s="42"/>
      <c r="H136" s="43"/>
      <c r="I136" s="44"/>
      <c r="J136" s="81"/>
      <c r="K136" s="81"/>
      <c r="L136" s="34"/>
      <c r="M136" s="34"/>
      <c r="N136" s="45"/>
      <c r="O136" s="46"/>
      <c r="P136" s="47"/>
      <c r="Q136" s="46"/>
      <c r="R136" s="498"/>
      <c r="S136" s="498"/>
      <c r="T136" s="36"/>
      <c r="U136" s="36"/>
      <c r="V136" s="36"/>
      <c r="W136" s="36"/>
      <c r="X136" s="37"/>
      <c r="Y136" s="210"/>
      <c r="Z136" s="36"/>
      <c r="AA136" s="36"/>
      <c r="AB136" s="36"/>
      <c r="AC136" s="36"/>
      <c r="AD136" s="36">
        <f>+AM136+BC136</f>
        <v>38</v>
      </c>
      <c r="AE136" s="228" t="s">
        <v>631</v>
      </c>
      <c r="AF136" s="32"/>
      <c r="AG136" s="32"/>
      <c r="AH136" s="32">
        <v>38</v>
      </c>
      <c r="AI136" s="36"/>
      <c r="AJ136" s="36"/>
      <c r="AK136" s="36"/>
      <c r="AL136" s="36"/>
      <c r="AM136" s="36">
        <f t="shared" si="317"/>
        <v>38</v>
      </c>
      <c r="AN136" s="36"/>
      <c r="AO136" s="36"/>
      <c r="AP136" s="36"/>
      <c r="AQ136" s="36"/>
      <c r="AR136" s="36">
        <f t="shared" si="318"/>
        <v>0</v>
      </c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>
        <f>+AR136+AS136+AU136+AW136+AY136+BB136</f>
        <v>0</v>
      </c>
      <c r="BD136" s="32"/>
      <c r="BE136" s="501"/>
      <c r="BF136" s="501"/>
      <c r="BG136" s="32"/>
      <c r="BH136" s="501"/>
    </row>
    <row r="137" spans="1:60" ht="12.95" customHeight="1">
      <c r="A137" s="39"/>
      <c r="B137" s="40"/>
      <c r="C137" s="412"/>
      <c r="D137" s="40"/>
      <c r="E137" s="41"/>
      <c r="F137" s="41"/>
      <c r="G137" s="42"/>
      <c r="H137" s="43"/>
      <c r="I137" s="44"/>
      <c r="J137" s="81"/>
      <c r="K137" s="81"/>
      <c r="L137" s="34"/>
      <c r="M137" s="34"/>
      <c r="N137" s="45"/>
      <c r="O137" s="46"/>
      <c r="P137" s="47"/>
      <c r="Q137" s="46"/>
      <c r="R137" s="498"/>
      <c r="S137" s="498"/>
      <c r="T137" s="36"/>
      <c r="U137" s="36"/>
      <c r="V137" s="36"/>
      <c r="W137" s="36"/>
      <c r="X137" s="37"/>
      <c r="Y137" s="210"/>
      <c r="Z137" s="36"/>
      <c r="AA137" s="36"/>
      <c r="AB137" s="36"/>
      <c r="AC137" s="36"/>
      <c r="AD137" s="36">
        <f t="shared" ref="AD137" si="319">+AM137+BC137</f>
        <v>69</v>
      </c>
      <c r="AE137" s="231" t="s">
        <v>666</v>
      </c>
      <c r="AF137" s="32"/>
      <c r="AG137" s="32"/>
      <c r="AH137" s="32"/>
      <c r="AI137" s="36"/>
      <c r="AJ137" s="36"/>
      <c r="AK137" s="36"/>
      <c r="AL137" s="36"/>
      <c r="AM137" s="36">
        <f>SUM(AF137:AL137)+AT137+AV137+AX137+AZ137</f>
        <v>0</v>
      </c>
      <c r="AN137" s="36"/>
      <c r="AO137" s="36"/>
      <c r="AP137" s="36"/>
      <c r="AQ137" s="36"/>
      <c r="AR137" s="36">
        <f t="shared" ref="AR137" si="320"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v>69</v>
      </c>
      <c r="BB137" s="36"/>
      <c r="BC137" s="36">
        <f>+AR137+AS137+AU137+AW137+AY137+BB137+BA137</f>
        <v>69</v>
      </c>
      <c r="BD137" s="32"/>
      <c r="BE137" s="501"/>
      <c r="BF137" s="501"/>
      <c r="BG137" s="32"/>
      <c r="BH137" s="501"/>
    </row>
    <row r="138" spans="1:60" ht="12.95" customHeight="1">
      <c r="A138" s="39"/>
      <c r="B138" s="40"/>
      <c r="C138" s="412"/>
      <c r="D138" s="40"/>
      <c r="E138" s="41"/>
      <c r="F138" s="41"/>
      <c r="G138" s="42"/>
      <c r="H138" s="43"/>
      <c r="I138" s="44"/>
      <c r="J138" s="81"/>
      <c r="K138" s="81"/>
      <c r="L138" s="34"/>
      <c r="M138" s="34"/>
      <c r="N138" s="45"/>
      <c r="O138" s="46"/>
      <c r="P138" s="47"/>
      <c r="Q138" s="46"/>
      <c r="R138" s="498"/>
      <c r="S138" s="498"/>
      <c r="T138" s="36"/>
      <c r="U138" s="36"/>
      <c r="V138" s="36"/>
      <c r="W138" s="36"/>
      <c r="X138" s="37"/>
      <c r="Y138" s="210"/>
      <c r="Z138" s="36"/>
      <c r="AA138" s="36"/>
      <c r="AB138" s="36"/>
      <c r="AC138" s="36"/>
      <c r="AD138" s="36">
        <f t="shared" ref="AD138" si="321">+AM138+BC138</f>
        <v>0</v>
      </c>
      <c r="AE138" s="231" t="s">
        <v>519</v>
      </c>
      <c r="AF138" s="32"/>
      <c r="AG138" s="32"/>
      <c r="AH138" s="32"/>
      <c r="AI138" s="36"/>
      <c r="AJ138" s="36"/>
      <c r="AK138" s="36"/>
      <c r="AL138" s="36"/>
      <c r="AM138" s="36">
        <f>SUM(AF138:AL138)+AT138+AV138+AX138+AZ138</f>
        <v>0</v>
      </c>
      <c r="AN138" s="36"/>
      <c r="AO138" s="36"/>
      <c r="AP138" s="36"/>
      <c r="AQ138" s="36"/>
      <c r="AR138" s="36">
        <f t="shared" ref="AR138" si="322"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>
        <f>+AR138+AS138+AU138+AW138+AY138+BB138+BA138</f>
        <v>0</v>
      </c>
      <c r="BD138" s="32"/>
      <c r="BE138" s="501"/>
      <c r="BF138" s="501"/>
      <c r="BG138" s="32"/>
      <c r="BH138" s="501"/>
    </row>
    <row r="139" spans="1:60" ht="12.95" customHeight="1">
      <c r="A139" s="39"/>
      <c r="B139" s="40"/>
      <c r="C139" s="412"/>
      <c r="D139" s="40"/>
      <c r="E139" s="41"/>
      <c r="F139" s="41"/>
      <c r="G139" s="42"/>
      <c r="H139" s="43"/>
      <c r="I139" s="44"/>
      <c r="J139" s="81"/>
      <c r="K139" s="81"/>
      <c r="L139" s="34"/>
      <c r="M139" s="34"/>
      <c r="N139" s="45"/>
      <c r="O139" s="46"/>
      <c r="P139" s="47"/>
      <c r="Q139" s="46"/>
      <c r="R139" s="498"/>
      <c r="S139" s="498"/>
      <c r="T139" s="36"/>
      <c r="U139" s="36"/>
      <c r="V139" s="36"/>
      <c r="W139" s="36"/>
      <c r="X139" s="499"/>
      <c r="Y139" s="210"/>
      <c r="Z139" s="36"/>
      <c r="AA139" s="48"/>
      <c r="AB139" s="48"/>
      <c r="AC139" s="36"/>
      <c r="AD139" s="36"/>
      <c r="AE139" s="228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2"/>
      <c r="BE139" s="50"/>
      <c r="BF139" s="50"/>
      <c r="BG139" s="50"/>
      <c r="BH139" s="50"/>
    </row>
    <row r="140" spans="1:60" ht="12.75" customHeight="1">
      <c r="A140" s="39">
        <v>46049</v>
      </c>
      <c r="B140" s="40" t="s">
        <v>410</v>
      </c>
      <c r="C140" s="412">
        <f t="shared" ref="C140" si="323">(M140*E140*O140*Q140)/100000000</f>
        <v>29.305803072000003</v>
      </c>
      <c r="D140" s="40" t="s">
        <v>302</v>
      </c>
      <c r="E140" s="41">
        <v>13</v>
      </c>
      <c r="F140" s="41">
        <v>1</v>
      </c>
      <c r="G140" s="574">
        <v>1230</v>
      </c>
      <c r="H140" s="575">
        <f>+N140</f>
        <v>0.24</v>
      </c>
      <c r="I140" s="44">
        <v>0.88</v>
      </c>
      <c r="J140" s="81">
        <f t="shared" ref="J140" si="324">E140*G140*(1-H140)*1440/1000000*2.74</f>
        <v>47.948509440000002</v>
      </c>
      <c r="K140" s="81">
        <f t="shared" ref="K140" si="325">(IF(G140&lt;L140,L140,G140)*(1-IF(H140&lt;N140,H140,N140))*E140*O140*Q140)/100000000</f>
        <v>45.148596480000002</v>
      </c>
      <c r="L140" s="34">
        <v>798.38888888888891</v>
      </c>
      <c r="M140" s="34">
        <v>606.77555555555557</v>
      </c>
      <c r="N140" s="45">
        <f t="shared" ref="N140" si="326">1-(M140/L140)</f>
        <v>0.24</v>
      </c>
      <c r="O140" s="46">
        <f>+'Trim Rwd'!H79</f>
        <v>258</v>
      </c>
      <c r="P140" s="47">
        <f t="shared" ref="P140" si="327">O140*(Q140-R140-S140)</f>
        <v>354492</v>
      </c>
      <c r="Q140" s="46">
        <v>1440</v>
      </c>
      <c r="R140" s="498">
        <v>0</v>
      </c>
      <c r="S140" s="498">
        <v>66</v>
      </c>
      <c r="T140" s="36">
        <f t="shared" ref="T140" si="328">E140*M140*O140*Q140/100000000</f>
        <v>29.305803072000003</v>
      </c>
      <c r="U140" s="36">
        <f t="shared" ref="U140" si="329">E140*M140*O140*(Q140-R140-S140)/100000000</f>
        <v>27.962620431199998</v>
      </c>
      <c r="V140" s="36">
        <f t="shared" ref="V140" si="330">E140*G140*(1-N140)*O140/100*(R140+S140)/1000000</f>
        <v>2.0693106719999999</v>
      </c>
      <c r="W140" s="36">
        <f>+'27'!K7/1000</f>
        <v>28.209</v>
      </c>
      <c r="X140" s="499">
        <f>SUM(W140:W144)/SUM(K140:K144)</f>
        <v>0.62480347561847394</v>
      </c>
      <c r="Y140" s="210">
        <v>0</v>
      </c>
      <c r="Z140" s="36">
        <v>0</v>
      </c>
      <c r="AA140" s="48">
        <f>SUM(U140:U144)-SUM(W140:W144)-SUM(Z140:Z144)-SUM(Y140:Y144)</f>
        <v>-0.24637956880000189</v>
      </c>
      <c r="AB140" s="48">
        <f>(SUM(K140:K144)-SUM(W140:W144)-SUM(Y140:Y144)-SUM(Z140:Z144)-SUM(AC140:AC144)-SUM(V140:V144))-AA140</f>
        <v>-0.72612803119999425</v>
      </c>
      <c r="AC140" s="36">
        <f>K140-T140</f>
        <v>15.842793407999999</v>
      </c>
      <c r="AD140" s="36">
        <f>+AM140+BC140</f>
        <v>24</v>
      </c>
      <c r="AE140" s="228" t="s">
        <v>429</v>
      </c>
      <c r="AF140" s="36">
        <v>24</v>
      </c>
      <c r="AG140" s="36"/>
      <c r="AH140" s="36"/>
      <c r="AI140" s="36"/>
      <c r="AJ140" s="36"/>
      <c r="AK140" s="36"/>
      <c r="AL140" s="36"/>
      <c r="AM140" s="36">
        <f t="shared" ref="AM140:AM142" si="331">SUM(AF140:AL140)+AT140+AV140+AX140</f>
        <v>24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>
        <f>+AR140+AS140+AU140+AW140+AY140+BB140</f>
        <v>0</v>
      </c>
      <c r="BD140" s="32">
        <v>6</v>
      </c>
      <c r="BE140" s="50"/>
      <c r="BF140" s="50"/>
      <c r="BG140" s="32"/>
      <c r="BH140" s="50"/>
    </row>
    <row r="141" spans="1:60" ht="12.95" customHeight="1">
      <c r="A141" s="39"/>
      <c r="B141" s="40"/>
      <c r="C141" s="412"/>
      <c r="D141" s="40"/>
      <c r="E141" s="41"/>
      <c r="F141" s="41"/>
      <c r="G141" s="497"/>
      <c r="H141" s="43"/>
      <c r="I141" s="44"/>
      <c r="J141" s="81"/>
      <c r="K141" s="81"/>
      <c r="L141" s="34"/>
      <c r="M141" s="34"/>
      <c r="N141" s="45"/>
      <c r="O141" s="46"/>
      <c r="P141" s="47"/>
      <c r="Q141" s="46"/>
      <c r="R141" s="498"/>
      <c r="S141" s="498"/>
      <c r="T141" s="36"/>
      <c r="U141" s="36"/>
      <c r="V141" s="36"/>
      <c r="W141" s="36"/>
      <c r="X141" s="37"/>
      <c r="Y141" s="210"/>
      <c r="Z141" s="36"/>
      <c r="AA141" s="36"/>
      <c r="AB141" s="36"/>
      <c r="AC141" s="36">
        <f>K141-T141</f>
        <v>0</v>
      </c>
      <c r="AD141" s="36">
        <f>+AM141+BC141</f>
        <v>8</v>
      </c>
      <c r="AE141" s="228" t="s">
        <v>407</v>
      </c>
      <c r="AF141" s="36"/>
      <c r="AG141" s="36">
        <v>8</v>
      </c>
      <c r="AH141" s="36"/>
      <c r="AI141" s="36"/>
      <c r="AJ141" s="36"/>
      <c r="AK141" s="36"/>
      <c r="AL141" s="36"/>
      <c r="AM141" s="36">
        <f t="shared" si="331"/>
        <v>8</v>
      </c>
      <c r="AN141" s="82"/>
      <c r="AO141" s="36"/>
      <c r="AP141" s="36"/>
      <c r="AQ141" s="36"/>
      <c r="AR141" s="36">
        <f t="shared" ref="AR141:AR142" si="332">SUM(AN141:AQ141)</f>
        <v>0</v>
      </c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>
        <f>+AR141+AS141+AU141+AW141+AY141+BB141</f>
        <v>0</v>
      </c>
      <c r="BD141" s="49"/>
      <c r="BE141" s="50">
        <v>4</v>
      </c>
      <c r="BF141" s="50"/>
      <c r="BG141" s="49"/>
      <c r="BH141" s="50"/>
    </row>
    <row r="142" spans="1:60" ht="12.95" customHeight="1">
      <c r="A142" s="39"/>
      <c r="B142" s="40"/>
      <c r="C142" s="412"/>
      <c r="D142" s="40"/>
      <c r="E142" s="41"/>
      <c r="F142" s="41"/>
      <c r="G142" s="42"/>
      <c r="H142" s="43"/>
      <c r="I142" s="44"/>
      <c r="J142" s="81"/>
      <c r="K142" s="81"/>
      <c r="L142" s="34"/>
      <c r="M142" s="34"/>
      <c r="N142" s="45"/>
      <c r="O142" s="46"/>
      <c r="P142" s="47"/>
      <c r="Q142" s="46"/>
      <c r="R142" s="498"/>
      <c r="S142" s="498"/>
      <c r="T142" s="36"/>
      <c r="U142" s="36"/>
      <c r="V142" s="36"/>
      <c r="W142" s="36"/>
      <c r="X142" s="37"/>
      <c r="Y142" s="210"/>
      <c r="Z142" s="36"/>
      <c r="AA142" s="36"/>
      <c r="AB142" s="36"/>
      <c r="AC142" s="36"/>
      <c r="AD142" s="36">
        <f>+AM142+BC142</f>
        <v>34</v>
      </c>
      <c r="AE142" s="228" t="s">
        <v>676</v>
      </c>
      <c r="AF142" s="32"/>
      <c r="AG142" s="32"/>
      <c r="AH142" s="32">
        <v>34</v>
      </c>
      <c r="AI142" s="36"/>
      <c r="AJ142" s="36"/>
      <c r="AK142" s="36"/>
      <c r="AL142" s="36"/>
      <c r="AM142" s="36">
        <f t="shared" si="331"/>
        <v>34</v>
      </c>
      <c r="AN142" s="36"/>
      <c r="AO142" s="36"/>
      <c r="AP142" s="36"/>
      <c r="AQ142" s="36"/>
      <c r="AR142" s="36">
        <f t="shared" si="332"/>
        <v>0</v>
      </c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>
        <f>+AR142+AS142+AU142+AW142+AY142+BB142</f>
        <v>0</v>
      </c>
      <c r="BD142" s="32"/>
      <c r="BE142" s="501"/>
      <c r="BF142" s="501"/>
      <c r="BG142" s="32"/>
      <c r="BH142" s="501"/>
    </row>
    <row r="143" spans="1:60" ht="12.95" customHeight="1">
      <c r="A143" s="39"/>
      <c r="B143" s="40"/>
      <c r="C143" s="412"/>
      <c r="D143" s="40"/>
      <c r="E143" s="41"/>
      <c r="F143" s="41"/>
      <c r="G143" s="42"/>
      <c r="H143" s="43"/>
      <c r="I143" s="44"/>
      <c r="J143" s="81"/>
      <c r="K143" s="81"/>
      <c r="L143" s="34"/>
      <c r="M143" s="34"/>
      <c r="N143" s="45"/>
      <c r="O143" s="46"/>
      <c r="P143" s="47"/>
      <c r="Q143" s="46"/>
      <c r="R143" s="498"/>
      <c r="S143" s="498"/>
      <c r="T143" s="36"/>
      <c r="U143" s="36"/>
      <c r="V143" s="36"/>
      <c r="W143" s="36"/>
      <c r="X143" s="37"/>
      <c r="Y143" s="210"/>
      <c r="Z143" s="36"/>
      <c r="AA143" s="36"/>
      <c r="AB143" s="36"/>
      <c r="AC143" s="36"/>
      <c r="AD143" s="36">
        <f t="shared" ref="AD143" si="333">+AM143+BC143</f>
        <v>0</v>
      </c>
      <c r="AE143" s="231" t="s">
        <v>519</v>
      </c>
      <c r="AF143" s="32"/>
      <c r="AG143" s="32"/>
      <c r="AH143" s="32"/>
      <c r="AI143" s="36"/>
      <c r="AJ143" s="36"/>
      <c r="AK143" s="36"/>
      <c r="AL143" s="36"/>
      <c r="AM143" s="36">
        <f>SUM(AF143:AL143)+AT143+AV143+AX143+AZ143</f>
        <v>0</v>
      </c>
      <c r="AN143" s="36"/>
      <c r="AO143" s="36"/>
      <c r="AP143" s="36"/>
      <c r="AQ143" s="36"/>
      <c r="AR143" s="36">
        <f t="shared" ref="AR143" si="334">SUM(AN143:AQ143)</f>
        <v>0</v>
      </c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>
        <f>+AR143+AS143+AU143+AW143+AY143+BB143+BA143</f>
        <v>0</v>
      </c>
      <c r="BD143" s="32"/>
      <c r="BE143" s="501"/>
      <c r="BF143" s="501"/>
      <c r="BG143" s="32"/>
      <c r="BH143" s="501"/>
    </row>
    <row r="144" spans="1:60" ht="12.95" customHeight="1">
      <c r="A144" s="39"/>
      <c r="B144" s="40"/>
      <c r="C144" s="412"/>
      <c r="D144" s="40"/>
      <c r="E144" s="41"/>
      <c r="F144" s="41"/>
      <c r="G144" s="42"/>
      <c r="H144" s="43"/>
      <c r="I144" s="44"/>
      <c r="J144" s="81"/>
      <c r="K144" s="81"/>
      <c r="L144" s="34"/>
      <c r="M144" s="34"/>
      <c r="N144" s="45"/>
      <c r="O144" s="46"/>
      <c r="P144" s="47"/>
      <c r="Q144" s="46"/>
      <c r="R144" s="498"/>
      <c r="S144" s="498"/>
      <c r="T144" s="36"/>
      <c r="U144" s="36"/>
      <c r="V144" s="36"/>
      <c r="W144" s="36"/>
      <c r="X144" s="499"/>
      <c r="Y144" s="210"/>
      <c r="Z144" s="36"/>
      <c r="AA144" s="48"/>
      <c r="AB144" s="48"/>
      <c r="AC144" s="36"/>
      <c r="AD144" s="36"/>
      <c r="AE144" s="228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2"/>
      <c r="BE144" s="50"/>
      <c r="BF144" s="50"/>
      <c r="BG144" s="50"/>
      <c r="BH144" s="50"/>
    </row>
    <row r="145" spans="1:60" ht="12.75" customHeight="1">
      <c r="A145" s="39">
        <v>46050</v>
      </c>
      <c r="B145" s="40" t="s">
        <v>410</v>
      </c>
      <c r="C145" s="412">
        <f t="shared" ref="C145" si="335">(M145*E145*O145*Q145)/100000000</f>
        <v>27.203354879999996</v>
      </c>
      <c r="D145" s="40" t="s">
        <v>302</v>
      </c>
      <c r="E145" s="41">
        <v>13</v>
      </c>
      <c r="F145" s="41">
        <v>1</v>
      </c>
      <c r="G145" s="574">
        <v>1230</v>
      </c>
      <c r="H145" s="575">
        <f>+N145</f>
        <v>0.24</v>
      </c>
      <c r="I145" s="44">
        <v>0.88</v>
      </c>
      <c r="J145" s="81">
        <f t="shared" ref="J145" si="336">E145*G145*(1-H145)*1440/1000000*2.74</f>
        <v>47.948509440000002</v>
      </c>
      <c r="K145" s="81">
        <f t="shared" ref="K145" si="337">(IF(G145&lt;L145,L145,G145)*(1-IF(H145&lt;N145,H145,N145))*E145*O145*Q145)/100000000</f>
        <v>45.148596480000002</v>
      </c>
      <c r="L145" s="34">
        <v>741.11111111111109</v>
      </c>
      <c r="M145" s="34">
        <v>563.24444444444441</v>
      </c>
      <c r="N145" s="45">
        <f t="shared" ref="N145" si="338">1-(M145/L145)</f>
        <v>0.24</v>
      </c>
      <c r="O145" s="46">
        <f>+'Trim Rwd'!H81</f>
        <v>258</v>
      </c>
      <c r="P145" s="47">
        <f t="shared" ref="P145" si="339">O145*(Q145-R145-S145)</f>
        <v>357330</v>
      </c>
      <c r="Q145" s="46">
        <v>1440</v>
      </c>
      <c r="R145" s="498">
        <v>0</v>
      </c>
      <c r="S145" s="498">
        <v>55</v>
      </c>
      <c r="T145" s="36">
        <f t="shared" ref="T145" si="340">E145*M145*O145*Q145/100000000</f>
        <v>27.203354879999996</v>
      </c>
      <c r="U145" s="36">
        <f t="shared" ref="U145" si="341">E145*M145*O145*(Q145-R145-S145)/100000000</f>
        <v>26.164337853333329</v>
      </c>
      <c r="V145" s="36">
        <f t="shared" ref="V145" si="342">E145*G145*(1-N145)*O145/100*(R145+S145)/1000000</f>
        <v>1.7244255599999998</v>
      </c>
      <c r="W145" s="36">
        <f>+'28'!K7/1000</f>
        <v>26.655999999999999</v>
      </c>
      <c r="X145" s="499">
        <f>SUM(W145:W149)/SUM(K145:K149)</f>
        <v>0.59040595008990182</v>
      </c>
      <c r="Y145" s="210">
        <v>0</v>
      </c>
      <c r="Z145" s="36">
        <v>0</v>
      </c>
      <c r="AA145" s="48">
        <f>SUM(U145:U149)-SUM(W145:W149)-SUM(Z145:Z149)-SUM(Y145:Y149)</f>
        <v>-0.49166214666666974</v>
      </c>
      <c r="AB145" s="48">
        <f>(SUM(K145:K149)-SUM(W145:W149)-SUM(Y145:Y149)-SUM(Z145:Z149)-SUM(AC145:AC149)-SUM(V145:V149))-AA145</f>
        <v>-0.68540853333333329</v>
      </c>
      <c r="AC145" s="36">
        <f>K145-T145</f>
        <v>17.945241600000006</v>
      </c>
      <c r="AD145" s="36">
        <f>+AM145+BC145</f>
        <v>10</v>
      </c>
      <c r="AE145" s="228" t="s">
        <v>653</v>
      </c>
      <c r="AF145" s="36">
        <v>10</v>
      </c>
      <c r="AG145" s="36"/>
      <c r="AH145" s="36"/>
      <c r="AI145" s="36"/>
      <c r="AJ145" s="36"/>
      <c r="AK145" s="36"/>
      <c r="AL145" s="36"/>
      <c r="AM145" s="36">
        <f t="shared" ref="AM145:AM147" si="343">SUM(AF145:AL145)+AT145+AV145+AX145</f>
        <v>10</v>
      </c>
      <c r="AN145" s="36"/>
      <c r="AO145" s="36"/>
      <c r="AP145" s="36"/>
      <c r="AQ145" s="36"/>
      <c r="AR145" s="36">
        <f>SUM(AN145:AQ145)</f>
        <v>0</v>
      </c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>
        <f>+AR145+AS145+AU145+AW145+AY145+BB145</f>
        <v>0</v>
      </c>
      <c r="BD145" s="32">
        <v>5</v>
      </c>
      <c r="BE145" s="50"/>
      <c r="BF145" s="50"/>
      <c r="BG145" s="32"/>
      <c r="BH145" s="50"/>
    </row>
    <row r="146" spans="1:60" ht="12.95" customHeight="1">
      <c r="A146" s="39"/>
      <c r="B146" s="40"/>
      <c r="C146" s="412"/>
      <c r="D146" s="40"/>
      <c r="E146" s="41"/>
      <c r="F146" s="41"/>
      <c r="G146" s="497"/>
      <c r="H146" s="43"/>
      <c r="I146" s="44"/>
      <c r="J146" s="81"/>
      <c r="K146" s="81"/>
      <c r="L146" s="34"/>
      <c r="M146" s="34"/>
      <c r="N146" s="45"/>
      <c r="O146" s="46"/>
      <c r="P146" s="47"/>
      <c r="Q146" s="46"/>
      <c r="R146" s="498"/>
      <c r="S146" s="498"/>
      <c r="T146" s="36"/>
      <c r="U146" s="36"/>
      <c r="V146" s="36"/>
      <c r="W146" s="36"/>
      <c r="X146" s="37"/>
      <c r="Y146" s="210"/>
      <c r="Z146" s="36"/>
      <c r="AA146" s="36"/>
      <c r="AB146" s="36"/>
      <c r="AC146" s="36">
        <f>K146-T146</f>
        <v>0</v>
      </c>
      <c r="AD146" s="36">
        <f>+AM146+BC146</f>
        <v>9</v>
      </c>
      <c r="AE146" s="228" t="s">
        <v>514</v>
      </c>
      <c r="AF146" s="36"/>
      <c r="AG146" s="36">
        <v>9</v>
      </c>
      <c r="AH146" s="36"/>
      <c r="AI146" s="36"/>
      <c r="AJ146" s="36"/>
      <c r="AK146" s="36"/>
      <c r="AL146" s="36"/>
      <c r="AM146" s="36">
        <f t="shared" si="343"/>
        <v>9</v>
      </c>
      <c r="AN146" s="82"/>
      <c r="AO146" s="36"/>
      <c r="AP146" s="36"/>
      <c r="AQ146" s="36"/>
      <c r="AR146" s="36">
        <f t="shared" ref="AR146:AR147" si="344">SUM(AN146:AQ146)</f>
        <v>0</v>
      </c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>
        <f>+AR146+AS146+AU146+AW146+AY146+BB146</f>
        <v>0</v>
      </c>
      <c r="BD146" s="49"/>
      <c r="BE146" s="50">
        <v>5</v>
      </c>
      <c r="BF146" s="50"/>
      <c r="BG146" s="49"/>
      <c r="BH146" s="50"/>
    </row>
    <row r="147" spans="1:60" ht="12.95" customHeight="1">
      <c r="A147" s="39"/>
      <c r="B147" s="40"/>
      <c r="C147" s="412"/>
      <c r="D147" s="40"/>
      <c r="E147" s="41"/>
      <c r="F147" s="41"/>
      <c r="G147" s="42"/>
      <c r="H147" s="43"/>
      <c r="I147" s="44"/>
      <c r="J147" s="81"/>
      <c r="K147" s="81"/>
      <c r="L147" s="34"/>
      <c r="M147" s="34"/>
      <c r="N147" s="45"/>
      <c r="O147" s="46"/>
      <c r="P147" s="47"/>
      <c r="Q147" s="46"/>
      <c r="R147" s="498"/>
      <c r="S147" s="498"/>
      <c r="T147" s="36"/>
      <c r="U147" s="36"/>
      <c r="V147" s="36"/>
      <c r="W147" s="36"/>
      <c r="X147" s="37"/>
      <c r="Y147" s="210"/>
      <c r="Z147" s="36"/>
      <c r="AA147" s="36"/>
      <c r="AB147" s="36"/>
      <c r="AC147" s="36"/>
      <c r="AD147" s="36">
        <f>+AM147+BC147</f>
        <v>36</v>
      </c>
      <c r="AE147" s="228" t="s">
        <v>686</v>
      </c>
      <c r="AF147" s="32"/>
      <c r="AG147" s="32"/>
      <c r="AH147" s="32">
        <v>36</v>
      </c>
      <c r="AI147" s="36"/>
      <c r="AJ147" s="36"/>
      <c r="AK147" s="36"/>
      <c r="AL147" s="36"/>
      <c r="AM147" s="36">
        <f t="shared" si="343"/>
        <v>36</v>
      </c>
      <c r="AN147" s="36"/>
      <c r="AO147" s="36"/>
      <c r="AP147" s="36"/>
      <c r="AQ147" s="36"/>
      <c r="AR147" s="36">
        <f t="shared" si="344"/>
        <v>0</v>
      </c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>
        <f>+AR147+AS147+AU147+AW147+AY147+BB147</f>
        <v>0</v>
      </c>
      <c r="BD147" s="32"/>
      <c r="BE147" s="501"/>
      <c r="BF147" s="501"/>
      <c r="BG147" s="32"/>
      <c r="BH147" s="501"/>
    </row>
    <row r="148" spans="1:60" ht="12.95" customHeight="1">
      <c r="A148" s="39"/>
      <c r="B148" s="40"/>
      <c r="C148" s="412"/>
      <c r="D148" s="40"/>
      <c r="E148" s="41"/>
      <c r="F148" s="41"/>
      <c r="G148" s="42"/>
      <c r="H148" s="43"/>
      <c r="I148" s="44"/>
      <c r="J148" s="81"/>
      <c r="K148" s="81"/>
      <c r="L148" s="34"/>
      <c r="M148" s="34"/>
      <c r="N148" s="45"/>
      <c r="O148" s="46"/>
      <c r="P148" s="47"/>
      <c r="Q148" s="46"/>
      <c r="R148" s="498"/>
      <c r="S148" s="498"/>
      <c r="T148" s="36"/>
      <c r="U148" s="36"/>
      <c r="V148" s="36"/>
      <c r="W148" s="36"/>
      <c r="X148" s="37"/>
      <c r="Y148" s="210"/>
      <c r="Z148" s="36"/>
      <c r="AA148" s="36"/>
      <c r="AB148" s="36"/>
      <c r="AC148" s="36"/>
      <c r="AD148" s="36">
        <f t="shared" ref="AD148" si="345">+AM148+BC148</f>
        <v>0</v>
      </c>
      <c r="AE148" s="231" t="s">
        <v>519</v>
      </c>
      <c r="AF148" s="32"/>
      <c r="AG148" s="32"/>
      <c r="AH148" s="32"/>
      <c r="AI148" s="36"/>
      <c r="AJ148" s="36"/>
      <c r="AK148" s="36"/>
      <c r="AL148" s="36"/>
      <c r="AM148" s="36">
        <f>SUM(AF148:AL148)+AT148+AV148+AX148+AZ148</f>
        <v>0</v>
      </c>
      <c r="AN148" s="36"/>
      <c r="AO148" s="36"/>
      <c r="AP148" s="36"/>
      <c r="AQ148" s="36"/>
      <c r="AR148" s="36">
        <f t="shared" ref="AR148" si="346">SUM(AN148:AQ148)</f>
        <v>0</v>
      </c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>
        <f>+AR148+AS148+AU148+AW148+AY148+BB148+BA148</f>
        <v>0</v>
      </c>
      <c r="BD148" s="32"/>
      <c r="BE148" s="501"/>
      <c r="BF148" s="501"/>
      <c r="BG148" s="32"/>
      <c r="BH148" s="501"/>
    </row>
    <row r="149" spans="1:60" ht="12.95" customHeight="1">
      <c r="A149" s="39"/>
      <c r="B149" s="40"/>
      <c r="C149" s="412"/>
      <c r="D149" s="40"/>
      <c r="E149" s="41"/>
      <c r="F149" s="41"/>
      <c r="G149" s="42"/>
      <c r="H149" s="43"/>
      <c r="I149" s="44"/>
      <c r="J149" s="81"/>
      <c r="K149" s="81"/>
      <c r="L149" s="34"/>
      <c r="M149" s="34"/>
      <c r="N149" s="45"/>
      <c r="O149" s="46"/>
      <c r="P149" s="47"/>
      <c r="Q149" s="33"/>
      <c r="R149" s="498"/>
      <c r="S149" s="498"/>
      <c r="T149" s="36"/>
      <c r="U149" s="36"/>
      <c r="V149" s="36"/>
      <c r="W149" s="36"/>
      <c r="X149" s="37"/>
      <c r="Y149" s="210"/>
      <c r="Z149" s="36"/>
      <c r="AA149" s="36"/>
      <c r="AB149" s="36"/>
      <c r="AC149" s="36"/>
      <c r="AD149" s="36"/>
      <c r="AE149" s="231"/>
      <c r="AF149" s="36"/>
      <c r="AG149" s="36"/>
      <c r="AH149" s="36"/>
      <c r="AI149" s="500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49"/>
      <c r="BE149" s="50"/>
      <c r="BF149" s="50"/>
      <c r="BG149" s="50"/>
      <c r="BH149" s="50"/>
    </row>
    <row r="150" spans="1:60" ht="12.75" customHeight="1">
      <c r="A150" s="39">
        <v>46051</v>
      </c>
      <c r="B150" s="40" t="s">
        <v>410</v>
      </c>
      <c r="C150" s="412">
        <f t="shared" ref="C150" si="347">(M150*E150*O150*Q150)/100000000</f>
        <v>6.9333888000000004</v>
      </c>
      <c r="D150" s="40" t="s">
        <v>302</v>
      </c>
      <c r="E150" s="41">
        <v>13</v>
      </c>
      <c r="F150" s="41">
        <v>1</v>
      </c>
      <c r="G150" s="574">
        <v>1230</v>
      </c>
      <c r="H150" s="575">
        <f>+N150</f>
        <v>0.2400000000000001</v>
      </c>
      <c r="I150" s="44">
        <v>0.88</v>
      </c>
      <c r="J150" s="81">
        <f t="shared" ref="J150" si="348">E150*G150*(1-H150)*1440/1000000*2.74</f>
        <v>47.948509439999988</v>
      </c>
      <c r="K150" s="81">
        <f t="shared" ref="K150" si="349">(IF(G150&lt;L150,L150,G150)*(1-IF(H150&lt;N150,H150,N150))*E150*O150*Q150)/100000000</f>
        <v>12.541276799999997</v>
      </c>
      <c r="L150" s="34">
        <v>680</v>
      </c>
      <c r="M150" s="34">
        <v>516.79999999999995</v>
      </c>
      <c r="N150" s="45">
        <f t="shared" ref="N150" si="350">1-(M150/L150)</f>
        <v>0.2400000000000001</v>
      </c>
      <c r="O150" s="46">
        <f>+'Trim Rwd'!H83</f>
        <v>258</v>
      </c>
      <c r="P150" s="47">
        <f t="shared" ref="P150" si="351">O150*(Q150-R150-S150)</f>
        <v>89010</v>
      </c>
      <c r="Q150" s="46">
        <v>400</v>
      </c>
      <c r="R150" s="498">
        <v>0</v>
      </c>
      <c r="S150" s="498">
        <v>55</v>
      </c>
      <c r="T150" s="36">
        <f t="shared" ref="T150" si="352">E150*M150*O150*Q150/100000000</f>
        <v>6.9333888000000004</v>
      </c>
      <c r="U150" s="36">
        <f t="shared" ref="U150" si="353">E150*M150*O150*(Q150-R150-S150)/100000000</f>
        <v>5.9800478400000001</v>
      </c>
      <c r="V150" s="36">
        <f t="shared" ref="V150" si="354">E150*G150*(1-N150)*O150/100*(R150+S150)/1000000</f>
        <v>1.7244255599999996</v>
      </c>
      <c r="W150" s="36">
        <f>+'29'!K7/1000</f>
        <v>9.7639999999999993</v>
      </c>
      <c r="X150" s="499">
        <f>SUM(W150:W154)/SUM(K150:K154)</f>
        <v>0.64357584438580295</v>
      </c>
      <c r="Y150" s="210">
        <v>0</v>
      </c>
      <c r="Z150" s="36">
        <v>0</v>
      </c>
      <c r="AA150" s="48">
        <f>SUM(U150:U154)-SUM(W150:W154)-SUM(Z150:Z154)-SUM(Y150:Y154)</f>
        <v>-2.1267761599999986</v>
      </c>
      <c r="AB150" s="48">
        <f>(SUM(K150:K154)-SUM(W150:W154)-SUM(Y150:Y154)-SUM(Z150:Z154)-SUM(AC150:AC154)-SUM(V150:V154))-AA150</f>
        <v>-0.77108459999999734</v>
      </c>
      <c r="AC150" s="36">
        <f>K150-T150</f>
        <v>5.6078879999999964</v>
      </c>
      <c r="AD150" s="36">
        <f>+AM150+BC150</f>
        <v>18</v>
      </c>
      <c r="AE150" s="228" t="s">
        <v>429</v>
      </c>
      <c r="AF150" s="36">
        <v>18</v>
      </c>
      <c r="AG150" s="36"/>
      <c r="AH150" s="36"/>
      <c r="AI150" s="36"/>
      <c r="AJ150" s="36"/>
      <c r="AK150" s="36"/>
      <c r="AL150" s="36"/>
      <c r="AM150" s="36">
        <f t="shared" ref="AM150:AM152" si="355">SUM(AF150:AL150)+AT150+AV150+AX150</f>
        <v>18</v>
      </c>
      <c r="AN150" s="36"/>
      <c r="AO150" s="36"/>
      <c r="AP150" s="36"/>
      <c r="AQ150" s="36"/>
      <c r="AR150" s="36">
        <f>SUM(AN150:AQ150)</f>
        <v>0</v>
      </c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>
        <f>+AR150+AS150+AU150+AW150+AY150+BB150</f>
        <v>0</v>
      </c>
      <c r="BD150" s="32">
        <v>6</v>
      </c>
      <c r="BE150" s="50"/>
      <c r="BF150" s="50"/>
      <c r="BG150" s="32"/>
      <c r="BH150" s="50"/>
    </row>
    <row r="151" spans="1:60" ht="12.95" customHeight="1">
      <c r="A151" s="39"/>
      <c r="B151" s="40" t="s">
        <v>410</v>
      </c>
      <c r="C151" s="412">
        <f t="shared" ref="C151" si="356">(M151*E151*O151*Q151)/100000000</f>
        <v>19.986176</v>
      </c>
      <c r="D151" s="40" t="s">
        <v>302</v>
      </c>
      <c r="E151" s="41">
        <v>12.5</v>
      </c>
      <c r="F151" s="41">
        <v>1</v>
      </c>
      <c r="G151" s="574">
        <v>1230</v>
      </c>
      <c r="H151" s="575">
        <f>+N151</f>
        <v>0.24</v>
      </c>
      <c r="I151" s="44">
        <v>0.88</v>
      </c>
      <c r="J151" s="81">
        <f t="shared" ref="J151" si="357">E151*G151*(1-H151)*1440/1000000*2.74</f>
        <v>46.104336000000004</v>
      </c>
      <c r="K151" s="81">
        <f t="shared" ref="K151" si="358">(IF(G151&lt;L151,L151,G151)*(1-IF(H151&lt;N151,H151,N151))*E151*O151*Q151)/100000000</f>
        <v>31.110143999999998</v>
      </c>
      <c r="L151" s="34">
        <v>790.19230769230774</v>
      </c>
      <c r="M151" s="34">
        <v>600.54615384615386</v>
      </c>
      <c r="N151" s="45">
        <f t="shared" ref="N151" si="359">1-(M151/L151)</f>
        <v>0.24</v>
      </c>
      <c r="O151" s="46">
        <f>+'Trim Rwd'!H84</f>
        <v>256</v>
      </c>
      <c r="P151" s="47">
        <f t="shared" ref="P151" si="360">O151*(Q151-R151-S151)</f>
        <v>266240</v>
      </c>
      <c r="Q151" s="46">
        <v>1040</v>
      </c>
      <c r="R151" s="498">
        <v>0</v>
      </c>
      <c r="S151" s="498">
        <v>0</v>
      </c>
      <c r="T151" s="36">
        <f>E151*M151*O151*Q151/100000000</f>
        <v>19.986176</v>
      </c>
      <c r="U151" s="36">
        <f t="shared" ref="U151" si="361">E151*M151*O151*(Q151-R151-S151)/100000000</f>
        <v>19.986176</v>
      </c>
      <c r="V151" s="36">
        <f t="shared" ref="V151" si="362">E151*G151*(1-N151)*O151/100*(R151+S151)/1000000</f>
        <v>0</v>
      </c>
      <c r="W151" s="36">
        <f>+'29'!K15/1000</f>
        <v>18.329000000000001</v>
      </c>
      <c r="X151" s="37"/>
      <c r="Y151" s="210"/>
      <c r="Z151" s="36"/>
      <c r="AA151" s="36"/>
      <c r="AB151" s="36"/>
      <c r="AC151" s="36">
        <f>K151-T151</f>
        <v>11.123967999999998</v>
      </c>
      <c r="AD151" s="36">
        <f>+AM151+BC151</f>
        <v>0</v>
      </c>
      <c r="AE151" s="228" t="s">
        <v>427</v>
      </c>
      <c r="AF151" s="36"/>
      <c r="AG151" s="36">
        <v>0</v>
      </c>
      <c r="AH151" s="36"/>
      <c r="AI151" s="36"/>
      <c r="AJ151" s="36"/>
      <c r="AK151" s="36"/>
      <c r="AL151" s="36"/>
      <c r="AM151" s="36">
        <f t="shared" si="355"/>
        <v>0</v>
      </c>
      <c r="AN151" s="82"/>
      <c r="AO151" s="36"/>
      <c r="AP151" s="36"/>
      <c r="AQ151" s="36"/>
      <c r="AR151" s="36">
        <f t="shared" ref="AR151:AR152" si="363">SUM(AN151:AQ151)</f>
        <v>0</v>
      </c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>
        <f>+AR151+AS151+AU151+AW151+AY151+BB151</f>
        <v>0</v>
      </c>
      <c r="BD151" s="49"/>
      <c r="BE151" s="50">
        <v>0</v>
      </c>
      <c r="BF151" s="50"/>
      <c r="BG151" s="49"/>
      <c r="BH151" s="50"/>
    </row>
    <row r="152" spans="1:60" ht="12.95" customHeight="1">
      <c r="A152" s="39"/>
      <c r="B152" s="40"/>
      <c r="C152" s="412"/>
      <c r="D152" s="40"/>
      <c r="E152" s="41"/>
      <c r="F152" s="41"/>
      <c r="G152" s="42"/>
      <c r="H152" s="43"/>
      <c r="I152" s="44"/>
      <c r="J152" s="81"/>
      <c r="K152" s="81"/>
      <c r="L152" s="34"/>
      <c r="M152" s="34"/>
      <c r="N152" s="45"/>
      <c r="O152" s="46"/>
      <c r="P152" s="47"/>
      <c r="Q152" s="46"/>
      <c r="R152" s="498"/>
      <c r="S152" s="498"/>
      <c r="T152" s="36"/>
      <c r="U152" s="36"/>
      <c r="V152" s="36"/>
      <c r="W152" s="36"/>
      <c r="X152" s="37"/>
      <c r="Y152" s="210"/>
      <c r="Z152" s="36"/>
      <c r="AA152" s="36"/>
      <c r="AB152" s="36"/>
      <c r="AC152" s="36"/>
      <c r="AD152" s="36">
        <f>+AM152+BC152</f>
        <v>37</v>
      </c>
      <c r="AE152" s="228" t="s">
        <v>631</v>
      </c>
      <c r="AF152" s="32"/>
      <c r="AG152" s="32"/>
      <c r="AH152" s="32">
        <v>37</v>
      </c>
      <c r="AI152" s="36"/>
      <c r="AJ152" s="36"/>
      <c r="AK152" s="36"/>
      <c r="AL152" s="36"/>
      <c r="AM152" s="36">
        <f t="shared" si="355"/>
        <v>37</v>
      </c>
      <c r="AN152" s="36"/>
      <c r="AO152" s="36"/>
      <c r="AP152" s="36"/>
      <c r="AQ152" s="36"/>
      <c r="AR152" s="36">
        <f t="shared" si="363"/>
        <v>0</v>
      </c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>
        <f>+AR152+AS152+AU152+AW152+AY152+BB152</f>
        <v>0</v>
      </c>
      <c r="BD152" s="32"/>
      <c r="BE152" s="501"/>
      <c r="BF152" s="501"/>
      <c r="BG152" s="32"/>
      <c r="BH152" s="501"/>
    </row>
    <row r="153" spans="1:60" ht="12.95" customHeight="1">
      <c r="A153" s="39"/>
      <c r="B153" s="40"/>
      <c r="C153" s="412"/>
      <c r="D153" s="40"/>
      <c r="E153" s="41"/>
      <c r="F153" s="41"/>
      <c r="G153" s="42"/>
      <c r="H153" s="43"/>
      <c r="I153" s="44"/>
      <c r="J153" s="81"/>
      <c r="K153" s="81"/>
      <c r="L153" s="34"/>
      <c r="M153" s="34"/>
      <c r="N153" s="45"/>
      <c r="O153" s="46"/>
      <c r="P153" s="47"/>
      <c r="Q153" s="46"/>
      <c r="R153" s="498"/>
      <c r="S153" s="498"/>
      <c r="T153" s="36"/>
      <c r="U153" s="36"/>
      <c r="V153" s="36"/>
      <c r="W153" s="36"/>
      <c r="X153" s="37"/>
      <c r="Y153" s="210"/>
      <c r="Z153" s="36"/>
      <c r="AA153" s="36"/>
      <c r="AB153" s="36"/>
      <c r="AC153" s="36"/>
      <c r="AD153" s="36">
        <f t="shared" ref="AD153" si="364">+AM153+BC153</f>
        <v>0</v>
      </c>
      <c r="AE153" s="231" t="s">
        <v>519</v>
      </c>
      <c r="AF153" s="32"/>
      <c r="AG153" s="32"/>
      <c r="AH153" s="32"/>
      <c r="AI153" s="36"/>
      <c r="AJ153" s="36"/>
      <c r="AK153" s="36"/>
      <c r="AL153" s="36"/>
      <c r="AM153" s="36">
        <f>SUM(AF153:AL153)+AT153+AV153+AX153+AZ153</f>
        <v>0</v>
      </c>
      <c r="AN153" s="36"/>
      <c r="AO153" s="36"/>
      <c r="AP153" s="36"/>
      <c r="AQ153" s="36"/>
      <c r="AR153" s="36">
        <f t="shared" ref="AR153" si="365">SUM(AN153:AQ153)</f>
        <v>0</v>
      </c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>
        <f>+AR153+AS153+AU153+AW153+AY153+BB153+BA153</f>
        <v>0</v>
      </c>
      <c r="BD153" s="32"/>
      <c r="BE153" s="501"/>
      <c r="BF153" s="501"/>
      <c r="BG153" s="32"/>
      <c r="BH153" s="501"/>
    </row>
    <row r="154" spans="1:60" ht="12.95" customHeight="1">
      <c r="A154" s="39"/>
      <c r="B154" s="40"/>
      <c r="C154" s="412"/>
      <c r="D154" s="40"/>
      <c r="E154" s="41"/>
      <c r="F154" s="41"/>
      <c r="G154" s="42"/>
      <c r="H154" s="43"/>
      <c r="I154" s="44"/>
      <c r="J154" s="81"/>
      <c r="K154" s="81"/>
      <c r="L154" s="34"/>
      <c r="M154" s="34"/>
      <c r="N154" s="45"/>
      <c r="O154" s="46"/>
      <c r="P154" s="47"/>
      <c r="Q154" s="33"/>
      <c r="R154" s="498"/>
      <c r="S154" s="498"/>
      <c r="T154" s="36"/>
      <c r="U154" s="36"/>
      <c r="V154" s="36"/>
      <c r="W154" s="36"/>
      <c r="X154" s="37"/>
      <c r="Y154" s="210"/>
      <c r="Z154" s="36"/>
      <c r="AA154" s="36"/>
      <c r="AB154" s="36"/>
      <c r="AC154" s="36"/>
      <c r="AD154" s="36"/>
      <c r="AE154" s="231"/>
      <c r="AF154" s="36"/>
      <c r="AG154" s="36"/>
      <c r="AH154" s="36"/>
      <c r="AI154" s="500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49"/>
      <c r="BE154" s="50"/>
      <c r="BF154" s="50"/>
      <c r="BG154" s="50"/>
      <c r="BH154" s="50"/>
    </row>
    <row r="155" spans="1:60" ht="12.75" customHeight="1">
      <c r="A155" s="39">
        <v>46052</v>
      </c>
      <c r="B155" s="40" t="s">
        <v>410</v>
      </c>
      <c r="C155" s="412">
        <f t="shared" ref="C155" si="366">(M155*E155*O155*Q155)/100000000</f>
        <v>35.210912914285714</v>
      </c>
      <c r="D155" s="40" t="s">
        <v>302</v>
      </c>
      <c r="E155" s="41">
        <v>12.5</v>
      </c>
      <c r="F155" s="41">
        <v>1</v>
      </c>
      <c r="G155" s="574">
        <v>1230</v>
      </c>
      <c r="H155" s="575">
        <f>+N155</f>
        <v>0.24</v>
      </c>
      <c r="I155" s="44">
        <v>0.88</v>
      </c>
      <c r="J155" s="81">
        <f t="shared" ref="J155" si="367">E155*G155*(1-H155)*1440/1000000*2.74</f>
        <v>46.104336000000004</v>
      </c>
      <c r="K155" s="81">
        <f t="shared" ref="K155" si="368">(IF(G155&lt;L155,L155,G155)*(1-IF(H155&lt;N155,H155,N155))*E155*O155*Q155)/100000000</f>
        <v>43.075583999999999</v>
      </c>
      <c r="L155" s="34">
        <v>1005.4285714285714</v>
      </c>
      <c r="M155" s="34">
        <v>764.12571428571425</v>
      </c>
      <c r="N155" s="45">
        <f t="shared" ref="N155" si="369">1-(M155/L155)</f>
        <v>0.24</v>
      </c>
      <c r="O155" s="46">
        <f>+'Trim Rwd'!H86</f>
        <v>256</v>
      </c>
      <c r="P155" s="47">
        <f t="shared" ref="P155" si="370">O155*(Q155-R155-S155)</f>
        <v>345344</v>
      </c>
      <c r="Q155" s="46">
        <v>1440</v>
      </c>
      <c r="R155" s="498">
        <v>40</v>
      </c>
      <c r="S155" s="498">
        <f>18+33</f>
        <v>51</v>
      </c>
      <c r="T155" s="36">
        <f t="shared" ref="T155" si="371">E155*M155*O155*Q155/100000000</f>
        <v>35.210912914285714</v>
      </c>
      <c r="U155" s="36">
        <f t="shared" ref="U155" si="372">E155*M155*O155*(Q155-R155-S155)/100000000</f>
        <v>32.985778834285711</v>
      </c>
      <c r="V155" s="36">
        <f t="shared" ref="V155" si="373">E155*G155*(1-N155)*O155/100*(R155+S155)/1000000</f>
        <v>2.7221375999999999</v>
      </c>
      <c r="W155" s="36">
        <f>+'30'!K15/1000</f>
        <v>33.451999999999998</v>
      </c>
      <c r="X155" s="499">
        <f>SUM(W155:W160)/SUM(K155:K160)</f>
        <v>0.77658842652023008</v>
      </c>
      <c r="Y155" s="210">
        <v>0</v>
      </c>
      <c r="Z155" s="36">
        <v>0</v>
      </c>
      <c r="AA155" s="48">
        <f>SUM(U155:U160)-SUM(W155:W160)-SUM(Z155:Z160)-SUM(Y155:Y160)</f>
        <v>-0.46622116571428762</v>
      </c>
      <c r="AB155" s="48">
        <f>(SUM(K155:K160)-SUM(W155:W160)-SUM(Y155:Y160)-SUM(Z155:Z160)-SUM(AC155:AC160)-SUM(V155:V160))-AA155</f>
        <v>-0.49700351999999626</v>
      </c>
      <c r="AC155" s="36">
        <f>K155-T155</f>
        <v>7.864671085714285</v>
      </c>
      <c r="AD155" s="36">
        <f>+AM155+BC155</f>
        <v>18</v>
      </c>
      <c r="AE155" s="228" t="s">
        <v>429</v>
      </c>
      <c r="AF155" s="36">
        <v>18</v>
      </c>
      <c r="AG155" s="36"/>
      <c r="AH155" s="36"/>
      <c r="AI155" s="36"/>
      <c r="AJ155" s="36"/>
      <c r="AK155" s="36"/>
      <c r="AL155" s="36"/>
      <c r="AM155" s="36">
        <f t="shared" ref="AM155:AM157" si="374">SUM(AF155:AL155)+AT155+AV155+AX155</f>
        <v>18</v>
      </c>
      <c r="AN155" s="36"/>
      <c r="AO155" s="36"/>
      <c r="AP155" s="36"/>
      <c r="AQ155" s="36"/>
      <c r="AR155" s="36">
        <f>SUM(AN155:AQ155)</f>
        <v>0</v>
      </c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>
        <f>+AR155+AS155+AU155+AW155+AY155+BB155</f>
        <v>0</v>
      </c>
      <c r="BD155" s="32">
        <v>6</v>
      </c>
      <c r="BE155" s="50"/>
      <c r="BF155" s="50"/>
      <c r="BG155" s="32"/>
      <c r="BH155" s="50"/>
    </row>
    <row r="156" spans="1:60" ht="12.95" customHeight="1">
      <c r="A156" s="39"/>
      <c r="B156" s="40"/>
      <c r="C156" s="412"/>
      <c r="D156" s="40"/>
      <c r="E156" s="41"/>
      <c r="F156" s="41"/>
      <c r="G156" s="42"/>
      <c r="H156" s="43"/>
      <c r="I156" s="44"/>
      <c r="J156" s="81"/>
      <c r="K156" s="81"/>
      <c r="L156" s="34"/>
      <c r="M156" s="34"/>
      <c r="N156" s="45"/>
      <c r="O156" s="46"/>
      <c r="P156" s="47"/>
      <c r="Q156" s="46"/>
      <c r="R156" s="498"/>
      <c r="S156" s="498"/>
      <c r="T156" s="36"/>
      <c r="U156" s="36"/>
      <c r="V156" s="36"/>
      <c r="W156" s="36"/>
      <c r="X156" s="37"/>
      <c r="Y156" s="210"/>
      <c r="Z156" s="36"/>
      <c r="AA156" s="36"/>
      <c r="AB156" s="36"/>
      <c r="AC156" s="36">
        <f>K156-T156</f>
        <v>0</v>
      </c>
      <c r="AD156" s="36">
        <f>+AM156+BC156</f>
        <v>0</v>
      </c>
      <c r="AE156" s="228" t="s">
        <v>427</v>
      </c>
      <c r="AF156" s="36"/>
      <c r="AG156" s="36">
        <v>0</v>
      </c>
      <c r="AH156" s="36"/>
      <c r="AI156" s="36"/>
      <c r="AJ156" s="36"/>
      <c r="AK156" s="36"/>
      <c r="AL156" s="36"/>
      <c r="AM156" s="36">
        <f t="shared" si="374"/>
        <v>0</v>
      </c>
      <c r="AN156" s="82"/>
      <c r="AO156" s="36"/>
      <c r="AP156" s="36"/>
      <c r="AQ156" s="36"/>
      <c r="AR156" s="36">
        <f t="shared" ref="AR156:AR157" si="375">SUM(AN156:AQ156)</f>
        <v>0</v>
      </c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>
        <f>+AR156+AS156+AU156+AW156+AY156+BB156</f>
        <v>0</v>
      </c>
      <c r="BD156" s="49"/>
      <c r="BE156" s="50">
        <v>0</v>
      </c>
      <c r="BF156" s="50"/>
      <c r="BG156" s="49"/>
      <c r="BH156" s="50"/>
    </row>
    <row r="157" spans="1:60" ht="12.95" customHeight="1">
      <c r="A157" s="39"/>
      <c r="B157" s="40"/>
      <c r="C157" s="412"/>
      <c r="D157" s="40"/>
      <c r="E157" s="41"/>
      <c r="F157" s="41"/>
      <c r="G157" s="42"/>
      <c r="H157" s="43"/>
      <c r="I157" s="44"/>
      <c r="J157" s="81"/>
      <c r="K157" s="81"/>
      <c r="L157" s="34"/>
      <c r="M157" s="34"/>
      <c r="N157" s="45"/>
      <c r="O157" s="46"/>
      <c r="P157" s="47"/>
      <c r="Q157" s="46"/>
      <c r="R157" s="498"/>
      <c r="S157" s="498"/>
      <c r="T157" s="36"/>
      <c r="U157" s="36"/>
      <c r="V157" s="36"/>
      <c r="W157" s="36"/>
      <c r="X157" s="37"/>
      <c r="Y157" s="210"/>
      <c r="Z157" s="36"/>
      <c r="AA157" s="36"/>
      <c r="AB157" s="36"/>
      <c r="AC157" s="36"/>
      <c r="AD157" s="36">
        <f>+AM157+BC157</f>
        <v>33</v>
      </c>
      <c r="AE157" s="228" t="s">
        <v>676</v>
      </c>
      <c r="AF157" s="32"/>
      <c r="AG157" s="32"/>
      <c r="AH157" s="32">
        <v>33</v>
      </c>
      <c r="AI157" s="36"/>
      <c r="AJ157" s="36"/>
      <c r="AK157" s="36"/>
      <c r="AL157" s="36"/>
      <c r="AM157" s="36">
        <f t="shared" si="374"/>
        <v>33</v>
      </c>
      <c r="AN157" s="36"/>
      <c r="AO157" s="36"/>
      <c r="AP157" s="36"/>
      <c r="AQ157" s="36"/>
      <c r="AR157" s="36">
        <f t="shared" si="375"/>
        <v>0</v>
      </c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>
        <f>+AR157+AS157+AU157+AW157+AY157+BB157</f>
        <v>0</v>
      </c>
      <c r="BD157" s="32"/>
      <c r="BE157" s="501"/>
      <c r="BF157" s="501"/>
      <c r="BG157" s="32"/>
      <c r="BH157" s="501"/>
    </row>
    <row r="158" spans="1:60" ht="12.95" customHeight="1">
      <c r="A158" s="39"/>
      <c r="B158" s="40"/>
      <c r="C158" s="412"/>
      <c r="D158" s="40"/>
      <c r="E158" s="41"/>
      <c r="F158" s="41"/>
      <c r="G158" s="42"/>
      <c r="H158" s="43"/>
      <c r="I158" s="44"/>
      <c r="J158" s="81"/>
      <c r="K158" s="81"/>
      <c r="L158" s="34"/>
      <c r="M158" s="34"/>
      <c r="N158" s="45"/>
      <c r="O158" s="46"/>
      <c r="P158" s="47"/>
      <c r="Q158" s="46"/>
      <c r="R158" s="498"/>
      <c r="S158" s="498"/>
      <c r="T158" s="36"/>
      <c r="U158" s="36"/>
      <c r="V158" s="36"/>
      <c r="W158" s="36"/>
      <c r="X158" s="37"/>
      <c r="Y158" s="210"/>
      <c r="Z158" s="36"/>
      <c r="AA158" s="36"/>
      <c r="AB158" s="36"/>
      <c r="AC158" s="36"/>
      <c r="AD158" s="36">
        <f>+AM158+BC158</f>
        <v>40</v>
      </c>
      <c r="AE158" s="228" t="s">
        <v>716</v>
      </c>
      <c r="AF158" s="32"/>
      <c r="AG158" s="32"/>
      <c r="AH158" s="32"/>
      <c r="AI158" s="36"/>
      <c r="AJ158" s="36"/>
      <c r="AK158" s="36"/>
      <c r="AL158" s="36"/>
      <c r="AM158" s="36">
        <f t="shared" ref="AM158" si="376">SUM(AF158:AL158)+AT158+AV158+AX158</f>
        <v>0</v>
      </c>
      <c r="AN158" s="36"/>
      <c r="AO158" s="36"/>
      <c r="AP158" s="36">
        <v>40</v>
      </c>
      <c r="AQ158" s="36"/>
      <c r="AR158" s="36">
        <f t="shared" ref="AR158" si="377">SUM(AN158:AQ158)</f>
        <v>40</v>
      </c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>
        <f>+AR158+AS158+AU158+AW158+AY158+BB158</f>
        <v>40</v>
      </c>
      <c r="BD158" s="32"/>
      <c r="BE158" s="501"/>
      <c r="BF158" s="501"/>
      <c r="BG158" s="32"/>
      <c r="BH158" s="501"/>
    </row>
    <row r="159" spans="1:60" ht="12.95" customHeight="1">
      <c r="A159" s="39"/>
      <c r="B159" s="40"/>
      <c r="C159" s="412"/>
      <c r="D159" s="40"/>
      <c r="E159" s="41"/>
      <c r="F159" s="41"/>
      <c r="G159" s="42"/>
      <c r="H159" s="43"/>
      <c r="I159" s="44"/>
      <c r="J159" s="81"/>
      <c r="K159" s="81"/>
      <c r="L159" s="34"/>
      <c r="M159" s="34"/>
      <c r="N159" s="45"/>
      <c r="O159" s="46"/>
      <c r="P159" s="47"/>
      <c r="Q159" s="46"/>
      <c r="R159" s="498"/>
      <c r="S159" s="498"/>
      <c r="T159" s="36"/>
      <c r="U159" s="36"/>
      <c r="V159" s="36"/>
      <c r="W159" s="36"/>
      <c r="X159" s="37"/>
      <c r="Y159" s="210"/>
      <c r="Z159" s="36"/>
      <c r="AA159" s="36"/>
      <c r="AB159" s="36"/>
      <c r="AC159" s="36"/>
      <c r="AD159" s="36">
        <f t="shared" ref="AD159" si="378">+AM159+BC159</f>
        <v>0</v>
      </c>
      <c r="AE159" s="231" t="s">
        <v>519</v>
      </c>
      <c r="AF159" s="32"/>
      <c r="AG159" s="32"/>
      <c r="AH159" s="32"/>
      <c r="AI159" s="36"/>
      <c r="AJ159" s="36"/>
      <c r="AK159" s="36"/>
      <c r="AL159" s="36"/>
      <c r="AM159" s="36">
        <f>SUM(AF159:AL159)+AT159+AV159+AX159+AZ159</f>
        <v>0</v>
      </c>
      <c r="AN159" s="36"/>
      <c r="AO159" s="36"/>
      <c r="AP159" s="36"/>
      <c r="AQ159" s="36"/>
      <c r="AR159" s="36">
        <f t="shared" ref="AR159" si="379">SUM(AN159:AQ159)</f>
        <v>0</v>
      </c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>
        <f>+AR159+AS159+AU159+AW159+AY159+BB159+BA159</f>
        <v>0</v>
      </c>
      <c r="BD159" s="32"/>
      <c r="BE159" s="501"/>
      <c r="BF159" s="501"/>
      <c r="BG159" s="32"/>
      <c r="BH159" s="501"/>
    </row>
    <row r="160" spans="1:60" ht="12.95" customHeight="1">
      <c r="A160" s="39"/>
      <c r="B160" s="40"/>
      <c r="C160" s="412"/>
      <c r="D160" s="40"/>
      <c r="E160" s="41"/>
      <c r="F160" s="41"/>
      <c r="G160" s="42"/>
      <c r="H160" s="43"/>
      <c r="I160" s="44"/>
      <c r="J160" s="81"/>
      <c r="K160" s="81"/>
      <c r="L160" s="34"/>
      <c r="M160" s="34"/>
      <c r="N160" s="45"/>
      <c r="O160" s="46"/>
      <c r="P160" s="47"/>
      <c r="Q160" s="33"/>
      <c r="R160" s="498"/>
      <c r="S160" s="498"/>
      <c r="T160" s="36"/>
      <c r="U160" s="36"/>
      <c r="V160" s="36"/>
      <c r="W160" s="36"/>
      <c r="X160" s="37"/>
      <c r="Y160" s="210"/>
      <c r="Z160" s="36"/>
      <c r="AA160" s="36"/>
      <c r="AB160" s="36"/>
      <c r="AC160" s="36"/>
      <c r="AD160" s="36"/>
      <c r="AE160" s="231"/>
      <c r="AF160" s="36"/>
      <c r="AG160" s="36"/>
      <c r="AH160" s="36"/>
      <c r="AI160" s="500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49"/>
      <c r="BE160" s="50"/>
      <c r="BF160" s="50"/>
      <c r="BG160" s="50"/>
      <c r="BH160" s="50"/>
    </row>
    <row r="161" spans="1:60" ht="12.75" customHeight="1">
      <c r="A161" s="39">
        <v>46053</v>
      </c>
      <c r="B161" s="40" t="s">
        <v>410</v>
      </c>
      <c r="C161" s="412">
        <f t="shared" ref="C161" si="380">(M161*E161*O161*Q161)/100000000</f>
        <v>24.7684608</v>
      </c>
      <c r="D161" s="40" t="s">
        <v>302</v>
      </c>
      <c r="E161" s="41">
        <v>12.5</v>
      </c>
      <c r="F161" s="41">
        <v>1</v>
      </c>
      <c r="G161" s="574">
        <v>1230</v>
      </c>
      <c r="H161" s="575">
        <f>+N161</f>
        <v>0.24</v>
      </c>
      <c r="I161" s="44">
        <v>0.88</v>
      </c>
      <c r="J161" s="81">
        <f t="shared" ref="J161" si="381">E161*G161*(1-H161)*1440/1000000*2.74</f>
        <v>46.104336000000004</v>
      </c>
      <c r="K161" s="81">
        <f t="shared" ref="K161" si="382">(IF(G161&lt;L161,L161,G161)*(1-IF(H161&lt;N161,H161,N161))*E161*O161*Q161)/100000000</f>
        <v>24.7684608</v>
      </c>
      <c r="L161" s="34">
        <v>1230</v>
      </c>
      <c r="M161" s="34">
        <v>934.8</v>
      </c>
      <c r="N161" s="45">
        <f t="shared" ref="N161" si="383">1-(M161/L161)</f>
        <v>0.24</v>
      </c>
      <c r="O161" s="46">
        <f>+'Trim Rwd'!H88</f>
        <v>256</v>
      </c>
      <c r="P161" s="47">
        <f t="shared" ref="P161" si="384">O161*(Q161-R161-S161)</f>
        <v>176128</v>
      </c>
      <c r="Q161" s="46">
        <f>731+97</f>
        <v>828</v>
      </c>
      <c r="R161" s="498">
        <v>97</v>
      </c>
      <c r="S161" s="498">
        <v>43</v>
      </c>
      <c r="T161" s="36">
        <f t="shared" ref="T161" si="385">E161*M161*O161*Q161/100000000</f>
        <v>24.7684608</v>
      </c>
      <c r="U161" s="36">
        <f t="shared" ref="U161" si="386">E161*M161*O161*(Q161-R161-S161)/100000000</f>
        <v>20.5805568</v>
      </c>
      <c r="V161" s="36">
        <f t="shared" ref="V161" si="387">E161*G161*(1-N161)*O161/100*(R161+S161)/1000000</f>
        <v>4.1879039999999996</v>
      </c>
      <c r="W161" s="36">
        <f>+'31'!K15/1000</f>
        <v>23.754000000000001</v>
      </c>
      <c r="X161" s="499">
        <f>SUM(W161:W165)/SUM(K161:K165)</f>
        <v>0.84436885210724499</v>
      </c>
      <c r="Y161" s="210">
        <f>+SUM(RBP!AG3:AG4)</f>
        <v>4.0600000000000005</v>
      </c>
      <c r="Z161" s="36">
        <v>0</v>
      </c>
      <c r="AA161" s="48">
        <f>SUM(U161:U165)-SUM(W161:W165)-SUM(Z161:Z165)-SUM(Y161:Y165)</f>
        <v>-2.6577475839999973</v>
      </c>
      <c r="AB161" s="48">
        <f>(SUM(K161:K165)-SUM(W161:W165)-SUM(Y161:Y165)-SUM(Z161:Z165)-SUM(AC161:AC165)-SUM(V161:V165))-AA161</f>
        <v>-1.517568000000491E-2</v>
      </c>
      <c r="AC161" s="36">
        <f>K161-T161</f>
        <v>0</v>
      </c>
      <c r="AD161" s="36">
        <f>+AM161+BC161</f>
        <v>27</v>
      </c>
      <c r="AE161" s="228" t="s">
        <v>464</v>
      </c>
      <c r="AF161" s="36">
        <v>27</v>
      </c>
      <c r="AG161" s="36"/>
      <c r="AH161" s="36"/>
      <c r="AI161" s="36"/>
      <c r="AJ161" s="36"/>
      <c r="AK161" s="36"/>
      <c r="AL161" s="36"/>
      <c r="AM161" s="36">
        <f t="shared" ref="AM161:AM163" si="388">SUM(AF161:AL161)+AT161+AV161+AX161</f>
        <v>27</v>
      </c>
      <c r="AN161" s="36"/>
      <c r="AO161" s="36"/>
      <c r="AP161" s="36"/>
      <c r="AQ161" s="36"/>
      <c r="AR161" s="36">
        <f>SUM(AN161:AQ161)</f>
        <v>0</v>
      </c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>
        <f>+AR161+AS161+AU161+AW161+AY161+BB161</f>
        <v>0</v>
      </c>
      <c r="BD161" s="32">
        <v>9</v>
      </c>
      <c r="BE161" s="50"/>
      <c r="BF161" s="50"/>
      <c r="BG161" s="32"/>
      <c r="BH161" s="50"/>
    </row>
    <row r="162" spans="1:60" ht="12.95" customHeight="1">
      <c r="A162" s="39"/>
      <c r="B162" s="40" t="s">
        <v>447</v>
      </c>
      <c r="C162" s="412">
        <f t="shared" ref="C162" si="389">(M162*E162*O162*Q162)/100000000</f>
        <v>18.729824256000001</v>
      </c>
      <c r="D162" s="40" t="s">
        <v>302</v>
      </c>
      <c r="E162" s="41">
        <v>13</v>
      </c>
      <c r="F162" s="41">
        <v>1</v>
      </c>
      <c r="G162" s="574">
        <v>1230</v>
      </c>
      <c r="H162" s="575">
        <f>+N162</f>
        <v>0.24</v>
      </c>
      <c r="I162" s="44">
        <v>0.88</v>
      </c>
      <c r="J162" s="81">
        <f t="shared" ref="J162" si="390">E162*G162*(1-H162)*1440/1000000*2.74</f>
        <v>47.948509440000002</v>
      </c>
      <c r="K162" s="81">
        <f t="shared" ref="K162" si="391">(IF(G162&lt;L162,L162,G162)*(1-IF(H162&lt;N162,H162,N162))*E162*O162*Q162)/100000000</f>
        <v>19.039408127999998</v>
      </c>
      <c r="L162" s="34">
        <v>1210</v>
      </c>
      <c r="M162" s="34">
        <v>919.6</v>
      </c>
      <c r="N162" s="45">
        <f t="shared" ref="N162" si="392">1-(M162/L162)</f>
        <v>0.24</v>
      </c>
      <c r="O162" s="46">
        <f>+'Trim Rwd'!H89</f>
        <v>256</v>
      </c>
      <c r="P162" s="47">
        <f t="shared" ref="P162" si="393">O162*(Q162-R162-S162)</f>
        <v>148992</v>
      </c>
      <c r="Q162" s="46">
        <v>612</v>
      </c>
      <c r="R162" s="498">
        <v>0</v>
      </c>
      <c r="S162" s="498">
        <v>30</v>
      </c>
      <c r="T162" s="36">
        <f t="shared" ref="T162" si="394">E162*M162*O162*Q162/100000000</f>
        <v>18.729824256000001</v>
      </c>
      <c r="U162" s="36">
        <f t="shared" ref="U162" si="395">E162*M162*O162*(Q162-R162-S162)/100000000</f>
        <v>17.811695616000002</v>
      </c>
      <c r="V162" s="36">
        <f t="shared" ref="V162" si="396">E162*G162*(1-N162)*O162/100*(R162+S162)/1000000</f>
        <v>0.93330432000000008</v>
      </c>
      <c r="W162" s="36">
        <f>+'31'!K12/1000</f>
        <v>13.236000000000001</v>
      </c>
      <c r="X162" s="37"/>
      <c r="Y162" s="210"/>
      <c r="Z162" s="36"/>
      <c r="AA162" s="36"/>
      <c r="AB162" s="36"/>
      <c r="AC162" s="36">
        <f>K162-T162</f>
        <v>0.30958387199999748</v>
      </c>
      <c r="AD162" s="36">
        <f>+AM162+BC162</f>
        <v>0</v>
      </c>
      <c r="AE162" s="228" t="s">
        <v>427</v>
      </c>
      <c r="AF162" s="36"/>
      <c r="AG162" s="36">
        <v>0</v>
      </c>
      <c r="AH162" s="36"/>
      <c r="AI162" s="36"/>
      <c r="AJ162" s="36"/>
      <c r="AK162" s="36"/>
      <c r="AL162" s="36"/>
      <c r="AM162" s="36">
        <f t="shared" si="388"/>
        <v>0</v>
      </c>
      <c r="AN162" s="82"/>
      <c r="AO162" s="36"/>
      <c r="AP162" s="36"/>
      <c r="AQ162" s="36"/>
      <c r="AR162" s="36">
        <f t="shared" ref="AR162:AR163" si="397">SUM(AN162:AQ162)</f>
        <v>0</v>
      </c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>
        <f>+AR162+AS162+AU162+AW162+AY162+BB162</f>
        <v>0</v>
      </c>
      <c r="BD162" s="49"/>
      <c r="BE162" s="50">
        <v>0</v>
      </c>
      <c r="BF162" s="50"/>
      <c r="BG162" s="49"/>
      <c r="BH162" s="50"/>
    </row>
    <row r="163" spans="1:60" ht="12.95" customHeight="1">
      <c r="A163" s="39"/>
      <c r="B163" s="40"/>
      <c r="C163" s="412"/>
      <c r="D163" s="40"/>
      <c r="E163" s="41"/>
      <c r="F163" s="41"/>
      <c r="G163" s="42"/>
      <c r="H163" s="43"/>
      <c r="I163" s="44"/>
      <c r="J163" s="81"/>
      <c r="K163" s="81"/>
      <c r="L163" s="34"/>
      <c r="M163" s="34"/>
      <c r="N163" s="45"/>
      <c r="O163" s="46"/>
      <c r="P163" s="47"/>
      <c r="Q163" s="46"/>
      <c r="R163" s="498"/>
      <c r="S163" s="498"/>
      <c r="T163" s="36"/>
      <c r="U163" s="36"/>
      <c r="V163" s="36"/>
      <c r="W163" s="36"/>
      <c r="X163" s="37"/>
      <c r="Y163" s="210"/>
      <c r="Z163" s="36"/>
      <c r="AA163" s="36"/>
      <c r="AB163" s="36"/>
      <c r="AC163" s="36"/>
      <c r="AD163" s="36">
        <f>+AM163+BC163</f>
        <v>46</v>
      </c>
      <c r="AE163" s="228" t="s">
        <v>481</v>
      </c>
      <c r="AF163" s="32"/>
      <c r="AG163" s="32"/>
      <c r="AH163" s="32">
        <v>46</v>
      </c>
      <c r="AI163" s="36"/>
      <c r="AJ163" s="36"/>
      <c r="AK163" s="36"/>
      <c r="AL163" s="36"/>
      <c r="AM163" s="36">
        <f t="shared" si="388"/>
        <v>46</v>
      </c>
      <c r="AN163" s="36"/>
      <c r="AO163" s="36"/>
      <c r="AP163" s="36"/>
      <c r="AQ163" s="36"/>
      <c r="AR163" s="36">
        <f t="shared" si="397"/>
        <v>0</v>
      </c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>
        <f>+AR163+AS163+AU163+AW163+AY163+BB163</f>
        <v>0</v>
      </c>
      <c r="BD163" s="32"/>
      <c r="BE163" s="501"/>
      <c r="BF163" s="501"/>
      <c r="BG163" s="32"/>
      <c r="BH163" s="501"/>
    </row>
    <row r="164" spans="1:60" ht="12.95" customHeight="1">
      <c r="A164" s="39"/>
      <c r="B164" s="40"/>
      <c r="C164" s="412"/>
      <c r="D164" s="40"/>
      <c r="E164" s="41"/>
      <c r="F164" s="41"/>
      <c r="G164" s="42"/>
      <c r="H164" s="43"/>
      <c r="I164" s="44"/>
      <c r="J164" s="81"/>
      <c r="K164" s="81"/>
      <c r="L164" s="34"/>
      <c r="M164" s="34"/>
      <c r="N164" s="45"/>
      <c r="O164" s="46"/>
      <c r="P164" s="47"/>
      <c r="Q164" s="46"/>
      <c r="R164" s="498"/>
      <c r="S164" s="498"/>
      <c r="T164" s="36"/>
      <c r="U164" s="36"/>
      <c r="V164" s="36"/>
      <c r="W164" s="36"/>
      <c r="X164" s="37"/>
      <c r="Y164" s="210"/>
      <c r="Z164" s="36"/>
      <c r="AA164" s="36"/>
      <c r="AB164" s="36"/>
      <c r="AC164" s="36"/>
      <c r="AD164" s="36">
        <f>+AM164+BC164</f>
        <v>97</v>
      </c>
      <c r="AE164" s="228" t="s">
        <v>726</v>
      </c>
      <c r="AF164" s="32"/>
      <c r="AG164" s="32"/>
      <c r="AH164" s="32"/>
      <c r="AI164" s="36"/>
      <c r="AJ164" s="36"/>
      <c r="AK164" s="36"/>
      <c r="AL164" s="36"/>
      <c r="AM164" s="36">
        <f t="shared" ref="AM164" si="398">SUM(AF164:AL164)+AT164+AV164+AX164</f>
        <v>0</v>
      </c>
      <c r="AN164" s="36"/>
      <c r="AO164" s="36"/>
      <c r="AP164" s="36">
        <v>97</v>
      </c>
      <c r="AQ164" s="36"/>
      <c r="AR164" s="36">
        <f t="shared" ref="AR164" si="399">SUM(AN164:AQ164)</f>
        <v>97</v>
      </c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>
        <f>+AR164+AS164+AU164+AW164+AY164+BB164</f>
        <v>97</v>
      </c>
      <c r="BD164" s="32"/>
      <c r="BE164" s="501"/>
      <c r="BF164" s="501"/>
      <c r="BG164" s="32"/>
      <c r="BH164" s="501"/>
    </row>
    <row r="165" spans="1:60" ht="12.95" customHeight="1">
      <c r="A165" s="39"/>
      <c r="B165" s="40"/>
      <c r="C165" s="412"/>
      <c r="D165" s="40"/>
      <c r="E165" s="41"/>
      <c r="F165" s="41"/>
      <c r="G165" s="42"/>
      <c r="H165" s="43"/>
      <c r="I165" s="44"/>
      <c r="J165" s="81"/>
      <c r="K165" s="81"/>
      <c r="L165" s="34"/>
      <c r="M165" s="34"/>
      <c r="N165" s="45"/>
      <c r="O165" s="46"/>
      <c r="P165" s="47"/>
      <c r="Q165" s="46"/>
      <c r="R165" s="498"/>
      <c r="S165" s="498"/>
      <c r="T165" s="36"/>
      <c r="U165" s="36"/>
      <c r="V165" s="36"/>
      <c r="W165" s="36"/>
      <c r="X165" s="37"/>
      <c r="Y165" s="210"/>
      <c r="Z165" s="36"/>
      <c r="AA165" s="36"/>
      <c r="AB165" s="36"/>
      <c r="AC165" s="36"/>
      <c r="AD165" s="36"/>
      <c r="AE165" s="228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2"/>
      <c r="BE165" s="50"/>
      <c r="BF165" s="50"/>
      <c r="BG165" s="50"/>
      <c r="BH165" s="50"/>
    </row>
    <row r="166" spans="1:60">
      <c r="R166" s="502"/>
      <c r="S166" s="502"/>
      <c r="AA166" s="245">
        <f>U166-W166-Z166</f>
        <v>0</v>
      </c>
      <c r="AB166" s="245"/>
      <c r="AC166" s="246">
        <f>K166-T166</f>
        <v>0</v>
      </c>
      <c r="AD166" s="36"/>
      <c r="AF166" s="51"/>
      <c r="AG166" s="51"/>
      <c r="AH166" s="51"/>
      <c r="AI166" s="51"/>
      <c r="AJ166" s="51"/>
      <c r="AK166" s="51"/>
      <c r="AL166" s="51"/>
      <c r="AM166" s="36">
        <f t="shared" ref="AM166" si="400">SUM(AF166:AL166)</f>
        <v>0</v>
      </c>
      <c r="AN166" s="51"/>
      <c r="AO166" s="51"/>
      <c r="AP166" s="51"/>
      <c r="AQ166" s="51"/>
      <c r="AR166" s="36">
        <f t="shared" ref="AR166" si="401">SUM(AN166:AQ166)</f>
        <v>0</v>
      </c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6"/>
      <c r="BD166" s="32"/>
      <c r="BE166" s="50"/>
      <c r="BF166" s="50"/>
      <c r="BG166" s="50"/>
      <c r="BH166" s="50"/>
    </row>
    <row r="167" spans="1:60" s="26" customFormat="1" ht="12.95" customHeight="1">
      <c r="A167" s="55"/>
      <c r="B167" s="56"/>
      <c r="C167" s="413">
        <f>SUM(C6:C165)</f>
        <v>1278.2369715388938</v>
      </c>
      <c r="D167" s="56"/>
      <c r="E167" s="57"/>
      <c r="F167" s="57"/>
      <c r="G167" s="58"/>
      <c r="H167" s="58"/>
      <c r="I167" s="59">
        <v>0.85</v>
      </c>
      <c r="J167" s="81"/>
      <c r="K167" s="83">
        <f>SUM(K6:K165)</f>
        <v>1394.5603539906351</v>
      </c>
      <c r="L167" s="61"/>
      <c r="M167" s="61"/>
      <c r="N167" s="62"/>
      <c r="O167" s="63">
        <f>P167/(Q167-R167-S167)</f>
        <v>260.93910395184787</v>
      </c>
      <c r="P167" s="60">
        <f>SUM(P6:P165)</f>
        <v>10845933.855758557</v>
      </c>
      <c r="Q167" s="331">
        <f>SUM(Q6:Q166)</f>
        <v>44640</v>
      </c>
      <c r="R167" s="60">
        <f t="shared" ref="R167:W167" si="402">SUM(R6:R165)</f>
        <v>999</v>
      </c>
      <c r="S167" s="60">
        <f t="shared" si="402"/>
        <v>2076</v>
      </c>
      <c r="T167" s="60">
        <f t="shared" ca="1" si="402"/>
        <v>1278.2369715388938</v>
      </c>
      <c r="U167" s="60">
        <f t="shared" si="402"/>
        <v>1190.7273342661226</v>
      </c>
      <c r="V167" s="355">
        <f t="shared" si="402"/>
        <v>97.180160531492831</v>
      </c>
      <c r="W167" s="444">
        <f t="shared" si="402"/>
        <v>1150.521</v>
      </c>
      <c r="X167" s="493">
        <f>W167/K167</f>
        <v>0.82500624423152502</v>
      </c>
      <c r="Y167" s="356">
        <f>SUM(Y6:Y165)</f>
        <v>4.0600000000000005</v>
      </c>
      <c r="Z167" s="444">
        <f>SUM(Z6:Z165)</f>
        <v>6.1500151096033404</v>
      </c>
      <c r="AA167" s="60">
        <f>SUM(AA6:AA165)</f>
        <v>29.996319156519753</v>
      </c>
      <c r="AB167" s="60">
        <f>SUM(AB6:AB165)</f>
        <v>-9.6025974987222433</v>
      </c>
      <c r="AC167" s="60">
        <f>SUM(AC6:AC165)</f>
        <v>116.25545669174227</v>
      </c>
      <c r="AD167" s="36">
        <f>SUM(AD6:AD166)</f>
        <v>3075</v>
      </c>
      <c r="AE167" s="64"/>
      <c r="AF167" s="60">
        <f t="shared" ref="AF167:BH167" si="403">SUM(AF6:AF166)</f>
        <v>520</v>
      </c>
      <c r="AG167" s="60">
        <f t="shared" si="403"/>
        <v>130</v>
      </c>
      <c r="AH167" s="60">
        <f t="shared" si="403"/>
        <v>1331</v>
      </c>
      <c r="AI167" s="60">
        <f t="shared" si="403"/>
        <v>8</v>
      </c>
      <c r="AJ167" s="60">
        <f t="shared" si="403"/>
        <v>0</v>
      </c>
      <c r="AK167" s="60">
        <f t="shared" si="403"/>
        <v>87</v>
      </c>
      <c r="AL167" s="60">
        <f t="shared" si="403"/>
        <v>0</v>
      </c>
      <c r="AM167" s="60">
        <f t="shared" si="403"/>
        <v>2076</v>
      </c>
      <c r="AN167" s="51">
        <f t="shared" si="403"/>
        <v>0</v>
      </c>
      <c r="AO167" s="51">
        <f t="shared" si="403"/>
        <v>0</v>
      </c>
      <c r="AP167" s="51">
        <f t="shared" si="403"/>
        <v>137</v>
      </c>
      <c r="AQ167" s="51">
        <f t="shared" si="403"/>
        <v>0</v>
      </c>
      <c r="AR167" s="60">
        <f t="shared" si="403"/>
        <v>137</v>
      </c>
      <c r="AS167" s="60">
        <f t="shared" si="403"/>
        <v>0</v>
      </c>
      <c r="AT167" s="60">
        <f t="shared" si="403"/>
        <v>0</v>
      </c>
      <c r="AU167" s="60">
        <f t="shared" si="403"/>
        <v>0</v>
      </c>
      <c r="AV167" s="60">
        <f t="shared" si="403"/>
        <v>0</v>
      </c>
      <c r="AW167" s="60">
        <f t="shared" si="403"/>
        <v>169</v>
      </c>
      <c r="AX167" s="60">
        <f t="shared" si="403"/>
        <v>0</v>
      </c>
      <c r="AY167" s="60">
        <f t="shared" si="403"/>
        <v>0</v>
      </c>
      <c r="AZ167" s="60">
        <f t="shared" si="403"/>
        <v>0</v>
      </c>
      <c r="BA167" s="60">
        <f t="shared" si="403"/>
        <v>693</v>
      </c>
      <c r="BB167" s="60">
        <f t="shared" si="403"/>
        <v>0</v>
      </c>
      <c r="BC167" s="60">
        <f t="shared" si="403"/>
        <v>999</v>
      </c>
      <c r="BD167" s="51">
        <f t="shared" si="403"/>
        <v>195</v>
      </c>
      <c r="BE167" s="51">
        <f t="shared" si="403"/>
        <v>62</v>
      </c>
      <c r="BF167" s="51">
        <f t="shared" si="403"/>
        <v>1</v>
      </c>
      <c r="BG167" s="51">
        <f t="shared" si="403"/>
        <v>0</v>
      </c>
      <c r="BH167" s="51">
        <f t="shared" si="403"/>
        <v>0</v>
      </c>
    </row>
    <row r="168" spans="1:60" s="26" customFormat="1" ht="12.95" customHeight="1">
      <c r="A168" s="55"/>
      <c r="B168" s="56"/>
      <c r="C168" s="56"/>
      <c r="D168" s="56"/>
      <c r="E168" s="57"/>
      <c r="F168" s="57"/>
      <c r="G168" s="58"/>
      <c r="H168" s="58"/>
      <c r="I168" s="58"/>
      <c r="J168" s="84"/>
      <c r="K168" s="84"/>
      <c r="L168" s="61"/>
      <c r="M168" s="61"/>
      <c r="N168" s="62"/>
      <c r="O168" s="674"/>
      <c r="P168" s="675"/>
      <c r="Q168" s="58">
        <f>31*1440-Q167</f>
        <v>0</v>
      </c>
      <c r="R168" s="65">
        <f>R167/Q167</f>
        <v>2.2379032258064518E-2</v>
      </c>
      <c r="S168" s="65">
        <f>S167/Q167</f>
        <v>4.6505376344086025E-2</v>
      </c>
      <c r="T168" s="342"/>
      <c r="U168" s="342"/>
      <c r="V168" s="344">
        <f>V167/K167</f>
        <v>6.9685159379014885E-2</v>
      </c>
      <c r="W168" s="360" t="s">
        <v>169</v>
      </c>
      <c r="X168" s="494">
        <v>0.85</v>
      </c>
      <c r="Y168" s="357">
        <f>Y167/K167</f>
        <v>2.9113117896848403E-3</v>
      </c>
      <c r="Z168" s="66">
        <f>Z167/K167</f>
        <v>4.4100028313616034E-3</v>
      </c>
      <c r="AA168" s="66">
        <f>AA167/K167</f>
        <v>2.1509516652099797E-2</v>
      </c>
      <c r="AB168" s="66">
        <f>AB167/K167</f>
        <v>-6.8857525393172959E-3</v>
      </c>
      <c r="AC168" s="495">
        <f>AC167/K167</f>
        <v>8.3363517655631672E-2</v>
      </c>
      <c r="AD168" s="345"/>
      <c r="AE168" s="38"/>
      <c r="AF168" s="66">
        <f>AF167/$AD$167*$V$168</f>
        <v>1.1784157033199264E-2</v>
      </c>
      <c r="AG168" s="66">
        <f>AG167/$AD$167*$V$168</f>
        <v>2.9460392582998161E-3</v>
      </c>
      <c r="AH168" s="66">
        <f>AH167/$AD$167*$V$168</f>
        <v>3.0162909636900426E-2</v>
      </c>
      <c r="AI168" s="66">
        <f>AI167/$AD$167*$V$168</f>
        <v>1.8129472358768101E-4</v>
      </c>
      <c r="AJ168" s="66">
        <f t="shared" ref="AJ168:BC168" si="404">AJ167/$AD$167*$V$168</f>
        <v>0</v>
      </c>
      <c r="AK168" s="66">
        <f t="shared" si="404"/>
        <v>1.9715801190160311E-3</v>
      </c>
      <c r="AL168" s="66">
        <f t="shared" si="404"/>
        <v>0</v>
      </c>
      <c r="AM168" s="66">
        <f t="shared" si="404"/>
        <v>4.7045980771003221E-2</v>
      </c>
      <c r="AN168" s="66">
        <f t="shared" si="404"/>
        <v>0</v>
      </c>
      <c r="AO168" s="66">
        <f t="shared" si="404"/>
        <v>0</v>
      </c>
      <c r="AP168" s="66">
        <f t="shared" si="404"/>
        <v>3.1046721414390373E-3</v>
      </c>
      <c r="AQ168" s="66">
        <f t="shared" si="404"/>
        <v>0</v>
      </c>
      <c r="AR168" s="66">
        <f t="shared" si="404"/>
        <v>3.1046721414390373E-3</v>
      </c>
      <c r="AS168" s="66">
        <f t="shared" si="404"/>
        <v>0</v>
      </c>
      <c r="AT168" s="66">
        <f t="shared" si="404"/>
        <v>0</v>
      </c>
      <c r="AU168" s="66">
        <f t="shared" si="404"/>
        <v>0</v>
      </c>
      <c r="AV168" s="66">
        <f>AV167/$AD$167*$V$168</f>
        <v>0</v>
      </c>
      <c r="AW168" s="66">
        <f t="shared" ref="AW168:BB168" si="405">AW167/$AD$167*$V$168</f>
        <v>3.8298510357897613E-3</v>
      </c>
      <c r="AX168" s="66">
        <f t="shared" si="405"/>
        <v>0</v>
      </c>
      <c r="AY168" s="66">
        <f t="shared" si="405"/>
        <v>0</v>
      </c>
      <c r="AZ168" s="66">
        <f t="shared" ref="AZ168:BA168" si="406">AZ167/$AD$167*$V$168</f>
        <v>0</v>
      </c>
      <c r="BA168" s="66">
        <f t="shared" si="406"/>
        <v>1.5704655430782866E-2</v>
      </c>
      <c r="BB168" s="66">
        <f t="shared" si="405"/>
        <v>0</v>
      </c>
      <c r="BC168" s="66">
        <f t="shared" si="404"/>
        <v>2.2639178608011665E-2</v>
      </c>
      <c r="BD168" s="33" t="s">
        <v>168</v>
      </c>
      <c r="BE168" s="33" t="s">
        <v>168</v>
      </c>
      <c r="BF168" s="33" t="s">
        <v>399</v>
      </c>
      <c r="BG168" s="33" t="s">
        <v>399</v>
      </c>
      <c r="BH168" s="33" t="s">
        <v>399</v>
      </c>
    </row>
    <row r="169" spans="1:60" ht="12.95" customHeight="1">
      <c r="A169" s="55"/>
      <c r="B169" s="56"/>
      <c r="C169" s="56"/>
      <c r="D169" s="56"/>
      <c r="E169" s="57"/>
      <c r="F169" s="57"/>
      <c r="G169" s="33"/>
      <c r="H169" s="33"/>
      <c r="I169" s="33"/>
      <c r="J169" s="81"/>
      <c r="K169" s="81"/>
      <c r="L169" s="34"/>
      <c r="M169" s="34"/>
      <c r="N169" s="32"/>
      <c r="O169" s="35"/>
      <c r="P169" s="27"/>
      <c r="Q169" s="33"/>
      <c r="R169" s="36">
        <f>R167-(BC167)</f>
        <v>0</v>
      </c>
      <c r="S169" s="36">
        <f>S167-SUM(AF167:AL167)-AZ167</f>
        <v>0</v>
      </c>
      <c r="T169" s="32"/>
      <c r="U169" s="32"/>
      <c r="V169" s="32"/>
      <c r="W169" s="358"/>
      <c r="X169" s="359"/>
      <c r="Y169" s="67">
        <f>+Y167-(SUM(RBP!AG3:AG4))</f>
        <v>0</v>
      </c>
      <c r="Z169" s="36"/>
      <c r="AA169" s="32"/>
      <c r="AB169" s="32"/>
      <c r="AC169" s="32"/>
      <c r="AD169" s="32"/>
      <c r="AE169" s="38"/>
      <c r="AF169" s="332"/>
      <c r="AG169" s="332"/>
      <c r="AH169" s="332"/>
      <c r="AI169" s="332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503">
        <f>BD167/($Q$167/1440)/2</f>
        <v>3.1451612903225805</v>
      </c>
      <c r="BE169" s="503">
        <f>BE167/($Q$167/1440)/2</f>
        <v>1</v>
      </c>
      <c r="BF169" s="503">
        <f>BF167/($Q$167/1440)</f>
        <v>3.2258064516129031E-2</v>
      </c>
      <c r="BG169" s="503">
        <f t="shared" ref="BG169:BH169" si="407">BG167/($Q$167/1440)</f>
        <v>0</v>
      </c>
      <c r="BH169" s="503">
        <f t="shared" si="407"/>
        <v>0</v>
      </c>
    </row>
    <row r="170" spans="1:60">
      <c r="A170" s="68"/>
      <c r="B170" s="69"/>
      <c r="C170" s="69"/>
      <c r="D170" s="69"/>
      <c r="E170" s="70"/>
      <c r="F170" s="70"/>
      <c r="G170" s="71"/>
      <c r="H170" s="71"/>
      <c r="I170" s="71"/>
      <c r="J170" s="85"/>
      <c r="K170" s="85"/>
      <c r="O170" s="72"/>
      <c r="P170" s="73"/>
      <c r="Q170" s="71"/>
      <c r="R170" s="52"/>
      <c r="S170" s="52"/>
      <c r="U170" s="74"/>
      <c r="V170" s="74"/>
      <c r="W170" s="75" t="s">
        <v>118</v>
      </c>
      <c r="X170" s="496">
        <f>W167/U167</f>
        <v>0.96623380255992619</v>
      </c>
      <c r="Y170" s="496"/>
      <c r="Z170" s="52"/>
      <c r="AD170" s="82"/>
      <c r="AE170" s="77"/>
      <c r="AF170" s="78"/>
      <c r="AG170" s="78"/>
      <c r="AH170" s="78"/>
      <c r="AI170" s="78"/>
      <c r="AJ170" s="78"/>
      <c r="AK170" s="78"/>
      <c r="AL170" s="78"/>
      <c r="AM170" s="78"/>
      <c r="AN170" s="76"/>
      <c r="AO170" s="76"/>
      <c r="AP170" s="76"/>
      <c r="AQ170" s="76"/>
      <c r="AR170" s="76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6"/>
      <c r="BD170" s="26"/>
      <c r="BE170" s="76"/>
      <c r="BF170" s="76"/>
      <c r="BG170" s="26"/>
      <c r="BH170" s="76"/>
    </row>
    <row r="171" spans="1:60">
      <c r="A171" s="68"/>
      <c r="B171" s="69"/>
      <c r="C171" s="69"/>
      <c r="D171" s="69"/>
      <c r="E171" s="70"/>
      <c r="F171" s="70"/>
      <c r="G171" s="71"/>
      <c r="H171" s="71"/>
      <c r="I171" s="71"/>
      <c r="J171" s="85"/>
      <c r="K171" s="85"/>
      <c r="O171" s="72"/>
      <c r="P171" s="73"/>
      <c r="Q171" s="71"/>
      <c r="R171" s="52"/>
      <c r="S171" s="52"/>
      <c r="U171" s="74"/>
      <c r="V171" s="74"/>
      <c r="W171" s="75"/>
      <c r="X171" s="76"/>
      <c r="Y171" s="76"/>
      <c r="Z171" s="52">
        <f>+Z167-'25'!J56/1000</f>
        <v>1.5109603340057731E-5</v>
      </c>
      <c r="AA171" s="88"/>
      <c r="AB171" s="88"/>
      <c r="AD171" s="82"/>
      <c r="AE171" s="77"/>
      <c r="AF171" s="78"/>
      <c r="AG171" s="78"/>
      <c r="AH171" s="78"/>
      <c r="AI171" s="78"/>
      <c r="AJ171" s="78"/>
      <c r="AK171" s="78"/>
      <c r="AL171" s="78"/>
      <c r="AM171" s="78"/>
      <c r="AN171" s="78"/>
      <c r="AO171" s="76"/>
      <c r="AP171" s="76"/>
      <c r="AQ171" s="76"/>
      <c r="AR171" s="78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26"/>
      <c r="BE171" s="76"/>
      <c r="BF171" s="76"/>
      <c r="BG171" s="26"/>
      <c r="BH171" s="76"/>
    </row>
    <row r="172" spans="1:60">
      <c r="A172" s="68"/>
      <c r="B172" s="69"/>
      <c r="C172" s="69"/>
      <c r="D172" s="69"/>
      <c r="E172" s="70"/>
      <c r="F172" s="70"/>
      <c r="G172" s="71"/>
      <c r="H172" s="71"/>
      <c r="I172" s="71"/>
      <c r="J172" s="85"/>
      <c r="K172" s="85"/>
      <c r="O172" s="72"/>
      <c r="P172" s="73"/>
      <c r="Q172" s="71"/>
      <c r="R172" s="343"/>
      <c r="S172" s="52"/>
      <c r="U172" s="74"/>
      <c r="V172" s="74"/>
      <c r="W172" s="75" t="s">
        <v>142</v>
      </c>
      <c r="X172" s="332">
        <f>+W167+Y167</f>
        <v>1154.5809999999999</v>
      </c>
      <c r="Y172" s="76"/>
      <c r="Z172" s="52"/>
      <c r="AD172" s="82"/>
      <c r="AE172" s="77"/>
      <c r="AF172" s="82"/>
      <c r="AG172" s="82"/>
      <c r="AH172" s="82"/>
      <c r="AI172" s="82"/>
      <c r="AJ172" s="76"/>
      <c r="AK172" s="76"/>
      <c r="AL172" s="76"/>
      <c r="AM172" s="78"/>
      <c r="AN172" s="76"/>
      <c r="AO172" s="76"/>
      <c r="AP172" s="76"/>
      <c r="AQ172" s="76"/>
      <c r="AR172" s="78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26"/>
      <c r="BE172" s="76"/>
      <c r="BF172" s="76"/>
      <c r="BG172" s="26"/>
      <c r="BH172" s="76"/>
    </row>
    <row r="173" spans="1:60">
      <c r="A173" s="68"/>
      <c r="C173" s="69" t="s">
        <v>298</v>
      </c>
      <c r="D173" s="69"/>
      <c r="E173" s="70"/>
      <c r="F173" s="70"/>
      <c r="G173" s="71"/>
      <c r="H173" s="71"/>
      <c r="I173" s="71"/>
      <c r="J173" s="85"/>
      <c r="K173" s="85"/>
      <c r="O173" s="72"/>
      <c r="P173" s="73"/>
      <c r="Q173" s="71"/>
      <c r="R173" s="343"/>
      <c r="S173" s="52"/>
      <c r="U173" s="74"/>
      <c r="V173" s="353"/>
      <c r="W173" s="354"/>
      <c r="X173" s="348"/>
      <c r="Y173" s="354"/>
      <c r="Z173" s="348"/>
      <c r="AD173" s="341"/>
      <c r="AE173" s="77"/>
      <c r="AF173" s="341"/>
      <c r="AG173" s="341"/>
      <c r="AH173" s="341"/>
      <c r="AI173" s="341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26"/>
      <c r="BE173" s="76"/>
      <c r="BF173" s="76"/>
      <c r="BG173" s="26"/>
      <c r="BH173" s="76"/>
    </row>
    <row r="174" spans="1:60">
      <c r="A174" s="68"/>
      <c r="B174" s="69"/>
      <c r="C174" s="69" t="s">
        <v>299</v>
      </c>
      <c r="D174" s="69"/>
      <c r="E174" s="70"/>
      <c r="F174" s="70"/>
      <c r="G174" s="71"/>
      <c r="H174" s="71"/>
      <c r="I174" s="71"/>
      <c r="J174" s="85"/>
      <c r="K174" s="85"/>
      <c r="O174" s="72"/>
      <c r="P174" s="73"/>
      <c r="Q174" s="71"/>
      <c r="R174" s="343"/>
      <c r="S174" s="52"/>
      <c r="V174" s="346"/>
      <c r="W174" s="347" t="s">
        <v>305</v>
      </c>
      <c r="X174" s="346"/>
      <c r="Y174" s="346"/>
      <c r="Z174" s="348"/>
      <c r="AC174" s="28" t="s">
        <v>730</v>
      </c>
      <c r="AD174" s="581">
        <f>+AC47+AC53+AC54+AC118+AC123+AC128+AC134+AC140+AC145+AC150+AC151+AC155</f>
        <v>106.11688383306557</v>
      </c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26"/>
      <c r="BG174" s="26"/>
    </row>
    <row r="175" spans="1:60">
      <c r="A175" s="68"/>
      <c r="B175" s="69"/>
      <c r="C175" s="69"/>
      <c r="D175" s="69"/>
      <c r="E175" s="70"/>
      <c r="F175" s="70"/>
      <c r="G175" s="71"/>
      <c r="H175" s="71"/>
      <c r="I175" s="71"/>
      <c r="J175" s="85"/>
      <c r="K175" s="85"/>
      <c r="O175" s="72"/>
      <c r="P175" s="73"/>
      <c r="Q175" s="71"/>
      <c r="R175" s="343"/>
      <c r="S175" s="52"/>
      <c r="V175" s="346"/>
      <c r="W175" s="349" t="s">
        <v>294</v>
      </c>
      <c r="X175" s="504">
        <f>Y168</f>
        <v>2.9113117896848403E-3</v>
      </c>
      <c r="Y175" s="350"/>
      <c r="Z175" s="348"/>
      <c r="AC175" s="28" t="s">
        <v>731</v>
      </c>
      <c r="AD175" s="582">
        <f>+AD174/K167</f>
        <v>7.609343226300995E-2</v>
      </c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26"/>
      <c r="BG175" s="26"/>
    </row>
    <row r="176" spans="1:60">
      <c r="R176" s="88"/>
      <c r="V176" s="346"/>
      <c r="W176" s="349" t="s">
        <v>148</v>
      </c>
      <c r="X176" s="352">
        <f>Z168</f>
        <v>4.4100028313616034E-3</v>
      </c>
      <c r="Y176" s="351"/>
      <c r="Z176" s="346"/>
      <c r="AB176" s="578"/>
    </row>
    <row r="177" spans="6:30">
      <c r="R177" s="88"/>
      <c r="V177" s="346"/>
      <c r="W177" s="349" t="s">
        <v>149</v>
      </c>
      <c r="X177" s="352">
        <f>AC168-AD175</f>
        <v>7.2700853926217224E-3</v>
      </c>
      <c r="Y177" s="504"/>
      <c r="Z177" s="352"/>
      <c r="AD177" s="583"/>
    </row>
    <row r="178" spans="6:30">
      <c r="R178" s="88"/>
      <c r="V178" s="346"/>
      <c r="W178" s="349" t="s">
        <v>150</v>
      </c>
      <c r="X178" s="352">
        <f>AA168</f>
        <v>2.1509516652099797E-2</v>
      </c>
      <c r="Y178" s="350"/>
      <c r="Z178" s="352"/>
      <c r="AD178" s="583"/>
    </row>
    <row r="179" spans="6:30">
      <c r="V179" s="346"/>
      <c r="W179" s="349" t="s">
        <v>166</v>
      </c>
      <c r="X179" s="352">
        <f>AB168</f>
        <v>-6.8857525393172959E-3</v>
      </c>
      <c r="Y179" s="351" t="s">
        <v>164</v>
      </c>
      <c r="Z179" s="346"/>
      <c r="AD179" s="582"/>
    </row>
    <row r="180" spans="6:30">
      <c r="V180" s="346"/>
      <c r="W180" s="349" t="s">
        <v>222</v>
      </c>
      <c r="X180" s="352">
        <f>AF168</f>
        <v>1.1784157033199264E-2</v>
      </c>
      <c r="Y180" s="351"/>
      <c r="Z180" s="346"/>
    </row>
    <row r="181" spans="6:30">
      <c r="V181" s="346"/>
      <c r="W181" s="349" t="s">
        <v>223</v>
      </c>
      <c r="X181" s="352">
        <f>+AG168</f>
        <v>2.9460392582998161E-3</v>
      </c>
      <c r="Y181" s="351"/>
      <c r="Z181" s="346"/>
      <c r="AD181" s="88"/>
    </row>
    <row r="182" spans="6:30">
      <c r="V182" s="346"/>
      <c r="W182" s="349" t="s">
        <v>300</v>
      </c>
      <c r="X182" s="352">
        <f>+AH168</f>
        <v>3.0162909636900426E-2</v>
      </c>
      <c r="Y182" s="351"/>
      <c r="Z182" s="346"/>
    </row>
    <row r="183" spans="6:30">
      <c r="V183" s="346"/>
      <c r="W183" s="349" t="s">
        <v>224</v>
      </c>
      <c r="X183" s="352">
        <f>+AI168</f>
        <v>1.8129472358768101E-4</v>
      </c>
      <c r="Y183" s="351"/>
      <c r="Z183" s="346"/>
    </row>
    <row r="184" spans="6:30">
      <c r="F184" s="28"/>
      <c r="J184" s="28"/>
      <c r="K184" s="28"/>
      <c r="L184" s="28"/>
      <c r="M184" s="28"/>
      <c r="Q184" s="28"/>
      <c r="V184" s="346"/>
      <c r="W184" s="349" t="s">
        <v>157</v>
      </c>
      <c r="X184" s="352">
        <f>+AJ168</f>
        <v>0</v>
      </c>
      <c r="Y184" s="351"/>
      <c r="Z184" s="346"/>
    </row>
    <row r="185" spans="6:30">
      <c r="F185" s="28"/>
      <c r="J185" s="28"/>
      <c r="K185" s="28"/>
      <c r="L185" s="28"/>
      <c r="M185" s="28"/>
      <c r="Q185" s="28"/>
      <c r="V185" s="346"/>
      <c r="W185" s="349" t="s">
        <v>159</v>
      </c>
      <c r="X185" s="352">
        <f>+AK168</f>
        <v>1.9715801190160311E-3</v>
      </c>
      <c r="Y185" s="351"/>
      <c r="Z185" s="346"/>
    </row>
    <row r="186" spans="6:30">
      <c r="F186" s="28"/>
      <c r="J186" s="28"/>
      <c r="K186" s="28"/>
      <c r="L186" s="28"/>
      <c r="M186" s="28"/>
      <c r="Q186" s="28"/>
      <c r="V186" s="346"/>
      <c r="W186" s="349" t="s">
        <v>158</v>
      </c>
      <c r="X186" s="352">
        <f>+AL168</f>
        <v>0</v>
      </c>
      <c r="Y186" s="351"/>
      <c r="Z186" s="346"/>
    </row>
    <row r="187" spans="6:30">
      <c r="F187" s="28"/>
      <c r="J187" s="28"/>
      <c r="K187" s="28"/>
      <c r="L187" s="28"/>
      <c r="M187" s="28"/>
      <c r="Q187" s="28"/>
      <c r="V187" s="346"/>
      <c r="W187" s="349" t="s">
        <v>151</v>
      </c>
      <c r="X187" s="352">
        <f>+AN168</f>
        <v>0</v>
      </c>
      <c r="Y187" s="351"/>
      <c r="Z187" s="346"/>
    </row>
    <row r="188" spans="6:30">
      <c r="F188" s="28"/>
      <c r="J188" s="28"/>
      <c r="K188" s="28"/>
      <c r="L188" s="28"/>
      <c r="M188" s="28"/>
      <c r="Q188" s="28"/>
      <c r="V188" s="346"/>
      <c r="W188" s="349" t="s">
        <v>161</v>
      </c>
      <c r="X188" s="352">
        <f>+AO168</f>
        <v>0</v>
      </c>
      <c r="Y188" s="351"/>
      <c r="Z188" s="346"/>
    </row>
    <row r="189" spans="6:30">
      <c r="F189" s="28"/>
      <c r="J189" s="28"/>
      <c r="K189" s="28"/>
      <c r="L189" s="28"/>
      <c r="M189" s="28"/>
      <c r="Q189" s="28"/>
      <c r="V189" s="346"/>
      <c r="W189" s="349" t="s">
        <v>152</v>
      </c>
      <c r="X189" s="352">
        <f>+AP168</f>
        <v>3.1046721414390373E-3</v>
      </c>
      <c r="Y189" s="351"/>
      <c r="Z189" s="346"/>
    </row>
    <row r="190" spans="6:30">
      <c r="F190" s="28"/>
      <c r="J190" s="28"/>
      <c r="K190" s="28"/>
      <c r="L190" s="28"/>
      <c r="M190" s="28"/>
      <c r="Q190" s="28"/>
      <c r="V190" s="346"/>
      <c r="W190" s="349" t="s">
        <v>160</v>
      </c>
      <c r="X190" s="352">
        <f>+AQ168</f>
        <v>0</v>
      </c>
      <c r="Y190" s="351"/>
      <c r="Z190" s="346"/>
    </row>
    <row r="191" spans="6:30">
      <c r="F191" s="28"/>
      <c r="J191" s="28"/>
      <c r="K191" s="28"/>
      <c r="L191" s="28"/>
      <c r="M191" s="28"/>
      <c r="Q191" s="28"/>
      <c r="V191" s="346"/>
      <c r="W191" s="349" t="s">
        <v>163</v>
      </c>
      <c r="X191" s="352">
        <f>+AS168</f>
        <v>0</v>
      </c>
      <c r="Y191" s="351"/>
      <c r="Z191" s="346"/>
    </row>
    <row r="192" spans="6:30">
      <c r="F192" s="28"/>
      <c r="J192" s="28"/>
      <c r="K192" s="28"/>
      <c r="L192" s="28"/>
      <c r="M192" s="28"/>
      <c r="Q192" s="28"/>
      <c r="V192" s="346"/>
      <c r="W192" s="349" t="s">
        <v>301</v>
      </c>
      <c r="X192" s="352">
        <f>+AT168</f>
        <v>0</v>
      </c>
      <c r="Y192" s="351"/>
      <c r="Z192" s="346"/>
    </row>
    <row r="193" spans="6:26">
      <c r="F193" s="28"/>
      <c r="J193" s="28"/>
      <c r="K193" s="28"/>
      <c r="L193" s="28"/>
      <c r="M193" s="28"/>
      <c r="Q193" s="28"/>
      <c r="V193" s="346"/>
      <c r="W193" s="349" t="s">
        <v>238</v>
      </c>
      <c r="X193" s="352">
        <f>+AU168</f>
        <v>0</v>
      </c>
      <c r="Y193" s="351"/>
      <c r="Z193" s="346"/>
    </row>
    <row r="194" spans="6:26">
      <c r="F194" s="28"/>
      <c r="J194" s="28"/>
      <c r="K194" s="28"/>
      <c r="L194" s="28"/>
      <c r="M194" s="28"/>
      <c r="Q194" s="28"/>
      <c r="V194" s="346"/>
      <c r="W194" s="349" t="s">
        <v>307</v>
      </c>
      <c r="X194" s="352">
        <f>+AW168</f>
        <v>3.8298510357897613E-3</v>
      </c>
      <c r="Y194" s="351"/>
      <c r="Z194" s="346"/>
    </row>
    <row r="195" spans="6:26">
      <c r="F195" s="28"/>
      <c r="J195" s="28"/>
      <c r="K195" s="28"/>
      <c r="L195" s="28"/>
      <c r="M195" s="28"/>
      <c r="Q195" s="28"/>
      <c r="V195" s="346"/>
      <c r="W195" s="349" t="s">
        <v>308</v>
      </c>
      <c r="X195" s="352">
        <f>+AV168</f>
        <v>0</v>
      </c>
      <c r="Y195" s="351"/>
      <c r="Z195" s="346"/>
    </row>
    <row r="196" spans="6:26">
      <c r="F196" s="28"/>
      <c r="J196" s="28"/>
      <c r="K196" s="28"/>
      <c r="L196" s="28"/>
      <c r="M196" s="28"/>
      <c r="Q196" s="28"/>
      <c r="V196" s="346"/>
      <c r="W196" s="346" t="s">
        <v>162</v>
      </c>
      <c r="X196" s="352">
        <f>+AX168+AY168</f>
        <v>0</v>
      </c>
      <c r="Y196" s="352"/>
      <c r="Z196" s="346"/>
    </row>
    <row r="197" spans="6:26">
      <c r="F197" s="28"/>
      <c r="J197" s="28"/>
      <c r="K197" s="28"/>
      <c r="L197" s="28"/>
      <c r="M197" s="28"/>
      <c r="Q197" s="28"/>
      <c r="V197" s="346"/>
      <c r="W197" s="346" t="s">
        <v>497</v>
      </c>
      <c r="X197" s="352">
        <f>+BA168</f>
        <v>1.5704655430782866E-2</v>
      </c>
      <c r="Y197" s="352"/>
      <c r="Z197" s="346"/>
    </row>
    <row r="198" spans="6:26">
      <c r="F198" s="28"/>
      <c r="J198" s="28"/>
      <c r="K198" s="28"/>
      <c r="L198" s="28"/>
      <c r="M198" s="28"/>
      <c r="Q198" s="28"/>
      <c r="V198" s="346"/>
      <c r="W198" s="346" t="s">
        <v>729</v>
      </c>
      <c r="X198" s="352">
        <f>+AD175</f>
        <v>7.609343226300995E-2</v>
      </c>
      <c r="Y198" s="352"/>
      <c r="Z198" s="346"/>
    </row>
    <row r="199" spans="6:26">
      <c r="F199" s="28"/>
      <c r="J199" s="28"/>
      <c r="K199" s="28"/>
      <c r="L199" s="28"/>
      <c r="M199" s="28"/>
      <c r="Q199" s="28"/>
      <c r="V199" s="346"/>
      <c r="W199" s="346" t="s">
        <v>306</v>
      </c>
      <c r="X199" s="352">
        <f>+BB168</f>
        <v>0</v>
      </c>
      <c r="Y199" s="346"/>
      <c r="Z199" s="346"/>
    </row>
    <row r="200" spans="6:26">
      <c r="F200" s="28"/>
      <c r="J200" s="28"/>
      <c r="K200" s="28"/>
      <c r="L200" s="28"/>
      <c r="M200" s="28"/>
      <c r="Q200" s="28"/>
      <c r="V200" s="346"/>
      <c r="W200" s="346"/>
      <c r="X200" s="517">
        <f>SUM(X175:X199)</f>
        <v>0.17499375576847551</v>
      </c>
      <c r="Y200" s="346"/>
      <c r="Z200" s="346"/>
    </row>
    <row r="203" spans="6:26">
      <c r="F203" s="28"/>
      <c r="J203" s="28"/>
      <c r="K203" s="28"/>
      <c r="L203" s="28"/>
      <c r="M203" s="28"/>
      <c r="Q203" s="28"/>
      <c r="X203" s="88">
        <f>+X200+X167</f>
        <v>1.0000000000000004</v>
      </c>
    </row>
  </sheetData>
  <mergeCells count="51">
    <mergeCell ref="AZ3:BA3"/>
    <mergeCell ref="AJ4:AJ5"/>
    <mergeCell ref="V3:V5"/>
    <mergeCell ref="U3:U5"/>
    <mergeCell ref="AV3:AW3"/>
    <mergeCell ref="AX3:AY3"/>
    <mergeCell ref="AN3:AR3"/>
    <mergeCell ref="AS3:AS5"/>
    <mergeCell ref="AQ4:AQ5"/>
    <mergeCell ref="BB3:BB5"/>
    <mergeCell ref="O168:P168"/>
    <mergeCell ref="BC3:BC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3:A5"/>
    <mergeCell ref="B3:B5"/>
    <mergeCell ref="D3:D5"/>
    <mergeCell ref="E3:E5"/>
    <mergeCell ref="F3:F5"/>
    <mergeCell ref="G3:K4"/>
    <mergeCell ref="C3:C5"/>
    <mergeCell ref="L3:N4"/>
    <mergeCell ref="O3:O5"/>
    <mergeCell ref="R3:R5"/>
    <mergeCell ref="BF3:BF5"/>
    <mergeCell ref="BG3:BG5"/>
    <mergeCell ref="BH3:BH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D3:BD5"/>
    <mergeCell ref="BE3:BE5"/>
    <mergeCell ref="AN4:AN5"/>
    <mergeCell ref="AP4:AP5"/>
  </mergeCells>
  <phoneticPr fontId="32" type="noConversion"/>
  <conditionalFormatting sqref="B6:C6 B8:C8 B165:C165 C168 B10:C10 C166 B166:B168">
    <cfRule type="cellIs" dxfId="1857" priority="2051" stopIfTrue="1" operator="equal">
      <formula>"Towel"</formula>
    </cfRule>
    <cfRule type="cellIs" dxfId="1856" priority="2052" stopIfTrue="1" operator="equal">
      <formula>"Napkin Hs"</formula>
    </cfRule>
  </conditionalFormatting>
  <conditionalFormatting sqref="B7:C7">
    <cfRule type="cellIs" dxfId="1855" priority="1591" stopIfTrue="1" operator="equal">
      <formula>"Towel"</formula>
    </cfRule>
    <cfRule type="cellIs" dxfId="1854" priority="1592" stopIfTrue="1" operator="equal">
      <formula>"Napkin Hs"</formula>
    </cfRule>
  </conditionalFormatting>
  <conditionalFormatting sqref="B108:C108">
    <cfRule type="cellIs" dxfId="1853" priority="1717" stopIfTrue="1" operator="equal">
      <formula>"Towel"</formula>
    </cfRule>
    <cfRule type="cellIs" dxfId="1852" priority="1718" stopIfTrue="1" operator="equal">
      <formula>"Napkin Hs"</formula>
    </cfRule>
  </conditionalFormatting>
  <conditionalFormatting sqref="B113:C113">
    <cfRule type="cellIs" dxfId="1851" priority="1685" stopIfTrue="1" operator="equal">
      <formula>"Towel"</formula>
    </cfRule>
    <cfRule type="cellIs" dxfId="1850" priority="1686" stopIfTrue="1" operator="equal">
      <formula>"Napkin Hs"</formula>
    </cfRule>
  </conditionalFormatting>
  <conditionalFormatting sqref="C6 C8 C165 C10">
    <cfRule type="cellIs" dxfId="1849" priority="2050" stopIfTrue="1" operator="equal">
      <formula>"Napkin Hs"</formula>
    </cfRule>
  </conditionalFormatting>
  <conditionalFormatting sqref="C6:C8 C10">
    <cfRule type="cellIs" dxfId="1848" priority="1589" stopIfTrue="1" operator="equal">
      <formula>"Towel"</formula>
    </cfRule>
    <cfRule type="cellIs" dxfId="1847" priority="1590" stopIfTrue="1" operator="equal">
      <formula>"Napkin Hs"</formula>
    </cfRule>
  </conditionalFormatting>
  <conditionalFormatting sqref="C7">
    <cfRule type="cellIs" dxfId="1846" priority="1587" stopIfTrue="1" operator="equal">
      <formula>"Towel"</formula>
    </cfRule>
    <cfRule type="cellIs" dxfId="1845" priority="1588" stopIfTrue="1" operator="equal">
      <formula>"Napkin Hs"</formula>
    </cfRule>
  </conditionalFormatting>
  <conditionalFormatting sqref="C165 C6 C8 C10">
    <cfRule type="cellIs" dxfId="1844" priority="2049" stopIfTrue="1" operator="equal">
      <formula>"Towel"</formula>
    </cfRule>
  </conditionalFormatting>
  <conditionalFormatting sqref="C108">
    <cfRule type="cellIs" dxfId="1843" priority="1715" stopIfTrue="1" operator="equal">
      <formula>"Towel"</formula>
    </cfRule>
    <cfRule type="cellIs" dxfId="1842" priority="1716" stopIfTrue="1" operator="equal">
      <formula>"Napkin Hs"</formula>
    </cfRule>
  </conditionalFormatting>
  <conditionalFormatting sqref="C108">
    <cfRule type="cellIs" dxfId="1841" priority="1711" stopIfTrue="1" operator="equal">
      <formula>"Towel"</formula>
    </cfRule>
    <cfRule type="cellIs" dxfId="1840" priority="1712" stopIfTrue="1" operator="equal">
      <formula>"Napkin Hs"</formula>
    </cfRule>
  </conditionalFormatting>
  <conditionalFormatting sqref="C113">
    <cfRule type="cellIs" dxfId="1839" priority="1683" stopIfTrue="1" operator="equal">
      <formula>"Towel"</formula>
    </cfRule>
    <cfRule type="cellIs" dxfId="1838" priority="1684" stopIfTrue="1" operator="equal">
      <formula>"Napkin Hs"</formula>
    </cfRule>
  </conditionalFormatting>
  <conditionalFormatting sqref="C113">
    <cfRule type="cellIs" dxfId="1837" priority="1681" stopIfTrue="1" operator="equal">
      <formula>"Towel"</formula>
    </cfRule>
    <cfRule type="cellIs" dxfId="1836" priority="1682" stopIfTrue="1" operator="equal">
      <formula>"Napkin Hs"</formula>
    </cfRule>
  </conditionalFormatting>
  <conditionalFormatting sqref="C165">
    <cfRule type="cellIs" dxfId="1835" priority="1625" stopIfTrue="1" operator="equal">
      <formula>"Towel"</formula>
    </cfRule>
    <cfRule type="cellIs" dxfId="1834" priority="1626" stopIfTrue="1" operator="equal">
      <formula>"Napkin Hs"</formula>
    </cfRule>
  </conditionalFormatting>
  <conditionalFormatting sqref="B9:C9">
    <cfRule type="cellIs" dxfId="1833" priority="1563" stopIfTrue="1" operator="equal">
      <formula>"Towel"</formula>
    </cfRule>
    <cfRule type="cellIs" dxfId="1832" priority="1564" stopIfTrue="1" operator="equal">
      <formula>"Napkin Hs"</formula>
    </cfRule>
  </conditionalFormatting>
  <conditionalFormatting sqref="C9">
    <cfRule type="cellIs" dxfId="1831" priority="1559" stopIfTrue="1" operator="equal">
      <formula>"Towel"</formula>
    </cfRule>
    <cfRule type="cellIs" dxfId="1830" priority="1560" stopIfTrue="1" operator="equal">
      <formula>"Napkin Hs"</formula>
    </cfRule>
  </conditionalFormatting>
  <conditionalFormatting sqref="C9">
    <cfRule type="cellIs" dxfId="1829" priority="1562" stopIfTrue="1" operator="equal">
      <formula>"Napkin Hs"</formula>
    </cfRule>
  </conditionalFormatting>
  <conditionalFormatting sqref="C9">
    <cfRule type="cellIs" dxfId="1828" priority="1561" stopIfTrue="1" operator="equal">
      <formula>"Towel"</formula>
    </cfRule>
  </conditionalFormatting>
  <conditionalFormatting sqref="B40:C40">
    <cfRule type="cellIs" dxfId="1827" priority="1513" stopIfTrue="1" operator="equal">
      <formula>"Towel"</formula>
    </cfRule>
    <cfRule type="cellIs" dxfId="1826" priority="1514" stopIfTrue="1" operator="equal">
      <formula>"Napkin Hs"</formula>
    </cfRule>
  </conditionalFormatting>
  <conditionalFormatting sqref="C40">
    <cfRule type="cellIs" dxfId="1825" priority="1509" stopIfTrue="1" operator="equal">
      <formula>"Towel"</formula>
    </cfRule>
    <cfRule type="cellIs" dxfId="1824" priority="1510" stopIfTrue="1" operator="equal">
      <formula>"Napkin Hs"</formula>
    </cfRule>
  </conditionalFormatting>
  <conditionalFormatting sqref="C40">
    <cfRule type="cellIs" dxfId="1823" priority="1511" stopIfTrue="1" operator="equal">
      <formula>"Towel"</formula>
    </cfRule>
    <cfRule type="cellIs" dxfId="1822" priority="1512" stopIfTrue="1" operator="equal">
      <formula>"Napkin Hs"</formula>
    </cfRule>
  </conditionalFormatting>
  <conditionalFormatting sqref="B45:C45">
    <cfRule type="cellIs" dxfId="1821" priority="1491" stopIfTrue="1" operator="equal">
      <formula>"Towel"</formula>
    </cfRule>
    <cfRule type="cellIs" dxfId="1820" priority="1492" stopIfTrue="1" operator="equal">
      <formula>"Napkin Hs"</formula>
    </cfRule>
  </conditionalFormatting>
  <conditionalFormatting sqref="C45">
    <cfRule type="cellIs" dxfId="1819" priority="1490" stopIfTrue="1" operator="equal">
      <formula>"Napkin Hs"</formula>
    </cfRule>
  </conditionalFormatting>
  <conditionalFormatting sqref="C45">
    <cfRule type="cellIs" dxfId="1818" priority="1487" stopIfTrue="1" operator="equal">
      <formula>"Towel"</formula>
    </cfRule>
    <cfRule type="cellIs" dxfId="1817" priority="1488" stopIfTrue="1" operator="equal">
      <formula>"Napkin Hs"</formula>
    </cfRule>
  </conditionalFormatting>
  <conditionalFormatting sqref="C45">
    <cfRule type="cellIs" dxfId="1816" priority="1489" stopIfTrue="1" operator="equal">
      <formula>"Towel"</formula>
    </cfRule>
  </conditionalFormatting>
  <conditionalFormatting sqref="B52:C52">
    <cfRule type="cellIs" dxfId="1815" priority="1481" stopIfTrue="1" operator="equal">
      <formula>"Towel"</formula>
    </cfRule>
    <cfRule type="cellIs" dxfId="1814" priority="1482" stopIfTrue="1" operator="equal">
      <formula>"Napkin Hs"</formula>
    </cfRule>
  </conditionalFormatting>
  <conditionalFormatting sqref="C52">
    <cfRule type="cellIs" dxfId="1813" priority="1477" stopIfTrue="1" operator="equal">
      <formula>"Towel"</formula>
    </cfRule>
    <cfRule type="cellIs" dxfId="1812" priority="1478" stopIfTrue="1" operator="equal">
      <formula>"Napkin Hs"</formula>
    </cfRule>
  </conditionalFormatting>
  <conditionalFormatting sqref="C52">
    <cfRule type="cellIs" dxfId="1811" priority="1479" stopIfTrue="1" operator="equal">
      <formula>"Towel"</formula>
    </cfRule>
    <cfRule type="cellIs" dxfId="1810" priority="1480" stopIfTrue="1" operator="equal">
      <formula>"Napkin Hs"</formula>
    </cfRule>
  </conditionalFormatting>
  <conditionalFormatting sqref="B58:C59">
    <cfRule type="cellIs" dxfId="1809" priority="1469" stopIfTrue="1" operator="equal">
      <formula>"Towel"</formula>
    </cfRule>
    <cfRule type="cellIs" dxfId="1808" priority="1470" stopIfTrue="1" operator="equal">
      <formula>"Napkin Hs"</formula>
    </cfRule>
  </conditionalFormatting>
  <conditionalFormatting sqref="C58:C59">
    <cfRule type="cellIs" dxfId="1807" priority="1468" stopIfTrue="1" operator="equal">
      <formula>"Napkin Hs"</formula>
    </cfRule>
  </conditionalFormatting>
  <conditionalFormatting sqref="C58:C59">
    <cfRule type="cellIs" dxfId="1806" priority="1463" stopIfTrue="1" operator="equal">
      <formula>"Towel"</formula>
    </cfRule>
    <cfRule type="cellIs" dxfId="1805" priority="1464" stopIfTrue="1" operator="equal">
      <formula>"Napkin Hs"</formula>
    </cfRule>
  </conditionalFormatting>
  <conditionalFormatting sqref="C58:C59">
    <cfRule type="cellIs" dxfId="1804" priority="1467" stopIfTrue="1" operator="equal">
      <formula>"Towel"</formula>
    </cfRule>
  </conditionalFormatting>
  <conditionalFormatting sqref="B64:C64">
    <cfRule type="cellIs" dxfId="1803" priority="1453" stopIfTrue="1" operator="equal">
      <formula>"Towel"</formula>
    </cfRule>
    <cfRule type="cellIs" dxfId="1802" priority="1454" stopIfTrue="1" operator="equal">
      <formula>"Napkin Hs"</formula>
    </cfRule>
  </conditionalFormatting>
  <conditionalFormatting sqref="C64">
    <cfRule type="cellIs" dxfId="1801" priority="1452" stopIfTrue="1" operator="equal">
      <formula>"Napkin Hs"</formula>
    </cfRule>
  </conditionalFormatting>
  <conditionalFormatting sqref="C64">
    <cfRule type="cellIs" dxfId="1800" priority="1447" stopIfTrue="1" operator="equal">
      <formula>"Towel"</formula>
    </cfRule>
    <cfRule type="cellIs" dxfId="1799" priority="1448" stopIfTrue="1" operator="equal">
      <formula>"Napkin Hs"</formula>
    </cfRule>
  </conditionalFormatting>
  <conditionalFormatting sqref="C64">
    <cfRule type="cellIs" dxfId="1798" priority="1451" stopIfTrue="1" operator="equal">
      <formula>"Towel"</formula>
    </cfRule>
  </conditionalFormatting>
  <conditionalFormatting sqref="B69:C69">
    <cfRule type="cellIs" dxfId="1797" priority="1431" stopIfTrue="1" operator="equal">
      <formula>"Towel"</formula>
    </cfRule>
    <cfRule type="cellIs" dxfId="1796" priority="1432" stopIfTrue="1" operator="equal">
      <formula>"Napkin Hs"</formula>
    </cfRule>
  </conditionalFormatting>
  <conditionalFormatting sqref="C69">
    <cfRule type="cellIs" dxfId="1795" priority="1430" stopIfTrue="1" operator="equal">
      <formula>"Napkin Hs"</formula>
    </cfRule>
  </conditionalFormatting>
  <conditionalFormatting sqref="C69">
    <cfRule type="cellIs" dxfId="1794" priority="1425" stopIfTrue="1" operator="equal">
      <formula>"Towel"</formula>
    </cfRule>
    <cfRule type="cellIs" dxfId="1793" priority="1426" stopIfTrue="1" operator="equal">
      <formula>"Napkin Hs"</formula>
    </cfRule>
  </conditionalFormatting>
  <conditionalFormatting sqref="C69">
    <cfRule type="cellIs" dxfId="1792" priority="1429" stopIfTrue="1" operator="equal">
      <formula>"Towel"</formula>
    </cfRule>
  </conditionalFormatting>
  <conditionalFormatting sqref="B74:C74">
    <cfRule type="cellIs" dxfId="1791" priority="1399" stopIfTrue="1" operator="equal">
      <formula>"Towel"</formula>
    </cfRule>
    <cfRule type="cellIs" dxfId="1790" priority="1400" stopIfTrue="1" operator="equal">
      <formula>"Napkin Hs"</formula>
    </cfRule>
  </conditionalFormatting>
  <conditionalFormatting sqref="C74">
    <cfRule type="cellIs" dxfId="1789" priority="1395" stopIfTrue="1" operator="equal">
      <formula>"Towel"</formula>
    </cfRule>
    <cfRule type="cellIs" dxfId="1788" priority="1396" stopIfTrue="1" operator="equal">
      <formula>"Napkin Hs"</formula>
    </cfRule>
  </conditionalFormatting>
  <conditionalFormatting sqref="C74">
    <cfRule type="cellIs" dxfId="1787" priority="1398" stopIfTrue="1" operator="equal">
      <formula>"Napkin Hs"</formula>
    </cfRule>
  </conditionalFormatting>
  <conditionalFormatting sqref="C74">
    <cfRule type="cellIs" dxfId="1786" priority="1397" stopIfTrue="1" operator="equal">
      <formula>"Towel"</formula>
    </cfRule>
  </conditionalFormatting>
  <conditionalFormatting sqref="B79:C79">
    <cfRule type="cellIs" dxfId="1785" priority="1369" stopIfTrue="1" operator="equal">
      <formula>"Towel"</formula>
    </cfRule>
    <cfRule type="cellIs" dxfId="1784" priority="1370" stopIfTrue="1" operator="equal">
      <formula>"Napkin Hs"</formula>
    </cfRule>
  </conditionalFormatting>
  <conditionalFormatting sqref="C79">
    <cfRule type="cellIs" dxfId="1783" priority="1368" stopIfTrue="1" operator="equal">
      <formula>"Napkin Hs"</formula>
    </cfRule>
  </conditionalFormatting>
  <conditionalFormatting sqref="C79">
    <cfRule type="cellIs" dxfId="1782" priority="1365" stopIfTrue="1" operator="equal">
      <formula>"Towel"</formula>
    </cfRule>
    <cfRule type="cellIs" dxfId="1781" priority="1366" stopIfTrue="1" operator="equal">
      <formula>"Napkin Hs"</formula>
    </cfRule>
  </conditionalFormatting>
  <conditionalFormatting sqref="C79">
    <cfRule type="cellIs" dxfId="1780" priority="1367" stopIfTrue="1" operator="equal">
      <formula>"Towel"</formula>
    </cfRule>
  </conditionalFormatting>
  <conditionalFormatting sqref="B84:C84">
    <cfRule type="cellIs" dxfId="1779" priority="1333" stopIfTrue="1" operator="equal">
      <formula>"Towel"</formula>
    </cfRule>
    <cfRule type="cellIs" dxfId="1778" priority="1334" stopIfTrue="1" operator="equal">
      <formula>"Napkin Hs"</formula>
    </cfRule>
  </conditionalFormatting>
  <conditionalFormatting sqref="C84">
    <cfRule type="cellIs" dxfId="1777" priority="1329" stopIfTrue="1" operator="equal">
      <formula>"Towel"</formula>
    </cfRule>
    <cfRule type="cellIs" dxfId="1776" priority="1330" stopIfTrue="1" operator="equal">
      <formula>"Napkin Hs"</formula>
    </cfRule>
  </conditionalFormatting>
  <conditionalFormatting sqref="C84">
    <cfRule type="cellIs" dxfId="1775" priority="1332" stopIfTrue="1" operator="equal">
      <formula>"Napkin Hs"</formula>
    </cfRule>
  </conditionalFormatting>
  <conditionalFormatting sqref="C84">
    <cfRule type="cellIs" dxfId="1774" priority="1331" stopIfTrue="1" operator="equal">
      <formula>"Towel"</formula>
    </cfRule>
  </conditionalFormatting>
  <conditionalFormatting sqref="B89:C89">
    <cfRule type="cellIs" dxfId="1773" priority="1315" stopIfTrue="1" operator="equal">
      <formula>"Towel"</formula>
    </cfRule>
    <cfRule type="cellIs" dxfId="1772" priority="1316" stopIfTrue="1" operator="equal">
      <formula>"Napkin Hs"</formula>
    </cfRule>
  </conditionalFormatting>
  <conditionalFormatting sqref="C89">
    <cfRule type="cellIs" dxfId="1771" priority="1311" stopIfTrue="1" operator="equal">
      <formula>"Towel"</formula>
    </cfRule>
    <cfRule type="cellIs" dxfId="1770" priority="1312" stopIfTrue="1" operator="equal">
      <formula>"Napkin Hs"</formula>
    </cfRule>
  </conditionalFormatting>
  <conditionalFormatting sqref="C89">
    <cfRule type="cellIs" dxfId="1769" priority="1314" stopIfTrue="1" operator="equal">
      <formula>"Napkin Hs"</formula>
    </cfRule>
  </conditionalFormatting>
  <conditionalFormatting sqref="C89">
    <cfRule type="cellIs" dxfId="1768" priority="1313" stopIfTrue="1" operator="equal">
      <formula>"Towel"</formula>
    </cfRule>
  </conditionalFormatting>
  <conditionalFormatting sqref="B94:C94">
    <cfRule type="cellIs" dxfId="1767" priority="1291" stopIfTrue="1" operator="equal">
      <formula>"Towel"</formula>
    </cfRule>
    <cfRule type="cellIs" dxfId="1766" priority="1292" stopIfTrue="1" operator="equal">
      <formula>"Napkin Hs"</formula>
    </cfRule>
  </conditionalFormatting>
  <conditionalFormatting sqref="C94">
    <cfRule type="cellIs" dxfId="1765" priority="1290" stopIfTrue="1" operator="equal">
      <formula>"Napkin Hs"</formula>
    </cfRule>
  </conditionalFormatting>
  <conditionalFormatting sqref="C94">
    <cfRule type="cellIs" dxfId="1764" priority="1287" stopIfTrue="1" operator="equal">
      <formula>"Towel"</formula>
    </cfRule>
    <cfRule type="cellIs" dxfId="1763" priority="1288" stopIfTrue="1" operator="equal">
      <formula>"Napkin Hs"</formula>
    </cfRule>
  </conditionalFormatting>
  <conditionalFormatting sqref="C94">
    <cfRule type="cellIs" dxfId="1762" priority="1289" stopIfTrue="1" operator="equal">
      <formula>"Towel"</formula>
    </cfRule>
  </conditionalFormatting>
  <conditionalFormatting sqref="B99:C99">
    <cfRule type="cellIs" dxfId="1761" priority="1273" stopIfTrue="1" operator="equal">
      <formula>"Towel"</formula>
    </cfRule>
    <cfRule type="cellIs" dxfId="1760" priority="1274" stopIfTrue="1" operator="equal">
      <formula>"Napkin Hs"</formula>
    </cfRule>
  </conditionalFormatting>
  <conditionalFormatting sqref="C99">
    <cfRule type="cellIs" dxfId="1759" priority="1272" stopIfTrue="1" operator="equal">
      <formula>"Napkin Hs"</formula>
    </cfRule>
  </conditionalFormatting>
  <conditionalFormatting sqref="C99">
    <cfRule type="cellIs" dxfId="1758" priority="1269" stopIfTrue="1" operator="equal">
      <formula>"Towel"</formula>
    </cfRule>
    <cfRule type="cellIs" dxfId="1757" priority="1270" stopIfTrue="1" operator="equal">
      <formula>"Napkin Hs"</formula>
    </cfRule>
  </conditionalFormatting>
  <conditionalFormatting sqref="C99">
    <cfRule type="cellIs" dxfId="1756" priority="1271" stopIfTrue="1" operator="equal">
      <formula>"Towel"</formula>
    </cfRule>
  </conditionalFormatting>
  <conditionalFormatting sqref="B107:C107">
    <cfRule type="cellIs" dxfId="1755" priority="1267" stopIfTrue="1" operator="equal">
      <formula>"Towel"</formula>
    </cfRule>
    <cfRule type="cellIs" dxfId="1754" priority="1268" stopIfTrue="1" operator="equal">
      <formula>"Napkin Hs"</formula>
    </cfRule>
  </conditionalFormatting>
  <conditionalFormatting sqref="C107">
    <cfRule type="cellIs" dxfId="1753" priority="1266" stopIfTrue="1" operator="equal">
      <formula>"Napkin Hs"</formula>
    </cfRule>
  </conditionalFormatting>
  <conditionalFormatting sqref="C107">
    <cfRule type="cellIs" dxfId="1752" priority="1263" stopIfTrue="1" operator="equal">
      <formula>"Towel"</formula>
    </cfRule>
    <cfRule type="cellIs" dxfId="1751" priority="1264" stopIfTrue="1" operator="equal">
      <formula>"Napkin Hs"</formula>
    </cfRule>
  </conditionalFormatting>
  <conditionalFormatting sqref="C107">
    <cfRule type="cellIs" dxfId="1750" priority="1265" stopIfTrue="1" operator="equal">
      <formula>"Towel"</formula>
    </cfRule>
  </conditionalFormatting>
  <conditionalFormatting sqref="B105:C106">
    <cfRule type="cellIs" dxfId="1749" priority="1261" stopIfTrue="1" operator="equal">
      <formula>"Towel"</formula>
    </cfRule>
    <cfRule type="cellIs" dxfId="1748" priority="1262" stopIfTrue="1" operator="equal">
      <formula>"Napkin Hs"</formula>
    </cfRule>
  </conditionalFormatting>
  <conditionalFormatting sqref="C105:C106">
    <cfRule type="cellIs" dxfId="1747" priority="1260" stopIfTrue="1" operator="equal">
      <formula>"Napkin Hs"</formula>
    </cfRule>
  </conditionalFormatting>
  <conditionalFormatting sqref="C105:C106">
    <cfRule type="cellIs" dxfId="1746" priority="1257" stopIfTrue="1" operator="equal">
      <formula>"Towel"</formula>
    </cfRule>
    <cfRule type="cellIs" dxfId="1745" priority="1258" stopIfTrue="1" operator="equal">
      <formula>"Napkin Hs"</formula>
    </cfRule>
  </conditionalFormatting>
  <conditionalFormatting sqref="C105:C106">
    <cfRule type="cellIs" dxfId="1744" priority="1259" stopIfTrue="1" operator="equal">
      <formula>"Towel"</formula>
    </cfRule>
  </conditionalFormatting>
  <conditionalFormatting sqref="B104:C104">
    <cfRule type="cellIs" dxfId="1743" priority="1255" stopIfTrue="1" operator="equal">
      <formula>"Towel"</formula>
    </cfRule>
    <cfRule type="cellIs" dxfId="1742" priority="1256" stopIfTrue="1" operator="equal">
      <formula>"Napkin Hs"</formula>
    </cfRule>
  </conditionalFormatting>
  <conditionalFormatting sqref="C104">
    <cfRule type="cellIs" dxfId="1741" priority="1254" stopIfTrue="1" operator="equal">
      <formula>"Napkin Hs"</formula>
    </cfRule>
  </conditionalFormatting>
  <conditionalFormatting sqref="C104">
    <cfRule type="cellIs" dxfId="1740" priority="1251" stopIfTrue="1" operator="equal">
      <formula>"Towel"</formula>
    </cfRule>
    <cfRule type="cellIs" dxfId="1739" priority="1252" stopIfTrue="1" operator="equal">
      <formula>"Napkin Hs"</formula>
    </cfRule>
  </conditionalFormatting>
  <conditionalFormatting sqref="C104">
    <cfRule type="cellIs" dxfId="1738" priority="1253" stopIfTrue="1" operator="equal">
      <formula>"Towel"</formula>
    </cfRule>
  </conditionalFormatting>
  <conditionalFormatting sqref="B109:C109">
    <cfRule type="cellIs" dxfId="1737" priority="1237" stopIfTrue="1" operator="equal">
      <formula>"Towel"</formula>
    </cfRule>
    <cfRule type="cellIs" dxfId="1736" priority="1238" stopIfTrue="1" operator="equal">
      <formula>"Napkin Hs"</formula>
    </cfRule>
  </conditionalFormatting>
  <conditionalFormatting sqref="C109">
    <cfRule type="cellIs" dxfId="1735" priority="1236" stopIfTrue="1" operator="equal">
      <formula>"Napkin Hs"</formula>
    </cfRule>
  </conditionalFormatting>
  <conditionalFormatting sqref="C109">
    <cfRule type="cellIs" dxfId="1734" priority="1233" stopIfTrue="1" operator="equal">
      <formula>"Towel"</formula>
    </cfRule>
    <cfRule type="cellIs" dxfId="1733" priority="1234" stopIfTrue="1" operator="equal">
      <formula>"Napkin Hs"</formula>
    </cfRule>
  </conditionalFormatting>
  <conditionalFormatting sqref="C109">
    <cfRule type="cellIs" dxfId="1732" priority="1235" stopIfTrue="1" operator="equal">
      <formula>"Towel"</formula>
    </cfRule>
  </conditionalFormatting>
  <conditionalFormatting sqref="B139:C139 B144:C144">
    <cfRule type="cellIs" dxfId="1731" priority="1231" stopIfTrue="1" operator="equal">
      <formula>"Towel"</formula>
    </cfRule>
    <cfRule type="cellIs" dxfId="1730" priority="1232" stopIfTrue="1" operator="equal">
      <formula>"Napkin Hs"</formula>
    </cfRule>
  </conditionalFormatting>
  <conditionalFormatting sqref="C139 C144">
    <cfRule type="cellIs" dxfId="1729" priority="1229" stopIfTrue="1" operator="equal">
      <formula>"Towel"</formula>
    </cfRule>
    <cfRule type="cellIs" dxfId="1728" priority="1230" stopIfTrue="1" operator="equal">
      <formula>"Napkin Hs"</formula>
    </cfRule>
  </conditionalFormatting>
  <conditionalFormatting sqref="C139 C144">
    <cfRule type="cellIs" dxfId="1727" priority="1227" stopIfTrue="1" operator="equal">
      <formula>"Towel"</formula>
    </cfRule>
    <cfRule type="cellIs" dxfId="1726" priority="1228" stopIfTrue="1" operator="equal">
      <formula>"Napkin Hs"</formula>
    </cfRule>
  </conditionalFormatting>
  <conditionalFormatting sqref="B122:C122">
    <cfRule type="cellIs" dxfId="1725" priority="1207" stopIfTrue="1" operator="equal">
      <formula>"Towel"</formula>
    </cfRule>
    <cfRule type="cellIs" dxfId="1724" priority="1208" stopIfTrue="1" operator="equal">
      <formula>"Napkin Hs"</formula>
    </cfRule>
  </conditionalFormatting>
  <conditionalFormatting sqref="C122">
    <cfRule type="cellIs" dxfId="1723" priority="1206" stopIfTrue="1" operator="equal">
      <formula>"Napkin Hs"</formula>
    </cfRule>
  </conditionalFormatting>
  <conditionalFormatting sqref="C122">
    <cfRule type="cellIs" dxfId="1722" priority="1203" stopIfTrue="1" operator="equal">
      <formula>"Towel"</formula>
    </cfRule>
    <cfRule type="cellIs" dxfId="1721" priority="1204" stopIfTrue="1" operator="equal">
      <formula>"Napkin Hs"</formula>
    </cfRule>
  </conditionalFormatting>
  <conditionalFormatting sqref="C122">
    <cfRule type="cellIs" dxfId="1720" priority="1205" stopIfTrue="1" operator="equal">
      <formula>"Towel"</formula>
    </cfRule>
  </conditionalFormatting>
  <conditionalFormatting sqref="B127:C127">
    <cfRule type="cellIs" dxfId="1719" priority="1189" stopIfTrue="1" operator="equal">
      <formula>"Towel"</formula>
    </cfRule>
    <cfRule type="cellIs" dxfId="1718" priority="1190" stopIfTrue="1" operator="equal">
      <formula>"Napkin Hs"</formula>
    </cfRule>
  </conditionalFormatting>
  <conditionalFormatting sqref="C127">
    <cfRule type="cellIs" dxfId="1717" priority="1188" stopIfTrue="1" operator="equal">
      <formula>"Napkin Hs"</formula>
    </cfRule>
  </conditionalFormatting>
  <conditionalFormatting sqref="C127">
    <cfRule type="cellIs" dxfId="1716" priority="1185" stopIfTrue="1" operator="equal">
      <formula>"Towel"</formula>
    </cfRule>
    <cfRule type="cellIs" dxfId="1715" priority="1186" stopIfTrue="1" operator="equal">
      <formula>"Napkin Hs"</formula>
    </cfRule>
  </conditionalFormatting>
  <conditionalFormatting sqref="C127">
    <cfRule type="cellIs" dxfId="1714" priority="1187" stopIfTrue="1" operator="equal">
      <formula>"Towel"</formula>
    </cfRule>
  </conditionalFormatting>
  <conditionalFormatting sqref="B133:C133">
    <cfRule type="cellIs" dxfId="1713" priority="1171" stopIfTrue="1" operator="equal">
      <formula>"Towel"</formula>
    </cfRule>
    <cfRule type="cellIs" dxfId="1712" priority="1172" stopIfTrue="1" operator="equal">
      <formula>"Napkin Hs"</formula>
    </cfRule>
  </conditionalFormatting>
  <conditionalFormatting sqref="C133">
    <cfRule type="cellIs" dxfId="1711" priority="1170" stopIfTrue="1" operator="equal">
      <formula>"Napkin Hs"</formula>
    </cfRule>
  </conditionalFormatting>
  <conditionalFormatting sqref="C133">
    <cfRule type="cellIs" dxfId="1710" priority="1167" stopIfTrue="1" operator="equal">
      <formula>"Towel"</formula>
    </cfRule>
    <cfRule type="cellIs" dxfId="1709" priority="1168" stopIfTrue="1" operator="equal">
      <formula>"Napkin Hs"</formula>
    </cfRule>
  </conditionalFormatting>
  <conditionalFormatting sqref="C133">
    <cfRule type="cellIs" dxfId="1708" priority="1169" stopIfTrue="1" operator="equal">
      <formula>"Towel"</formula>
    </cfRule>
  </conditionalFormatting>
  <conditionalFormatting sqref="B149:C149">
    <cfRule type="cellIs" dxfId="1707" priority="1093" stopIfTrue="1" operator="equal">
      <formula>"Towel"</formula>
    </cfRule>
    <cfRule type="cellIs" dxfId="1706" priority="1094" stopIfTrue="1" operator="equal">
      <formula>"Napkin Hs"</formula>
    </cfRule>
  </conditionalFormatting>
  <conditionalFormatting sqref="C149">
    <cfRule type="cellIs" dxfId="1705" priority="1092" stopIfTrue="1" operator="equal">
      <formula>"Napkin Hs"</formula>
    </cfRule>
  </conditionalFormatting>
  <conditionalFormatting sqref="C149">
    <cfRule type="cellIs" dxfId="1704" priority="1089" stopIfTrue="1" operator="equal">
      <formula>"Towel"</formula>
    </cfRule>
    <cfRule type="cellIs" dxfId="1703" priority="1090" stopIfTrue="1" operator="equal">
      <formula>"Napkin Hs"</formula>
    </cfRule>
  </conditionalFormatting>
  <conditionalFormatting sqref="C149">
    <cfRule type="cellIs" dxfId="1702" priority="1091" stopIfTrue="1" operator="equal">
      <formula>"Towel"</formula>
    </cfRule>
  </conditionalFormatting>
  <conditionalFormatting sqref="B154:C154">
    <cfRule type="cellIs" dxfId="1701" priority="1069" stopIfTrue="1" operator="equal">
      <formula>"Towel"</formula>
    </cfRule>
    <cfRule type="cellIs" dxfId="1700" priority="1070" stopIfTrue="1" operator="equal">
      <formula>"Napkin Hs"</formula>
    </cfRule>
  </conditionalFormatting>
  <conditionalFormatting sqref="C154">
    <cfRule type="cellIs" dxfId="1699" priority="1068" stopIfTrue="1" operator="equal">
      <formula>"Napkin Hs"</formula>
    </cfRule>
  </conditionalFormatting>
  <conditionalFormatting sqref="C154">
    <cfRule type="cellIs" dxfId="1698" priority="1065" stopIfTrue="1" operator="equal">
      <formula>"Towel"</formula>
    </cfRule>
    <cfRule type="cellIs" dxfId="1697" priority="1066" stopIfTrue="1" operator="equal">
      <formula>"Napkin Hs"</formula>
    </cfRule>
  </conditionalFormatting>
  <conditionalFormatting sqref="C154">
    <cfRule type="cellIs" dxfId="1696" priority="1067" stopIfTrue="1" operator="equal">
      <formula>"Towel"</formula>
    </cfRule>
  </conditionalFormatting>
  <conditionalFormatting sqref="B160:C160">
    <cfRule type="cellIs" dxfId="1695" priority="1051" stopIfTrue="1" operator="equal">
      <formula>"Towel"</formula>
    </cfRule>
    <cfRule type="cellIs" dxfId="1694" priority="1052" stopIfTrue="1" operator="equal">
      <formula>"Napkin Hs"</formula>
    </cfRule>
  </conditionalFormatting>
  <conditionalFormatting sqref="C160">
    <cfRule type="cellIs" dxfId="1693" priority="1050" stopIfTrue="1" operator="equal">
      <formula>"Napkin Hs"</formula>
    </cfRule>
  </conditionalFormatting>
  <conditionalFormatting sqref="C160">
    <cfRule type="cellIs" dxfId="1692" priority="1047" stopIfTrue="1" operator="equal">
      <formula>"Towel"</formula>
    </cfRule>
    <cfRule type="cellIs" dxfId="1691" priority="1048" stopIfTrue="1" operator="equal">
      <formula>"Napkin Hs"</formula>
    </cfRule>
  </conditionalFormatting>
  <conditionalFormatting sqref="C160">
    <cfRule type="cellIs" dxfId="1690" priority="1049" stopIfTrue="1" operator="equal">
      <formula>"Towel"</formula>
    </cfRule>
  </conditionalFormatting>
  <conditionalFormatting sqref="B20:C20">
    <cfRule type="cellIs" dxfId="1689" priority="1007" stopIfTrue="1" operator="equal">
      <formula>"Towel"</formula>
    </cfRule>
    <cfRule type="cellIs" dxfId="1688" priority="1008" stopIfTrue="1" operator="equal">
      <formula>"Napkin Hs"</formula>
    </cfRule>
  </conditionalFormatting>
  <conditionalFormatting sqref="C20">
    <cfRule type="cellIs" dxfId="1687" priority="1006" stopIfTrue="1" operator="equal">
      <formula>"Napkin Hs"</formula>
    </cfRule>
  </conditionalFormatting>
  <conditionalFormatting sqref="C20">
    <cfRule type="cellIs" dxfId="1686" priority="1001" stopIfTrue="1" operator="equal">
      <formula>"Towel"</formula>
    </cfRule>
    <cfRule type="cellIs" dxfId="1685" priority="1002" stopIfTrue="1" operator="equal">
      <formula>"Napkin Hs"</formula>
    </cfRule>
  </conditionalFormatting>
  <conditionalFormatting sqref="C20">
    <cfRule type="cellIs" dxfId="1684" priority="1005" stopIfTrue="1" operator="equal">
      <formula>"Towel"</formula>
    </cfRule>
  </conditionalFormatting>
  <conditionalFormatting sqref="B20:C20">
    <cfRule type="cellIs" dxfId="1683" priority="997" stopIfTrue="1" operator="equal">
      <formula>"Towel"</formula>
    </cfRule>
    <cfRule type="cellIs" dxfId="1682" priority="998" stopIfTrue="1" operator="equal">
      <formula>"Napkin Hs"</formula>
    </cfRule>
  </conditionalFormatting>
  <conditionalFormatting sqref="C20">
    <cfRule type="cellIs" dxfId="1681" priority="996" stopIfTrue="1" operator="equal">
      <formula>"Napkin Hs"</formula>
    </cfRule>
  </conditionalFormatting>
  <conditionalFormatting sqref="C20">
    <cfRule type="cellIs" dxfId="1680" priority="991" stopIfTrue="1" operator="equal">
      <formula>"Towel"</formula>
    </cfRule>
    <cfRule type="cellIs" dxfId="1679" priority="992" stopIfTrue="1" operator="equal">
      <formula>"Napkin Hs"</formula>
    </cfRule>
  </conditionalFormatting>
  <conditionalFormatting sqref="C20">
    <cfRule type="cellIs" dxfId="1678" priority="995" stopIfTrue="1" operator="equal">
      <formula>"Towel"</formula>
    </cfRule>
  </conditionalFormatting>
  <conditionalFormatting sqref="B25:C25">
    <cfRule type="cellIs" dxfId="1677" priority="981" stopIfTrue="1" operator="equal">
      <formula>"Towel"</formula>
    </cfRule>
    <cfRule type="cellIs" dxfId="1676" priority="982" stopIfTrue="1" operator="equal">
      <formula>"Napkin Hs"</formula>
    </cfRule>
  </conditionalFormatting>
  <conditionalFormatting sqref="C25">
    <cfRule type="cellIs" dxfId="1675" priority="980" stopIfTrue="1" operator="equal">
      <formula>"Napkin Hs"</formula>
    </cfRule>
  </conditionalFormatting>
  <conditionalFormatting sqref="C25">
    <cfRule type="cellIs" dxfId="1674" priority="975" stopIfTrue="1" operator="equal">
      <formula>"Towel"</formula>
    </cfRule>
    <cfRule type="cellIs" dxfId="1673" priority="976" stopIfTrue="1" operator="equal">
      <formula>"Napkin Hs"</formula>
    </cfRule>
  </conditionalFormatting>
  <conditionalFormatting sqref="C25">
    <cfRule type="cellIs" dxfId="1672" priority="979" stopIfTrue="1" operator="equal">
      <formula>"Towel"</formula>
    </cfRule>
  </conditionalFormatting>
  <conditionalFormatting sqref="B25:C25">
    <cfRule type="cellIs" dxfId="1671" priority="971" stopIfTrue="1" operator="equal">
      <formula>"Towel"</formula>
    </cfRule>
    <cfRule type="cellIs" dxfId="1670" priority="972" stopIfTrue="1" operator="equal">
      <formula>"Napkin Hs"</formula>
    </cfRule>
  </conditionalFormatting>
  <conditionalFormatting sqref="C25">
    <cfRule type="cellIs" dxfId="1669" priority="970" stopIfTrue="1" operator="equal">
      <formula>"Napkin Hs"</formula>
    </cfRule>
  </conditionalFormatting>
  <conditionalFormatting sqref="C25">
    <cfRule type="cellIs" dxfId="1668" priority="965" stopIfTrue="1" operator="equal">
      <formula>"Towel"</formula>
    </cfRule>
    <cfRule type="cellIs" dxfId="1667" priority="966" stopIfTrue="1" operator="equal">
      <formula>"Napkin Hs"</formula>
    </cfRule>
  </conditionalFormatting>
  <conditionalFormatting sqref="C25">
    <cfRule type="cellIs" dxfId="1666" priority="969" stopIfTrue="1" operator="equal">
      <formula>"Towel"</formula>
    </cfRule>
  </conditionalFormatting>
  <conditionalFormatting sqref="B35:C35">
    <cfRule type="cellIs" dxfId="1665" priority="887" stopIfTrue="1" operator="equal">
      <formula>"Towel"</formula>
    </cfRule>
    <cfRule type="cellIs" dxfId="1664" priority="888" stopIfTrue="1" operator="equal">
      <formula>"Napkin Hs"</formula>
    </cfRule>
  </conditionalFormatting>
  <conditionalFormatting sqref="C35">
    <cfRule type="cellIs" dxfId="1663" priority="886" stopIfTrue="1" operator="equal">
      <formula>"Napkin Hs"</formula>
    </cfRule>
  </conditionalFormatting>
  <conditionalFormatting sqref="C35">
    <cfRule type="cellIs" dxfId="1662" priority="881" stopIfTrue="1" operator="equal">
      <formula>"Towel"</formula>
    </cfRule>
    <cfRule type="cellIs" dxfId="1661" priority="882" stopIfTrue="1" operator="equal">
      <formula>"Napkin Hs"</formula>
    </cfRule>
  </conditionalFormatting>
  <conditionalFormatting sqref="C35">
    <cfRule type="cellIs" dxfId="1660" priority="885" stopIfTrue="1" operator="equal">
      <formula>"Towel"</formula>
    </cfRule>
  </conditionalFormatting>
  <conditionalFormatting sqref="B35:C35">
    <cfRule type="cellIs" dxfId="1659" priority="877" stopIfTrue="1" operator="equal">
      <formula>"Towel"</formula>
    </cfRule>
    <cfRule type="cellIs" dxfId="1658" priority="878" stopIfTrue="1" operator="equal">
      <formula>"Napkin Hs"</formula>
    </cfRule>
  </conditionalFormatting>
  <conditionalFormatting sqref="C35">
    <cfRule type="cellIs" dxfId="1657" priority="876" stopIfTrue="1" operator="equal">
      <formula>"Napkin Hs"</formula>
    </cfRule>
  </conditionalFormatting>
  <conditionalFormatting sqref="C35">
    <cfRule type="cellIs" dxfId="1656" priority="871" stopIfTrue="1" operator="equal">
      <formula>"Towel"</formula>
    </cfRule>
    <cfRule type="cellIs" dxfId="1655" priority="872" stopIfTrue="1" operator="equal">
      <formula>"Napkin Hs"</formula>
    </cfRule>
  </conditionalFormatting>
  <conditionalFormatting sqref="C35">
    <cfRule type="cellIs" dxfId="1654" priority="875" stopIfTrue="1" operator="equal">
      <formula>"Towel"</formula>
    </cfRule>
  </conditionalFormatting>
  <conditionalFormatting sqref="B11:C11 B13:C13 B15:C15">
    <cfRule type="cellIs" dxfId="1653" priority="837" stopIfTrue="1" operator="equal">
      <formula>"Towel"</formula>
    </cfRule>
    <cfRule type="cellIs" dxfId="1652" priority="838" stopIfTrue="1" operator="equal">
      <formula>"Napkin Hs"</formula>
    </cfRule>
  </conditionalFormatting>
  <conditionalFormatting sqref="B12:C12">
    <cfRule type="cellIs" dxfId="1651" priority="833" stopIfTrue="1" operator="equal">
      <formula>"Towel"</formula>
    </cfRule>
    <cfRule type="cellIs" dxfId="1650" priority="834" stopIfTrue="1" operator="equal">
      <formula>"Napkin Hs"</formula>
    </cfRule>
  </conditionalFormatting>
  <conditionalFormatting sqref="C11 C13 C15">
    <cfRule type="cellIs" dxfId="1649" priority="836" stopIfTrue="1" operator="equal">
      <formula>"Napkin Hs"</formula>
    </cfRule>
  </conditionalFormatting>
  <conditionalFormatting sqref="C11:C13 C15">
    <cfRule type="cellIs" dxfId="1648" priority="831" stopIfTrue="1" operator="equal">
      <formula>"Towel"</formula>
    </cfRule>
    <cfRule type="cellIs" dxfId="1647" priority="832" stopIfTrue="1" operator="equal">
      <formula>"Napkin Hs"</formula>
    </cfRule>
  </conditionalFormatting>
  <conditionalFormatting sqref="C12">
    <cfRule type="cellIs" dxfId="1646" priority="829" stopIfTrue="1" operator="equal">
      <formula>"Towel"</formula>
    </cfRule>
    <cfRule type="cellIs" dxfId="1645" priority="830" stopIfTrue="1" operator="equal">
      <formula>"Napkin Hs"</formula>
    </cfRule>
  </conditionalFormatting>
  <conditionalFormatting sqref="C11 C13 C15">
    <cfRule type="cellIs" dxfId="1644" priority="835" stopIfTrue="1" operator="equal">
      <formula>"Towel"</formula>
    </cfRule>
  </conditionalFormatting>
  <conditionalFormatting sqref="B14:C14">
    <cfRule type="cellIs" dxfId="1643" priority="827" stopIfTrue="1" operator="equal">
      <formula>"Towel"</formula>
    </cfRule>
    <cfRule type="cellIs" dxfId="1642" priority="828" stopIfTrue="1" operator="equal">
      <formula>"Napkin Hs"</formula>
    </cfRule>
  </conditionalFormatting>
  <conditionalFormatting sqref="C14">
    <cfRule type="cellIs" dxfId="1641" priority="823" stopIfTrue="1" operator="equal">
      <formula>"Towel"</formula>
    </cfRule>
    <cfRule type="cellIs" dxfId="1640" priority="824" stopIfTrue="1" operator="equal">
      <formula>"Napkin Hs"</formula>
    </cfRule>
  </conditionalFormatting>
  <conditionalFormatting sqref="C14">
    <cfRule type="cellIs" dxfId="1639" priority="826" stopIfTrue="1" operator="equal">
      <formula>"Napkin Hs"</formula>
    </cfRule>
  </conditionalFormatting>
  <conditionalFormatting sqref="C14">
    <cfRule type="cellIs" dxfId="1638" priority="825" stopIfTrue="1" operator="equal">
      <formula>"Towel"</formula>
    </cfRule>
  </conditionalFormatting>
  <conditionalFormatting sqref="B18:C18">
    <cfRule type="cellIs" dxfId="1637" priority="821" stopIfTrue="1" operator="equal">
      <formula>"Towel"</formula>
    </cfRule>
    <cfRule type="cellIs" dxfId="1636" priority="822" stopIfTrue="1" operator="equal">
      <formula>"Napkin Hs"</formula>
    </cfRule>
  </conditionalFormatting>
  <conditionalFormatting sqref="C18">
    <cfRule type="cellIs" dxfId="1635" priority="820" stopIfTrue="1" operator="equal">
      <formula>"Napkin Hs"</formula>
    </cfRule>
  </conditionalFormatting>
  <conditionalFormatting sqref="C18">
    <cfRule type="cellIs" dxfId="1634" priority="815" stopIfTrue="1" operator="equal">
      <formula>"Towel"</formula>
    </cfRule>
    <cfRule type="cellIs" dxfId="1633" priority="816" stopIfTrue="1" operator="equal">
      <formula>"Napkin Hs"</formula>
    </cfRule>
  </conditionalFormatting>
  <conditionalFormatting sqref="C18">
    <cfRule type="cellIs" dxfId="1632" priority="819" stopIfTrue="1" operator="equal">
      <formula>"Towel"</formula>
    </cfRule>
  </conditionalFormatting>
  <conditionalFormatting sqref="B19:C19">
    <cfRule type="cellIs" dxfId="1631" priority="811" stopIfTrue="1" operator="equal">
      <formula>"Towel"</formula>
    </cfRule>
    <cfRule type="cellIs" dxfId="1630" priority="812" stopIfTrue="1" operator="equal">
      <formula>"Napkin Hs"</formula>
    </cfRule>
  </conditionalFormatting>
  <conditionalFormatting sqref="C19">
    <cfRule type="cellIs" dxfId="1629" priority="807" stopIfTrue="1" operator="equal">
      <formula>"Towel"</formula>
    </cfRule>
    <cfRule type="cellIs" dxfId="1628" priority="808" stopIfTrue="1" operator="equal">
      <formula>"Napkin Hs"</formula>
    </cfRule>
  </conditionalFormatting>
  <conditionalFormatting sqref="C19">
    <cfRule type="cellIs" dxfId="1627" priority="810" stopIfTrue="1" operator="equal">
      <formula>"Napkin Hs"</formula>
    </cfRule>
  </conditionalFormatting>
  <conditionalFormatting sqref="C19">
    <cfRule type="cellIs" dxfId="1626" priority="809" stopIfTrue="1" operator="equal">
      <formula>"Towel"</formula>
    </cfRule>
  </conditionalFormatting>
  <conditionalFormatting sqref="B21:C21 B23:C23">
    <cfRule type="cellIs" dxfId="1625" priority="805" stopIfTrue="1" operator="equal">
      <formula>"Towel"</formula>
    </cfRule>
    <cfRule type="cellIs" dxfId="1624" priority="806" stopIfTrue="1" operator="equal">
      <formula>"Napkin Hs"</formula>
    </cfRule>
  </conditionalFormatting>
  <conditionalFormatting sqref="B22:C22">
    <cfRule type="cellIs" dxfId="1623" priority="801" stopIfTrue="1" operator="equal">
      <formula>"Towel"</formula>
    </cfRule>
    <cfRule type="cellIs" dxfId="1622" priority="802" stopIfTrue="1" operator="equal">
      <formula>"Napkin Hs"</formula>
    </cfRule>
  </conditionalFormatting>
  <conditionalFormatting sqref="C21 C23">
    <cfRule type="cellIs" dxfId="1621" priority="804" stopIfTrue="1" operator="equal">
      <formula>"Napkin Hs"</formula>
    </cfRule>
  </conditionalFormatting>
  <conditionalFormatting sqref="C21:C23">
    <cfRule type="cellIs" dxfId="1620" priority="799" stopIfTrue="1" operator="equal">
      <formula>"Towel"</formula>
    </cfRule>
    <cfRule type="cellIs" dxfId="1619" priority="800" stopIfTrue="1" operator="equal">
      <formula>"Napkin Hs"</formula>
    </cfRule>
  </conditionalFormatting>
  <conditionalFormatting sqref="C22">
    <cfRule type="cellIs" dxfId="1618" priority="797" stopIfTrue="1" operator="equal">
      <formula>"Towel"</formula>
    </cfRule>
    <cfRule type="cellIs" dxfId="1617" priority="798" stopIfTrue="1" operator="equal">
      <formula>"Napkin Hs"</formula>
    </cfRule>
  </conditionalFormatting>
  <conditionalFormatting sqref="C21 C23">
    <cfRule type="cellIs" dxfId="1616" priority="803" stopIfTrue="1" operator="equal">
      <formula>"Towel"</formula>
    </cfRule>
  </conditionalFormatting>
  <conditionalFormatting sqref="B24:C24">
    <cfRule type="cellIs" dxfId="1615" priority="795" stopIfTrue="1" operator="equal">
      <formula>"Towel"</formula>
    </cfRule>
    <cfRule type="cellIs" dxfId="1614" priority="796" stopIfTrue="1" operator="equal">
      <formula>"Napkin Hs"</formula>
    </cfRule>
  </conditionalFormatting>
  <conditionalFormatting sqref="C24">
    <cfRule type="cellIs" dxfId="1613" priority="791" stopIfTrue="1" operator="equal">
      <formula>"Towel"</formula>
    </cfRule>
    <cfRule type="cellIs" dxfId="1612" priority="792" stopIfTrue="1" operator="equal">
      <formula>"Napkin Hs"</formula>
    </cfRule>
  </conditionalFormatting>
  <conditionalFormatting sqref="C24">
    <cfRule type="cellIs" dxfId="1611" priority="794" stopIfTrue="1" operator="equal">
      <formula>"Napkin Hs"</formula>
    </cfRule>
  </conditionalFormatting>
  <conditionalFormatting sqref="C24">
    <cfRule type="cellIs" dxfId="1610" priority="793" stopIfTrue="1" operator="equal">
      <formula>"Towel"</formula>
    </cfRule>
  </conditionalFormatting>
  <conditionalFormatting sqref="B16:C17">
    <cfRule type="cellIs" dxfId="1609" priority="789" stopIfTrue="1" operator="equal">
      <formula>"Towel"</formula>
    </cfRule>
    <cfRule type="cellIs" dxfId="1608" priority="790" stopIfTrue="1" operator="equal">
      <formula>"Napkin Hs"</formula>
    </cfRule>
  </conditionalFormatting>
  <conditionalFormatting sqref="C16:C17">
    <cfRule type="cellIs" dxfId="1607" priority="788" stopIfTrue="1" operator="equal">
      <formula>"Napkin Hs"</formula>
    </cfRule>
  </conditionalFormatting>
  <conditionalFormatting sqref="C16:C17">
    <cfRule type="cellIs" dxfId="1606" priority="785" stopIfTrue="1" operator="equal">
      <formula>"Towel"</formula>
    </cfRule>
    <cfRule type="cellIs" dxfId="1605" priority="786" stopIfTrue="1" operator="equal">
      <formula>"Napkin Hs"</formula>
    </cfRule>
  </conditionalFormatting>
  <conditionalFormatting sqref="C16:C17">
    <cfRule type="cellIs" dxfId="1604" priority="787" stopIfTrue="1" operator="equal">
      <formula>"Towel"</formula>
    </cfRule>
  </conditionalFormatting>
  <conditionalFormatting sqref="B30:C30">
    <cfRule type="cellIs" dxfId="1603" priority="783" stopIfTrue="1" operator="equal">
      <formula>"Towel"</formula>
    </cfRule>
    <cfRule type="cellIs" dxfId="1602" priority="784" stopIfTrue="1" operator="equal">
      <formula>"Napkin Hs"</formula>
    </cfRule>
  </conditionalFormatting>
  <conditionalFormatting sqref="C30">
    <cfRule type="cellIs" dxfId="1601" priority="782" stopIfTrue="1" operator="equal">
      <formula>"Napkin Hs"</formula>
    </cfRule>
  </conditionalFormatting>
  <conditionalFormatting sqref="C30">
    <cfRule type="cellIs" dxfId="1600" priority="779" stopIfTrue="1" operator="equal">
      <formula>"Towel"</formula>
    </cfRule>
    <cfRule type="cellIs" dxfId="1599" priority="780" stopIfTrue="1" operator="equal">
      <formula>"Napkin Hs"</formula>
    </cfRule>
  </conditionalFormatting>
  <conditionalFormatting sqref="C30">
    <cfRule type="cellIs" dxfId="1598" priority="781" stopIfTrue="1" operator="equal">
      <formula>"Towel"</formula>
    </cfRule>
  </conditionalFormatting>
  <conditionalFormatting sqref="B30:C30">
    <cfRule type="cellIs" dxfId="1597" priority="777" stopIfTrue="1" operator="equal">
      <formula>"Towel"</formula>
    </cfRule>
    <cfRule type="cellIs" dxfId="1596" priority="778" stopIfTrue="1" operator="equal">
      <formula>"Napkin Hs"</formula>
    </cfRule>
  </conditionalFormatting>
  <conditionalFormatting sqref="C30">
    <cfRule type="cellIs" dxfId="1595" priority="776" stopIfTrue="1" operator="equal">
      <formula>"Napkin Hs"</formula>
    </cfRule>
  </conditionalFormatting>
  <conditionalFormatting sqref="C30">
    <cfRule type="cellIs" dxfId="1594" priority="773" stopIfTrue="1" operator="equal">
      <formula>"Towel"</formula>
    </cfRule>
    <cfRule type="cellIs" dxfId="1593" priority="774" stopIfTrue="1" operator="equal">
      <formula>"Napkin Hs"</formula>
    </cfRule>
  </conditionalFormatting>
  <conditionalFormatting sqref="C30">
    <cfRule type="cellIs" dxfId="1592" priority="775" stopIfTrue="1" operator="equal">
      <formula>"Towel"</formula>
    </cfRule>
  </conditionalFormatting>
  <conditionalFormatting sqref="B26:C28">
    <cfRule type="cellIs" dxfId="1591" priority="771" stopIfTrue="1" operator="equal">
      <formula>"Towel"</formula>
    </cfRule>
    <cfRule type="cellIs" dxfId="1590" priority="772" stopIfTrue="1" operator="equal">
      <formula>"Napkin Hs"</formula>
    </cfRule>
  </conditionalFormatting>
  <conditionalFormatting sqref="C26:C28">
    <cfRule type="cellIs" dxfId="1589" priority="770" stopIfTrue="1" operator="equal">
      <formula>"Napkin Hs"</formula>
    </cfRule>
  </conditionalFormatting>
  <conditionalFormatting sqref="C26:C28">
    <cfRule type="cellIs" dxfId="1588" priority="765" stopIfTrue="1" operator="equal">
      <formula>"Towel"</formula>
    </cfRule>
    <cfRule type="cellIs" dxfId="1587" priority="766" stopIfTrue="1" operator="equal">
      <formula>"Napkin Hs"</formula>
    </cfRule>
  </conditionalFormatting>
  <conditionalFormatting sqref="C26:C28">
    <cfRule type="cellIs" dxfId="1586" priority="769" stopIfTrue="1" operator="equal">
      <formula>"Towel"</formula>
    </cfRule>
  </conditionalFormatting>
  <conditionalFormatting sqref="B29:C29">
    <cfRule type="cellIs" dxfId="1585" priority="761" stopIfTrue="1" operator="equal">
      <formula>"Towel"</formula>
    </cfRule>
    <cfRule type="cellIs" dxfId="1584" priority="762" stopIfTrue="1" operator="equal">
      <formula>"Napkin Hs"</formula>
    </cfRule>
  </conditionalFormatting>
  <conditionalFormatting sqref="C29">
    <cfRule type="cellIs" dxfId="1583" priority="757" stopIfTrue="1" operator="equal">
      <formula>"Towel"</formula>
    </cfRule>
    <cfRule type="cellIs" dxfId="1582" priority="758" stopIfTrue="1" operator="equal">
      <formula>"Napkin Hs"</formula>
    </cfRule>
  </conditionalFormatting>
  <conditionalFormatting sqref="C29">
    <cfRule type="cellIs" dxfId="1581" priority="760" stopIfTrue="1" operator="equal">
      <formula>"Napkin Hs"</formula>
    </cfRule>
  </conditionalFormatting>
  <conditionalFormatting sqref="C29">
    <cfRule type="cellIs" dxfId="1580" priority="759" stopIfTrue="1" operator="equal">
      <formula>"Towel"</formula>
    </cfRule>
  </conditionalFormatting>
  <conditionalFormatting sqref="B33:C33">
    <cfRule type="cellIs" dxfId="1579" priority="755" stopIfTrue="1" operator="equal">
      <formula>"Towel"</formula>
    </cfRule>
    <cfRule type="cellIs" dxfId="1578" priority="756" stopIfTrue="1" operator="equal">
      <formula>"Napkin Hs"</formula>
    </cfRule>
  </conditionalFormatting>
  <conditionalFormatting sqref="C33">
    <cfRule type="cellIs" dxfId="1577" priority="754" stopIfTrue="1" operator="equal">
      <formula>"Napkin Hs"</formula>
    </cfRule>
  </conditionalFormatting>
  <conditionalFormatting sqref="C33">
    <cfRule type="cellIs" dxfId="1576" priority="749" stopIfTrue="1" operator="equal">
      <formula>"Towel"</formula>
    </cfRule>
    <cfRule type="cellIs" dxfId="1575" priority="750" stopIfTrue="1" operator="equal">
      <formula>"Napkin Hs"</formula>
    </cfRule>
  </conditionalFormatting>
  <conditionalFormatting sqref="C33">
    <cfRule type="cellIs" dxfId="1574" priority="753" stopIfTrue="1" operator="equal">
      <formula>"Towel"</formula>
    </cfRule>
  </conditionalFormatting>
  <conditionalFormatting sqref="B34:C34">
    <cfRule type="cellIs" dxfId="1573" priority="745" stopIfTrue="1" operator="equal">
      <formula>"Towel"</formula>
    </cfRule>
    <cfRule type="cellIs" dxfId="1572" priority="746" stopIfTrue="1" operator="equal">
      <formula>"Napkin Hs"</formula>
    </cfRule>
  </conditionalFormatting>
  <conditionalFormatting sqref="C34">
    <cfRule type="cellIs" dxfId="1571" priority="741" stopIfTrue="1" operator="equal">
      <formula>"Towel"</formula>
    </cfRule>
    <cfRule type="cellIs" dxfId="1570" priority="742" stopIfTrue="1" operator="equal">
      <formula>"Napkin Hs"</formula>
    </cfRule>
  </conditionalFormatting>
  <conditionalFormatting sqref="C34">
    <cfRule type="cellIs" dxfId="1569" priority="744" stopIfTrue="1" operator="equal">
      <formula>"Napkin Hs"</formula>
    </cfRule>
  </conditionalFormatting>
  <conditionalFormatting sqref="C34">
    <cfRule type="cellIs" dxfId="1568" priority="743" stopIfTrue="1" operator="equal">
      <formula>"Towel"</formula>
    </cfRule>
  </conditionalFormatting>
  <conditionalFormatting sqref="B31:C32">
    <cfRule type="cellIs" dxfId="1567" priority="739" stopIfTrue="1" operator="equal">
      <formula>"Towel"</formula>
    </cfRule>
    <cfRule type="cellIs" dxfId="1566" priority="740" stopIfTrue="1" operator="equal">
      <formula>"Napkin Hs"</formula>
    </cfRule>
  </conditionalFormatting>
  <conditionalFormatting sqref="C31:C32">
    <cfRule type="cellIs" dxfId="1565" priority="738" stopIfTrue="1" operator="equal">
      <formula>"Napkin Hs"</formula>
    </cfRule>
  </conditionalFormatting>
  <conditionalFormatting sqref="C31:C32">
    <cfRule type="cellIs" dxfId="1564" priority="735" stopIfTrue="1" operator="equal">
      <formula>"Towel"</formula>
    </cfRule>
    <cfRule type="cellIs" dxfId="1563" priority="736" stopIfTrue="1" operator="equal">
      <formula>"Napkin Hs"</formula>
    </cfRule>
  </conditionalFormatting>
  <conditionalFormatting sqref="C31:C32">
    <cfRule type="cellIs" dxfId="1562" priority="737" stopIfTrue="1" operator="equal">
      <formula>"Towel"</formula>
    </cfRule>
  </conditionalFormatting>
  <conditionalFormatting sqref="B38:C38">
    <cfRule type="cellIs" dxfId="1561" priority="733" stopIfTrue="1" operator="equal">
      <formula>"Towel"</formula>
    </cfRule>
    <cfRule type="cellIs" dxfId="1560" priority="734" stopIfTrue="1" operator="equal">
      <formula>"Napkin Hs"</formula>
    </cfRule>
  </conditionalFormatting>
  <conditionalFormatting sqref="B37:C37">
    <cfRule type="cellIs" dxfId="1559" priority="729" stopIfTrue="1" operator="equal">
      <formula>"Towel"</formula>
    </cfRule>
    <cfRule type="cellIs" dxfId="1558" priority="730" stopIfTrue="1" operator="equal">
      <formula>"Napkin Hs"</formula>
    </cfRule>
  </conditionalFormatting>
  <conditionalFormatting sqref="C38">
    <cfRule type="cellIs" dxfId="1557" priority="732" stopIfTrue="1" operator="equal">
      <formula>"Napkin Hs"</formula>
    </cfRule>
  </conditionalFormatting>
  <conditionalFormatting sqref="C37:C38">
    <cfRule type="cellIs" dxfId="1556" priority="727" stopIfTrue="1" operator="equal">
      <formula>"Towel"</formula>
    </cfRule>
    <cfRule type="cellIs" dxfId="1555" priority="728" stopIfTrue="1" operator="equal">
      <formula>"Napkin Hs"</formula>
    </cfRule>
  </conditionalFormatting>
  <conditionalFormatting sqref="C37">
    <cfRule type="cellIs" dxfId="1554" priority="725" stopIfTrue="1" operator="equal">
      <formula>"Towel"</formula>
    </cfRule>
    <cfRule type="cellIs" dxfId="1553" priority="726" stopIfTrue="1" operator="equal">
      <formula>"Napkin Hs"</formula>
    </cfRule>
  </conditionalFormatting>
  <conditionalFormatting sqref="C38">
    <cfRule type="cellIs" dxfId="1552" priority="731" stopIfTrue="1" operator="equal">
      <formula>"Towel"</formula>
    </cfRule>
  </conditionalFormatting>
  <conditionalFormatting sqref="B39:C39">
    <cfRule type="cellIs" dxfId="1551" priority="723" stopIfTrue="1" operator="equal">
      <formula>"Towel"</formula>
    </cfRule>
    <cfRule type="cellIs" dxfId="1550" priority="724" stopIfTrue="1" operator="equal">
      <formula>"Napkin Hs"</formula>
    </cfRule>
  </conditionalFormatting>
  <conditionalFormatting sqref="C39">
    <cfRule type="cellIs" dxfId="1549" priority="719" stopIfTrue="1" operator="equal">
      <formula>"Towel"</formula>
    </cfRule>
    <cfRule type="cellIs" dxfId="1548" priority="720" stopIfTrue="1" operator="equal">
      <formula>"Napkin Hs"</formula>
    </cfRule>
  </conditionalFormatting>
  <conditionalFormatting sqref="C39">
    <cfRule type="cellIs" dxfId="1547" priority="722" stopIfTrue="1" operator="equal">
      <formula>"Napkin Hs"</formula>
    </cfRule>
  </conditionalFormatting>
  <conditionalFormatting sqref="C39">
    <cfRule type="cellIs" dxfId="1546" priority="721" stopIfTrue="1" operator="equal">
      <formula>"Towel"</formula>
    </cfRule>
  </conditionalFormatting>
  <conditionalFormatting sqref="B36:C36">
    <cfRule type="cellIs" dxfId="1545" priority="717" stopIfTrue="1" operator="equal">
      <formula>"Towel"</formula>
    </cfRule>
    <cfRule type="cellIs" dxfId="1544" priority="718" stopIfTrue="1" operator="equal">
      <formula>"Napkin Hs"</formula>
    </cfRule>
  </conditionalFormatting>
  <conditionalFormatting sqref="C36">
    <cfRule type="cellIs" dxfId="1543" priority="716" stopIfTrue="1" operator="equal">
      <formula>"Napkin Hs"</formula>
    </cfRule>
  </conditionalFormatting>
  <conditionalFormatting sqref="C36">
    <cfRule type="cellIs" dxfId="1542" priority="713" stopIfTrue="1" operator="equal">
      <formula>"Towel"</formula>
    </cfRule>
    <cfRule type="cellIs" dxfId="1541" priority="714" stopIfTrue="1" operator="equal">
      <formula>"Napkin Hs"</formula>
    </cfRule>
  </conditionalFormatting>
  <conditionalFormatting sqref="C36">
    <cfRule type="cellIs" dxfId="1540" priority="715" stopIfTrue="1" operator="equal">
      <formula>"Towel"</formula>
    </cfRule>
  </conditionalFormatting>
  <conditionalFormatting sqref="B43:C43">
    <cfRule type="cellIs" dxfId="1539" priority="711" stopIfTrue="1" operator="equal">
      <formula>"Towel"</formula>
    </cfRule>
    <cfRule type="cellIs" dxfId="1538" priority="712" stopIfTrue="1" operator="equal">
      <formula>"Napkin Hs"</formula>
    </cfRule>
  </conditionalFormatting>
  <conditionalFormatting sqref="B42:C42">
    <cfRule type="cellIs" dxfId="1537" priority="707" stopIfTrue="1" operator="equal">
      <formula>"Towel"</formula>
    </cfRule>
    <cfRule type="cellIs" dxfId="1536" priority="708" stopIfTrue="1" operator="equal">
      <formula>"Napkin Hs"</formula>
    </cfRule>
  </conditionalFormatting>
  <conditionalFormatting sqref="C43">
    <cfRule type="cellIs" dxfId="1535" priority="710" stopIfTrue="1" operator="equal">
      <formula>"Napkin Hs"</formula>
    </cfRule>
  </conditionalFormatting>
  <conditionalFormatting sqref="C42:C43">
    <cfRule type="cellIs" dxfId="1534" priority="705" stopIfTrue="1" operator="equal">
      <formula>"Towel"</formula>
    </cfRule>
    <cfRule type="cellIs" dxfId="1533" priority="706" stopIfTrue="1" operator="equal">
      <formula>"Napkin Hs"</formula>
    </cfRule>
  </conditionalFormatting>
  <conditionalFormatting sqref="C42">
    <cfRule type="cellIs" dxfId="1532" priority="703" stopIfTrue="1" operator="equal">
      <formula>"Towel"</formula>
    </cfRule>
    <cfRule type="cellIs" dxfId="1531" priority="704" stopIfTrue="1" operator="equal">
      <formula>"Napkin Hs"</formula>
    </cfRule>
  </conditionalFormatting>
  <conditionalFormatting sqref="C43">
    <cfRule type="cellIs" dxfId="1530" priority="709" stopIfTrue="1" operator="equal">
      <formula>"Towel"</formula>
    </cfRule>
  </conditionalFormatting>
  <conditionalFormatting sqref="B44:C44">
    <cfRule type="cellIs" dxfId="1529" priority="701" stopIfTrue="1" operator="equal">
      <formula>"Towel"</formula>
    </cfRule>
    <cfRule type="cellIs" dxfId="1528" priority="702" stopIfTrue="1" operator="equal">
      <formula>"Napkin Hs"</formula>
    </cfRule>
  </conditionalFormatting>
  <conditionalFormatting sqref="C44">
    <cfRule type="cellIs" dxfId="1527" priority="697" stopIfTrue="1" operator="equal">
      <formula>"Towel"</formula>
    </cfRule>
    <cfRule type="cellIs" dxfId="1526" priority="698" stopIfTrue="1" operator="equal">
      <formula>"Napkin Hs"</formula>
    </cfRule>
  </conditionalFormatting>
  <conditionalFormatting sqref="C44">
    <cfRule type="cellIs" dxfId="1525" priority="700" stopIfTrue="1" operator="equal">
      <formula>"Napkin Hs"</formula>
    </cfRule>
  </conditionalFormatting>
  <conditionalFormatting sqref="C44">
    <cfRule type="cellIs" dxfId="1524" priority="699" stopIfTrue="1" operator="equal">
      <formula>"Towel"</formula>
    </cfRule>
  </conditionalFormatting>
  <conditionalFormatting sqref="B41:C41">
    <cfRule type="cellIs" dxfId="1523" priority="695" stopIfTrue="1" operator="equal">
      <formula>"Towel"</formula>
    </cfRule>
    <cfRule type="cellIs" dxfId="1522" priority="696" stopIfTrue="1" operator="equal">
      <formula>"Napkin Hs"</formula>
    </cfRule>
  </conditionalFormatting>
  <conditionalFormatting sqref="C41">
    <cfRule type="cellIs" dxfId="1521" priority="694" stopIfTrue="1" operator="equal">
      <formula>"Napkin Hs"</formula>
    </cfRule>
  </conditionalFormatting>
  <conditionalFormatting sqref="C41">
    <cfRule type="cellIs" dxfId="1520" priority="691" stopIfTrue="1" operator="equal">
      <formula>"Towel"</formula>
    </cfRule>
    <cfRule type="cellIs" dxfId="1519" priority="692" stopIfTrue="1" operator="equal">
      <formula>"Napkin Hs"</formula>
    </cfRule>
  </conditionalFormatting>
  <conditionalFormatting sqref="C41">
    <cfRule type="cellIs" dxfId="1518" priority="693" stopIfTrue="1" operator="equal">
      <formula>"Towel"</formula>
    </cfRule>
  </conditionalFormatting>
  <conditionalFormatting sqref="B48:C48">
    <cfRule type="cellIs" dxfId="1517" priority="683" stopIfTrue="1" operator="equal">
      <formula>"Towel"</formula>
    </cfRule>
    <cfRule type="cellIs" dxfId="1516" priority="684" stopIfTrue="1" operator="equal">
      <formula>"Napkin Hs"</formula>
    </cfRule>
  </conditionalFormatting>
  <conditionalFormatting sqref="C48">
    <cfRule type="cellIs" dxfId="1515" priority="682" stopIfTrue="1" operator="equal">
      <formula>"Napkin Hs"</formula>
    </cfRule>
  </conditionalFormatting>
  <conditionalFormatting sqref="C48">
    <cfRule type="cellIs" dxfId="1514" priority="677" stopIfTrue="1" operator="equal">
      <formula>"Towel"</formula>
    </cfRule>
    <cfRule type="cellIs" dxfId="1513" priority="678" stopIfTrue="1" operator="equal">
      <formula>"Napkin Hs"</formula>
    </cfRule>
  </conditionalFormatting>
  <conditionalFormatting sqref="C48">
    <cfRule type="cellIs" dxfId="1512" priority="681" stopIfTrue="1" operator="equal">
      <formula>"Towel"</formula>
    </cfRule>
  </conditionalFormatting>
  <conditionalFormatting sqref="B49:C50">
    <cfRule type="cellIs" dxfId="1511" priority="673" stopIfTrue="1" operator="equal">
      <formula>"Towel"</formula>
    </cfRule>
    <cfRule type="cellIs" dxfId="1510" priority="674" stopIfTrue="1" operator="equal">
      <formula>"Napkin Hs"</formula>
    </cfRule>
  </conditionalFormatting>
  <conditionalFormatting sqref="C49:C50">
    <cfRule type="cellIs" dxfId="1509" priority="669" stopIfTrue="1" operator="equal">
      <formula>"Towel"</formula>
    </cfRule>
    <cfRule type="cellIs" dxfId="1508" priority="670" stopIfTrue="1" operator="equal">
      <formula>"Napkin Hs"</formula>
    </cfRule>
  </conditionalFormatting>
  <conditionalFormatting sqref="C49:C50">
    <cfRule type="cellIs" dxfId="1507" priority="672" stopIfTrue="1" operator="equal">
      <formula>"Napkin Hs"</formula>
    </cfRule>
  </conditionalFormatting>
  <conditionalFormatting sqref="C49:C50">
    <cfRule type="cellIs" dxfId="1506" priority="671" stopIfTrue="1" operator="equal">
      <formula>"Towel"</formula>
    </cfRule>
  </conditionalFormatting>
  <conditionalFormatting sqref="B46:C47">
    <cfRule type="cellIs" dxfId="1505" priority="667" stopIfTrue="1" operator="equal">
      <formula>"Towel"</formula>
    </cfRule>
    <cfRule type="cellIs" dxfId="1504" priority="668" stopIfTrue="1" operator="equal">
      <formula>"Napkin Hs"</formula>
    </cfRule>
  </conditionalFormatting>
  <conditionalFormatting sqref="C46:C47">
    <cfRule type="cellIs" dxfId="1503" priority="666" stopIfTrue="1" operator="equal">
      <formula>"Napkin Hs"</formula>
    </cfRule>
  </conditionalFormatting>
  <conditionalFormatting sqref="C46:C47">
    <cfRule type="cellIs" dxfId="1502" priority="663" stopIfTrue="1" operator="equal">
      <formula>"Towel"</formula>
    </cfRule>
    <cfRule type="cellIs" dxfId="1501" priority="664" stopIfTrue="1" operator="equal">
      <formula>"Napkin Hs"</formula>
    </cfRule>
  </conditionalFormatting>
  <conditionalFormatting sqref="C46:C47">
    <cfRule type="cellIs" dxfId="1500" priority="665" stopIfTrue="1" operator="equal">
      <formula>"Towel"</formula>
    </cfRule>
  </conditionalFormatting>
  <conditionalFormatting sqref="B55:C55">
    <cfRule type="cellIs" dxfId="1499" priority="661" stopIfTrue="1" operator="equal">
      <formula>"Towel"</formula>
    </cfRule>
    <cfRule type="cellIs" dxfId="1498" priority="662" stopIfTrue="1" operator="equal">
      <formula>"Napkin Hs"</formula>
    </cfRule>
  </conditionalFormatting>
  <conditionalFormatting sqref="C55">
    <cfRule type="cellIs" dxfId="1497" priority="660" stopIfTrue="1" operator="equal">
      <formula>"Napkin Hs"</formula>
    </cfRule>
  </conditionalFormatting>
  <conditionalFormatting sqref="C55">
    <cfRule type="cellIs" dxfId="1496" priority="657" stopIfTrue="1" operator="equal">
      <formula>"Towel"</formula>
    </cfRule>
    <cfRule type="cellIs" dxfId="1495" priority="658" stopIfTrue="1" operator="equal">
      <formula>"Napkin Hs"</formula>
    </cfRule>
  </conditionalFormatting>
  <conditionalFormatting sqref="C55">
    <cfRule type="cellIs" dxfId="1494" priority="659" stopIfTrue="1" operator="equal">
      <formula>"Towel"</formula>
    </cfRule>
  </conditionalFormatting>
  <conditionalFormatting sqref="B56:C57">
    <cfRule type="cellIs" dxfId="1493" priority="655" stopIfTrue="1" operator="equal">
      <formula>"Towel"</formula>
    </cfRule>
    <cfRule type="cellIs" dxfId="1492" priority="656" stopIfTrue="1" operator="equal">
      <formula>"Napkin Hs"</formula>
    </cfRule>
  </conditionalFormatting>
  <conditionalFormatting sqref="C56:C57">
    <cfRule type="cellIs" dxfId="1491" priority="651" stopIfTrue="1" operator="equal">
      <formula>"Towel"</formula>
    </cfRule>
    <cfRule type="cellIs" dxfId="1490" priority="652" stopIfTrue="1" operator="equal">
      <formula>"Napkin Hs"</formula>
    </cfRule>
  </conditionalFormatting>
  <conditionalFormatting sqref="C56:C57">
    <cfRule type="cellIs" dxfId="1489" priority="654" stopIfTrue="1" operator="equal">
      <formula>"Napkin Hs"</formula>
    </cfRule>
  </conditionalFormatting>
  <conditionalFormatting sqref="C56:C57">
    <cfRule type="cellIs" dxfId="1488" priority="653" stopIfTrue="1" operator="equal">
      <formula>"Towel"</formula>
    </cfRule>
  </conditionalFormatting>
  <conditionalFormatting sqref="B53:C54">
    <cfRule type="cellIs" dxfId="1487" priority="649" stopIfTrue="1" operator="equal">
      <formula>"Towel"</formula>
    </cfRule>
    <cfRule type="cellIs" dxfId="1486" priority="650" stopIfTrue="1" operator="equal">
      <formula>"Napkin Hs"</formula>
    </cfRule>
  </conditionalFormatting>
  <conditionalFormatting sqref="C53:C54">
    <cfRule type="cellIs" dxfId="1485" priority="648" stopIfTrue="1" operator="equal">
      <formula>"Napkin Hs"</formula>
    </cfRule>
  </conditionalFormatting>
  <conditionalFormatting sqref="C53:C54">
    <cfRule type="cellIs" dxfId="1484" priority="645" stopIfTrue="1" operator="equal">
      <formula>"Towel"</formula>
    </cfRule>
    <cfRule type="cellIs" dxfId="1483" priority="646" stopIfTrue="1" operator="equal">
      <formula>"Napkin Hs"</formula>
    </cfRule>
  </conditionalFormatting>
  <conditionalFormatting sqref="C53:C54">
    <cfRule type="cellIs" dxfId="1482" priority="647" stopIfTrue="1" operator="equal">
      <formula>"Towel"</formula>
    </cfRule>
  </conditionalFormatting>
  <conditionalFormatting sqref="B62:C62">
    <cfRule type="cellIs" dxfId="1481" priority="643" stopIfTrue="1" operator="equal">
      <formula>"Towel"</formula>
    </cfRule>
    <cfRule type="cellIs" dxfId="1480" priority="644" stopIfTrue="1" operator="equal">
      <formula>"Napkin Hs"</formula>
    </cfRule>
  </conditionalFormatting>
  <conditionalFormatting sqref="B61:C61">
    <cfRule type="cellIs" dxfId="1479" priority="639" stopIfTrue="1" operator="equal">
      <formula>"Towel"</formula>
    </cfRule>
    <cfRule type="cellIs" dxfId="1478" priority="640" stopIfTrue="1" operator="equal">
      <formula>"Napkin Hs"</formula>
    </cfRule>
  </conditionalFormatting>
  <conditionalFormatting sqref="C62">
    <cfRule type="cellIs" dxfId="1477" priority="642" stopIfTrue="1" operator="equal">
      <formula>"Napkin Hs"</formula>
    </cfRule>
  </conditionalFormatting>
  <conditionalFormatting sqref="C61:C62">
    <cfRule type="cellIs" dxfId="1476" priority="637" stopIfTrue="1" operator="equal">
      <formula>"Towel"</formula>
    </cfRule>
    <cfRule type="cellIs" dxfId="1475" priority="638" stopIfTrue="1" operator="equal">
      <formula>"Napkin Hs"</formula>
    </cfRule>
  </conditionalFormatting>
  <conditionalFormatting sqref="C61">
    <cfRule type="cellIs" dxfId="1474" priority="635" stopIfTrue="1" operator="equal">
      <formula>"Towel"</formula>
    </cfRule>
    <cfRule type="cellIs" dxfId="1473" priority="636" stopIfTrue="1" operator="equal">
      <formula>"Napkin Hs"</formula>
    </cfRule>
  </conditionalFormatting>
  <conditionalFormatting sqref="C62">
    <cfRule type="cellIs" dxfId="1472" priority="641" stopIfTrue="1" operator="equal">
      <formula>"Towel"</formula>
    </cfRule>
  </conditionalFormatting>
  <conditionalFormatting sqref="B63:C63">
    <cfRule type="cellIs" dxfId="1471" priority="633" stopIfTrue="1" operator="equal">
      <formula>"Towel"</formula>
    </cfRule>
    <cfRule type="cellIs" dxfId="1470" priority="634" stopIfTrue="1" operator="equal">
      <formula>"Napkin Hs"</formula>
    </cfRule>
  </conditionalFormatting>
  <conditionalFormatting sqref="C63">
    <cfRule type="cellIs" dxfId="1469" priority="629" stopIfTrue="1" operator="equal">
      <formula>"Towel"</formula>
    </cfRule>
    <cfRule type="cellIs" dxfId="1468" priority="630" stopIfTrue="1" operator="equal">
      <formula>"Napkin Hs"</formula>
    </cfRule>
  </conditionalFormatting>
  <conditionalFormatting sqref="C63">
    <cfRule type="cellIs" dxfId="1467" priority="632" stopIfTrue="1" operator="equal">
      <formula>"Napkin Hs"</formula>
    </cfRule>
  </conditionalFormatting>
  <conditionalFormatting sqref="C63">
    <cfRule type="cellIs" dxfId="1466" priority="631" stopIfTrue="1" operator="equal">
      <formula>"Towel"</formula>
    </cfRule>
  </conditionalFormatting>
  <conditionalFormatting sqref="B60:C60">
    <cfRule type="cellIs" dxfId="1465" priority="621" stopIfTrue="1" operator="equal">
      <formula>"Towel"</formula>
    </cfRule>
    <cfRule type="cellIs" dxfId="1464" priority="622" stopIfTrue="1" operator="equal">
      <formula>"Napkin Hs"</formula>
    </cfRule>
  </conditionalFormatting>
  <conditionalFormatting sqref="C60">
    <cfRule type="cellIs" dxfId="1463" priority="620" stopIfTrue="1" operator="equal">
      <formula>"Napkin Hs"</formula>
    </cfRule>
  </conditionalFormatting>
  <conditionalFormatting sqref="C60">
    <cfRule type="cellIs" dxfId="1462" priority="617" stopIfTrue="1" operator="equal">
      <formula>"Towel"</formula>
    </cfRule>
    <cfRule type="cellIs" dxfId="1461" priority="618" stopIfTrue="1" operator="equal">
      <formula>"Napkin Hs"</formula>
    </cfRule>
  </conditionalFormatting>
  <conditionalFormatting sqref="C60">
    <cfRule type="cellIs" dxfId="1460" priority="619" stopIfTrue="1" operator="equal">
      <formula>"Towel"</formula>
    </cfRule>
  </conditionalFormatting>
  <conditionalFormatting sqref="B51:C51">
    <cfRule type="cellIs" dxfId="1459" priority="615" stopIfTrue="1" operator="equal">
      <formula>"Towel"</formula>
    </cfRule>
    <cfRule type="cellIs" dxfId="1458" priority="616" stopIfTrue="1" operator="equal">
      <formula>"Napkin Hs"</formula>
    </cfRule>
  </conditionalFormatting>
  <conditionalFormatting sqref="C51">
    <cfRule type="cellIs" dxfId="1457" priority="614" stopIfTrue="1" operator="equal">
      <formula>"Napkin Hs"</formula>
    </cfRule>
  </conditionalFormatting>
  <conditionalFormatting sqref="C51">
    <cfRule type="cellIs" dxfId="1456" priority="611" stopIfTrue="1" operator="equal">
      <formula>"Towel"</formula>
    </cfRule>
    <cfRule type="cellIs" dxfId="1455" priority="612" stopIfTrue="1" operator="equal">
      <formula>"Napkin Hs"</formula>
    </cfRule>
  </conditionalFormatting>
  <conditionalFormatting sqref="C51">
    <cfRule type="cellIs" dxfId="1454" priority="613" stopIfTrue="1" operator="equal">
      <formula>"Towel"</formula>
    </cfRule>
  </conditionalFormatting>
  <conditionalFormatting sqref="B67:C67">
    <cfRule type="cellIs" dxfId="1453" priority="609" stopIfTrue="1" operator="equal">
      <formula>"Towel"</formula>
    </cfRule>
    <cfRule type="cellIs" dxfId="1452" priority="610" stopIfTrue="1" operator="equal">
      <formula>"Napkin Hs"</formula>
    </cfRule>
  </conditionalFormatting>
  <conditionalFormatting sqref="C67">
    <cfRule type="cellIs" dxfId="1451" priority="608" stopIfTrue="1" operator="equal">
      <formula>"Napkin Hs"</formula>
    </cfRule>
  </conditionalFormatting>
  <conditionalFormatting sqref="C67">
    <cfRule type="cellIs" dxfId="1450" priority="603" stopIfTrue="1" operator="equal">
      <formula>"Towel"</formula>
    </cfRule>
    <cfRule type="cellIs" dxfId="1449" priority="604" stopIfTrue="1" operator="equal">
      <formula>"Napkin Hs"</formula>
    </cfRule>
  </conditionalFormatting>
  <conditionalFormatting sqref="C67">
    <cfRule type="cellIs" dxfId="1448" priority="607" stopIfTrue="1" operator="equal">
      <formula>"Towel"</formula>
    </cfRule>
  </conditionalFormatting>
  <conditionalFormatting sqref="B68:C68">
    <cfRule type="cellIs" dxfId="1447" priority="599" stopIfTrue="1" operator="equal">
      <formula>"Towel"</formula>
    </cfRule>
    <cfRule type="cellIs" dxfId="1446" priority="600" stopIfTrue="1" operator="equal">
      <formula>"Napkin Hs"</formula>
    </cfRule>
  </conditionalFormatting>
  <conditionalFormatting sqref="C68">
    <cfRule type="cellIs" dxfId="1445" priority="595" stopIfTrue="1" operator="equal">
      <formula>"Towel"</formula>
    </cfRule>
    <cfRule type="cellIs" dxfId="1444" priority="596" stopIfTrue="1" operator="equal">
      <formula>"Napkin Hs"</formula>
    </cfRule>
  </conditionalFormatting>
  <conditionalFormatting sqref="C68">
    <cfRule type="cellIs" dxfId="1443" priority="598" stopIfTrue="1" operator="equal">
      <formula>"Napkin Hs"</formula>
    </cfRule>
  </conditionalFormatting>
  <conditionalFormatting sqref="C68">
    <cfRule type="cellIs" dxfId="1442" priority="597" stopIfTrue="1" operator="equal">
      <formula>"Towel"</formula>
    </cfRule>
  </conditionalFormatting>
  <conditionalFormatting sqref="B65:C66">
    <cfRule type="cellIs" dxfId="1441" priority="593" stopIfTrue="1" operator="equal">
      <formula>"Towel"</formula>
    </cfRule>
    <cfRule type="cellIs" dxfId="1440" priority="594" stopIfTrue="1" operator="equal">
      <formula>"Napkin Hs"</formula>
    </cfRule>
  </conditionalFormatting>
  <conditionalFormatting sqref="C65:C66">
    <cfRule type="cellIs" dxfId="1439" priority="592" stopIfTrue="1" operator="equal">
      <formula>"Napkin Hs"</formula>
    </cfRule>
  </conditionalFormatting>
  <conditionalFormatting sqref="C65:C66">
    <cfRule type="cellIs" dxfId="1438" priority="589" stopIfTrue="1" operator="equal">
      <formula>"Towel"</formula>
    </cfRule>
    <cfRule type="cellIs" dxfId="1437" priority="590" stopIfTrue="1" operator="equal">
      <formula>"Napkin Hs"</formula>
    </cfRule>
  </conditionalFormatting>
  <conditionalFormatting sqref="C65:C66">
    <cfRule type="cellIs" dxfId="1436" priority="591" stopIfTrue="1" operator="equal">
      <formula>"Towel"</formula>
    </cfRule>
  </conditionalFormatting>
  <conditionalFormatting sqref="B72:C72">
    <cfRule type="cellIs" dxfId="1435" priority="587" stopIfTrue="1" operator="equal">
      <formula>"Towel"</formula>
    </cfRule>
    <cfRule type="cellIs" dxfId="1434" priority="588" stopIfTrue="1" operator="equal">
      <formula>"Napkin Hs"</formula>
    </cfRule>
  </conditionalFormatting>
  <conditionalFormatting sqref="C72">
    <cfRule type="cellIs" dxfId="1433" priority="586" stopIfTrue="1" operator="equal">
      <formula>"Napkin Hs"</formula>
    </cfRule>
  </conditionalFormatting>
  <conditionalFormatting sqref="C72">
    <cfRule type="cellIs" dxfId="1432" priority="583" stopIfTrue="1" operator="equal">
      <formula>"Towel"</formula>
    </cfRule>
    <cfRule type="cellIs" dxfId="1431" priority="584" stopIfTrue="1" operator="equal">
      <formula>"Napkin Hs"</formula>
    </cfRule>
  </conditionalFormatting>
  <conditionalFormatting sqref="C72">
    <cfRule type="cellIs" dxfId="1430" priority="585" stopIfTrue="1" operator="equal">
      <formula>"Towel"</formula>
    </cfRule>
  </conditionalFormatting>
  <conditionalFormatting sqref="B73:C73">
    <cfRule type="cellIs" dxfId="1429" priority="581" stopIfTrue="1" operator="equal">
      <formula>"Towel"</formula>
    </cfRule>
    <cfRule type="cellIs" dxfId="1428" priority="582" stopIfTrue="1" operator="equal">
      <formula>"Napkin Hs"</formula>
    </cfRule>
  </conditionalFormatting>
  <conditionalFormatting sqref="C73">
    <cfRule type="cellIs" dxfId="1427" priority="577" stopIfTrue="1" operator="equal">
      <formula>"Towel"</formula>
    </cfRule>
    <cfRule type="cellIs" dxfId="1426" priority="578" stopIfTrue="1" operator="equal">
      <formula>"Napkin Hs"</formula>
    </cfRule>
  </conditionalFormatting>
  <conditionalFormatting sqref="C73">
    <cfRule type="cellIs" dxfId="1425" priority="580" stopIfTrue="1" operator="equal">
      <formula>"Napkin Hs"</formula>
    </cfRule>
  </conditionalFormatting>
  <conditionalFormatting sqref="C73">
    <cfRule type="cellIs" dxfId="1424" priority="579" stopIfTrue="1" operator="equal">
      <formula>"Towel"</formula>
    </cfRule>
  </conditionalFormatting>
  <conditionalFormatting sqref="B71:C71">
    <cfRule type="cellIs" dxfId="1423" priority="575" stopIfTrue="1" operator="equal">
      <formula>"Towel"</formula>
    </cfRule>
    <cfRule type="cellIs" dxfId="1422" priority="576" stopIfTrue="1" operator="equal">
      <formula>"Napkin Hs"</formula>
    </cfRule>
  </conditionalFormatting>
  <conditionalFormatting sqref="C71">
    <cfRule type="cellIs" dxfId="1421" priority="574" stopIfTrue="1" operator="equal">
      <formula>"Napkin Hs"</formula>
    </cfRule>
  </conditionalFormatting>
  <conditionalFormatting sqref="C71">
    <cfRule type="cellIs" dxfId="1420" priority="571" stopIfTrue="1" operator="equal">
      <formula>"Towel"</formula>
    </cfRule>
    <cfRule type="cellIs" dxfId="1419" priority="572" stopIfTrue="1" operator="equal">
      <formula>"Napkin Hs"</formula>
    </cfRule>
  </conditionalFormatting>
  <conditionalFormatting sqref="C71">
    <cfRule type="cellIs" dxfId="1418" priority="573" stopIfTrue="1" operator="equal">
      <formula>"Towel"</formula>
    </cfRule>
  </conditionalFormatting>
  <conditionalFormatting sqref="B70:C70">
    <cfRule type="cellIs" dxfId="1417" priority="569" stopIfTrue="1" operator="equal">
      <formula>"Towel"</formula>
    </cfRule>
    <cfRule type="cellIs" dxfId="1416" priority="570" stopIfTrue="1" operator="equal">
      <formula>"Napkin Hs"</formula>
    </cfRule>
  </conditionalFormatting>
  <conditionalFormatting sqref="C70">
    <cfRule type="cellIs" dxfId="1415" priority="568" stopIfTrue="1" operator="equal">
      <formula>"Napkin Hs"</formula>
    </cfRule>
  </conditionalFormatting>
  <conditionalFormatting sqref="C70">
    <cfRule type="cellIs" dxfId="1414" priority="565" stopIfTrue="1" operator="equal">
      <formula>"Towel"</formula>
    </cfRule>
    <cfRule type="cellIs" dxfId="1413" priority="566" stopIfTrue="1" operator="equal">
      <formula>"Napkin Hs"</formula>
    </cfRule>
  </conditionalFormatting>
  <conditionalFormatting sqref="C70">
    <cfRule type="cellIs" dxfId="1412" priority="567" stopIfTrue="1" operator="equal">
      <formula>"Towel"</formula>
    </cfRule>
  </conditionalFormatting>
  <conditionalFormatting sqref="B77:C77">
    <cfRule type="cellIs" dxfId="1411" priority="563" stopIfTrue="1" operator="equal">
      <formula>"Towel"</formula>
    </cfRule>
    <cfRule type="cellIs" dxfId="1410" priority="564" stopIfTrue="1" operator="equal">
      <formula>"Napkin Hs"</formula>
    </cfRule>
  </conditionalFormatting>
  <conditionalFormatting sqref="C77">
    <cfRule type="cellIs" dxfId="1409" priority="562" stopIfTrue="1" operator="equal">
      <formula>"Napkin Hs"</formula>
    </cfRule>
  </conditionalFormatting>
  <conditionalFormatting sqref="C77">
    <cfRule type="cellIs" dxfId="1408" priority="559" stopIfTrue="1" operator="equal">
      <formula>"Towel"</formula>
    </cfRule>
    <cfRule type="cellIs" dxfId="1407" priority="560" stopIfTrue="1" operator="equal">
      <formula>"Napkin Hs"</formula>
    </cfRule>
  </conditionalFormatting>
  <conditionalFormatting sqref="C77">
    <cfRule type="cellIs" dxfId="1406" priority="561" stopIfTrue="1" operator="equal">
      <formula>"Towel"</formula>
    </cfRule>
  </conditionalFormatting>
  <conditionalFormatting sqref="B78:C78">
    <cfRule type="cellIs" dxfId="1405" priority="557" stopIfTrue="1" operator="equal">
      <formula>"Towel"</formula>
    </cfRule>
    <cfRule type="cellIs" dxfId="1404" priority="558" stopIfTrue="1" operator="equal">
      <formula>"Napkin Hs"</formula>
    </cfRule>
  </conditionalFormatting>
  <conditionalFormatting sqref="C78">
    <cfRule type="cellIs" dxfId="1403" priority="553" stopIfTrue="1" operator="equal">
      <formula>"Towel"</formula>
    </cfRule>
    <cfRule type="cellIs" dxfId="1402" priority="554" stopIfTrue="1" operator="equal">
      <formula>"Napkin Hs"</formula>
    </cfRule>
  </conditionalFormatting>
  <conditionalFormatting sqref="C78">
    <cfRule type="cellIs" dxfId="1401" priority="556" stopIfTrue="1" operator="equal">
      <formula>"Napkin Hs"</formula>
    </cfRule>
  </conditionalFormatting>
  <conditionalFormatting sqref="C78">
    <cfRule type="cellIs" dxfId="1400" priority="555" stopIfTrue="1" operator="equal">
      <formula>"Towel"</formula>
    </cfRule>
  </conditionalFormatting>
  <conditionalFormatting sqref="B76:C76">
    <cfRule type="cellIs" dxfId="1399" priority="551" stopIfTrue="1" operator="equal">
      <formula>"Towel"</formula>
    </cfRule>
    <cfRule type="cellIs" dxfId="1398" priority="552" stopIfTrue="1" operator="equal">
      <formula>"Napkin Hs"</formula>
    </cfRule>
  </conditionalFormatting>
  <conditionalFormatting sqref="C76">
    <cfRule type="cellIs" dxfId="1397" priority="550" stopIfTrue="1" operator="equal">
      <formula>"Napkin Hs"</formula>
    </cfRule>
  </conditionalFormatting>
  <conditionalFormatting sqref="C76">
    <cfRule type="cellIs" dxfId="1396" priority="547" stopIfTrue="1" operator="equal">
      <formula>"Towel"</formula>
    </cfRule>
    <cfRule type="cellIs" dxfId="1395" priority="548" stopIfTrue="1" operator="equal">
      <formula>"Napkin Hs"</formula>
    </cfRule>
  </conditionalFormatting>
  <conditionalFormatting sqref="C76">
    <cfRule type="cellIs" dxfId="1394" priority="549" stopIfTrue="1" operator="equal">
      <formula>"Towel"</formula>
    </cfRule>
  </conditionalFormatting>
  <conditionalFormatting sqref="B75:C75">
    <cfRule type="cellIs" dxfId="1393" priority="545" stopIfTrue="1" operator="equal">
      <formula>"Towel"</formula>
    </cfRule>
    <cfRule type="cellIs" dxfId="1392" priority="546" stopIfTrue="1" operator="equal">
      <formula>"Napkin Hs"</formula>
    </cfRule>
  </conditionalFormatting>
  <conditionalFormatting sqref="C75">
    <cfRule type="cellIs" dxfId="1391" priority="544" stopIfTrue="1" operator="equal">
      <formula>"Napkin Hs"</formula>
    </cfRule>
  </conditionalFormatting>
  <conditionalFormatting sqref="C75">
    <cfRule type="cellIs" dxfId="1390" priority="541" stopIfTrue="1" operator="equal">
      <formula>"Towel"</formula>
    </cfRule>
    <cfRule type="cellIs" dxfId="1389" priority="542" stopIfTrue="1" operator="equal">
      <formula>"Napkin Hs"</formula>
    </cfRule>
  </conditionalFormatting>
  <conditionalFormatting sqref="C75">
    <cfRule type="cellIs" dxfId="1388" priority="543" stopIfTrue="1" operator="equal">
      <formula>"Towel"</formula>
    </cfRule>
  </conditionalFormatting>
  <conditionalFormatting sqref="B83:C83">
    <cfRule type="cellIs" dxfId="1387" priority="533" stopIfTrue="1" operator="equal">
      <formula>"Towel"</formula>
    </cfRule>
    <cfRule type="cellIs" dxfId="1386" priority="534" stopIfTrue="1" operator="equal">
      <formula>"Napkin Hs"</formula>
    </cfRule>
  </conditionalFormatting>
  <conditionalFormatting sqref="C83">
    <cfRule type="cellIs" dxfId="1385" priority="529" stopIfTrue="1" operator="equal">
      <formula>"Towel"</formula>
    </cfRule>
    <cfRule type="cellIs" dxfId="1384" priority="530" stopIfTrue="1" operator="equal">
      <formula>"Napkin Hs"</formula>
    </cfRule>
  </conditionalFormatting>
  <conditionalFormatting sqref="C83">
    <cfRule type="cellIs" dxfId="1383" priority="532" stopIfTrue="1" operator="equal">
      <formula>"Napkin Hs"</formula>
    </cfRule>
  </conditionalFormatting>
  <conditionalFormatting sqref="C83">
    <cfRule type="cellIs" dxfId="1382" priority="531" stopIfTrue="1" operator="equal">
      <formula>"Towel"</formula>
    </cfRule>
  </conditionalFormatting>
  <conditionalFormatting sqref="B81:C82">
    <cfRule type="cellIs" dxfId="1381" priority="527" stopIfTrue="1" operator="equal">
      <formula>"Towel"</formula>
    </cfRule>
    <cfRule type="cellIs" dxfId="1380" priority="528" stopIfTrue="1" operator="equal">
      <formula>"Napkin Hs"</formula>
    </cfRule>
  </conditionalFormatting>
  <conditionalFormatting sqref="C81:C82">
    <cfRule type="cellIs" dxfId="1379" priority="526" stopIfTrue="1" operator="equal">
      <formula>"Napkin Hs"</formula>
    </cfRule>
  </conditionalFormatting>
  <conditionalFormatting sqref="C81:C82">
    <cfRule type="cellIs" dxfId="1378" priority="523" stopIfTrue="1" operator="equal">
      <formula>"Towel"</formula>
    </cfRule>
    <cfRule type="cellIs" dxfId="1377" priority="524" stopIfTrue="1" operator="equal">
      <formula>"Napkin Hs"</formula>
    </cfRule>
  </conditionalFormatting>
  <conditionalFormatting sqref="C81:C82">
    <cfRule type="cellIs" dxfId="1376" priority="525" stopIfTrue="1" operator="equal">
      <formula>"Towel"</formula>
    </cfRule>
  </conditionalFormatting>
  <conditionalFormatting sqref="B80:C80">
    <cfRule type="cellIs" dxfId="1375" priority="521" stopIfTrue="1" operator="equal">
      <formula>"Towel"</formula>
    </cfRule>
    <cfRule type="cellIs" dxfId="1374" priority="522" stopIfTrue="1" operator="equal">
      <formula>"Napkin Hs"</formula>
    </cfRule>
  </conditionalFormatting>
  <conditionalFormatting sqref="C80">
    <cfRule type="cellIs" dxfId="1373" priority="520" stopIfTrue="1" operator="equal">
      <formula>"Napkin Hs"</formula>
    </cfRule>
  </conditionalFormatting>
  <conditionalFormatting sqref="C80">
    <cfRule type="cellIs" dxfId="1372" priority="517" stopIfTrue="1" operator="equal">
      <formula>"Towel"</formula>
    </cfRule>
    <cfRule type="cellIs" dxfId="1371" priority="518" stopIfTrue="1" operator="equal">
      <formula>"Napkin Hs"</formula>
    </cfRule>
  </conditionalFormatting>
  <conditionalFormatting sqref="C80">
    <cfRule type="cellIs" dxfId="1370" priority="519" stopIfTrue="1" operator="equal">
      <formula>"Towel"</formula>
    </cfRule>
  </conditionalFormatting>
  <conditionalFormatting sqref="B87:C87">
    <cfRule type="cellIs" dxfId="1369" priority="515" stopIfTrue="1" operator="equal">
      <formula>"Towel"</formula>
    </cfRule>
    <cfRule type="cellIs" dxfId="1368" priority="516" stopIfTrue="1" operator="equal">
      <formula>"Napkin Hs"</formula>
    </cfRule>
  </conditionalFormatting>
  <conditionalFormatting sqref="C87">
    <cfRule type="cellIs" dxfId="1367" priority="514" stopIfTrue="1" operator="equal">
      <formula>"Napkin Hs"</formula>
    </cfRule>
  </conditionalFormatting>
  <conditionalFormatting sqref="C87">
    <cfRule type="cellIs" dxfId="1366" priority="511" stopIfTrue="1" operator="equal">
      <formula>"Towel"</formula>
    </cfRule>
    <cfRule type="cellIs" dxfId="1365" priority="512" stopIfTrue="1" operator="equal">
      <formula>"Napkin Hs"</formula>
    </cfRule>
  </conditionalFormatting>
  <conditionalFormatting sqref="C87">
    <cfRule type="cellIs" dxfId="1364" priority="513" stopIfTrue="1" operator="equal">
      <formula>"Towel"</formula>
    </cfRule>
  </conditionalFormatting>
  <conditionalFormatting sqref="B88:C88">
    <cfRule type="cellIs" dxfId="1363" priority="509" stopIfTrue="1" operator="equal">
      <formula>"Towel"</formula>
    </cfRule>
    <cfRule type="cellIs" dxfId="1362" priority="510" stopIfTrue="1" operator="equal">
      <formula>"Napkin Hs"</formula>
    </cfRule>
  </conditionalFormatting>
  <conditionalFormatting sqref="C88">
    <cfRule type="cellIs" dxfId="1361" priority="505" stopIfTrue="1" operator="equal">
      <formula>"Towel"</formula>
    </cfRule>
    <cfRule type="cellIs" dxfId="1360" priority="506" stopIfTrue="1" operator="equal">
      <formula>"Napkin Hs"</formula>
    </cfRule>
  </conditionalFormatting>
  <conditionalFormatting sqref="C88">
    <cfRule type="cellIs" dxfId="1359" priority="508" stopIfTrue="1" operator="equal">
      <formula>"Napkin Hs"</formula>
    </cfRule>
  </conditionalFormatting>
  <conditionalFormatting sqref="C88">
    <cfRule type="cellIs" dxfId="1358" priority="507" stopIfTrue="1" operator="equal">
      <formula>"Towel"</formula>
    </cfRule>
  </conditionalFormatting>
  <conditionalFormatting sqref="B86:C86">
    <cfRule type="cellIs" dxfId="1357" priority="503" stopIfTrue="1" operator="equal">
      <formula>"Towel"</formula>
    </cfRule>
    <cfRule type="cellIs" dxfId="1356" priority="504" stopIfTrue="1" operator="equal">
      <formula>"Napkin Hs"</formula>
    </cfRule>
  </conditionalFormatting>
  <conditionalFormatting sqref="C86">
    <cfRule type="cellIs" dxfId="1355" priority="502" stopIfTrue="1" operator="equal">
      <formula>"Napkin Hs"</formula>
    </cfRule>
  </conditionalFormatting>
  <conditionalFormatting sqref="C86">
    <cfRule type="cellIs" dxfId="1354" priority="499" stopIfTrue="1" operator="equal">
      <formula>"Towel"</formula>
    </cfRule>
    <cfRule type="cellIs" dxfId="1353" priority="500" stopIfTrue="1" operator="equal">
      <formula>"Napkin Hs"</formula>
    </cfRule>
  </conditionalFormatting>
  <conditionalFormatting sqref="C86">
    <cfRule type="cellIs" dxfId="1352" priority="501" stopIfTrue="1" operator="equal">
      <formula>"Towel"</formula>
    </cfRule>
  </conditionalFormatting>
  <conditionalFormatting sqref="B85:C85">
    <cfRule type="cellIs" dxfId="1351" priority="491" stopIfTrue="1" operator="equal">
      <formula>"Towel"</formula>
    </cfRule>
    <cfRule type="cellIs" dxfId="1350" priority="492" stopIfTrue="1" operator="equal">
      <formula>"Napkin Hs"</formula>
    </cfRule>
  </conditionalFormatting>
  <conditionalFormatting sqref="C85">
    <cfRule type="cellIs" dxfId="1349" priority="490" stopIfTrue="1" operator="equal">
      <formula>"Napkin Hs"</formula>
    </cfRule>
  </conditionalFormatting>
  <conditionalFormatting sqref="C85">
    <cfRule type="cellIs" dxfId="1348" priority="487" stopIfTrue="1" operator="equal">
      <formula>"Towel"</formula>
    </cfRule>
    <cfRule type="cellIs" dxfId="1347" priority="488" stopIfTrue="1" operator="equal">
      <formula>"Napkin Hs"</formula>
    </cfRule>
  </conditionalFormatting>
  <conditionalFormatting sqref="C85">
    <cfRule type="cellIs" dxfId="1346" priority="489" stopIfTrue="1" operator="equal">
      <formula>"Towel"</formula>
    </cfRule>
  </conditionalFormatting>
  <conditionalFormatting sqref="B92:C92">
    <cfRule type="cellIs" dxfId="1345" priority="485" stopIfTrue="1" operator="equal">
      <formula>"Towel"</formula>
    </cfRule>
    <cfRule type="cellIs" dxfId="1344" priority="486" stopIfTrue="1" operator="equal">
      <formula>"Napkin Hs"</formula>
    </cfRule>
  </conditionalFormatting>
  <conditionalFormatting sqref="C92">
    <cfRule type="cellIs" dxfId="1343" priority="484" stopIfTrue="1" operator="equal">
      <formula>"Napkin Hs"</formula>
    </cfRule>
  </conditionalFormatting>
  <conditionalFormatting sqref="C92">
    <cfRule type="cellIs" dxfId="1342" priority="481" stopIfTrue="1" operator="equal">
      <formula>"Towel"</formula>
    </cfRule>
    <cfRule type="cellIs" dxfId="1341" priority="482" stopIfTrue="1" operator="equal">
      <formula>"Napkin Hs"</formula>
    </cfRule>
  </conditionalFormatting>
  <conditionalFormatting sqref="C92">
    <cfRule type="cellIs" dxfId="1340" priority="483" stopIfTrue="1" operator="equal">
      <formula>"Towel"</formula>
    </cfRule>
  </conditionalFormatting>
  <conditionalFormatting sqref="B93:C93">
    <cfRule type="cellIs" dxfId="1339" priority="479" stopIfTrue="1" operator="equal">
      <formula>"Towel"</formula>
    </cfRule>
    <cfRule type="cellIs" dxfId="1338" priority="480" stopIfTrue="1" operator="equal">
      <formula>"Napkin Hs"</formula>
    </cfRule>
  </conditionalFormatting>
  <conditionalFormatting sqref="C93">
    <cfRule type="cellIs" dxfId="1337" priority="475" stopIfTrue="1" operator="equal">
      <formula>"Towel"</formula>
    </cfRule>
    <cfRule type="cellIs" dxfId="1336" priority="476" stopIfTrue="1" operator="equal">
      <formula>"Napkin Hs"</formula>
    </cfRule>
  </conditionalFormatting>
  <conditionalFormatting sqref="C93">
    <cfRule type="cellIs" dxfId="1335" priority="478" stopIfTrue="1" operator="equal">
      <formula>"Napkin Hs"</formula>
    </cfRule>
  </conditionalFormatting>
  <conditionalFormatting sqref="C93">
    <cfRule type="cellIs" dxfId="1334" priority="477" stopIfTrue="1" operator="equal">
      <formula>"Towel"</formula>
    </cfRule>
  </conditionalFormatting>
  <conditionalFormatting sqref="B91:C91">
    <cfRule type="cellIs" dxfId="1333" priority="473" stopIfTrue="1" operator="equal">
      <formula>"Towel"</formula>
    </cfRule>
    <cfRule type="cellIs" dxfId="1332" priority="474" stopIfTrue="1" operator="equal">
      <formula>"Napkin Hs"</formula>
    </cfRule>
  </conditionalFormatting>
  <conditionalFormatting sqref="C91">
    <cfRule type="cellIs" dxfId="1331" priority="472" stopIfTrue="1" operator="equal">
      <formula>"Napkin Hs"</formula>
    </cfRule>
  </conditionalFormatting>
  <conditionalFormatting sqref="C91">
    <cfRule type="cellIs" dxfId="1330" priority="469" stopIfTrue="1" operator="equal">
      <formula>"Towel"</formula>
    </cfRule>
    <cfRule type="cellIs" dxfId="1329" priority="470" stopIfTrue="1" operator="equal">
      <formula>"Napkin Hs"</formula>
    </cfRule>
  </conditionalFormatting>
  <conditionalFormatting sqref="C91">
    <cfRule type="cellIs" dxfId="1328" priority="471" stopIfTrue="1" operator="equal">
      <formula>"Towel"</formula>
    </cfRule>
  </conditionalFormatting>
  <conditionalFormatting sqref="B90:C90">
    <cfRule type="cellIs" dxfId="1327" priority="461" stopIfTrue="1" operator="equal">
      <formula>"Towel"</formula>
    </cfRule>
    <cfRule type="cellIs" dxfId="1326" priority="462" stopIfTrue="1" operator="equal">
      <formula>"Napkin Hs"</formula>
    </cfRule>
  </conditionalFormatting>
  <conditionalFormatting sqref="C90">
    <cfRule type="cellIs" dxfId="1325" priority="460" stopIfTrue="1" operator="equal">
      <formula>"Napkin Hs"</formula>
    </cfRule>
  </conditionalFormatting>
  <conditionalFormatting sqref="C90">
    <cfRule type="cellIs" dxfId="1324" priority="457" stopIfTrue="1" operator="equal">
      <formula>"Towel"</formula>
    </cfRule>
    <cfRule type="cellIs" dxfId="1323" priority="458" stopIfTrue="1" operator="equal">
      <formula>"Napkin Hs"</formula>
    </cfRule>
  </conditionalFormatting>
  <conditionalFormatting sqref="C90">
    <cfRule type="cellIs" dxfId="1322" priority="459" stopIfTrue="1" operator="equal">
      <formula>"Towel"</formula>
    </cfRule>
  </conditionalFormatting>
  <conditionalFormatting sqref="B97:C97">
    <cfRule type="cellIs" dxfId="1321" priority="455" stopIfTrue="1" operator="equal">
      <formula>"Towel"</formula>
    </cfRule>
    <cfRule type="cellIs" dxfId="1320" priority="456" stopIfTrue="1" operator="equal">
      <formula>"Napkin Hs"</formula>
    </cfRule>
  </conditionalFormatting>
  <conditionalFormatting sqref="C97">
    <cfRule type="cellIs" dxfId="1319" priority="454" stopIfTrue="1" operator="equal">
      <formula>"Napkin Hs"</formula>
    </cfRule>
  </conditionalFormatting>
  <conditionalFormatting sqref="C97">
    <cfRule type="cellIs" dxfId="1318" priority="451" stopIfTrue="1" operator="equal">
      <formula>"Towel"</formula>
    </cfRule>
    <cfRule type="cellIs" dxfId="1317" priority="452" stopIfTrue="1" operator="equal">
      <formula>"Napkin Hs"</formula>
    </cfRule>
  </conditionalFormatting>
  <conditionalFormatting sqref="C97">
    <cfRule type="cellIs" dxfId="1316" priority="453" stopIfTrue="1" operator="equal">
      <formula>"Towel"</formula>
    </cfRule>
  </conditionalFormatting>
  <conditionalFormatting sqref="B98:C98">
    <cfRule type="cellIs" dxfId="1315" priority="449" stopIfTrue="1" operator="equal">
      <formula>"Towel"</formula>
    </cfRule>
    <cfRule type="cellIs" dxfId="1314" priority="450" stopIfTrue="1" operator="equal">
      <formula>"Napkin Hs"</formula>
    </cfRule>
  </conditionalFormatting>
  <conditionalFormatting sqref="C98">
    <cfRule type="cellIs" dxfId="1313" priority="445" stopIfTrue="1" operator="equal">
      <formula>"Towel"</formula>
    </cfRule>
    <cfRule type="cellIs" dxfId="1312" priority="446" stopIfTrue="1" operator="equal">
      <formula>"Napkin Hs"</formula>
    </cfRule>
  </conditionalFormatting>
  <conditionalFormatting sqref="C98">
    <cfRule type="cellIs" dxfId="1311" priority="448" stopIfTrue="1" operator="equal">
      <formula>"Napkin Hs"</formula>
    </cfRule>
  </conditionalFormatting>
  <conditionalFormatting sqref="C98">
    <cfRule type="cellIs" dxfId="1310" priority="447" stopIfTrue="1" operator="equal">
      <formula>"Towel"</formula>
    </cfRule>
  </conditionalFormatting>
  <conditionalFormatting sqref="B95:C96">
    <cfRule type="cellIs" dxfId="1309" priority="437" stopIfTrue="1" operator="equal">
      <formula>"Towel"</formula>
    </cfRule>
    <cfRule type="cellIs" dxfId="1308" priority="438" stopIfTrue="1" operator="equal">
      <formula>"Napkin Hs"</formula>
    </cfRule>
  </conditionalFormatting>
  <conditionalFormatting sqref="C95:C96">
    <cfRule type="cellIs" dxfId="1307" priority="436" stopIfTrue="1" operator="equal">
      <formula>"Napkin Hs"</formula>
    </cfRule>
  </conditionalFormatting>
  <conditionalFormatting sqref="C95:C96">
    <cfRule type="cellIs" dxfId="1306" priority="433" stopIfTrue="1" operator="equal">
      <formula>"Towel"</formula>
    </cfRule>
    <cfRule type="cellIs" dxfId="1305" priority="434" stopIfTrue="1" operator="equal">
      <formula>"Napkin Hs"</formula>
    </cfRule>
  </conditionalFormatting>
  <conditionalFormatting sqref="C95:C96">
    <cfRule type="cellIs" dxfId="1304" priority="435" stopIfTrue="1" operator="equal">
      <formula>"Towel"</formula>
    </cfRule>
  </conditionalFormatting>
  <conditionalFormatting sqref="B102:C102">
    <cfRule type="cellIs" dxfId="1303" priority="431" stopIfTrue="1" operator="equal">
      <formula>"Towel"</formula>
    </cfRule>
    <cfRule type="cellIs" dxfId="1302" priority="432" stopIfTrue="1" operator="equal">
      <formula>"Napkin Hs"</formula>
    </cfRule>
  </conditionalFormatting>
  <conditionalFormatting sqref="C102">
    <cfRule type="cellIs" dxfId="1301" priority="430" stopIfTrue="1" operator="equal">
      <formula>"Napkin Hs"</formula>
    </cfRule>
  </conditionalFormatting>
  <conditionalFormatting sqref="C102">
    <cfRule type="cellIs" dxfId="1300" priority="427" stopIfTrue="1" operator="equal">
      <formula>"Towel"</formula>
    </cfRule>
    <cfRule type="cellIs" dxfId="1299" priority="428" stopIfTrue="1" operator="equal">
      <formula>"Napkin Hs"</formula>
    </cfRule>
  </conditionalFormatting>
  <conditionalFormatting sqref="C102">
    <cfRule type="cellIs" dxfId="1298" priority="429" stopIfTrue="1" operator="equal">
      <formula>"Towel"</formula>
    </cfRule>
  </conditionalFormatting>
  <conditionalFormatting sqref="B103:C103">
    <cfRule type="cellIs" dxfId="1297" priority="425" stopIfTrue="1" operator="equal">
      <formula>"Towel"</formula>
    </cfRule>
    <cfRule type="cellIs" dxfId="1296" priority="426" stopIfTrue="1" operator="equal">
      <formula>"Napkin Hs"</formula>
    </cfRule>
  </conditionalFormatting>
  <conditionalFormatting sqref="C103">
    <cfRule type="cellIs" dxfId="1295" priority="421" stopIfTrue="1" operator="equal">
      <formula>"Towel"</formula>
    </cfRule>
    <cfRule type="cellIs" dxfId="1294" priority="422" stopIfTrue="1" operator="equal">
      <formula>"Napkin Hs"</formula>
    </cfRule>
  </conditionalFormatting>
  <conditionalFormatting sqref="C103">
    <cfRule type="cellIs" dxfId="1293" priority="424" stopIfTrue="1" operator="equal">
      <formula>"Napkin Hs"</formula>
    </cfRule>
  </conditionalFormatting>
  <conditionalFormatting sqref="C103">
    <cfRule type="cellIs" dxfId="1292" priority="423" stopIfTrue="1" operator="equal">
      <formula>"Towel"</formula>
    </cfRule>
  </conditionalFormatting>
  <conditionalFormatting sqref="B101:C101">
    <cfRule type="cellIs" dxfId="1291" priority="419" stopIfTrue="1" operator="equal">
      <formula>"Towel"</formula>
    </cfRule>
    <cfRule type="cellIs" dxfId="1290" priority="420" stopIfTrue="1" operator="equal">
      <formula>"Napkin Hs"</formula>
    </cfRule>
  </conditionalFormatting>
  <conditionalFormatting sqref="C101">
    <cfRule type="cellIs" dxfId="1289" priority="418" stopIfTrue="1" operator="equal">
      <formula>"Napkin Hs"</formula>
    </cfRule>
  </conditionalFormatting>
  <conditionalFormatting sqref="C101">
    <cfRule type="cellIs" dxfId="1288" priority="415" stopIfTrue="1" operator="equal">
      <formula>"Towel"</formula>
    </cfRule>
    <cfRule type="cellIs" dxfId="1287" priority="416" stopIfTrue="1" operator="equal">
      <formula>"Napkin Hs"</formula>
    </cfRule>
  </conditionalFormatting>
  <conditionalFormatting sqref="C101">
    <cfRule type="cellIs" dxfId="1286" priority="417" stopIfTrue="1" operator="equal">
      <formula>"Towel"</formula>
    </cfRule>
  </conditionalFormatting>
  <conditionalFormatting sqref="B100:C100">
    <cfRule type="cellIs" dxfId="1285" priority="413" stopIfTrue="1" operator="equal">
      <formula>"Towel"</formula>
    </cfRule>
    <cfRule type="cellIs" dxfId="1284" priority="414" stopIfTrue="1" operator="equal">
      <formula>"Napkin Hs"</formula>
    </cfRule>
  </conditionalFormatting>
  <conditionalFormatting sqref="C100">
    <cfRule type="cellIs" dxfId="1283" priority="412" stopIfTrue="1" operator="equal">
      <formula>"Napkin Hs"</formula>
    </cfRule>
  </conditionalFormatting>
  <conditionalFormatting sqref="C100">
    <cfRule type="cellIs" dxfId="1282" priority="409" stopIfTrue="1" operator="equal">
      <formula>"Towel"</formula>
    </cfRule>
    <cfRule type="cellIs" dxfId="1281" priority="410" stopIfTrue="1" operator="equal">
      <formula>"Napkin Hs"</formula>
    </cfRule>
  </conditionalFormatting>
  <conditionalFormatting sqref="C100">
    <cfRule type="cellIs" dxfId="1280" priority="411" stopIfTrue="1" operator="equal">
      <formula>"Towel"</formula>
    </cfRule>
  </conditionalFormatting>
  <conditionalFormatting sqref="B113:C113">
    <cfRule type="cellIs" dxfId="1279" priority="407" stopIfTrue="1" operator="equal">
      <formula>"Towel"</formula>
    </cfRule>
    <cfRule type="cellIs" dxfId="1278" priority="408" stopIfTrue="1" operator="equal">
      <formula>"Napkin Hs"</formula>
    </cfRule>
  </conditionalFormatting>
  <conditionalFormatting sqref="C113">
    <cfRule type="cellIs" dxfId="1277" priority="405" stopIfTrue="1" operator="equal">
      <formula>"Towel"</formula>
    </cfRule>
    <cfRule type="cellIs" dxfId="1276" priority="406" stopIfTrue="1" operator="equal">
      <formula>"Napkin Hs"</formula>
    </cfRule>
  </conditionalFormatting>
  <conditionalFormatting sqref="C113">
    <cfRule type="cellIs" dxfId="1275" priority="403" stopIfTrue="1" operator="equal">
      <formula>"Towel"</formula>
    </cfRule>
    <cfRule type="cellIs" dxfId="1274" priority="404" stopIfTrue="1" operator="equal">
      <formula>"Napkin Hs"</formula>
    </cfRule>
  </conditionalFormatting>
  <conditionalFormatting sqref="B109:C109">
    <cfRule type="cellIs" dxfId="1273" priority="389" stopIfTrue="1" operator="equal">
      <formula>"Towel"</formula>
    </cfRule>
    <cfRule type="cellIs" dxfId="1272" priority="390" stopIfTrue="1" operator="equal">
      <formula>"Napkin Hs"</formula>
    </cfRule>
  </conditionalFormatting>
  <conditionalFormatting sqref="C109">
    <cfRule type="cellIs" dxfId="1271" priority="388" stopIfTrue="1" operator="equal">
      <formula>"Napkin Hs"</formula>
    </cfRule>
  </conditionalFormatting>
  <conditionalFormatting sqref="C109">
    <cfRule type="cellIs" dxfId="1270" priority="385" stopIfTrue="1" operator="equal">
      <formula>"Towel"</formula>
    </cfRule>
    <cfRule type="cellIs" dxfId="1269" priority="386" stopIfTrue="1" operator="equal">
      <formula>"Napkin Hs"</formula>
    </cfRule>
  </conditionalFormatting>
  <conditionalFormatting sqref="C109">
    <cfRule type="cellIs" dxfId="1268" priority="387" stopIfTrue="1" operator="equal">
      <formula>"Towel"</formula>
    </cfRule>
  </conditionalFormatting>
  <conditionalFormatting sqref="B107:C107">
    <cfRule type="cellIs" dxfId="1267" priority="383" stopIfTrue="1" operator="equal">
      <formula>"Towel"</formula>
    </cfRule>
    <cfRule type="cellIs" dxfId="1266" priority="384" stopIfTrue="1" operator="equal">
      <formula>"Napkin Hs"</formula>
    </cfRule>
  </conditionalFormatting>
  <conditionalFormatting sqref="C107">
    <cfRule type="cellIs" dxfId="1265" priority="382" stopIfTrue="1" operator="equal">
      <formula>"Napkin Hs"</formula>
    </cfRule>
  </conditionalFormatting>
  <conditionalFormatting sqref="C107">
    <cfRule type="cellIs" dxfId="1264" priority="379" stopIfTrue="1" operator="equal">
      <formula>"Towel"</formula>
    </cfRule>
    <cfRule type="cellIs" dxfId="1263" priority="380" stopIfTrue="1" operator="equal">
      <formula>"Napkin Hs"</formula>
    </cfRule>
  </conditionalFormatting>
  <conditionalFormatting sqref="C107">
    <cfRule type="cellIs" dxfId="1262" priority="381" stopIfTrue="1" operator="equal">
      <formula>"Towel"</formula>
    </cfRule>
  </conditionalFormatting>
  <conditionalFormatting sqref="B108:C108">
    <cfRule type="cellIs" dxfId="1261" priority="377" stopIfTrue="1" operator="equal">
      <formula>"Towel"</formula>
    </cfRule>
    <cfRule type="cellIs" dxfId="1260" priority="378" stopIfTrue="1" operator="equal">
      <formula>"Napkin Hs"</formula>
    </cfRule>
  </conditionalFormatting>
  <conditionalFormatting sqref="C108">
    <cfRule type="cellIs" dxfId="1259" priority="373" stopIfTrue="1" operator="equal">
      <formula>"Towel"</formula>
    </cfRule>
    <cfRule type="cellIs" dxfId="1258" priority="374" stopIfTrue="1" operator="equal">
      <formula>"Napkin Hs"</formula>
    </cfRule>
  </conditionalFormatting>
  <conditionalFormatting sqref="C108">
    <cfRule type="cellIs" dxfId="1257" priority="376" stopIfTrue="1" operator="equal">
      <formula>"Napkin Hs"</formula>
    </cfRule>
  </conditionalFormatting>
  <conditionalFormatting sqref="C108">
    <cfRule type="cellIs" dxfId="1256" priority="375" stopIfTrue="1" operator="equal">
      <formula>"Towel"</formula>
    </cfRule>
  </conditionalFormatting>
  <conditionalFormatting sqref="B105:C106">
    <cfRule type="cellIs" dxfId="1255" priority="365" stopIfTrue="1" operator="equal">
      <formula>"Towel"</formula>
    </cfRule>
    <cfRule type="cellIs" dxfId="1254" priority="366" stopIfTrue="1" operator="equal">
      <formula>"Napkin Hs"</formula>
    </cfRule>
  </conditionalFormatting>
  <conditionalFormatting sqref="C105:C106">
    <cfRule type="cellIs" dxfId="1253" priority="364" stopIfTrue="1" operator="equal">
      <formula>"Napkin Hs"</formula>
    </cfRule>
  </conditionalFormatting>
  <conditionalFormatting sqref="C105:C106">
    <cfRule type="cellIs" dxfId="1252" priority="361" stopIfTrue="1" operator="equal">
      <formula>"Towel"</formula>
    </cfRule>
    <cfRule type="cellIs" dxfId="1251" priority="362" stopIfTrue="1" operator="equal">
      <formula>"Napkin Hs"</formula>
    </cfRule>
  </conditionalFormatting>
  <conditionalFormatting sqref="C105:C106">
    <cfRule type="cellIs" dxfId="1250" priority="363" stopIfTrue="1" operator="equal">
      <formula>"Towel"</formula>
    </cfRule>
  </conditionalFormatting>
  <conditionalFormatting sqref="B110:C112">
    <cfRule type="cellIs" dxfId="1249" priority="353" stopIfTrue="1" operator="equal">
      <formula>"Towel"</formula>
    </cfRule>
    <cfRule type="cellIs" dxfId="1248" priority="354" stopIfTrue="1" operator="equal">
      <formula>"Napkin Hs"</formula>
    </cfRule>
  </conditionalFormatting>
  <conditionalFormatting sqref="C110:C112">
    <cfRule type="cellIs" dxfId="1247" priority="352" stopIfTrue="1" operator="equal">
      <formula>"Napkin Hs"</formula>
    </cfRule>
  </conditionalFormatting>
  <conditionalFormatting sqref="C110:C112">
    <cfRule type="cellIs" dxfId="1246" priority="349" stopIfTrue="1" operator="equal">
      <formula>"Towel"</formula>
    </cfRule>
    <cfRule type="cellIs" dxfId="1245" priority="350" stopIfTrue="1" operator="equal">
      <formula>"Napkin Hs"</formula>
    </cfRule>
  </conditionalFormatting>
  <conditionalFormatting sqref="C110:C112">
    <cfRule type="cellIs" dxfId="1244" priority="351" stopIfTrue="1" operator="equal">
      <formula>"Towel"</formula>
    </cfRule>
  </conditionalFormatting>
  <conditionalFormatting sqref="B110:C112">
    <cfRule type="cellIs" dxfId="1243" priority="341" stopIfTrue="1" operator="equal">
      <formula>"Towel"</formula>
    </cfRule>
    <cfRule type="cellIs" dxfId="1242" priority="342" stopIfTrue="1" operator="equal">
      <formula>"Napkin Hs"</formula>
    </cfRule>
  </conditionalFormatting>
  <conditionalFormatting sqref="C110:C112">
    <cfRule type="cellIs" dxfId="1241" priority="340" stopIfTrue="1" operator="equal">
      <formula>"Napkin Hs"</formula>
    </cfRule>
  </conditionalFormatting>
  <conditionalFormatting sqref="C110:C112">
    <cfRule type="cellIs" dxfId="1240" priority="337" stopIfTrue="1" operator="equal">
      <formula>"Towel"</formula>
    </cfRule>
    <cfRule type="cellIs" dxfId="1239" priority="338" stopIfTrue="1" operator="equal">
      <formula>"Napkin Hs"</formula>
    </cfRule>
  </conditionalFormatting>
  <conditionalFormatting sqref="C110:C112">
    <cfRule type="cellIs" dxfId="1238" priority="339" stopIfTrue="1" operator="equal">
      <formula>"Towel"</formula>
    </cfRule>
  </conditionalFormatting>
  <conditionalFormatting sqref="B117:C117">
    <cfRule type="cellIs" dxfId="1237" priority="335" stopIfTrue="1" operator="equal">
      <formula>"Towel"</formula>
    </cfRule>
    <cfRule type="cellIs" dxfId="1236" priority="336" stopIfTrue="1" operator="equal">
      <formula>"Napkin Hs"</formula>
    </cfRule>
  </conditionalFormatting>
  <conditionalFormatting sqref="C117">
    <cfRule type="cellIs" dxfId="1235" priority="333" stopIfTrue="1" operator="equal">
      <formula>"Towel"</formula>
    </cfRule>
    <cfRule type="cellIs" dxfId="1234" priority="334" stopIfTrue="1" operator="equal">
      <formula>"Napkin Hs"</formula>
    </cfRule>
  </conditionalFormatting>
  <conditionalFormatting sqref="C117">
    <cfRule type="cellIs" dxfId="1233" priority="331" stopIfTrue="1" operator="equal">
      <formula>"Towel"</formula>
    </cfRule>
    <cfRule type="cellIs" dxfId="1232" priority="332" stopIfTrue="1" operator="equal">
      <formula>"Napkin Hs"</formula>
    </cfRule>
  </conditionalFormatting>
  <conditionalFormatting sqref="B117:C117">
    <cfRule type="cellIs" dxfId="1231" priority="329" stopIfTrue="1" operator="equal">
      <formula>"Towel"</formula>
    </cfRule>
    <cfRule type="cellIs" dxfId="1230" priority="330" stopIfTrue="1" operator="equal">
      <formula>"Napkin Hs"</formula>
    </cfRule>
  </conditionalFormatting>
  <conditionalFormatting sqref="C117">
    <cfRule type="cellIs" dxfId="1229" priority="327" stopIfTrue="1" operator="equal">
      <formula>"Towel"</formula>
    </cfRule>
    <cfRule type="cellIs" dxfId="1228" priority="328" stopIfTrue="1" operator="equal">
      <formula>"Napkin Hs"</formula>
    </cfRule>
  </conditionalFormatting>
  <conditionalFormatting sqref="C117">
    <cfRule type="cellIs" dxfId="1227" priority="325" stopIfTrue="1" operator="equal">
      <formula>"Towel"</formula>
    </cfRule>
    <cfRule type="cellIs" dxfId="1226" priority="326" stopIfTrue="1" operator="equal">
      <formula>"Napkin Hs"</formula>
    </cfRule>
  </conditionalFormatting>
  <conditionalFormatting sqref="B115:C116">
    <cfRule type="cellIs" dxfId="1225" priority="323" stopIfTrue="1" operator="equal">
      <formula>"Towel"</formula>
    </cfRule>
    <cfRule type="cellIs" dxfId="1224" priority="324" stopIfTrue="1" operator="equal">
      <formula>"Napkin Hs"</formula>
    </cfRule>
  </conditionalFormatting>
  <conditionalFormatting sqref="C115:C116">
    <cfRule type="cellIs" dxfId="1223" priority="322" stopIfTrue="1" operator="equal">
      <formula>"Napkin Hs"</formula>
    </cfRule>
  </conditionalFormatting>
  <conditionalFormatting sqref="C115:C116">
    <cfRule type="cellIs" dxfId="1222" priority="319" stopIfTrue="1" operator="equal">
      <formula>"Towel"</formula>
    </cfRule>
    <cfRule type="cellIs" dxfId="1221" priority="320" stopIfTrue="1" operator="equal">
      <formula>"Napkin Hs"</formula>
    </cfRule>
  </conditionalFormatting>
  <conditionalFormatting sqref="C115:C116">
    <cfRule type="cellIs" dxfId="1220" priority="321" stopIfTrue="1" operator="equal">
      <formula>"Towel"</formula>
    </cfRule>
  </conditionalFormatting>
  <conditionalFormatting sqref="B115:C116">
    <cfRule type="cellIs" dxfId="1219" priority="317" stopIfTrue="1" operator="equal">
      <formula>"Towel"</formula>
    </cfRule>
    <cfRule type="cellIs" dxfId="1218" priority="318" stopIfTrue="1" operator="equal">
      <formula>"Napkin Hs"</formula>
    </cfRule>
  </conditionalFormatting>
  <conditionalFormatting sqref="C115:C116">
    <cfRule type="cellIs" dxfId="1217" priority="316" stopIfTrue="1" operator="equal">
      <formula>"Napkin Hs"</formula>
    </cfRule>
  </conditionalFormatting>
  <conditionalFormatting sqref="C115:C116">
    <cfRule type="cellIs" dxfId="1216" priority="313" stopIfTrue="1" operator="equal">
      <formula>"Towel"</formula>
    </cfRule>
    <cfRule type="cellIs" dxfId="1215" priority="314" stopIfTrue="1" operator="equal">
      <formula>"Napkin Hs"</formula>
    </cfRule>
  </conditionalFormatting>
  <conditionalFormatting sqref="C115:C116">
    <cfRule type="cellIs" dxfId="1214" priority="315" stopIfTrue="1" operator="equal">
      <formula>"Towel"</formula>
    </cfRule>
  </conditionalFormatting>
  <conditionalFormatting sqref="B114:C114">
    <cfRule type="cellIs" dxfId="1213" priority="311" stopIfTrue="1" operator="equal">
      <formula>"Towel"</formula>
    </cfRule>
    <cfRule type="cellIs" dxfId="1212" priority="312" stopIfTrue="1" operator="equal">
      <formula>"Napkin Hs"</formula>
    </cfRule>
  </conditionalFormatting>
  <conditionalFormatting sqref="C114">
    <cfRule type="cellIs" dxfId="1211" priority="310" stopIfTrue="1" operator="equal">
      <formula>"Napkin Hs"</formula>
    </cfRule>
  </conditionalFormatting>
  <conditionalFormatting sqref="C114">
    <cfRule type="cellIs" dxfId="1210" priority="307" stopIfTrue="1" operator="equal">
      <formula>"Towel"</formula>
    </cfRule>
    <cfRule type="cellIs" dxfId="1209" priority="308" stopIfTrue="1" operator="equal">
      <formula>"Napkin Hs"</formula>
    </cfRule>
  </conditionalFormatting>
  <conditionalFormatting sqref="C114">
    <cfRule type="cellIs" dxfId="1208" priority="309" stopIfTrue="1" operator="equal">
      <formula>"Towel"</formula>
    </cfRule>
  </conditionalFormatting>
  <conditionalFormatting sqref="B114:C114">
    <cfRule type="cellIs" dxfId="1207" priority="305" stopIfTrue="1" operator="equal">
      <formula>"Towel"</formula>
    </cfRule>
    <cfRule type="cellIs" dxfId="1206" priority="306" stopIfTrue="1" operator="equal">
      <formula>"Napkin Hs"</formula>
    </cfRule>
  </conditionalFormatting>
  <conditionalFormatting sqref="C114">
    <cfRule type="cellIs" dxfId="1205" priority="304" stopIfTrue="1" operator="equal">
      <formula>"Napkin Hs"</formula>
    </cfRule>
  </conditionalFormatting>
  <conditionalFormatting sqref="C114">
    <cfRule type="cellIs" dxfId="1204" priority="301" stopIfTrue="1" operator="equal">
      <formula>"Towel"</formula>
    </cfRule>
    <cfRule type="cellIs" dxfId="1203" priority="302" stopIfTrue="1" operator="equal">
      <formula>"Napkin Hs"</formula>
    </cfRule>
  </conditionalFormatting>
  <conditionalFormatting sqref="C114">
    <cfRule type="cellIs" dxfId="1202" priority="303" stopIfTrue="1" operator="equal">
      <formula>"Towel"</formula>
    </cfRule>
  </conditionalFormatting>
  <conditionalFormatting sqref="B120:C120">
    <cfRule type="cellIs" dxfId="1201" priority="299" stopIfTrue="1" operator="equal">
      <formula>"Towel"</formula>
    </cfRule>
    <cfRule type="cellIs" dxfId="1200" priority="300" stopIfTrue="1" operator="equal">
      <formula>"Napkin Hs"</formula>
    </cfRule>
  </conditionalFormatting>
  <conditionalFormatting sqref="C120">
    <cfRule type="cellIs" dxfId="1199" priority="298" stopIfTrue="1" operator="equal">
      <formula>"Napkin Hs"</formula>
    </cfRule>
  </conditionalFormatting>
  <conditionalFormatting sqref="C120">
    <cfRule type="cellIs" dxfId="1198" priority="295" stopIfTrue="1" operator="equal">
      <formula>"Towel"</formula>
    </cfRule>
    <cfRule type="cellIs" dxfId="1197" priority="296" stopIfTrue="1" operator="equal">
      <formula>"Napkin Hs"</formula>
    </cfRule>
  </conditionalFormatting>
  <conditionalFormatting sqref="C120">
    <cfRule type="cellIs" dxfId="1196" priority="297" stopIfTrue="1" operator="equal">
      <formula>"Towel"</formula>
    </cfRule>
  </conditionalFormatting>
  <conditionalFormatting sqref="B119:C119">
    <cfRule type="cellIs" dxfId="1195" priority="293" stopIfTrue="1" operator="equal">
      <formula>"Towel"</formula>
    </cfRule>
    <cfRule type="cellIs" dxfId="1194" priority="294" stopIfTrue="1" operator="equal">
      <formula>"Napkin Hs"</formula>
    </cfRule>
  </conditionalFormatting>
  <conditionalFormatting sqref="C119">
    <cfRule type="cellIs" dxfId="1193" priority="292" stopIfTrue="1" operator="equal">
      <formula>"Napkin Hs"</formula>
    </cfRule>
  </conditionalFormatting>
  <conditionalFormatting sqref="C119">
    <cfRule type="cellIs" dxfId="1192" priority="289" stopIfTrue="1" operator="equal">
      <formula>"Towel"</formula>
    </cfRule>
    <cfRule type="cellIs" dxfId="1191" priority="290" stopIfTrue="1" operator="equal">
      <formula>"Napkin Hs"</formula>
    </cfRule>
  </conditionalFormatting>
  <conditionalFormatting sqref="C119">
    <cfRule type="cellIs" dxfId="1190" priority="291" stopIfTrue="1" operator="equal">
      <formula>"Towel"</formula>
    </cfRule>
  </conditionalFormatting>
  <conditionalFormatting sqref="B118:C118">
    <cfRule type="cellIs" dxfId="1189" priority="281" stopIfTrue="1" operator="equal">
      <formula>"Towel"</formula>
    </cfRule>
    <cfRule type="cellIs" dxfId="1188" priority="282" stopIfTrue="1" operator="equal">
      <formula>"Napkin Hs"</formula>
    </cfRule>
  </conditionalFormatting>
  <conditionalFormatting sqref="C118">
    <cfRule type="cellIs" dxfId="1187" priority="280" stopIfTrue="1" operator="equal">
      <formula>"Napkin Hs"</formula>
    </cfRule>
  </conditionalFormatting>
  <conditionalFormatting sqref="C118">
    <cfRule type="cellIs" dxfId="1186" priority="277" stopIfTrue="1" operator="equal">
      <formula>"Towel"</formula>
    </cfRule>
    <cfRule type="cellIs" dxfId="1185" priority="278" stopIfTrue="1" operator="equal">
      <formula>"Napkin Hs"</formula>
    </cfRule>
  </conditionalFormatting>
  <conditionalFormatting sqref="C118">
    <cfRule type="cellIs" dxfId="1184" priority="279" stopIfTrue="1" operator="equal">
      <formula>"Towel"</formula>
    </cfRule>
  </conditionalFormatting>
  <conditionalFormatting sqref="B118:C118">
    <cfRule type="cellIs" dxfId="1183" priority="275" stopIfTrue="1" operator="equal">
      <formula>"Towel"</formula>
    </cfRule>
    <cfRule type="cellIs" dxfId="1182" priority="276" stopIfTrue="1" operator="equal">
      <formula>"Napkin Hs"</formula>
    </cfRule>
  </conditionalFormatting>
  <conditionalFormatting sqref="C118">
    <cfRule type="cellIs" dxfId="1181" priority="274" stopIfTrue="1" operator="equal">
      <formula>"Napkin Hs"</formula>
    </cfRule>
  </conditionalFormatting>
  <conditionalFormatting sqref="C118">
    <cfRule type="cellIs" dxfId="1180" priority="271" stopIfTrue="1" operator="equal">
      <formula>"Towel"</formula>
    </cfRule>
    <cfRule type="cellIs" dxfId="1179" priority="272" stopIfTrue="1" operator="equal">
      <formula>"Napkin Hs"</formula>
    </cfRule>
  </conditionalFormatting>
  <conditionalFormatting sqref="C118">
    <cfRule type="cellIs" dxfId="1178" priority="273" stopIfTrue="1" operator="equal">
      <formula>"Towel"</formula>
    </cfRule>
  </conditionalFormatting>
  <conditionalFormatting sqref="B121:C121">
    <cfRule type="cellIs" dxfId="1177" priority="269" stopIfTrue="1" operator="equal">
      <formula>"Towel"</formula>
    </cfRule>
    <cfRule type="cellIs" dxfId="1176" priority="270" stopIfTrue="1" operator="equal">
      <formula>"Napkin Hs"</formula>
    </cfRule>
  </conditionalFormatting>
  <conditionalFormatting sqref="C121">
    <cfRule type="cellIs" dxfId="1175" priority="268" stopIfTrue="1" operator="equal">
      <formula>"Napkin Hs"</formula>
    </cfRule>
  </conditionalFormatting>
  <conditionalFormatting sqref="C121">
    <cfRule type="cellIs" dxfId="1174" priority="265" stopIfTrue="1" operator="equal">
      <formula>"Towel"</formula>
    </cfRule>
    <cfRule type="cellIs" dxfId="1173" priority="266" stopIfTrue="1" operator="equal">
      <formula>"Napkin Hs"</formula>
    </cfRule>
  </conditionalFormatting>
  <conditionalFormatting sqref="C121">
    <cfRule type="cellIs" dxfId="1172" priority="267" stopIfTrue="1" operator="equal">
      <formula>"Towel"</formula>
    </cfRule>
  </conditionalFormatting>
  <conditionalFormatting sqref="B125:C125">
    <cfRule type="cellIs" dxfId="1171" priority="263" stopIfTrue="1" operator="equal">
      <formula>"Towel"</formula>
    </cfRule>
    <cfRule type="cellIs" dxfId="1170" priority="264" stopIfTrue="1" operator="equal">
      <formula>"Napkin Hs"</formula>
    </cfRule>
  </conditionalFormatting>
  <conditionalFormatting sqref="C125">
    <cfRule type="cellIs" dxfId="1169" priority="262" stopIfTrue="1" operator="equal">
      <formula>"Napkin Hs"</formula>
    </cfRule>
  </conditionalFormatting>
  <conditionalFormatting sqref="C125">
    <cfRule type="cellIs" dxfId="1168" priority="259" stopIfTrue="1" operator="equal">
      <formula>"Towel"</formula>
    </cfRule>
    <cfRule type="cellIs" dxfId="1167" priority="260" stopIfTrue="1" operator="equal">
      <formula>"Napkin Hs"</formula>
    </cfRule>
  </conditionalFormatting>
  <conditionalFormatting sqref="C125">
    <cfRule type="cellIs" dxfId="1166" priority="261" stopIfTrue="1" operator="equal">
      <formula>"Towel"</formula>
    </cfRule>
  </conditionalFormatting>
  <conditionalFormatting sqref="B124:C124">
    <cfRule type="cellIs" dxfId="1165" priority="257" stopIfTrue="1" operator="equal">
      <formula>"Towel"</formula>
    </cfRule>
    <cfRule type="cellIs" dxfId="1164" priority="258" stopIfTrue="1" operator="equal">
      <formula>"Napkin Hs"</formula>
    </cfRule>
  </conditionalFormatting>
  <conditionalFormatting sqref="C124">
    <cfRule type="cellIs" dxfId="1163" priority="256" stopIfTrue="1" operator="equal">
      <formula>"Napkin Hs"</formula>
    </cfRule>
  </conditionalFormatting>
  <conditionalFormatting sqref="C124">
    <cfRule type="cellIs" dxfId="1162" priority="253" stopIfTrue="1" operator="equal">
      <formula>"Towel"</formula>
    </cfRule>
    <cfRule type="cellIs" dxfId="1161" priority="254" stopIfTrue="1" operator="equal">
      <formula>"Napkin Hs"</formula>
    </cfRule>
  </conditionalFormatting>
  <conditionalFormatting sqref="C124">
    <cfRule type="cellIs" dxfId="1160" priority="255" stopIfTrue="1" operator="equal">
      <formula>"Towel"</formula>
    </cfRule>
  </conditionalFormatting>
  <conditionalFormatting sqref="B123:C123">
    <cfRule type="cellIs" dxfId="1159" priority="251" stopIfTrue="1" operator="equal">
      <formula>"Towel"</formula>
    </cfRule>
    <cfRule type="cellIs" dxfId="1158" priority="252" stopIfTrue="1" operator="equal">
      <formula>"Napkin Hs"</formula>
    </cfRule>
  </conditionalFormatting>
  <conditionalFormatting sqref="C123">
    <cfRule type="cellIs" dxfId="1157" priority="250" stopIfTrue="1" operator="equal">
      <formula>"Napkin Hs"</formula>
    </cfRule>
  </conditionalFormatting>
  <conditionalFormatting sqref="C123">
    <cfRule type="cellIs" dxfId="1156" priority="247" stopIfTrue="1" operator="equal">
      <formula>"Towel"</formula>
    </cfRule>
    <cfRule type="cellIs" dxfId="1155" priority="248" stopIfTrue="1" operator="equal">
      <formula>"Napkin Hs"</formula>
    </cfRule>
  </conditionalFormatting>
  <conditionalFormatting sqref="C123">
    <cfRule type="cellIs" dxfId="1154" priority="249" stopIfTrue="1" operator="equal">
      <formula>"Towel"</formula>
    </cfRule>
  </conditionalFormatting>
  <conditionalFormatting sqref="B123:C123">
    <cfRule type="cellIs" dxfId="1153" priority="245" stopIfTrue="1" operator="equal">
      <formula>"Towel"</formula>
    </cfRule>
    <cfRule type="cellIs" dxfId="1152" priority="246" stopIfTrue="1" operator="equal">
      <formula>"Napkin Hs"</formula>
    </cfRule>
  </conditionalFormatting>
  <conditionalFormatting sqref="C123">
    <cfRule type="cellIs" dxfId="1151" priority="244" stopIfTrue="1" operator="equal">
      <formula>"Napkin Hs"</formula>
    </cfRule>
  </conditionalFormatting>
  <conditionalFormatting sqref="C123">
    <cfRule type="cellIs" dxfId="1150" priority="241" stopIfTrue="1" operator="equal">
      <formula>"Towel"</formula>
    </cfRule>
    <cfRule type="cellIs" dxfId="1149" priority="242" stopIfTrue="1" operator="equal">
      <formula>"Napkin Hs"</formula>
    </cfRule>
  </conditionalFormatting>
  <conditionalFormatting sqref="C123">
    <cfRule type="cellIs" dxfId="1148" priority="243" stopIfTrue="1" operator="equal">
      <formula>"Towel"</formula>
    </cfRule>
  </conditionalFormatting>
  <conditionalFormatting sqref="B130:C130">
    <cfRule type="cellIs" dxfId="1147" priority="239" stopIfTrue="1" operator="equal">
      <formula>"Towel"</formula>
    </cfRule>
    <cfRule type="cellIs" dxfId="1146" priority="240" stopIfTrue="1" operator="equal">
      <formula>"Napkin Hs"</formula>
    </cfRule>
  </conditionalFormatting>
  <conditionalFormatting sqref="C130">
    <cfRule type="cellIs" dxfId="1145" priority="238" stopIfTrue="1" operator="equal">
      <formula>"Napkin Hs"</formula>
    </cfRule>
  </conditionalFormatting>
  <conditionalFormatting sqref="C130">
    <cfRule type="cellIs" dxfId="1144" priority="235" stopIfTrue="1" operator="equal">
      <formula>"Towel"</formula>
    </cfRule>
    <cfRule type="cellIs" dxfId="1143" priority="236" stopIfTrue="1" operator="equal">
      <formula>"Napkin Hs"</formula>
    </cfRule>
  </conditionalFormatting>
  <conditionalFormatting sqref="C130">
    <cfRule type="cellIs" dxfId="1142" priority="237" stopIfTrue="1" operator="equal">
      <formula>"Towel"</formula>
    </cfRule>
  </conditionalFormatting>
  <conditionalFormatting sqref="B129:C129">
    <cfRule type="cellIs" dxfId="1141" priority="233" stopIfTrue="1" operator="equal">
      <formula>"Towel"</formula>
    </cfRule>
    <cfRule type="cellIs" dxfId="1140" priority="234" stopIfTrue="1" operator="equal">
      <formula>"Napkin Hs"</formula>
    </cfRule>
  </conditionalFormatting>
  <conditionalFormatting sqref="C129">
    <cfRule type="cellIs" dxfId="1139" priority="232" stopIfTrue="1" operator="equal">
      <formula>"Napkin Hs"</formula>
    </cfRule>
  </conditionalFormatting>
  <conditionalFormatting sqref="C129">
    <cfRule type="cellIs" dxfId="1138" priority="229" stopIfTrue="1" operator="equal">
      <formula>"Towel"</formula>
    </cfRule>
    <cfRule type="cellIs" dxfId="1137" priority="230" stopIfTrue="1" operator="equal">
      <formula>"Napkin Hs"</formula>
    </cfRule>
  </conditionalFormatting>
  <conditionalFormatting sqref="C129">
    <cfRule type="cellIs" dxfId="1136" priority="231" stopIfTrue="1" operator="equal">
      <formula>"Towel"</formula>
    </cfRule>
  </conditionalFormatting>
  <conditionalFormatting sqref="B128:C128">
    <cfRule type="cellIs" dxfId="1135" priority="227" stopIfTrue="1" operator="equal">
      <formula>"Towel"</formula>
    </cfRule>
    <cfRule type="cellIs" dxfId="1134" priority="228" stopIfTrue="1" operator="equal">
      <formula>"Napkin Hs"</formula>
    </cfRule>
  </conditionalFormatting>
  <conditionalFormatting sqref="C128">
    <cfRule type="cellIs" dxfId="1133" priority="226" stopIfTrue="1" operator="equal">
      <formula>"Napkin Hs"</formula>
    </cfRule>
  </conditionalFormatting>
  <conditionalFormatting sqref="C128">
    <cfRule type="cellIs" dxfId="1132" priority="223" stopIfTrue="1" operator="equal">
      <formula>"Towel"</formula>
    </cfRule>
    <cfRule type="cellIs" dxfId="1131" priority="224" stopIfTrue="1" operator="equal">
      <formula>"Napkin Hs"</formula>
    </cfRule>
  </conditionalFormatting>
  <conditionalFormatting sqref="C128">
    <cfRule type="cellIs" dxfId="1130" priority="225" stopIfTrue="1" operator="equal">
      <formula>"Towel"</formula>
    </cfRule>
  </conditionalFormatting>
  <conditionalFormatting sqref="B128:C128">
    <cfRule type="cellIs" dxfId="1129" priority="221" stopIfTrue="1" operator="equal">
      <formula>"Towel"</formula>
    </cfRule>
    <cfRule type="cellIs" dxfId="1128" priority="222" stopIfTrue="1" operator="equal">
      <formula>"Napkin Hs"</formula>
    </cfRule>
  </conditionalFormatting>
  <conditionalFormatting sqref="C128">
    <cfRule type="cellIs" dxfId="1127" priority="220" stopIfTrue="1" operator="equal">
      <formula>"Napkin Hs"</formula>
    </cfRule>
  </conditionalFormatting>
  <conditionalFormatting sqref="C128">
    <cfRule type="cellIs" dxfId="1126" priority="217" stopIfTrue="1" operator="equal">
      <formula>"Towel"</formula>
    </cfRule>
    <cfRule type="cellIs" dxfId="1125" priority="218" stopIfTrue="1" operator="equal">
      <formula>"Napkin Hs"</formula>
    </cfRule>
  </conditionalFormatting>
  <conditionalFormatting sqref="C128">
    <cfRule type="cellIs" dxfId="1124" priority="219" stopIfTrue="1" operator="equal">
      <formula>"Towel"</formula>
    </cfRule>
  </conditionalFormatting>
  <conditionalFormatting sqref="B132:C132">
    <cfRule type="cellIs" dxfId="1123" priority="209" stopIfTrue="1" operator="equal">
      <formula>"Towel"</formula>
    </cfRule>
    <cfRule type="cellIs" dxfId="1122" priority="210" stopIfTrue="1" operator="equal">
      <formula>"Napkin Hs"</formula>
    </cfRule>
  </conditionalFormatting>
  <conditionalFormatting sqref="C132">
    <cfRule type="cellIs" dxfId="1121" priority="208" stopIfTrue="1" operator="equal">
      <formula>"Napkin Hs"</formula>
    </cfRule>
  </conditionalFormatting>
  <conditionalFormatting sqref="C132">
    <cfRule type="cellIs" dxfId="1120" priority="205" stopIfTrue="1" operator="equal">
      <formula>"Towel"</formula>
    </cfRule>
    <cfRule type="cellIs" dxfId="1119" priority="206" stopIfTrue="1" operator="equal">
      <formula>"Napkin Hs"</formula>
    </cfRule>
  </conditionalFormatting>
  <conditionalFormatting sqref="C132">
    <cfRule type="cellIs" dxfId="1118" priority="207" stopIfTrue="1" operator="equal">
      <formula>"Towel"</formula>
    </cfRule>
  </conditionalFormatting>
  <conditionalFormatting sqref="B126:C126">
    <cfRule type="cellIs" dxfId="1117" priority="203" stopIfTrue="1" operator="equal">
      <formula>"Towel"</formula>
    </cfRule>
    <cfRule type="cellIs" dxfId="1116" priority="204" stopIfTrue="1" operator="equal">
      <formula>"Napkin Hs"</formula>
    </cfRule>
  </conditionalFormatting>
  <conditionalFormatting sqref="C126">
    <cfRule type="cellIs" dxfId="1115" priority="202" stopIfTrue="1" operator="equal">
      <formula>"Napkin Hs"</formula>
    </cfRule>
  </conditionalFormatting>
  <conditionalFormatting sqref="C126">
    <cfRule type="cellIs" dxfId="1114" priority="199" stopIfTrue="1" operator="equal">
      <formula>"Towel"</formula>
    </cfRule>
    <cfRule type="cellIs" dxfId="1113" priority="200" stopIfTrue="1" operator="equal">
      <formula>"Napkin Hs"</formula>
    </cfRule>
  </conditionalFormatting>
  <conditionalFormatting sqref="C126">
    <cfRule type="cellIs" dxfId="1112" priority="201" stopIfTrue="1" operator="equal">
      <formula>"Towel"</formula>
    </cfRule>
  </conditionalFormatting>
  <conditionalFormatting sqref="B131:C131">
    <cfRule type="cellIs" dxfId="1111" priority="197" stopIfTrue="1" operator="equal">
      <formula>"Towel"</formula>
    </cfRule>
    <cfRule type="cellIs" dxfId="1110" priority="198" stopIfTrue="1" operator="equal">
      <formula>"Napkin Hs"</formula>
    </cfRule>
  </conditionalFormatting>
  <conditionalFormatting sqref="C131">
    <cfRule type="cellIs" dxfId="1109" priority="196" stopIfTrue="1" operator="equal">
      <formula>"Napkin Hs"</formula>
    </cfRule>
  </conditionalFormatting>
  <conditionalFormatting sqref="C131">
    <cfRule type="cellIs" dxfId="1108" priority="193" stopIfTrue="1" operator="equal">
      <formula>"Towel"</formula>
    </cfRule>
    <cfRule type="cellIs" dxfId="1107" priority="194" stopIfTrue="1" operator="equal">
      <formula>"Napkin Hs"</formula>
    </cfRule>
  </conditionalFormatting>
  <conditionalFormatting sqref="C131">
    <cfRule type="cellIs" dxfId="1106" priority="195" stopIfTrue="1" operator="equal">
      <formula>"Towel"</formula>
    </cfRule>
  </conditionalFormatting>
  <conditionalFormatting sqref="B136:C136">
    <cfRule type="cellIs" dxfId="1105" priority="191" stopIfTrue="1" operator="equal">
      <formula>"Towel"</formula>
    </cfRule>
    <cfRule type="cellIs" dxfId="1104" priority="192" stopIfTrue="1" operator="equal">
      <formula>"Napkin Hs"</formula>
    </cfRule>
  </conditionalFormatting>
  <conditionalFormatting sqref="C136">
    <cfRule type="cellIs" dxfId="1103" priority="190" stopIfTrue="1" operator="equal">
      <formula>"Napkin Hs"</formula>
    </cfRule>
  </conditionalFormatting>
  <conditionalFormatting sqref="C136">
    <cfRule type="cellIs" dxfId="1102" priority="187" stopIfTrue="1" operator="equal">
      <formula>"Towel"</formula>
    </cfRule>
    <cfRule type="cellIs" dxfId="1101" priority="188" stopIfTrue="1" operator="equal">
      <formula>"Napkin Hs"</formula>
    </cfRule>
  </conditionalFormatting>
  <conditionalFormatting sqref="C136">
    <cfRule type="cellIs" dxfId="1100" priority="189" stopIfTrue="1" operator="equal">
      <formula>"Towel"</formula>
    </cfRule>
  </conditionalFormatting>
  <conditionalFormatting sqref="B135:C135">
    <cfRule type="cellIs" dxfId="1099" priority="185" stopIfTrue="1" operator="equal">
      <formula>"Towel"</formula>
    </cfRule>
    <cfRule type="cellIs" dxfId="1098" priority="186" stopIfTrue="1" operator="equal">
      <formula>"Napkin Hs"</formula>
    </cfRule>
  </conditionalFormatting>
  <conditionalFormatting sqref="C135">
    <cfRule type="cellIs" dxfId="1097" priority="184" stopIfTrue="1" operator="equal">
      <formula>"Napkin Hs"</formula>
    </cfRule>
  </conditionalFormatting>
  <conditionalFormatting sqref="C135">
    <cfRule type="cellIs" dxfId="1096" priority="181" stopIfTrue="1" operator="equal">
      <formula>"Towel"</formula>
    </cfRule>
    <cfRule type="cellIs" dxfId="1095" priority="182" stopIfTrue="1" operator="equal">
      <formula>"Napkin Hs"</formula>
    </cfRule>
  </conditionalFormatting>
  <conditionalFormatting sqref="C135">
    <cfRule type="cellIs" dxfId="1094" priority="183" stopIfTrue="1" operator="equal">
      <formula>"Towel"</formula>
    </cfRule>
  </conditionalFormatting>
  <conditionalFormatting sqref="B134:C134">
    <cfRule type="cellIs" dxfId="1093" priority="179" stopIfTrue="1" operator="equal">
      <formula>"Towel"</formula>
    </cfRule>
    <cfRule type="cellIs" dxfId="1092" priority="180" stopIfTrue="1" operator="equal">
      <formula>"Napkin Hs"</formula>
    </cfRule>
  </conditionalFormatting>
  <conditionalFormatting sqref="C134">
    <cfRule type="cellIs" dxfId="1091" priority="178" stopIfTrue="1" operator="equal">
      <formula>"Napkin Hs"</formula>
    </cfRule>
  </conditionalFormatting>
  <conditionalFormatting sqref="C134">
    <cfRule type="cellIs" dxfId="1090" priority="175" stopIfTrue="1" operator="equal">
      <formula>"Towel"</formula>
    </cfRule>
    <cfRule type="cellIs" dxfId="1089" priority="176" stopIfTrue="1" operator="equal">
      <formula>"Napkin Hs"</formula>
    </cfRule>
  </conditionalFormatting>
  <conditionalFormatting sqref="C134">
    <cfRule type="cellIs" dxfId="1088" priority="177" stopIfTrue="1" operator="equal">
      <formula>"Towel"</formula>
    </cfRule>
  </conditionalFormatting>
  <conditionalFormatting sqref="B134:C134">
    <cfRule type="cellIs" dxfId="1087" priority="173" stopIfTrue="1" operator="equal">
      <formula>"Towel"</formula>
    </cfRule>
    <cfRule type="cellIs" dxfId="1086" priority="174" stopIfTrue="1" operator="equal">
      <formula>"Napkin Hs"</formula>
    </cfRule>
  </conditionalFormatting>
  <conditionalFormatting sqref="C134">
    <cfRule type="cellIs" dxfId="1085" priority="172" stopIfTrue="1" operator="equal">
      <formula>"Napkin Hs"</formula>
    </cfRule>
  </conditionalFormatting>
  <conditionalFormatting sqref="C134">
    <cfRule type="cellIs" dxfId="1084" priority="169" stopIfTrue="1" operator="equal">
      <formula>"Towel"</formula>
    </cfRule>
    <cfRule type="cellIs" dxfId="1083" priority="170" stopIfTrue="1" operator="equal">
      <formula>"Napkin Hs"</formula>
    </cfRule>
  </conditionalFormatting>
  <conditionalFormatting sqref="C134">
    <cfRule type="cellIs" dxfId="1082" priority="171" stopIfTrue="1" operator="equal">
      <formula>"Towel"</formula>
    </cfRule>
  </conditionalFormatting>
  <conditionalFormatting sqref="B137:C138">
    <cfRule type="cellIs" dxfId="1081" priority="167" stopIfTrue="1" operator="equal">
      <formula>"Towel"</formula>
    </cfRule>
    <cfRule type="cellIs" dxfId="1080" priority="168" stopIfTrue="1" operator="equal">
      <formula>"Napkin Hs"</formula>
    </cfRule>
  </conditionalFormatting>
  <conditionalFormatting sqref="C137:C138">
    <cfRule type="cellIs" dxfId="1079" priority="166" stopIfTrue="1" operator="equal">
      <formula>"Napkin Hs"</formula>
    </cfRule>
  </conditionalFormatting>
  <conditionalFormatting sqref="C137:C138">
    <cfRule type="cellIs" dxfId="1078" priority="163" stopIfTrue="1" operator="equal">
      <formula>"Towel"</formula>
    </cfRule>
    <cfRule type="cellIs" dxfId="1077" priority="164" stopIfTrue="1" operator="equal">
      <formula>"Napkin Hs"</formula>
    </cfRule>
  </conditionalFormatting>
  <conditionalFormatting sqref="C137:C138">
    <cfRule type="cellIs" dxfId="1076" priority="165" stopIfTrue="1" operator="equal">
      <formula>"Towel"</formula>
    </cfRule>
  </conditionalFormatting>
  <conditionalFormatting sqref="B142:C142">
    <cfRule type="cellIs" dxfId="1075" priority="161" stopIfTrue="1" operator="equal">
      <formula>"Towel"</formula>
    </cfRule>
    <cfRule type="cellIs" dxfId="1074" priority="162" stopIfTrue="1" operator="equal">
      <formula>"Napkin Hs"</formula>
    </cfRule>
  </conditionalFormatting>
  <conditionalFormatting sqref="C142">
    <cfRule type="cellIs" dxfId="1073" priority="160" stopIfTrue="1" operator="equal">
      <formula>"Napkin Hs"</formula>
    </cfRule>
  </conditionalFormatting>
  <conditionalFormatting sqref="C142">
    <cfRule type="cellIs" dxfId="1072" priority="157" stopIfTrue="1" operator="equal">
      <formula>"Towel"</formula>
    </cfRule>
    <cfRule type="cellIs" dxfId="1071" priority="158" stopIfTrue="1" operator="equal">
      <formula>"Napkin Hs"</formula>
    </cfRule>
  </conditionalFormatting>
  <conditionalFormatting sqref="C142">
    <cfRule type="cellIs" dxfId="1070" priority="159" stopIfTrue="1" operator="equal">
      <formula>"Towel"</formula>
    </cfRule>
  </conditionalFormatting>
  <conditionalFormatting sqref="B141:C141">
    <cfRule type="cellIs" dxfId="1069" priority="155" stopIfTrue="1" operator="equal">
      <formula>"Towel"</formula>
    </cfRule>
    <cfRule type="cellIs" dxfId="1068" priority="156" stopIfTrue="1" operator="equal">
      <formula>"Napkin Hs"</formula>
    </cfRule>
  </conditionalFormatting>
  <conditionalFormatting sqref="C141">
    <cfRule type="cellIs" dxfId="1067" priority="154" stopIfTrue="1" operator="equal">
      <formula>"Napkin Hs"</formula>
    </cfRule>
  </conditionalFormatting>
  <conditionalFormatting sqref="C141">
    <cfRule type="cellIs" dxfId="1066" priority="151" stopIfTrue="1" operator="equal">
      <formula>"Towel"</formula>
    </cfRule>
    <cfRule type="cellIs" dxfId="1065" priority="152" stopIfTrue="1" operator="equal">
      <formula>"Napkin Hs"</formula>
    </cfRule>
  </conditionalFormatting>
  <conditionalFormatting sqref="C141">
    <cfRule type="cellIs" dxfId="1064" priority="153" stopIfTrue="1" operator="equal">
      <formula>"Towel"</formula>
    </cfRule>
  </conditionalFormatting>
  <conditionalFormatting sqref="B140:C140">
    <cfRule type="cellIs" dxfId="1063" priority="149" stopIfTrue="1" operator="equal">
      <formula>"Towel"</formula>
    </cfRule>
    <cfRule type="cellIs" dxfId="1062" priority="150" stopIfTrue="1" operator="equal">
      <formula>"Napkin Hs"</formula>
    </cfRule>
  </conditionalFormatting>
  <conditionalFormatting sqref="C140">
    <cfRule type="cellIs" dxfId="1061" priority="148" stopIfTrue="1" operator="equal">
      <formula>"Napkin Hs"</formula>
    </cfRule>
  </conditionalFormatting>
  <conditionalFormatting sqref="C140">
    <cfRule type="cellIs" dxfId="1060" priority="145" stopIfTrue="1" operator="equal">
      <formula>"Towel"</formula>
    </cfRule>
    <cfRule type="cellIs" dxfId="1059" priority="146" stopIfTrue="1" operator="equal">
      <formula>"Napkin Hs"</formula>
    </cfRule>
  </conditionalFormatting>
  <conditionalFormatting sqref="C140">
    <cfRule type="cellIs" dxfId="1058" priority="147" stopIfTrue="1" operator="equal">
      <formula>"Towel"</formula>
    </cfRule>
  </conditionalFormatting>
  <conditionalFormatting sqref="B140:C140">
    <cfRule type="cellIs" dxfId="1057" priority="143" stopIfTrue="1" operator="equal">
      <formula>"Towel"</formula>
    </cfRule>
    <cfRule type="cellIs" dxfId="1056" priority="144" stopIfTrue="1" operator="equal">
      <formula>"Napkin Hs"</formula>
    </cfRule>
  </conditionalFormatting>
  <conditionalFormatting sqref="C140">
    <cfRule type="cellIs" dxfId="1055" priority="142" stopIfTrue="1" operator="equal">
      <formula>"Napkin Hs"</formula>
    </cfRule>
  </conditionalFormatting>
  <conditionalFormatting sqref="C140">
    <cfRule type="cellIs" dxfId="1054" priority="139" stopIfTrue="1" operator="equal">
      <formula>"Towel"</formula>
    </cfRule>
    <cfRule type="cellIs" dxfId="1053" priority="140" stopIfTrue="1" operator="equal">
      <formula>"Napkin Hs"</formula>
    </cfRule>
  </conditionalFormatting>
  <conditionalFormatting sqref="C140">
    <cfRule type="cellIs" dxfId="1052" priority="141" stopIfTrue="1" operator="equal">
      <formula>"Towel"</formula>
    </cfRule>
  </conditionalFormatting>
  <conditionalFormatting sqref="B143:C143">
    <cfRule type="cellIs" dxfId="1051" priority="137" stopIfTrue="1" operator="equal">
      <formula>"Towel"</formula>
    </cfRule>
    <cfRule type="cellIs" dxfId="1050" priority="138" stopIfTrue="1" operator="equal">
      <formula>"Napkin Hs"</formula>
    </cfRule>
  </conditionalFormatting>
  <conditionalFormatting sqref="C143">
    <cfRule type="cellIs" dxfId="1049" priority="136" stopIfTrue="1" operator="equal">
      <formula>"Napkin Hs"</formula>
    </cfRule>
  </conditionalFormatting>
  <conditionalFormatting sqref="C143">
    <cfRule type="cellIs" dxfId="1048" priority="133" stopIfTrue="1" operator="equal">
      <formula>"Towel"</formula>
    </cfRule>
    <cfRule type="cellIs" dxfId="1047" priority="134" stopIfTrue="1" operator="equal">
      <formula>"Napkin Hs"</formula>
    </cfRule>
  </conditionalFormatting>
  <conditionalFormatting sqref="C143">
    <cfRule type="cellIs" dxfId="1046" priority="135" stopIfTrue="1" operator="equal">
      <formula>"Towel"</formula>
    </cfRule>
  </conditionalFormatting>
  <conditionalFormatting sqref="B147:C147">
    <cfRule type="cellIs" dxfId="1045" priority="131" stopIfTrue="1" operator="equal">
      <formula>"Towel"</formula>
    </cfRule>
    <cfRule type="cellIs" dxfId="1044" priority="132" stopIfTrue="1" operator="equal">
      <formula>"Napkin Hs"</formula>
    </cfRule>
  </conditionalFormatting>
  <conditionalFormatting sqref="C147">
    <cfRule type="cellIs" dxfId="1043" priority="130" stopIfTrue="1" operator="equal">
      <formula>"Napkin Hs"</formula>
    </cfRule>
  </conditionalFormatting>
  <conditionalFormatting sqref="C147">
    <cfRule type="cellIs" dxfId="1042" priority="127" stopIfTrue="1" operator="equal">
      <formula>"Towel"</formula>
    </cfRule>
    <cfRule type="cellIs" dxfId="1041" priority="128" stopIfTrue="1" operator="equal">
      <formula>"Napkin Hs"</formula>
    </cfRule>
  </conditionalFormatting>
  <conditionalFormatting sqref="C147">
    <cfRule type="cellIs" dxfId="1040" priority="129" stopIfTrue="1" operator="equal">
      <formula>"Towel"</formula>
    </cfRule>
  </conditionalFormatting>
  <conditionalFormatting sqref="B146:C146">
    <cfRule type="cellIs" dxfId="1039" priority="125" stopIfTrue="1" operator="equal">
      <formula>"Towel"</formula>
    </cfRule>
    <cfRule type="cellIs" dxfId="1038" priority="126" stopIfTrue="1" operator="equal">
      <formula>"Napkin Hs"</formula>
    </cfRule>
  </conditionalFormatting>
  <conditionalFormatting sqref="C146">
    <cfRule type="cellIs" dxfId="1037" priority="124" stopIfTrue="1" operator="equal">
      <formula>"Napkin Hs"</formula>
    </cfRule>
  </conditionalFormatting>
  <conditionalFormatting sqref="C146">
    <cfRule type="cellIs" dxfId="1036" priority="121" stopIfTrue="1" operator="equal">
      <formula>"Towel"</formula>
    </cfRule>
    <cfRule type="cellIs" dxfId="1035" priority="122" stopIfTrue="1" operator="equal">
      <formula>"Napkin Hs"</formula>
    </cfRule>
  </conditionalFormatting>
  <conditionalFormatting sqref="C146">
    <cfRule type="cellIs" dxfId="1034" priority="123" stopIfTrue="1" operator="equal">
      <formula>"Towel"</formula>
    </cfRule>
  </conditionalFormatting>
  <conditionalFormatting sqref="B145:C145">
    <cfRule type="cellIs" dxfId="1033" priority="119" stopIfTrue="1" operator="equal">
      <formula>"Towel"</formula>
    </cfRule>
    <cfRule type="cellIs" dxfId="1032" priority="120" stopIfTrue="1" operator="equal">
      <formula>"Napkin Hs"</formula>
    </cfRule>
  </conditionalFormatting>
  <conditionalFormatting sqref="C145">
    <cfRule type="cellIs" dxfId="1031" priority="118" stopIfTrue="1" operator="equal">
      <formula>"Napkin Hs"</formula>
    </cfRule>
  </conditionalFormatting>
  <conditionalFormatting sqref="C145">
    <cfRule type="cellIs" dxfId="1030" priority="115" stopIfTrue="1" operator="equal">
      <formula>"Towel"</formula>
    </cfRule>
    <cfRule type="cellIs" dxfId="1029" priority="116" stopIfTrue="1" operator="equal">
      <formula>"Napkin Hs"</formula>
    </cfRule>
  </conditionalFormatting>
  <conditionalFormatting sqref="C145">
    <cfRule type="cellIs" dxfId="1028" priority="117" stopIfTrue="1" operator="equal">
      <formula>"Towel"</formula>
    </cfRule>
  </conditionalFormatting>
  <conditionalFormatting sqref="B145:C145">
    <cfRule type="cellIs" dxfId="1027" priority="113" stopIfTrue="1" operator="equal">
      <formula>"Towel"</formula>
    </cfRule>
    <cfRule type="cellIs" dxfId="1026" priority="114" stopIfTrue="1" operator="equal">
      <formula>"Napkin Hs"</formula>
    </cfRule>
  </conditionalFormatting>
  <conditionalFormatting sqref="C145">
    <cfRule type="cellIs" dxfId="1025" priority="112" stopIfTrue="1" operator="equal">
      <formula>"Napkin Hs"</formula>
    </cfRule>
  </conditionalFormatting>
  <conditionalFormatting sqref="C145">
    <cfRule type="cellIs" dxfId="1024" priority="109" stopIfTrue="1" operator="equal">
      <formula>"Towel"</formula>
    </cfRule>
    <cfRule type="cellIs" dxfId="1023" priority="110" stopIfTrue="1" operator="equal">
      <formula>"Napkin Hs"</formula>
    </cfRule>
  </conditionalFormatting>
  <conditionalFormatting sqref="C145">
    <cfRule type="cellIs" dxfId="1022" priority="111" stopIfTrue="1" operator="equal">
      <formula>"Towel"</formula>
    </cfRule>
  </conditionalFormatting>
  <conditionalFormatting sqref="B148:C148">
    <cfRule type="cellIs" dxfId="1021" priority="107" stopIfTrue="1" operator="equal">
      <formula>"Towel"</formula>
    </cfRule>
    <cfRule type="cellIs" dxfId="1020" priority="108" stopIfTrue="1" operator="equal">
      <formula>"Napkin Hs"</formula>
    </cfRule>
  </conditionalFormatting>
  <conditionalFormatting sqref="C148">
    <cfRule type="cellIs" dxfId="1019" priority="106" stopIfTrue="1" operator="equal">
      <formula>"Napkin Hs"</formula>
    </cfRule>
  </conditionalFormatting>
  <conditionalFormatting sqref="C148">
    <cfRule type="cellIs" dxfId="1018" priority="103" stopIfTrue="1" operator="equal">
      <formula>"Towel"</formula>
    </cfRule>
    <cfRule type="cellIs" dxfId="1017" priority="104" stopIfTrue="1" operator="equal">
      <formula>"Napkin Hs"</formula>
    </cfRule>
  </conditionalFormatting>
  <conditionalFormatting sqref="C148">
    <cfRule type="cellIs" dxfId="1016" priority="105" stopIfTrue="1" operator="equal">
      <formula>"Towel"</formula>
    </cfRule>
  </conditionalFormatting>
  <conditionalFormatting sqref="B152:C152">
    <cfRule type="cellIs" dxfId="1015" priority="101" stopIfTrue="1" operator="equal">
      <formula>"Towel"</formula>
    </cfRule>
    <cfRule type="cellIs" dxfId="1014" priority="102" stopIfTrue="1" operator="equal">
      <formula>"Napkin Hs"</formula>
    </cfRule>
  </conditionalFormatting>
  <conditionalFormatting sqref="C152">
    <cfRule type="cellIs" dxfId="1013" priority="100" stopIfTrue="1" operator="equal">
      <formula>"Napkin Hs"</formula>
    </cfRule>
  </conditionalFormatting>
  <conditionalFormatting sqref="C152">
    <cfRule type="cellIs" dxfId="1012" priority="97" stopIfTrue="1" operator="equal">
      <formula>"Towel"</formula>
    </cfRule>
    <cfRule type="cellIs" dxfId="1011" priority="98" stopIfTrue="1" operator="equal">
      <formula>"Napkin Hs"</formula>
    </cfRule>
  </conditionalFormatting>
  <conditionalFormatting sqref="C152">
    <cfRule type="cellIs" dxfId="1010" priority="99" stopIfTrue="1" operator="equal">
      <formula>"Towel"</formula>
    </cfRule>
  </conditionalFormatting>
  <conditionalFormatting sqref="B150:C151">
    <cfRule type="cellIs" dxfId="1009" priority="89" stopIfTrue="1" operator="equal">
      <formula>"Towel"</formula>
    </cfRule>
    <cfRule type="cellIs" dxfId="1008" priority="90" stopIfTrue="1" operator="equal">
      <formula>"Napkin Hs"</formula>
    </cfRule>
  </conditionalFormatting>
  <conditionalFormatting sqref="C150:C151">
    <cfRule type="cellIs" dxfId="1007" priority="88" stopIfTrue="1" operator="equal">
      <formula>"Napkin Hs"</formula>
    </cfRule>
  </conditionalFormatting>
  <conditionalFormatting sqref="C150:C151">
    <cfRule type="cellIs" dxfId="1006" priority="85" stopIfTrue="1" operator="equal">
      <formula>"Towel"</formula>
    </cfRule>
    <cfRule type="cellIs" dxfId="1005" priority="86" stopIfTrue="1" operator="equal">
      <formula>"Napkin Hs"</formula>
    </cfRule>
  </conditionalFormatting>
  <conditionalFormatting sqref="C150:C151">
    <cfRule type="cellIs" dxfId="1004" priority="87" stopIfTrue="1" operator="equal">
      <formula>"Towel"</formula>
    </cfRule>
  </conditionalFormatting>
  <conditionalFormatting sqref="B150:C151">
    <cfRule type="cellIs" dxfId="1003" priority="83" stopIfTrue="1" operator="equal">
      <formula>"Towel"</formula>
    </cfRule>
    <cfRule type="cellIs" dxfId="1002" priority="84" stopIfTrue="1" operator="equal">
      <formula>"Napkin Hs"</formula>
    </cfRule>
  </conditionalFormatting>
  <conditionalFormatting sqref="C150:C151">
    <cfRule type="cellIs" dxfId="1001" priority="82" stopIfTrue="1" operator="equal">
      <formula>"Napkin Hs"</formula>
    </cfRule>
  </conditionalFormatting>
  <conditionalFormatting sqref="C150:C151">
    <cfRule type="cellIs" dxfId="1000" priority="79" stopIfTrue="1" operator="equal">
      <formula>"Towel"</formula>
    </cfRule>
    <cfRule type="cellIs" dxfId="999" priority="80" stopIfTrue="1" operator="equal">
      <formula>"Napkin Hs"</formula>
    </cfRule>
  </conditionalFormatting>
  <conditionalFormatting sqref="C150:C151">
    <cfRule type="cellIs" dxfId="998" priority="81" stopIfTrue="1" operator="equal">
      <formula>"Towel"</formula>
    </cfRule>
  </conditionalFormatting>
  <conditionalFormatting sqref="B153:C153">
    <cfRule type="cellIs" dxfId="997" priority="77" stopIfTrue="1" operator="equal">
      <formula>"Towel"</formula>
    </cfRule>
    <cfRule type="cellIs" dxfId="996" priority="78" stopIfTrue="1" operator="equal">
      <formula>"Napkin Hs"</formula>
    </cfRule>
  </conditionalFormatting>
  <conditionalFormatting sqref="C153">
    <cfRule type="cellIs" dxfId="995" priority="76" stopIfTrue="1" operator="equal">
      <formula>"Napkin Hs"</formula>
    </cfRule>
  </conditionalFormatting>
  <conditionalFormatting sqref="C153">
    <cfRule type="cellIs" dxfId="994" priority="73" stopIfTrue="1" operator="equal">
      <formula>"Towel"</formula>
    </cfRule>
    <cfRule type="cellIs" dxfId="993" priority="74" stopIfTrue="1" operator="equal">
      <formula>"Napkin Hs"</formula>
    </cfRule>
  </conditionalFormatting>
  <conditionalFormatting sqref="C153">
    <cfRule type="cellIs" dxfId="992" priority="75" stopIfTrue="1" operator="equal">
      <formula>"Towel"</formula>
    </cfRule>
  </conditionalFormatting>
  <conditionalFormatting sqref="B157:C158">
    <cfRule type="cellIs" dxfId="991" priority="71" stopIfTrue="1" operator="equal">
      <formula>"Towel"</formula>
    </cfRule>
    <cfRule type="cellIs" dxfId="990" priority="72" stopIfTrue="1" operator="equal">
      <formula>"Napkin Hs"</formula>
    </cfRule>
  </conditionalFormatting>
  <conditionalFormatting sqref="C157:C158">
    <cfRule type="cellIs" dxfId="989" priority="70" stopIfTrue="1" operator="equal">
      <formula>"Napkin Hs"</formula>
    </cfRule>
  </conditionalFormatting>
  <conditionalFormatting sqref="C157:C158">
    <cfRule type="cellIs" dxfId="988" priority="67" stopIfTrue="1" operator="equal">
      <formula>"Towel"</formula>
    </cfRule>
    <cfRule type="cellIs" dxfId="987" priority="68" stopIfTrue="1" operator="equal">
      <formula>"Napkin Hs"</formula>
    </cfRule>
  </conditionalFormatting>
  <conditionalFormatting sqref="C157:C158">
    <cfRule type="cellIs" dxfId="986" priority="69" stopIfTrue="1" operator="equal">
      <formula>"Towel"</formula>
    </cfRule>
  </conditionalFormatting>
  <conditionalFormatting sqref="B156:C156">
    <cfRule type="cellIs" dxfId="985" priority="65" stopIfTrue="1" operator="equal">
      <formula>"Towel"</formula>
    </cfRule>
    <cfRule type="cellIs" dxfId="984" priority="66" stopIfTrue="1" operator="equal">
      <formula>"Napkin Hs"</formula>
    </cfRule>
  </conditionalFormatting>
  <conditionalFormatting sqref="C156">
    <cfRule type="cellIs" dxfId="983" priority="64" stopIfTrue="1" operator="equal">
      <formula>"Napkin Hs"</formula>
    </cfRule>
  </conditionalFormatting>
  <conditionalFormatting sqref="C156">
    <cfRule type="cellIs" dxfId="982" priority="61" stopIfTrue="1" operator="equal">
      <formula>"Towel"</formula>
    </cfRule>
    <cfRule type="cellIs" dxfId="981" priority="62" stopIfTrue="1" operator="equal">
      <formula>"Napkin Hs"</formula>
    </cfRule>
  </conditionalFormatting>
  <conditionalFormatting sqref="C156">
    <cfRule type="cellIs" dxfId="980" priority="63" stopIfTrue="1" operator="equal">
      <formula>"Towel"</formula>
    </cfRule>
  </conditionalFormatting>
  <conditionalFormatting sqref="B156:C156">
    <cfRule type="cellIs" dxfId="979" priority="59" stopIfTrue="1" operator="equal">
      <formula>"Towel"</formula>
    </cfRule>
    <cfRule type="cellIs" dxfId="978" priority="60" stopIfTrue="1" operator="equal">
      <formula>"Napkin Hs"</formula>
    </cfRule>
  </conditionalFormatting>
  <conditionalFormatting sqref="C156">
    <cfRule type="cellIs" dxfId="977" priority="58" stopIfTrue="1" operator="equal">
      <formula>"Napkin Hs"</formula>
    </cfRule>
  </conditionalFormatting>
  <conditionalFormatting sqref="C156">
    <cfRule type="cellIs" dxfId="976" priority="55" stopIfTrue="1" operator="equal">
      <formula>"Towel"</formula>
    </cfRule>
    <cfRule type="cellIs" dxfId="975" priority="56" stopIfTrue="1" operator="equal">
      <formula>"Napkin Hs"</formula>
    </cfRule>
  </conditionalFormatting>
  <conditionalFormatting sqref="C156">
    <cfRule type="cellIs" dxfId="974" priority="57" stopIfTrue="1" operator="equal">
      <formula>"Towel"</formula>
    </cfRule>
  </conditionalFormatting>
  <conditionalFormatting sqref="B159:C159">
    <cfRule type="cellIs" dxfId="973" priority="53" stopIfTrue="1" operator="equal">
      <formula>"Towel"</formula>
    </cfRule>
    <cfRule type="cellIs" dxfId="972" priority="54" stopIfTrue="1" operator="equal">
      <formula>"Napkin Hs"</formula>
    </cfRule>
  </conditionalFormatting>
  <conditionalFormatting sqref="C159">
    <cfRule type="cellIs" dxfId="971" priority="52" stopIfTrue="1" operator="equal">
      <formula>"Napkin Hs"</formula>
    </cfRule>
  </conditionalFormatting>
  <conditionalFormatting sqref="C159">
    <cfRule type="cellIs" dxfId="970" priority="49" stopIfTrue="1" operator="equal">
      <formula>"Towel"</formula>
    </cfRule>
    <cfRule type="cellIs" dxfId="969" priority="50" stopIfTrue="1" operator="equal">
      <formula>"Napkin Hs"</formula>
    </cfRule>
  </conditionalFormatting>
  <conditionalFormatting sqref="C159">
    <cfRule type="cellIs" dxfId="968" priority="51" stopIfTrue="1" operator="equal">
      <formula>"Towel"</formula>
    </cfRule>
  </conditionalFormatting>
  <conditionalFormatting sqref="B155:C155">
    <cfRule type="cellIs" dxfId="967" priority="47" stopIfTrue="1" operator="equal">
      <formula>"Towel"</formula>
    </cfRule>
    <cfRule type="cellIs" dxfId="966" priority="48" stopIfTrue="1" operator="equal">
      <formula>"Napkin Hs"</formula>
    </cfRule>
  </conditionalFormatting>
  <conditionalFormatting sqref="C155">
    <cfRule type="cellIs" dxfId="965" priority="46" stopIfTrue="1" operator="equal">
      <formula>"Napkin Hs"</formula>
    </cfRule>
  </conditionalFormatting>
  <conditionalFormatting sqref="C155">
    <cfRule type="cellIs" dxfId="964" priority="43" stopIfTrue="1" operator="equal">
      <formula>"Towel"</formula>
    </cfRule>
    <cfRule type="cellIs" dxfId="963" priority="44" stopIfTrue="1" operator="equal">
      <formula>"Napkin Hs"</formula>
    </cfRule>
  </conditionalFormatting>
  <conditionalFormatting sqref="C155">
    <cfRule type="cellIs" dxfId="962" priority="45" stopIfTrue="1" operator="equal">
      <formula>"Towel"</formula>
    </cfRule>
  </conditionalFormatting>
  <conditionalFormatting sqref="B155:C155">
    <cfRule type="cellIs" dxfId="961" priority="41" stopIfTrue="1" operator="equal">
      <formula>"Towel"</formula>
    </cfRule>
    <cfRule type="cellIs" dxfId="960" priority="42" stopIfTrue="1" operator="equal">
      <formula>"Napkin Hs"</formula>
    </cfRule>
  </conditionalFormatting>
  <conditionalFormatting sqref="C155">
    <cfRule type="cellIs" dxfId="959" priority="40" stopIfTrue="1" operator="equal">
      <formula>"Napkin Hs"</formula>
    </cfRule>
  </conditionalFormatting>
  <conditionalFormatting sqref="C155">
    <cfRule type="cellIs" dxfId="958" priority="37" stopIfTrue="1" operator="equal">
      <formula>"Towel"</formula>
    </cfRule>
    <cfRule type="cellIs" dxfId="957" priority="38" stopIfTrue="1" operator="equal">
      <formula>"Napkin Hs"</formula>
    </cfRule>
  </conditionalFormatting>
  <conditionalFormatting sqref="C155">
    <cfRule type="cellIs" dxfId="956" priority="39" stopIfTrue="1" operator="equal">
      <formula>"Towel"</formula>
    </cfRule>
  </conditionalFormatting>
  <conditionalFormatting sqref="B163:C163">
    <cfRule type="cellIs" dxfId="955" priority="35" stopIfTrue="1" operator="equal">
      <formula>"Towel"</formula>
    </cfRule>
    <cfRule type="cellIs" dxfId="954" priority="36" stopIfTrue="1" operator="equal">
      <formula>"Napkin Hs"</formula>
    </cfRule>
  </conditionalFormatting>
  <conditionalFormatting sqref="C163">
    <cfRule type="cellIs" dxfId="953" priority="34" stopIfTrue="1" operator="equal">
      <formula>"Napkin Hs"</formula>
    </cfRule>
  </conditionalFormatting>
  <conditionalFormatting sqref="C163">
    <cfRule type="cellIs" dxfId="952" priority="31" stopIfTrue="1" operator="equal">
      <formula>"Towel"</formula>
    </cfRule>
    <cfRule type="cellIs" dxfId="951" priority="32" stopIfTrue="1" operator="equal">
      <formula>"Napkin Hs"</formula>
    </cfRule>
  </conditionalFormatting>
  <conditionalFormatting sqref="C163">
    <cfRule type="cellIs" dxfId="950" priority="33" stopIfTrue="1" operator="equal">
      <formula>"Towel"</formula>
    </cfRule>
  </conditionalFormatting>
  <conditionalFormatting sqref="B161:C162">
    <cfRule type="cellIs" dxfId="949" priority="17" stopIfTrue="1" operator="equal">
      <formula>"Towel"</formula>
    </cfRule>
    <cfRule type="cellIs" dxfId="948" priority="18" stopIfTrue="1" operator="equal">
      <formula>"Napkin Hs"</formula>
    </cfRule>
  </conditionalFormatting>
  <conditionalFormatting sqref="C161:C162">
    <cfRule type="cellIs" dxfId="947" priority="16" stopIfTrue="1" operator="equal">
      <formula>"Napkin Hs"</formula>
    </cfRule>
  </conditionalFormatting>
  <conditionalFormatting sqref="C161:C162">
    <cfRule type="cellIs" dxfId="946" priority="13" stopIfTrue="1" operator="equal">
      <formula>"Towel"</formula>
    </cfRule>
    <cfRule type="cellIs" dxfId="945" priority="14" stopIfTrue="1" operator="equal">
      <formula>"Napkin Hs"</formula>
    </cfRule>
  </conditionalFormatting>
  <conditionalFormatting sqref="C161:C162">
    <cfRule type="cellIs" dxfId="944" priority="15" stopIfTrue="1" operator="equal">
      <formula>"Towel"</formula>
    </cfRule>
  </conditionalFormatting>
  <conditionalFormatting sqref="B161:C162">
    <cfRule type="cellIs" dxfId="943" priority="11" stopIfTrue="1" operator="equal">
      <formula>"Towel"</formula>
    </cfRule>
    <cfRule type="cellIs" dxfId="942" priority="12" stopIfTrue="1" operator="equal">
      <formula>"Napkin Hs"</formula>
    </cfRule>
  </conditionalFormatting>
  <conditionalFormatting sqref="C161:C162">
    <cfRule type="cellIs" dxfId="941" priority="10" stopIfTrue="1" operator="equal">
      <formula>"Napkin Hs"</formula>
    </cfRule>
  </conditionalFormatting>
  <conditionalFormatting sqref="C161:C162">
    <cfRule type="cellIs" dxfId="940" priority="7" stopIfTrue="1" operator="equal">
      <formula>"Towel"</formula>
    </cfRule>
    <cfRule type="cellIs" dxfId="939" priority="8" stopIfTrue="1" operator="equal">
      <formula>"Napkin Hs"</formula>
    </cfRule>
  </conditionalFormatting>
  <conditionalFormatting sqref="C161:C162">
    <cfRule type="cellIs" dxfId="938" priority="9" stopIfTrue="1" operator="equal">
      <formula>"Towel"</formula>
    </cfRule>
  </conditionalFormatting>
  <conditionalFormatting sqref="B164:C164">
    <cfRule type="cellIs" dxfId="937" priority="5" stopIfTrue="1" operator="equal">
      <formula>"Towel"</formula>
    </cfRule>
    <cfRule type="cellIs" dxfId="936" priority="6" stopIfTrue="1" operator="equal">
      <formula>"Napkin Hs"</formula>
    </cfRule>
  </conditionalFormatting>
  <conditionalFormatting sqref="C164">
    <cfRule type="cellIs" dxfId="935" priority="4" stopIfTrue="1" operator="equal">
      <formula>"Napkin Hs"</formula>
    </cfRule>
  </conditionalFormatting>
  <conditionalFormatting sqref="C164">
    <cfRule type="cellIs" dxfId="934" priority="1" stopIfTrue="1" operator="equal">
      <formula>"Towel"</formula>
    </cfRule>
    <cfRule type="cellIs" dxfId="933" priority="2" stopIfTrue="1" operator="equal">
      <formula>"Napkin Hs"</formula>
    </cfRule>
  </conditionalFormatting>
  <conditionalFormatting sqref="C164">
    <cfRule type="cellIs" dxfId="932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253"/>
  <sheetViews>
    <sheetView zoomScale="90" zoomScaleNormal="90" workbookViewId="0">
      <pane xSplit="6" ySplit="6" topLeftCell="S163" activePane="bottomRight" state="frozen"/>
      <selection pane="topRight" activeCell="F1" sqref="F1"/>
      <selection pane="bottomLeft" activeCell="A7" sqref="A7"/>
      <selection pane="bottomRight" activeCell="AD6" sqref="AD6:AE165"/>
    </sheetView>
  </sheetViews>
  <sheetFormatPr defaultColWidth="10.28515625" defaultRowHeight="12"/>
  <cols>
    <col min="1" max="1" width="12.28515625" style="28" customWidth="1"/>
    <col min="2" max="3" width="14.140625" style="28" customWidth="1"/>
    <col min="4" max="4" width="10.28515625" style="28" customWidth="1"/>
    <col min="5" max="5" width="7.5703125" style="28" bestFit="1" customWidth="1"/>
    <col min="6" max="6" width="7" style="53" customWidth="1"/>
    <col min="7" max="9" width="10.28515625" style="28" customWidth="1"/>
    <col min="10" max="11" width="10.28515625" style="82" customWidth="1"/>
    <col min="12" max="13" width="12.7109375" style="54" customWidth="1"/>
    <col min="14" max="15" width="10.28515625" style="28" customWidth="1"/>
    <col min="16" max="16" width="16.85546875" style="28" customWidth="1"/>
    <col min="17" max="17" width="12.7109375" style="330" customWidth="1"/>
    <col min="18" max="18" width="12.7109375" style="28" customWidth="1"/>
    <col min="19" max="19" width="12" style="28" customWidth="1"/>
    <col min="20" max="20" width="10.7109375" style="28" customWidth="1"/>
    <col min="21" max="21" width="11.85546875" style="28" customWidth="1"/>
    <col min="22" max="22" width="12.28515625" style="28" customWidth="1"/>
    <col min="23" max="23" width="13" style="28" customWidth="1"/>
    <col min="24" max="24" width="10.28515625" style="28" customWidth="1"/>
    <col min="25" max="25" width="10.140625" style="28" customWidth="1"/>
    <col min="26" max="28" width="10.28515625" style="28" customWidth="1"/>
    <col min="29" max="29" width="17.7109375" style="28" customWidth="1"/>
    <col min="30" max="30" width="11.42578125" style="28" customWidth="1"/>
    <col min="31" max="31" width="41.42578125" style="28" customWidth="1"/>
    <col min="32" max="38" width="10.28515625" style="28" customWidth="1"/>
    <col min="39" max="39" width="11.7109375" style="28" customWidth="1"/>
    <col min="40" max="41" width="10.28515625" style="28" customWidth="1"/>
    <col min="42" max="43" width="12.42578125" style="28" customWidth="1"/>
    <col min="44" max="44" width="29.7109375" style="28" customWidth="1"/>
    <col min="45" max="55" width="10.28515625" style="28" customWidth="1"/>
    <col min="56" max="16384" width="10.28515625" style="28"/>
  </cols>
  <sheetData>
    <row r="1" spans="1:60" s="21" customFormat="1" ht="15.75">
      <c r="A1" s="20" t="s">
        <v>187</v>
      </c>
      <c r="G1" s="22"/>
      <c r="H1" s="22"/>
      <c r="I1" s="22"/>
      <c r="J1" s="79"/>
      <c r="K1" s="79"/>
      <c r="L1" s="23"/>
      <c r="M1" s="23"/>
      <c r="O1" s="22"/>
      <c r="P1" s="24"/>
      <c r="Q1" s="22"/>
      <c r="R1" s="24"/>
      <c r="S1" s="24"/>
      <c r="W1" s="24"/>
      <c r="X1" s="25"/>
      <c r="Y1" s="25"/>
      <c r="Z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</row>
    <row r="2" spans="1:60" s="21" customFormat="1">
      <c r="A2" s="89"/>
      <c r="G2" s="22"/>
      <c r="H2" s="22"/>
      <c r="I2" s="22"/>
      <c r="J2" s="79"/>
      <c r="K2" s="79"/>
      <c r="L2" s="23"/>
      <c r="M2" s="23"/>
      <c r="O2" s="22"/>
      <c r="P2" s="24"/>
      <c r="Q2" s="22"/>
      <c r="R2" s="24"/>
      <c r="S2" s="24"/>
      <c r="W2" s="24"/>
      <c r="X2" s="25"/>
      <c r="Y2" s="25"/>
      <c r="Z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</row>
    <row r="3" spans="1:60" ht="24" customHeight="1">
      <c r="A3" s="644" t="s">
        <v>7</v>
      </c>
      <c r="B3" s="644" t="s">
        <v>8</v>
      </c>
      <c r="C3" s="644" t="s">
        <v>182</v>
      </c>
      <c r="D3" s="644" t="s">
        <v>90</v>
      </c>
      <c r="E3" s="644" t="s">
        <v>91</v>
      </c>
      <c r="F3" s="644" t="s">
        <v>92</v>
      </c>
      <c r="G3" s="657" t="s">
        <v>93</v>
      </c>
      <c r="H3" s="658"/>
      <c r="I3" s="658"/>
      <c r="J3" s="658"/>
      <c r="K3" s="659"/>
      <c r="L3" s="663" t="s">
        <v>94</v>
      </c>
      <c r="M3" s="664"/>
      <c r="N3" s="665"/>
      <c r="O3" s="669" t="s">
        <v>95</v>
      </c>
      <c r="P3" s="656" t="s">
        <v>107</v>
      </c>
      <c r="Q3" s="669" t="s">
        <v>96</v>
      </c>
      <c r="R3" s="642" t="s">
        <v>97</v>
      </c>
      <c r="S3" s="642" t="s">
        <v>98</v>
      </c>
      <c r="T3" s="644" t="s">
        <v>154</v>
      </c>
      <c r="U3" s="644" t="s">
        <v>153</v>
      </c>
      <c r="V3" s="644" t="s">
        <v>155</v>
      </c>
      <c r="W3" s="642" t="s">
        <v>143</v>
      </c>
      <c r="X3" s="649" t="s">
        <v>100</v>
      </c>
      <c r="Y3" s="649" t="s">
        <v>294</v>
      </c>
      <c r="Z3" s="642" t="s">
        <v>101</v>
      </c>
      <c r="AA3" s="644" t="s">
        <v>156</v>
      </c>
      <c r="AB3" s="644" t="s">
        <v>167</v>
      </c>
      <c r="AC3" s="644" t="s">
        <v>165</v>
      </c>
      <c r="AD3" s="644" t="s">
        <v>125</v>
      </c>
      <c r="AE3" s="644" t="s">
        <v>126</v>
      </c>
      <c r="AF3" s="684" t="s">
        <v>127</v>
      </c>
      <c r="AG3" s="684"/>
      <c r="AH3" s="684"/>
      <c r="AI3" s="684"/>
      <c r="AJ3" s="684"/>
      <c r="AK3" s="684"/>
      <c r="AL3" s="684"/>
      <c r="AM3" s="681" t="s">
        <v>128</v>
      </c>
      <c r="AN3" s="691" t="s">
        <v>102</v>
      </c>
      <c r="AO3" s="691"/>
      <c r="AP3" s="691"/>
      <c r="AQ3" s="691"/>
      <c r="AR3" s="691"/>
      <c r="AS3" s="692" t="s">
        <v>103</v>
      </c>
      <c r="AT3" s="677" t="s">
        <v>290</v>
      </c>
      <c r="AU3" s="678"/>
      <c r="AV3" s="687" t="s">
        <v>129</v>
      </c>
      <c r="AW3" s="688"/>
      <c r="AX3" s="689" t="s">
        <v>129</v>
      </c>
      <c r="AY3" s="690"/>
      <c r="AZ3" s="685" t="s">
        <v>129</v>
      </c>
      <c r="BA3" s="686"/>
      <c r="BB3" s="671" t="s">
        <v>306</v>
      </c>
      <c r="BC3" s="676" t="s">
        <v>104</v>
      </c>
      <c r="BD3" s="640" t="s">
        <v>105</v>
      </c>
      <c r="BE3" s="640" t="s">
        <v>106</v>
      </c>
      <c r="BF3" s="634" t="s">
        <v>396</v>
      </c>
      <c r="BG3" s="637" t="s">
        <v>397</v>
      </c>
      <c r="BH3" s="640" t="s">
        <v>398</v>
      </c>
    </row>
    <row r="4" spans="1:60" ht="12" customHeight="1">
      <c r="A4" s="645"/>
      <c r="B4" s="645"/>
      <c r="C4" s="645"/>
      <c r="D4" s="645"/>
      <c r="E4" s="645"/>
      <c r="F4" s="645"/>
      <c r="G4" s="660"/>
      <c r="H4" s="661"/>
      <c r="I4" s="661"/>
      <c r="J4" s="661"/>
      <c r="K4" s="662"/>
      <c r="L4" s="666"/>
      <c r="M4" s="667"/>
      <c r="N4" s="668"/>
      <c r="O4" s="670"/>
      <c r="P4" s="652"/>
      <c r="Q4" s="670"/>
      <c r="R4" s="643"/>
      <c r="S4" s="643"/>
      <c r="T4" s="645"/>
      <c r="U4" s="645"/>
      <c r="V4" s="645"/>
      <c r="W4" s="643"/>
      <c r="X4" s="650"/>
      <c r="Y4" s="650"/>
      <c r="Z4" s="643"/>
      <c r="AA4" s="645"/>
      <c r="AB4" s="645"/>
      <c r="AC4" s="645"/>
      <c r="AD4" s="645"/>
      <c r="AE4" s="645"/>
      <c r="AF4" s="646" t="s">
        <v>130</v>
      </c>
      <c r="AG4" s="647"/>
      <c r="AH4" s="648"/>
      <c r="AI4" s="652" t="s">
        <v>380</v>
      </c>
      <c r="AJ4" s="652" t="s">
        <v>14</v>
      </c>
      <c r="AK4" s="652" t="s">
        <v>131</v>
      </c>
      <c r="AL4" s="652" t="s">
        <v>17</v>
      </c>
      <c r="AM4" s="682"/>
      <c r="AN4" s="655" t="s">
        <v>108</v>
      </c>
      <c r="AO4" s="655" t="s">
        <v>14</v>
      </c>
      <c r="AP4" s="655" t="s">
        <v>109</v>
      </c>
      <c r="AQ4" s="655" t="s">
        <v>17</v>
      </c>
      <c r="AR4" s="676" t="s">
        <v>110</v>
      </c>
      <c r="AS4" s="692"/>
      <c r="AT4" s="679"/>
      <c r="AU4" s="680"/>
      <c r="AV4" s="511" t="s">
        <v>6</v>
      </c>
      <c r="AW4" s="511" t="s">
        <v>132</v>
      </c>
      <c r="AX4" s="512" t="s">
        <v>6</v>
      </c>
      <c r="AY4" s="513" t="s">
        <v>132</v>
      </c>
      <c r="AZ4" s="569" t="s">
        <v>6</v>
      </c>
      <c r="BA4" s="570" t="s">
        <v>132</v>
      </c>
      <c r="BB4" s="672"/>
      <c r="BC4" s="676"/>
      <c r="BD4" s="640"/>
      <c r="BE4" s="640"/>
      <c r="BF4" s="635"/>
      <c r="BG4" s="638"/>
      <c r="BH4" s="640"/>
    </row>
    <row r="5" spans="1:60" s="31" customFormat="1" ht="48">
      <c r="A5" s="645"/>
      <c r="B5" s="645"/>
      <c r="C5" s="654"/>
      <c r="D5" s="645"/>
      <c r="E5" s="645"/>
      <c r="F5" s="645"/>
      <c r="G5" s="587" t="s">
        <v>111</v>
      </c>
      <c r="H5" s="585" t="s">
        <v>112</v>
      </c>
      <c r="I5" s="29" t="s">
        <v>113</v>
      </c>
      <c r="J5" s="80" t="s">
        <v>114</v>
      </c>
      <c r="K5" s="80" t="s">
        <v>99</v>
      </c>
      <c r="L5" s="30" t="s">
        <v>115</v>
      </c>
      <c r="M5" s="30" t="s">
        <v>116</v>
      </c>
      <c r="N5" s="585" t="s">
        <v>117</v>
      </c>
      <c r="O5" s="670"/>
      <c r="P5" s="653"/>
      <c r="Q5" s="670"/>
      <c r="R5" s="643"/>
      <c r="S5" s="643"/>
      <c r="T5" s="645"/>
      <c r="U5" s="645"/>
      <c r="V5" s="645"/>
      <c r="W5" s="643"/>
      <c r="X5" s="650"/>
      <c r="Y5" s="651"/>
      <c r="Z5" s="643"/>
      <c r="AA5" s="645"/>
      <c r="AB5" s="654"/>
      <c r="AC5" s="645"/>
      <c r="AD5" s="654"/>
      <c r="AE5" s="645"/>
      <c r="AF5" s="441" t="s">
        <v>295</v>
      </c>
      <c r="AG5" s="584" t="s">
        <v>296</v>
      </c>
      <c r="AH5" s="584" t="s">
        <v>297</v>
      </c>
      <c r="AI5" s="653"/>
      <c r="AJ5" s="653"/>
      <c r="AK5" s="653"/>
      <c r="AL5" s="653"/>
      <c r="AM5" s="683"/>
      <c r="AN5" s="656"/>
      <c r="AO5" s="656"/>
      <c r="AP5" s="656"/>
      <c r="AQ5" s="656"/>
      <c r="AR5" s="642"/>
      <c r="AS5" s="693"/>
      <c r="AT5" s="586" t="s">
        <v>291</v>
      </c>
      <c r="AU5" s="586" t="s">
        <v>292</v>
      </c>
      <c r="AV5" s="514" t="s">
        <v>293</v>
      </c>
      <c r="AW5" s="514" t="s">
        <v>293</v>
      </c>
      <c r="AX5" s="512" t="s">
        <v>16</v>
      </c>
      <c r="AY5" s="512" t="s">
        <v>16</v>
      </c>
      <c r="AZ5" s="569" t="s">
        <v>275</v>
      </c>
      <c r="BA5" s="569" t="s">
        <v>275</v>
      </c>
      <c r="BB5" s="673"/>
      <c r="BC5" s="642"/>
      <c r="BD5" s="644"/>
      <c r="BE5" s="644"/>
      <c r="BF5" s="636"/>
      <c r="BG5" s="639"/>
      <c r="BH5" s="641"/>
    </row>
    <row r="6" spans="1:60" ht="12.75" customHeight="1">
      <c r="A6" s="39">
        <f>+Report1!A9</f>
        <v>46023</v>
      </c>
      <c r="B6" s="40" t="s">
        <v>410</v>
      </c>
      <c r="C6" s="412">
        <f>(M6*E6*O6*Q6)/100000000</f>
        <v>42.416649444000001</v>
      </c>
      <c r="D6" s="40" t="s">
        <v>302</v>
      </c>
      <c r="E6" s="41">
        <v>13</v>
      </c>
      <c r="F6" s="41">
        <v>1</v>
      </c>
      <c r="G6" s="497">
        <f>+L6</f>
        <v>1176.1736111111111</v>
      </c>
      <c r="H6" s="43">
        <f>+N6</f>
        <v>0.25331164498816183</v>
      </c>
      <c r="I6" s="44">
        <v>0.88</v>
      </c>
      <c r="J6" s="81">
        <f>E6*G6*(1-H6)*1440/1000000*2.74</f>
        <v>45.047139332000008</v>
      </c>
      <c r="K6" s="81">
        <f>(IF(G6&lt;L6,L6,G6)*(1-IF(H6&lt;N6,H6,N6))*E6*O6*Q6)/100000000</f>
        <v>42.416649444000001</v>
      </c>
      <c r="L6" s="34">
        <v>1176.1736111111111</v>
      </c>
      <c r="M6" s="34">
        <v>878.23513888888897</v>
      </c>
      <c r="N6" s="45">
        <f>1-(M6/L6)</f>
        <v>0.25331164498816183</v>
      </c>
      <c r="O6" s="46">
        <f>+'Trim Rwd'!H4</f>
        <v>258</v>
      </c>
      <c r="P6" s="47">
        <f>O6*(Q6-R6-S6)</f>
        <v>355008</v>
      </c>
      <c r="Q6" s="46">
        <v>1440</v>
      </c>
      <c r="R6" s="498">
        <v>0</v>
      </c>
      <c r="S6" s="498">
        <v>64</v>
      </c>
      <c r="T6" s="36">
        <f>E6*M6*O6*Q6/100000000</f>
        <v>42.416649444000001</v>
      </c>
      <c r="U6" s="36">
        <f>E6*M6*O6*(Q6-R6-S6)/100000000</f>
        <v>40.531465024266666</v>
      </c>
      <c r="V6" s="36">
        <f>E6*G6*(1-N6)*O6/100*(R6+S6)/1000000</f>
        <v>1.8851844197333334</v>
      </c>
      <c r="W6" s="36">
        <f>+'1'!C34/1000</f>
        <v>39.265999999999998</v>
      </c>
      <c r="X6" s="499">
        <f>SUM(W6:W10)/SUM(K6:K10)</f>
        <v>0.92572139748662596</v>
      </c>
      <c r="Y6" s="210">
        <v>0</v>
      </c>
      <c r="Z6" s="36">
        <f>+'1'!D16/1000</f>
        <v>0.51</v>
      </c>
      <c r="AA6" s="48">
        <f>SUM(U6:U10)-SUM(W6:W10)-SUM(Z6:Z10)-SUM(Y6:Y10)</f>
        <v>0.75546502426666762</v>
      </c>
      <c r="AB6" s="48">
        <f>(SUM(K6:K10)-SUM(W6:W10)-SUM(Y6:Y10)-SUM(Z6:Z10)-SUM(AC6:AC10)-SUM(V6:V10))-AA6</f>
        <v>1.7763568394002505E-15</v>
      </c>
      <c r="AC6" s="36">
        <f>K6-T6</f>
        <v>0</v>
      </c>
      <c r="AD6" s="36">
        <f>+AM6+BC6</f>
        <v>0</v>
      </c>
      <c r="AE6" s="228" t="s">
        <v>385</v>
      </c>
      <c r="AF6" s="36">
        <v>0</v>
      </c>
      <c r="AG6" s="36"/>
      <c r="AH6" s="36"/>
      <c r="AI6" s="500"/>
      <c r="AJ6" s="36"/>
      <c r="AK6" s="36"/>
      <c r="AL6" s="36"/>
      <c r="AM6" s="36">
        <f t="shared" ref="AM6:AM9" si="0">SUM(AF6:AL6)+AT6+AV6+AX6</f>
        <v>0</v>
      </c>
      <c r="AN6" s="36"/>
      <c r="AO6" s="36"/>
      <c r="AP6" s="36"/>
      <c r="AQ6" s="36"/>
      <c r="AR6" s="36">
        <f>SUM(AN6:AQ6)</f>
        <v>0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>
        <f>+AR6+AS6+AU6+AW6+AY6+BB6</f>
        <v>0</v>
      </c>
      <c r="BD6" s="32">
        <v>0</v>
      </c>
      <c r="BE6" s="50"/>
      <c r="BF6" s="50"/>
      <c r="BG6" s="32"/>
      <c r="BH6" s="50"/>
    </row>
    <row r="7" spans="1:60" ht="12.95" customHeight="1">
      <c r="A7" s="39"/>
      <c r="B7" s="40"/>
      <c r="C7" s="412"/>
      <c r="D7" s="40"/>
      <c r="E7" s="41"/>
      <c r="F7" s="41"/>
      <c r="G7" s="497"/>
      <c r="H7" s="43"/>
      <c r="I7" s="44"/>
      <c r="J7" s="81"/>
      <c r="K7" s="81"/>
      <c r="L7" s="34"/>
      <c r="M7" s="34"/>
      <c r="N7" s="45"/>
      <c r="O7" s="46"/>
      <c r="P7" s="47"/>
      <c r="Q7" s="46"/>
      <c r="R7" s="498"/>
      <c r="S7" s="498"/>
      <c r="T7" s="36"/>
      <c r="U7" s="36"/>
      <c r="V7" s="36"/>
      <c r="W7" s="36"/>
      <c r="X7" s="37"/>
      <c r="Y7" s="210"/>
      <c r="Z7" s="36"/>
      <c r="AA7" s="36"/>
      <c r="AB7" s="36"/>
      <c r="AC7" s="36"/>
      <c r="AD7" s="36">
        <f>+AM7+BC7</f>
        <v>19</v>
      </c>
      <c r="AE7" s="228" t="s">
        <v>412</v>
      </c>
      <c r="AF7" s="36"/>
      <c r="AG7" s="36">
        <v>19</v>
      </c>
      <c r="AH7" s="36"/>
      <c r="AI7" s="500"/>
      <c r="AJ7" s="36"/>
      <c r="AK7" s="36"/>
      <c r="AL7" s="36"/>
      <c r="AM7" s="36">
        <f t="shared" si="0"/>
        <v>19</v>
      </c>
      <c r="AN7" s="82"/>
      <c r="AO7" s="36"/>
      <c r="AP7" s="36"/>
      <c r="AQ7" s="36"/>
      <c r="AR7" s="36">
        <f t="shared" ref="AR7:AR9" si="1">SUM(AN7:AQ7)</f>
        <v>0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>
        <f>+AR7+AS7+AU7+AW7+AY7+BB7</f>
        <v>0</v>
      </c>
      <c r="BD7" s="49"/>
      <c r="BE7" s="50">
        <v>8</v>
      </c>
      <c r="BF7" s="50"/>
      <c r="BG7" s="49"/>
      <c r="BH7" s="50"/>
    </row>
    <row r="8" spans="1:60" ht="12.95" customHeight="1">
      <c r="A8" s="39"/>
      <c r="B8" s="40"/>
      <c r="C8" s="412"/>
      <c r="D8" s="40"/>
      <c r="E8" s="41"/>
      <c r="F8" s="41"/>
      <c r="G8" s="42"/>
      <c r="H8" s="43"/>
      <c r="I8" s="44"/>
      <c r="J8" s="81"/>
      <c r="K8" s="81"/>
      <c r="L8" s="34"/>
      <c r="M8" s="34"/>
      <c r="N8" s="45"/>
      <c r="O8" s="46"/>
      <c r="P8" s="47"/>
      <c r="Q8" s="46"/>
      <c r="R8" s="498"/>
      <c r="S8" s="498"/>
      <c r="T8" s="36">
        <f ca="1">+T8:AD8</f>
        <v>0</v>
      </c>
      <c r="U8" s="36"/>
      <c r="V8" s="36"/>
      <c r="W8" s="36"/>
      <c r="X8" s="37"/>
      <c r="Y8" s="210"/>
      <c r="Z8" s="36"/>
      <c r="AA8" s="36"/>
      <c r="AB8" s="36"/>
      <c r="AC8" s="36"/>
      <c r="AD8" s="36">
        <f>+AM8+BC8</f>
        <v>45</v>
      </c>
      <c r="AE8" s="228" t="s">
        <v>413</v>
      </c>
      <c r="AF8" s="32"/>
      <c r="AG8" s="32"/>
      <c r="AH8" s="32">
        <v>45</v>
      </c>
      <c r="AJ8" s="36"/>
      <c r="AK8" s="36"/>
      <c r="AL8" s="36"/>
      <c r="AM8" s="36">
        <f t="shared" si="0"/>
        <v>45</v>
      </c>
      <c r="AN8" s="36"/>
      <c r="AO8" s="36"/>
      <c r="AP8" s="36"/>
      <c r="AQ8" s="36"/>
      <c r="AR8" s="36">
        <f t="shared" si="1"/>
        <v>0</v>
      </c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>
        <f>+AR8+AS8+AU8+AW8+AY8+BB8</f>
        <v>0</v>
      </c>
      <c r="BD8" s="32"/>
      <c r="BE8" s="501"/>
      <c r="BF8" s="501"/>
      <c r="BG8" s="32"/>
      <c r="BH8" s="501"/>
    </row>
    <row r="9" spans="1:60" ht="12.95" customHeight="1">
      <c r="A9" s="39"/>
      <c r="B9" s="40"/>
      <c r="C9" s="412"/>
      <c r="D9" s="40"/>
      <c r="E9" s="41"/>
      <c r="F9" s="41"/>
      <c r="G9" s="42"/>
      <c r="H9" s="43"/>
      <c r="I9" s="44"/>
      <c r="J9" s="81"/>
      <c r="K9" s="81"/>
      <c r="L9" s="34"/>
      <c r="M9" s="34"/>
      <c r="N9" s="45"/>
      <c r="O9" s="46"/>
      <c r="P9" s="47"/>
      <c r="Q9" s="33"/>
      <c r="R9" s="498"/>
      <c r="S9" s="498"/>
      <c r="T9" s="36"/>
      <c r="U9" s="36"/>
      <c r="V9" s="36"/>
      <c r="W9" s="36"/>
      <c r="X9" s="37"/>
      <c r="Y9" s="210"/>
      <c r="Z9" s="36"/>
      <c r="AA9" s="36"/>
      <c r="AB9" s="36"/>
      <c r="AC9" s="36"/>
      <c r="AD9" s="36">
        <f>+AM9+BC9</f>
        <v>0</v>
      </c>
      <c r="AE9" s="231" t="s">
        <v>378</v>
      </c>
      <c r="AF9" s="36"/>
      <c r="AG9" s="36"/>
      <c r="AH9" s="36"/>
      <c r="AI9" s="500">
        <v>0</v>
      </c>
      <c r="AJ9" s="36"/>
      <c r="AK9" s="36"/>
      <c r="AL9" s="36"/>
      <c r="AM9" s="36">
        <f t="shared" si="0"/>
        <v>0</v>
      </c>
      <c r="AN9" s="36"/>
      <c r="AO9" s="36"/>
      <c r="AP9" s="36"/>
      <c r="AQ9" s="36"/>
      <c r="AR9" s="36">
        <f t="shared" si="1"/>
        <v>0</v>
      </c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>
        <f>+AR9+AS9+AU9+AW9+AY9+BB9</f>
        <v>0</v>
      </c>
      <c r="BD9" s="49"/>
      <c r="BE9" s="50"/>
      <c r="BF9" s="50"/>
      <c r="BG9" s="49"/>
      <c r="BH9" s="50"/>
    </row>
    <row r="10" spans="1:60" ht="12.95" customHeight="1">
      <c r="A10" s="39"/>
      <c r="B10" s="40"/>
      <c r="C10" s="412"/>
      <c r="D10" s="40"/>
      <c r="E10" s="41"/>
      <c r="F10" s="41"/>
      <c r="G10" s="42"/>
      <c r="H10" s="43"/>
      <c r="I10" s="44"/>
      <c r="J10" s="81"/>
      <c r="K10" s="81"/>
      <c r="L10" s="34"/>
      <c r="M10" s="34"/>
      <c r="N10" s="45"/>
      <c r="O10" s="46"/>
      <c r="P10" s="47"/>
      <c r="Q10" s="33"/>
      <c r="R10" s="498"/>
      <c r="S10" s="498"/>
      <c r="T10" s="36"/>
      <c r="U10" s="36"/>
      <c r="V10" s="36"/>
      <c r="W10" s="36"/>
      <c r="X10" s="37"/>
      <c r="Y10" s="210"/>
      <c r="Z10" s="36"/>
      <c r="AA10" s="36"/>
      <c r="AB10" s="36"/>
      <c r="AC10" s="36"/>
      <c r="AD10" s="36"/>
      <c r="AE10" s="231"/>
      <c r="AF10" s="36"/>
      <c r="AG10" s="36"/>
      <c r="AH10" s="36"/>
      <c r="AI10" s="500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49"/>
      <c r="BE10" s="50"/>
      <c r="BF10" s="50"/>
      <c r="BG10" s="32"/>
      <c r="BH10" s="50"/>
    </row>
    <row r="11" spans="1:60" ht="12.75" customHeight="1">
      <c r="A11" s="39">
        <v>46024</v>
      </c>
      <c r="B11" s="40" t="s">
        <v>410</v>
      </c>
      <c r="C11" s="412">
        <f>(M11*E11*O11*Q11)/100000000</f>
        <v>41.816062079999995</v>
      </c>
      <c r="D11" s="40" t="s">
        <v>302</v>
      </c>
      <c r="E11" s="41">
        <v>13</v>
      </c>
      <c r="F11" s="41">
        <v>1</v>
      </c>
      <c r="G11" s="497">
        <f>+L11</f>
        <v>1170</v>
      </c>
      <c r="H11" s="43">
        <f>+N11</f>
        <v>0.26</v>
      </c>
      <c r="I11" s="44">
        <v>0.88</v>
      </c>
      <c r="J11" s="81">
        <f>E11*G11*(1-H11)*1440/1000000*2.74</f>
        <v>44.409306239999999</v>
      </c>
      <c r="K11" s="81">
        <f>(IF(G11&lt;L11,L11,G11)*(1-IF(H11&lt;N11,H11,N11))*E11*O11*Q11)/100000000</f>
        <v>41.816062079999995</v>
      </c>
      <c r="L11" s="34">
        <v>1170</v>
      </c>
      <c r="M11" s="34">
        <v>865.8</v>
      </c>
      <c r="N11" s="45">
        <f>1-(M11/L11)</f>
        <v>0.26</v>
      </c>
      <c r="O11" s="46">
        <f>+'Trim Rwd'!H6</f>
        <v>258</v>
      </c>
      <c r="P11" s="47">
        <f>O11*(Q11-R11-S11)</f>
        <v>353460</v>
      </c>
      <c r="Q11" s="46">
        <v>1440</v>
      </c>
      <c r="R11" s="498">
        <v>0</v>
      </c>
      <c r="S11" s="498">
        <v>70</v>
      </c>
      <c r="T11" s="36">
        <f>E11*M11*O11*Q11/100000000</f>
        <v>41.816062079999995</v>
      </c>
      <c r="U11" s="36">
        <f>E11*M11*O11*(Q11-R11-S11)/100000000</f>
        <v>39.783336839999997</v>
      </c>
      <c r="V11" s="36">
        <f>E11*G11*(1-N11)*O11/100*(R11+S11)/1000000</f>
        <v>2.0327252399999995</v>
      </c>
      <c r="W11" s="36">
        <f>+'2'!K7/1000</f>
        <v>36.225000000000001</v>
      </c>
      <c r="X11" s="499">
        <f>SUM(W11:W15)/SUM(K11:K15)</f>
        <v>0.86629391191108562</v>
      </c>
      <c r="Y11" s="210">
        <v>0</v>
      </c>
      <c r="Z11" s="36">
        <f>+'2'!D34/1000</f>
        <v>0.52</v>
      </c>
      <c r="AA11" s="48">
        <f>SUM(U11:U15)-SUM(W11:W15)-SUM(Z11:Z15)-SUM(Y11:Y15)</f>
        <v>3.0383368399999955</v>
      </c>
      <c r="AB11" s="48">
        <f>(SUM(K11:K15)-SUM(W11:W15)-SUM(Y11:Y15)-SUM(Z11:Z15)-SUM(AC11:AC15)-SUM(V11:V15))-AA11</f>
        <v>0</v>
      </c>
      <c r="AC11" s="36">
        <f>K11-T11</f>
        <v>0</v>
      </c>
      <c r="AD11" s="36">
        <f>+AM11+BC11</f>
        <v>18</v>
      </c>
      <c r="AE11" s="228" t="s">
        <v>429</v>
      </c>
      <c r="AF11" s="36">
        <v>18</v>
      </c>
      <c r="AG11" s="36"/>
      <c r="AH11" s="36"/>
      <c r="AI11" s="500"/>
      <c r="AJ11" s="36"/>
      <c r="AK11" s="36"/>
      <c r="AL11" s="36"/>
      <c r="AM11" s="36">
        <f t="shared" ref="AM11:AM14" si="2">SUM(AF11:AL11)+AT11+AV11+AX11</f>
        <v>18</v>
      </c>
      <c r="AN11" s="36"/>
      <c r="AO11" s="36"/>
      <c r="AP11" s="36"/>
      <c r="AQ11" s="36"/>
      <c r="AR11" s="36">
        <f>SUM(AN11:AQ11)</f>
        <v>0</v>
      </c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>
        <f>+AR11+AS11+AU11+AW11+AY11+BB11</f>
        <v>0</v>
      </c>
      <c r="BD11" s="32">
        <v>6</v>
      </c>
      <c r="BE11" s="50"/>
      <c r="BF11" s="50"/>
      <c r="BG11" s="32"/>
      <c r="BH11" s="50"/>
    </row>
    <row r="12" spans="1:60" ht="12.95" customHeight="1">
      <c r="A12" s="39"/>
      <c r="B12" s="40"/>
      <c r="C12" s="412"/>
      <c r="D12" s="40"/>
      <c r="E12" s="41"/>
      <c r="F12" s="41"/>
      <c r="G12" s="497"/>
      <c r="H12" s="43"/>
      <c r="I12" s="44"/>
      <c r="J12" s="81"/>
      <c r="K12" s="81"/>
      <c r="L12" s="34"/>
      <c r="M12" s="34"/>
      <c r="N12" s="45"/>
      <c r="O12" s="46"/>
      <c r="P12" s="47"/>
      <c r="Q12" s="46"/>
      <c r="R12" s="498"/>
      <c r="S12" s="498"/>
      <c r="T12" s="36"/>
      <c r="U12" s="36"/>
      <c r="V12" s="36"/>
      <c r="W12" s="36"/>
      <c r="X12" s="37"/>
      <c r="Y12" s="210"/>
      <c r="Z12" s="36"/>
      <c r="AA12" s="36"/>
      <c r="AB12" s="36"/>
      <c r="AC12" s="36"/>
      <c r="AD12" s="36">
        <f>+AM12+BC12</f>
        <v>8</v>
      </c>
      <c r="AE12" s="228" t="s">
        <v>407</v>
      </c>
      <c r="AF12" s="36"/>
      <c r="AG12" s="36">
        <v>8</v>
      </c>
      <c r="AH12" s="36"/>
      <c r="AI12" s="500"/>
      <c r="AJ12" s="36"/>
      <c r="AK12" s="36"/>
      <c r="AL12" s="36"/>
      <c r="AM12" s="36">
        <f t="shared" si="2"/>
        <v>8</v>
      </c>
      <c r="AN12" s="82"/>
      <c r="AO12" s="36"/>
      <c r="AP12" s="36"/>
      <c r="AQ12" s="36"/>
      <c r="AR12" s="36">
        <f t="shared" ref="AR12:AR14" si="3">SUM(AN12:AQ12)</f>
        <v>0</v>
      </c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>
        <f>+AR12+AS12+AU12+AW12+AY12+BB12</f>
        <v>0</v>
      </c>
      <c r="BD12" s="49"/>
      <c r="BE12" s="50">
        <v>4</v>
      </c>
      <c r="BF12" s="50"/>
      <c r="BG12" s="49"/>
      <c r="BH12" s="50"/>
    </row>
    <row r="13" spans="1:60" ht="12.95" customHeight="1">
      <c r="A13" s="39"/>
      <c r="B13" s="40"/>
      <c r="C13" s="412"/>
      <c r="D13" s="40"/>
      <c r="E13" s="41"/>
      <c r="F13" s="41"/>
      <c r="G13" s="42"/>
      <c r="H13" s="43"/>
      <c r="I13" s="44"/>
      <c r="J13" s="81"/>
      <c r="K13" s="81"/>
      <c r="L13" s="34"/>
      <c r="M13" s="34"/>
      <c r="N13" s="45"/>
      <c r="O13" s="46"/>
      <c r="P13" s="47"/>
      <c r="Q13" s="46"/>
      <c r="R13" s="498"/>
      <c r="S13" s="498"/>
      <c r="T13" s="36"/>
      <c r="U13" s="36"/>
      <c r="V13" s="36"/>
      <c r="W13" s="36"/>
      <c r="X13" s="37"/>
      <c r="Y13" s="210"/>
      <c r="Z13" s="36"/>
      <c r="AA13" s="36"/>
      <c r="AB13" s="36"/>
      <c r="AC13" s="36"/>
      <c r="AD13" s="36">
        <f>+AM13+BC13</f>
        <v>44</v>
      </c>
      <c r="AE13" s="228" t="s">
        <v>430</v>
      </c>
      <c r="AF13" s="32"/>
      <c r="AG13" s="32"/>
      <c r="AH13" s="32">
        <v>44</v>
      </c>
      <c r="AJ13" s="36"/>
      <c r="AK13" s="36"/>
      <c r="AL13" s="36"/>
      <c r="AM13" s="36">
        <f t="shared" si="2"/>
        <v>44</v>
      </c>
      <c r="AN13" s="36"/>
      <c r="AO13" s="36"/>
      <c r="AP13" s="36"/>
      <c r="AQ13" s="36"/>
      <c r="AR13" s="36">
        <f t="shared" si="3"/>
        <v>0</v>
      </c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>
        <f>+AR13+AS13+AU13+AW13+AY13+BB13</f>
        <v>0</v>
      </c>
      <c r="BD13" s="32"/>
      <c r="BE13" s="501"/>
      <c r="BF13" s="501"/>
      <c r="BG13" s="32"/>
      <c r="BH13" s="501"/>
    </row>
    <row r="14" spans="1:60" ht="12.95" customHeight="1">
      <c r="A14" s="39"/>
      <c r="B14" s="40"/>
      <c r="C14" s="412"/>
      <c r="D14" s="40"/>
      <c r="E14" s="41"/>
      <c r="F14" s="41"/>
      <c r="G14" s="42"/>
      <c r="H14" s="43"/>
      <c r="I14" s="44"/>
      <c r="J14" s="81"/>
      <c r="K14" s="81"/>
      <c r="L14" s="34"/>
      <c r="M14" s="34"/>
      <c r="N14" s="45"/>
      <c r="O14" s="46"/>
      <c r="P14" s="47"/>
      <c r="Q14" s="33"/>
      <c r="R14" s="498"/>
      <c r="S14" s="498"/>
      <c r="T14" s="36"/>
      <c r="U14" s="36"/>
      <c r="V14" s="36"/>
      <c r="W14" s="36"/>
      <c r="X14" s="37"/>
      <c r="Y14" s="210"/>
      <c r="Z14" s="36"/>
      <c r="AA14" s="36"/>
      <c r="AB14" s="36"/>
      <c r="AC14" s="36"/>
      <c r="AD14" s="36">
        <f>+AM14+BC14</f>
        <v>0</v>
      </c>
      <c r="AE14" s="231" t="s">
        <v>378</v>
      </c>
      <c r="AF14" s="36"/>
      <c r="AG14" s="36"/>
      <c r="AH14" s="36"/>
      <c r="AI14" s="500">
        <v>0</v>
      </c>
      <c r="AJ14" s="36"/>
      <c r="AK14" s="36"/>
      <c r="AL14" s="36"/>
      <c r="AM14" s="36">
        <f t="shared" si="2"/>
        <v>0</v>
      </c>
      <c r="AN14" s="36"/>
      <c r="AO14" s="36"/>
      <c r="AP14" s="36"/>
      <c r="AQ14" s="36"/>
      <c r="AR14" s="36">
        <f t="shared" si="3"/>
        <v>0</v>
      </c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>
        <f>+AR14+AS14+AU14+AW14+AY14+BB14</f>
        <v>0</v>
      </c>
      <c r="BD14" s="49"/>
      <c r="BE14" s="50"/>
      <c r="BF14" s="50"/>
      <c r="BG14" s="49"/>
      <c r="BH14" s="50"/>
    </row>
    <row r="15" spans="1:60" ht="12.95" customHeight="1">
      <c r="A15" s="39"/>
      <c r="B15" s="40"/>
      <c r="C15" s="412"/>
      <c r="D15" s="40"/>
      <c r="E15" s="41"/>
      <c r="F15" s="41"/>
      <c r="G15" s="42"/>
      <c r="H15" s="43"/>
      <c r="I15" s="44"/>
      <c r="J15" s="81"/>
      <c r="K15" s="81"/>
      <c r="L15" s="34"/>
      <c r="M15" s="34"/>
      <c r="N15" s="45"/>
      <c r="O15" s="46"/>
      <c r="P15" s="47"/>
      <c r="Q15" s="33"/>
      <c r="R15" s="498"/>
      <c r="S15" s="498"/>
      <c r="T15" s="36"/>
      <c r="U15" s="36"/>
      <c r="V15" s="36"/>
      <c r="W15" s="36"/>
      <c r="X15" s="37"/>
      <c r="Y15" s="210"/>
      <c r="Z15" s="36"/>
      <c r="AA15" s="36"/>
      <c r="AB15" s="36"/>
      <c r="AC15" s="36"/>
      <c r="AD15" s="36"/>
      <c r="AE15" s="231"/>
      <c r="AF15" s="36"/>
      <c r="AG15" s="36"/>
      <c r="AH15" s="36"/>
      <c r="AI15" s="500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49"/>
      <c r="BE15" s="50"/>
      <c r="BF15" s="50"/>
      <c r="BG15" s="32"/>
      <c r="BH15" s="50"/>
    </row>
    <row r="16" spans="1:60" ht="12.75" customHeight="1">
      <c r="A16" s="39">
        <v>46025</v>
      </c>
      <c r="B16" s="40" t="s">
        <v>410</v>
      </c>
      <c r="C16" s="412">
        <f>(M16*E16*O16*Q16)/100000000</f>
        <v>0.29038931999999995</v>
      </c>
      <c r="D16" s="40" t="s">
        <v>302</v>
      </c>
      <c r="E16" s="41">
        <v>13</v>
      </c>
      <c r="F16" s="41">
        <v>1</v>
      </c>
      <c r="G16" s="497">
        <f>+L16</f>
        <v>1170</v>
      </c>
      <c r="H16" s="43">
        <f>+N16</f>
        <v>0.26</v>
      </c>
      <c r="I16" s="44">
        <v>0.88</v>
      </c>
      <c r="J16" s="81">
        <f>E16*G16*(1-H16)*1440/1000000*2.74</f>
        <v>44.409306239999999</v>
      </c>
      <c r="K16" s="81">
        <f>(IF(G16&lt;L16,L16,G16)*(1-IF(H16&lt;N16,H16,N16))*E16*O16*Q16)/100000000</f>
        <v>0.29038931999999995</v>
      </c>
      <c r="L16" s="34">
        <v>1170</v>
      </c>
      <c r="M16" s="34">
        <v>865.8</v>
      </c>
      <c r="N16" s="45">
        <f>1-(M16/L16)</f>
        <v>0.26</v>
      </c>
      <c r="O16" s="46">
        <f>+'Trim Rwd'!H8</f>
        <v>258</v>
      </c>
      <c r="P16" s="47">
        <f>O16*(Q16-R16-S16)</f>
        <v>1290</v>
      </c>
      <c r="Q16" s="46">
        <v>10</v>
      </c>
      <c r="R16" s="498">
        <v>0</v>
      </c>
      <c r="S16" s="498">
        <v>5</v>
      </c>
      <c r="T16" s="36">
        <f>E16*M16*O16*Q16/100000000</f>
        <v>0.29038931999999995</v>
      </c>
      <c r="U16" s="36">
        <f>E16*M16*O16*(Q16-R16-S16)/100000000</f>
        <v>0.14519465999999998</v>
      </c>
      <c r="V16" s="36">
        <f>E16*G16*(1-N16)*O16/100*(R16+S16)/1000000</f>
        <v>0.14519465999999998</v>
      </c>
      <c r="W16" s="36">
        <f>+'3'!K7/1000</f>
        <v>3.6760000000000002</v>
      </c>
      <c r="X16" s="499">
        <f>SUM(W16:W20)/SUM(K16:K20)</f>
        <v>0.89852330025876059</v>
      </c>
      <c r="Y16" s="210">
        <v>0</v>
      </c>
      <c r="Z16" s="36">
        <f>+'2'!D39/1000</f>
        <v>0</v>
      </c>
      <c r="AA16" s="48">
        <f>SUM(U16:U20)-SUM(W16:W20)-SUM(Z16:Z20)-SUM(Y16:Y20)</f>
        <v>1.7278534704895065</v>
      </c>
      <c r="AB16" s="48">
        <f>(SUM(K16:K20)-SUM(W16:W20)-SUM(Y16:Y20)-SUM(Z16:Z20)-SUM(AC16:AC20)-SUM(V16:V20))-AA16</f>
        <v>-1.7471971819313703E-2</v>
      </c>
      <c r="AC16" s="36">
        <f>K16-T16</f>
        <v>0</v>
      </c>
      <c r="AD16" s="36">
        <f>+AM16+BC16</f>
        <v>4</v>
      </c>
      <c r="AE16" s="228" t="s">
        <v>445</v>
      </c>
      <c r="AF16" s="36">
        <v>4</v>
      </c>
      <c r="AG16" s="36"/>
      <c r="AH16" s="36"/>
      <c r="AI16" s="500"/>
      <c r="AJ16" s="36"/>
      <c r="AK16" s="36"/>
      <c r="AL16" s="36"/>
      <c r="AM16" s="36">
        <f t="shared" ref="AM16:AM19" si="4">SUM(AF16:AL16)+AT16+AV16+AX16</f>
        <v>4</v>
      </c>
      <c r="AN16" s="36"/>
      <c r="AO16" s="36"/>
      <c r="AP16" s="36"/>
      <c r="AQ16" s="36"/>
      <c r="AR16" s="36">
        <f>SUM(AN16:AQ16)</f>
        <v>0</v>
      </c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>
        <f>+AR16+AS16+AU16+AW16+AY16+BB16</f>
        <v>0</v>
      </c>
      <c r="BD16" s="32">
        <v>2</v>
      </c>
      <c r="BE16" s="50"/>
      <c r="BF16" s="50"/>
      <c r="BG16" s="32"/>
      <c r="BH16" s="50"/>
    </row>
    <row r="17" spans="1:60" ht="12.95" customHeight="1">
      <c r="A17" s="39"/>
      <c r="B17" s="40" t="s">
        <v>447</v>
      </c>
      <c r="C17" s="412">
        <f>(M17*E17*O17*Q17)/100000000</f>
        <v>41.295838500000002</v>
      </c>
      <c r="D17" s="40" t="s">
        <v>302</v>
      </c>
      <c r="E17" s="41">
        <v>12</v>
      </c>
      <c r="F17" s="41">
        <v>1</v>
      </c>
      <c r="G17" s="497">
        <v>1230</v>
      </c>
      <c r="H17" s="43">
        <v>0.24</v>
      </c>
      <c r="I17" s="44">
        <v>0.88</v>
      </c>
      <c r="J17" s="81">
        <f>E17*G17*(1-H17)*1440/1000000*2.74</f>
        <v>44.260162560000005</v>
      </c>
      <c r="K17" s="81">
        <f>(IF(G17&lt;L17,L17,G17)*(1-IF(H17&lt;N17,H17,N17))*E17*O17*Q17)/100000000</f>
        <v>42.108065999999994</v>
      </c>
      <c r="L17" s="34">
        <v>1216.8531468531469</v>
      </c>
      <c r="M17" s="34">
        <v>916.76853146853148</v>
      </c>
      <c r="N17" s="45">
        <f>1-(M17/L17)</f>
        <v>0.24660709154646288</v>
      </c>
      <c r="O17" s="46">
        <f>+'Trim Rwd'!H9</f>
        <v>262.5</v>
      </c>
      <c r="P17" s="47">
        <f>O17*(Q17-R17-S17)</f>
        <v>360675</v>
      </c>
      <c r="Q17" s="46">
        <v>1430</v>
      </c>
      <c r="R17" s="498">
        <v>0</v>
      </c>
      <c r="S17" s="498">
        <f>61-S16</f>
        <v>56</v>
      </c>
      <c r="T17" s="36">
        <f>E17*M17*O17*Q17/100000000</f>
        <v>41.295838500000002</v>
      </c>
      <c r="U17" s="36">
        <f>E17*M17*O17*(Q17-R17-S17)/100000000</f>
        <v>39.678658810489509</v>
      </c>
      <c r="V17" s="36">
        <f>E17*G17*(1-N17)*O17/100*(R17+S17)/1000000</f>
        <v>1.6346516613298083</v>
      </c>
      <c r="W17" s="36">
        <f>+'3'!K8/1000</f>
        <v>34.42</v>
      </c>
      <c r="X17" s="37"/>
      <c r="Y17" s="210"/>
      <c r="Z17" s="36"/>
      <c r="AA17" s="36"/>
      <c r="AB17" s="36"/>
      <c r="AC17" s="36">
        <f>K17-T17</f>
        <v>0.81222749999999166</v>
      </c>
      <c r="AD17" s="36">
        <f>+AM17+BC17</f>
        <v>9</v>
      </c>
      <c r="AE17" s="228" t="s">
        <v>387</v>
      </c>
      <c r="AF17" s="36"/>
      <c r="AG17" s="36">
        <v>9</v>
      </c>
      <c r="AH17" s="36"/>
      <c r="AI17" s="500"/>
      <c r="AJ17" s="36"/>
      <c r="AK17" s="36"/>
      <c r="AL17" s="36"/>
      <c r="AM17" s="36">
        <f t="shared" si="4"/>
        <v>9</v>
      </c>
      <c r="AN17" s="82"/>
      <c r="AO17" s="36"/>
      <c r="AP17" s="36"/>
      <c r="AQ17" s="36"/>
      <c r="AR17" s="36">
        <f t="shared" ref="AR17:AR19" si="5">SUM(AN17:AQ17)</f>
        <v>0</v>
      </c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>
        <f>+AR17+AS17+AU17+AW17+AY17+BB17</f>
        <v>0</v>
      </c>
      <c r="BD17" s="49"/>
      <c r="BE17" s="50">
        <v>3</v>
      </c>
      <c r="BF17" s="50"/>
      <c r="BG17" s="49"/>
      <c r="BH17" s="50"/>
    </row>
    <row r="18" spans="1:60" ht="12.95" customHeight="1">
      <c r="A18" s="39"/>
      <c r="B18" s="40"/>
      <c r="C18" s="412"/>
      <c r="D18" s="40"/>
      <c r="E18" s="41"/>
      <c r="F18" s="41"/>
      <c r="G18" s="42"/>
      <c r="H18" s="43"/>
      <c r="I18" s="44"/>
      <c r="J18" s="81"/>
      <c r="K18" s="81"/>
      <c r="L18" s="34"/>
      <c r="M18" s="34"/>
      <c r="N18" s="45"/>
      <c r="O18" s="46"/>
      <c r="P18" s="47"/>
      <c r="Q18" s="46"/>
      <c r="R18" s="498"/>
      <c r="S18" s="498"/>
      <c r="T18" s="36"/>
      <c r="U18" s="36"/>
      <c r="V18" s="36"/>
      <c r="W18" s="36"/>
      <c r="X18" s="37"/>
      <c r="Y18" s="210"/>
      <c r="Z18" s="36"/>
      <c r="AA18" s="36"/>
      <c r="AB18" s="36"/>
      <c r="AC18" s="36"/>
      <c r="AD18" s="36">
        <f>+AM18+BC18</f>
        <v>48</v>
      </c>
      <c r="AE18" s="228" t="s">
        <v>430</v>
      </c>
      <c r="AF18" s="32"/>
      <c r="AG18" s="32"/>
      <c r="AH18" s="32">
        <v>48</v>
      </c>
      <c r="AJ18" s="36"/>
      <c r="AK18" s="36"/>
      <c r="AL18" s="36"/>
      <c r="AM18" s="36">
        <f t="shared" si="4"/>
        <v>48</v>
      </c>
      <c r="AN18" s="36"/>
      <c r="AO18" s="36"/>
      <c r="AP18" s="36"/>
      <c r="AQ18" s="36"/>
      <c r="AR18" s="36">
        <f t="shared" si="5"/>
        <v>0</v>
      </c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>
        <f>+AR18+AS18+AU18+AW18+AY18+BB18</f>
        <v>0</v>
      </c>
      <c r="BD18" s="32"/>
      <c r="BE18" s="501"/>
      <c r="BF18" s="501"/>
      <c r="BG18" s="32"/>
      <c r="BH18" s="501"/>
    </row>
    <row r="19" spans="1:60" ht="12.95" customHeight="1">
      <c r="A19" s="39"/>
      <c r="B19" s="40"/>
      <c r="C19" s="412"/>
      <c r="D19" s="40"/>
      <c r="E19" s="41"/>
      <c r="F19" s="41"/>
      <c r="G19" s="42"/>
      <c r="H19" s="43"/>
      <c r="I19" s="44"/>
      <c r="J19" s="81"/>
      <c r="K19" s="81"/>
      <c r="L19" s="34"/>
      <c r="M19" s="34"/>
      <c r="N19" s="45"/>
      <c r="O19" s="46"/>
      <c r="P19" s="47"/>
      <c r="Q19" s="33"/>
      <c r="R19" s="498"/>
      <c r="S19" s="498"/>
      <c r="T19" s="36"/>
      <c r="U19" s="36"/>
      <c r="V19" s="36"/>
      <c r="W19" s="36"/>
      <c r="X19" s="37"/>
      <c r="Y19" s="210"/>
      <c r="Z19" s="36"/>
      <c r="AA19" s="36"/>
      <c r="AB19" s="36"/>
      <c r="AC19" s="36"/>
      <c r="AD19" s="36">
        <f>+AM19+BC19</f>
        <v>0</v>
      </c>
      <c r="AE19" s="231" t="s">
        <v>378</v>
      </c>
      <c r="AF19" s="36"/>
      <c r="AG19" s="36"/>
      <c r="AH19" s="36"/>
      <c r="AI19" s="500">
        <v>0</v>
      </c>
      <c r="AJ19" s="36"/>
      <c r="AK19" s="36"/>
      <c r="AL19" s="36"/>
      <c r="AM19" s="36">
        <f t="shared" si="4"/>
        <v>0</v>
      </c>
      <c r="AN19" s="36"/>
      <c r="AO19" s="36"/>
      <c r="AP19" s="36"/>
      <c r="AQ19" s="36"/>
      <c r="AR19" s="36">
        <f t="shared" si="5"/>
        <v>0</v>
      </c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>
        <f>+AR19+AS19+AU19+AW19+AY19+BB19</f>
        <v>0</v>
      </c>
      <c r="BD19" s="49"/>
      <c r="BE19" s="50"/>
      <c r="BF19" s="50"/>
      <c r="BG19" s="49"/>
      <c r="BH19" s="50"/>
    </row>
    <row r="20" spans="1:60" ht="12.95" customHeight="1">
      <c r="A20" s="39"/>
      <c r="B20" s="40"/>
      <c r="C20" s="412"/>
      <c r="D20" s="40"/>
      <c r="E20" s="41"/>
      <c r="F20" s="41"/>
      <c r="G20" s="497"/>
      <c r="H20" s="43"/>
      <c r="I20" s="44"/>
      <c r="J20" s="81"/>
      <c r="K20" s="81"/>
      <c r="L20" s="34"/>
      <c r="M20" s="34"/>
      <c r="N20" s="45"/>
      <c r="O20" s="46"/>
      <c r="P20" s="47"/>
      <c r="Q20" s="46"/>
      <c r="R20" s="498"/>
      <c r="S20" s="498"/>
      <c r="T20" s="36"/>
      <c r="U20" s="36"/>
      <c r="V20" s="36"/>
      <c r="W20" s="36"/>
      <c r="X20" s="37"/>
      <c r="Y20" s="210"/>
      <c r="Z20" s="36"/>
      <c r="AA20" s="36"/>
      <c r="AB20" s="36"/>
      <c r="AC20" s="36"/>
      <c r="AD20" s="36"/>
      <c r="AE20" s="228"/>
      <c r="AF20" s="32"/>
      <c r="AG20" s="32"/>
      <c r="AH20" s="32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2"/>
      <c r="BE20" s="501"/>
      <c r="BF20" s="501"/>
      <c r="BG20" s="32"/>
      <c r="BH20" s="501"/>
    </row>
    <row r="21" spans="1:60" ht="12.75" customHeight="1">
      <c r="A21" s="39">
        <v>46026</v>
      </c>
      <c r="B21" s="40" t="s">
        <v>447</v>
      </c>
      <c r="C21" s="412">
        <f>(M21*E21*O21*Q21)/100000000</f>
        <v>42.402527999999997</v>
      </c>
      <c r="D21" s="40" t="s">
        <v>302</v>
      </c>
      <c r="E21" s="41">
        <v>12</v>
      </c>
      <c r="F21" s="41">
        <v>1</v>
      </c>
      <c r="G21" s="497">
        <v>1230</v>
      </c>
      <c r="H21" s="43">
        <v>0.24</v>
      </c>
      <c r="I21" s="44">
        <v>0.88</v>
      </c>
      <c r="J21" s="81">
        <f>E21*G21*(1-H21)*1440/1000000*2.74</f>
        <v>44.260162560000005</v>
      </c>
      <c r="K21" s="81">
        <f>(IF(G21&lt;L21,L21,G21)*(1-IF(H21&lt;N21,H21,N21))*E21*O21*Q21)/100000000</f>
        <v>42.402527999999997</v>
      </c>
      <c r="L21" s="34">
        <v>1230</v>
      </c>
      <c r="M21" s="34">
        <v>934.8</v>
      </c>
      <c r="N21" s="45">
        <f>1-(M21/L21)</f>
        <v>0.24</v>
      </c>
      <c r="O21" s="46">
        <f>+'Trim Rwd'!H11</f>
        <v>262.5</v>
      </c>
      <c r="P21" s="47">
        <f>O21*(Q21-R21-S21)</f>
        <v>361200</v>
      </c>
      <c r="Q21" s="46">
        <v>1440</v>
      </c>
      <c r="R21" s="498">
        <v>0</v>
      </c>
      <c r="S21" s="498">
        <v>64</v>
      </c>
      <c r="T21" s="36">
        <f>E21*M21*O21*Q21/100000000</f>
        <v>42.402527999999997</v>
      </c>
      <c r="U21" s="36">
        <f>E21*M21*O21*(Q21-R21-S21)/100000000</f>
        <v>40.517971199999998</v>
      </c>
      <c r="V21" s="36">
        <f>E21*G21*(1-N21)*O21/100*(R21+S21)/1000000</f>
        <v>1.8845568000000001</v>
      </c>
      <c r="W21" s="36">
        <f>+'4'!K8/1000</f>
        <v>37.954000000000001</v>
      </c>
      <c r="X21" s="499">
        <f>SUM(W21:W25)/SUM(K21:K25)</f>
        <v>0.89508814191455766</v>
      </c>
      <c r="Y21" s="210">
        <v>0</v>
      </c>
      <c r="Z21" s="36">
        <f>+'2'!D44/1000</f>
        <v>0</v>
      </c>
      <c r="AA21" s="48">
        <f>SUM(U21:U25)-SUM(W21:W25)-SUM(Z21:Z25)-SUM(Y21:Y25)</f>
        <v>2.5639711999999975</v>
      </c>
      <c r="AB21" s="48">
        <f>(SUM(K21:K25)-SUM(W21:W25)-SUM(Y21:Y25)-SUM(Z21:Z25)-SUM(AC21:AC25)-SUM(V21:V25))-AA21</f>
        <v>0</v>
      </c>
      <c r="AC21" s="36">
        <f>K21-T21</f>
        <v>0</v>
      </c>
      <c r="AD21" s="36">
        <f>+AM21+BC21</f>
        <v>15</v>
      </c>
      <c r="AE21" s="228" t="s">
        <v>429</v>
      </c>
      <c r="AF21" s="36">
        <v>15</v>
      </c>
      <c r="AG21" s="36"/>
      <c r="AH21" s="36"/>
      <c r="AI21" s="500"/>
      <c r="AJ21" s="36"/>
      <c r="AK21" s="36"/>
      <c r="AL21" s="36"/>
      <c r="AM21" s="36">
        <f t="shared" ref="AM21:AM24" si="6">SUM(AF21:AL21)+AT21+AV21+AX21</f>
        <v>15</v>
      </c>
      <c r="AN21" s="36"/>
      <c r="AO21" s="36"/>
      <c r="AP21" s="36"/>
      <c r="AQ21" s="36"/>
      <c r="AR21" s="36">
        <f>SUM(AN21:AQ21)</f>
        <v>0</v>
      </c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>
        <f>+AR21+AS21+AU21+AW21+AY21+BB21</f>
        <v>0</v>
      </c>
      <c r="BD21" s="32">
        <v>6</v>
      </c>
      <c r="BE21" s="50"/>
      <c r="BF21" s="50"/>
      <c r="BG21" s="32"/>
      <c r="BH21" s="50"/>
    </row>
    <row r="22" spans="1:60" ht="12.95" customHeight="1">
      <c r="A22" s="39"/>
      <c r="B22" s="40"/>
      <c r="C22" s="412"/>
      <c r="D22" s="40"/>
      <c r="E22" s="41"/>
      <c r="F22" s="41"/>
      <c r="G22" s="497"/>
      <c r="H22" s="43"/>
      <c r="I22" s="44"/>
      <c r="J22" s="81"/>
      <c r="K22" s="81"/>
      <c r="L22" s="34"/>
      <c r="M22" s="34"/>
      <c r="N22" s="45"/>
      <c r="O22" s="46"/>
      <c r="P22" s="47"/>
      <c r="Q22" s="46"/>
      <c r="R22" s="498"/>
      <c r="S22" s="498"/>
      <c r="T22" s="36"/>
      <c r="U22" s="36"/>
      <c r="V22" s="36"/>
      <c r="W22" s="36"/>
      <c r="X22" s="37"/>
      <c r="Y22" s="210"/>
      <c r="Z22" s="36"/>
      <c r="AA22" s="36"/>
      <c r="AB22" s="36"/>
      <c r="AC22" s="36"/>
      <c r="AD22" s="36">
        <f>+AM22+BC22</f>
        <v>5</v>
      </c>
      <c r="AE22" s="228" t="s">
        <v>407</v>
      </c>
      <c r="AF22" s="36"/>
      <c r="AG22" s="36">
        <v>5</v>
      </c>
      <c r="AH22" s="36"/>
      <c r="AI22" s="500"/>
      <c r="AJ22" s="36"/>
      <c r="AK22" s="36"/>
      <c r="AL22" s="36"/>
      <c r="AM22" s="36">
        <f t="shared" si="6"/>
        <v>5</v>
      </c>
      <c r="AN22" s="82"/>
      <c r="AO22" s="36"/>
      <c r="AP22" s="36"/>
      <c r="AQ22" s="36"/>
      <c r="AR22" s="36">
        <f t="shared" ref="AR22:AR24" si="7">SUM(AN22:AQ22)</f>
        <v>0</v>
      </c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>
        <f>+AR22+AS22+AU22+AW22+AY22+BB22</f>
        <v>0</v>
      </c>
      <c r="BD22" s="49"/>
      <c r="BE22" s="50">
        <v>4</v>
      </c>
      <c r="BF22" s="50"/>
      <c r="BG22" s="49"/>
      <c r="BH22" s="50"/>
    </row>
    <row r="23" spans="1:60" ht="12.95" customHeight="1">
      <c r="A23" s="39"/>
      <c r="B23" s="40"/>
      <c r="C23" s="412"/>
      <c r="D23" s="40"/>
      <c r="E23" s="41"/>
      <c r="F23" s="41"/>
      <c r="G23" s="42"/>
      <c r="H23" s="43"/>
      <c r="I23" s="44"/>
      <c r="J23" s="81"/>
      <c r="K23" s="81"/>
      <c r="L23" s="34"/>
      <c r="M23" s="34"/>
      <c r="N23" s="45"/>
      <c r="O23" s="46"/>
      <c r="P23" s="47"/>
      <c r="Q23" s="46"/>
      <c r="R23" s="498"/>
      <c r="S23" s="498"/>
      <c r="T23" s="36"/>
      <c r="U23" s="36"/>
      <c r="V23" s="36"/>
      <c r="W23" s="36"/>
      <c r="X23" s="37"/>
      <c r="Y23" s="210"/>
      <c r="Z23" s="36"/>
      <c r="AA23" s="36"/>
      <c r="AB23" s="36"/>
      <c r="AC23" s="36"/>
      <c r="AD23" s="36">
        <f>+AM23+BC23</f>
        <v>44</v>
      </c>
      <c r="AE23" s="228" t="s">
        <v>449</v>
      </c>
      <c r="AF23" s="32"/>
      <c r="AG23" s="32"/>
      <c r="AH23" s="32">
        <v>44</v>
      </c>
      <c r="AJ23" s="36"/>
      <c r="AK23" s="36"/>
      <c r="AL23" s="36"/>
      <c r="AM23" s="36">
        <f t="shared" si="6"/>
        <v>44</v>
      </c>
      <c r="AN23" s="36"/>
      <c r="AO23" s="36"/>
      <c r="AP23" s="36"/>
      <c r="AQ23" s="36"/>
      <c r="AR23" s="36">
        <f t="shared" si="7"/>
        <v>0</v>
      </c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>
        <f>+AR23+AS23+AU23+AW23+AY23+BB23</f>
        <v>0</v>
      </c>
      <c r="BD23" s="32"/>
      <c r="BE23" s="501"/>
      <c r="BF23" s="501"/>
      <c r="BG23" s="32"/>
      <c r="BH23" s="501"/>
    </row>
    <row r="24" spans="1:60" ht="12.95" customHeight="1">
      <c r="A24" s="39"/>
      <c r="B24" s="40"/>
      <c r="C24" s="412"/>
      <c r="D24" s="40"/>
      <c r="E24" s="41"/>
      <c r="F24" s="41"/>
      <c r="G24" s="42"/>
      <c r="H24" s="43"/>
      <c r="I24" s="44"/>
      <c r="J24" s="81"/>
      <c r="K24" s="81"/>
      <c r="L24" s="34"/>
      <c r="M24" s="34"/>
      <c r="N24" s="45"/>
      <c r="O24" s="46"/>
      <c r="P24" s="47"/>
      <c r="Q24" s="33"/>
      <c r="R24" s="498"/>
      <c r="S24" s="498"/>
      <c r="T24" s="36"/>
      <c r="U24" s="36"/>
      <c r="V24" s="36"/>
      <c r="W24" s="36"/>
      <c r="X24" s="37"/>
      <c r="Y24" s="210"/>
      <c r="Z24" s="36"/>
      <c r="AA24" s="36"/>
      <c r="AB24" s="36"/>
      <c r="AC24" s="36"/>
      <c r="AD24" s="36">
        <f>+AM24+BC24</f>
        <v>0</v>
      </c>
      <c r="AE24" s="231" t="s">
        <v>378</v>
      </c>
      <c r="AF24" s="36"/>
      <c r="AG24" s="36"/>
      <c r="AH24" s="36"/>
      <c r="AI24" s="500">
        <v>0</v>
      </c>
      <c r="AJ24" s="36"/>
      <c r="AK24" s="36"/>
      <c r="AL24" s="36"/>
      <c r="AM24" s="36">
        <f t="shared" si="6"/>
        <v>0</v>
      </c>
      <c r="AN24" s="36"/>
      <c r="AO24" s="36"/>
      <c r="AP24" s="36"/>
      <c r="AQ24" s="36"/>
      <c r="AR24" s="36">
        <f t="shared" si="7"/>
        <v>0</v>
      </c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>
        <f>+AR24+AS24+AU24+AW24+AY24+BB24</f>
        <v>0</v>
      </c>
      <c r="BD24" s="49"/>
      <c r="BE24" s="50"/>
      <c r="BF24" s="50"/>
      <c r="BG24" s="49"/>
      <c r="BH24" s="50"/>
    </row>
    <row r="25" spans="1:60" ht="12.95" customHeight="1">
      <c r="A25" s="39"/>
      <c r="B25" s="40"/>
      <c r="C25" s="412"/>
      <c r="D25" s="40"/>
      <c r="E25" s="41"/>
      <c r="F25" s="41"/>
      <c r="G25" s="42"/>
      <c r="H25" s="43"/>
      <c r="I25" s="44"/>
      <c r="J25" s="81"/>
      <c r="K25" s="81"/>
      <c r="L25" s="34"/>
      <c r="M25" s="34"/>
      <c r="N25" s="45"/>
      <c r="O25" s="46"/>
      <c r="P25" s="47"/>
      <c r="Q25" s="46"/>
      <c r="R25" s="498"/>
      <c r="S25" s="498"/>
      <c r="T25" s="36"/>
      <c r="U25" s="36"/>
      <c r="V25" s="36"/>
      <c r="W25" s="36"/>
      <c r="X25" s="37"/>
      <c r="Y25" s="210"/>
      <c r="Z25" s="36"/>
      <c r="AA25" s="36"/>
      <c r="AB25" s="36"/>
      <c r="AC25" s="36"/>
      <c r="AD25" s="36"/>
      <c r="AE25" s="228"/>
      <c r="AF25" s="32"/>
      <c r="AG25" s="32"/>
      <c r="AH25" s="32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2"/>
      <c r="BE25" s="501"/>
      <c r="BF25" s="50"/>
      <c r="BG25" s="50"/>
      <c r="BH25" s="50"/>
    </row>
    <row r="26" spans="1:60" ht="12.75" customHeight="1">
      <c r="A26" s="39">
        <v>46027</v>
      </c>
      <c r="B26" s="40" t="s">
        <v>447</v>
      </c>
      <c r="C26" s="412">
        <f>(M26*E26*O26*Q26)/100000000</f>
        <v>2.3556959999999996</v>
      </c>
      <c r="D26" s="40" t="s">
        <v>302</v>
      </c>
      <c r="E26" s="41">
        <v>12</v>
      </c>
      <c r="F26" s="41">
        <v>1</v>
      </c>
      <c r="G26" s="497">
        <v>1230</v>
      </c>
      <c r="H26" s="43">
        <v>0.24</v>
      </c>
      <c r="I26" s="44">
        <v>0.88</v>
      </c>
      <c r="J26" s="81">
        <f>E26*G26*(1-H26)*1440/1000000*2.74</f>
        <v>44.260162560000005</v>
      </c>
      <c r="K26" s="81">
        <f>(IF(G26&lt;L26,L26,G26)*(1-IF(H26&lt;N26,H26,N26))*E26*O26*Q26)/100000000</f>
        <v>2.3556959999999996</v>
      </c>
      <c r="L26" s="34">
        <v>1230</v>
      </c>
      <c r="M26" s="34">
        <v>934.8</v>
      </c>
      <c r="N26" s="45">
        <f>1-(M26/L26)</f>
        <v>0.24</v>
      </c>
      <c r="O26" s="46">
        <f>+'Trim Rwd'!H13</f>
        <v>262.5</v>
      </c>
      <c r="P26" s="47">
        <f>O26*(Q26-R26-S26)</f>
        <v>18900</v>
      </c>
      <c r="Q26" s="46">
        <v>80</v>
      </c>
      <c r="R26" s="498">
        <v>0</v>
      </c>
      <c r="S26" s="498">
        <v>8</v>
      </c>
      <c r="T26" s="36">
        <f>E26*M26*O26*Q26/100000000</f>
        <v>2.3556959999999996</v>
      </c>
      <c r="U26" s="36">
        <f>E26*M26*O26*(Q26-R26-S26)/100000000</f>
        <v>2.1201263999999997</v>
      </c>
      <c r="V26" s="36">
        <f>E26*G26*(1-N26)*O26/100*(R26+S26)/1000000</f>
        <v>0.23556960000000002</v>
      </c>
      <c r="W26" s="36">
        <f>+'5'!K8/1000</f>
        <v>5.1630000000000003</v>
      </c>
      <c r="X26" s="499">
        <f>SUM(W26:W30)/SUM(K26:K30)</f>
        <v>0.88921545164713922</v>
      </c>
      <c r="Y26" s="210">
        <v>0</v>
      </c>
      <c r="Z26" s="36">
        <f>+'2'!D49/1000</f>
        <v>0</v>
      </c>
      <c r="AA26" s="48">
        <f>SUM(U26:U30)-SUM(W26:W30)-SUM(Z26:Z30)-SUM(Y26:Y30)</f>
        <v>2.3760044000000025</v>
      </c>
      <c r="AB26" s="48">
        <f>(SUM(K26:K30)-SUM(W26:W30)-SUM(Y26:Y30)-SUM(Z26:Z30)-SUM(AC26:AC30)-SUM(V26:V30))-AA26</f>
        <v>-1.7236800000002273E-2</v>
      </c>
      <c r="AC26" s="36">
        <f>K26-T26</f>
        <v>0</v>
      </c>
      <c r="AD26" s="36">
        <f>+AM26+BC26</f>
        <v>21</v>
      </c>
      <c r="AE26" s="228" t="s">
        <v>464</v>
      </c>
      <c r="AF26" s="36">
        <v>21</v>
      </c>
      <c r="AG26" s="36"/>
      <c r="AH26" s="36"/>
      <c r="AI26" s="500"/>
      <c r="AJ26" s="36"/>
      <c r="AK26" s="36"/>
      <c r="AL26" s="36"/>
      <c r="AM26" s="36">
        <f t="shared" ref="AM26:AM29" si="8">SUM(AF26:AL26)+AT26+AV26+AX26</f>
        <v>21</v>
      </c>
      <c r="AN26" s="36"/>
      <c r="AO26" s="36"/>
      <c r="AP26" s="36"/>
      <c r="AQ26" s="36"/>
      <c r="AR26" s="36">
        <f>SUM(AN26:AQ26)</f>
        <v>0</v>
      </c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>
        <f>+AR26+AS26+AU26+AW26+AY26+BB26</f>
        <v>0</v>
      </c>
      <c r="BD26" s="32">
        <v>9</v>
      </c>
      <c r="BE26" s="50"/>
      <c r="BF26" s="50"/>
      <c r="BG26" s="32"/>
      <c r="BH26" s="50"/>
    </row>
    <row r="27" spans="1:60" ht="12.95" customHeight="1">
      <c r="A27" s="39"/>
      <c r="B27" s="40" t="s">
        <v>447</v>
      </c>
      <c r="C27" s="412">
        <f t="shared" ref="C27:C28" si="9">(M27*E27*O27*Q27)/100000000</f>
        <v>11.445235200000001</v>
      </c>
      <c r="D27" s="40" t="s">
        <v>302</v>
      </c>
      <c r="E27" s="41">
        <v>13.5</v>
      </c>
      <c r="F27" s="41">
        <v>1</v>
      </c>
      <c r="G27" s="497">
        <v>1230</v>
      </c>
      <c r="H27" s="43">
        <f>+N27</f>
        <v>0.19999999999999996</v>
      </c>
      <c r="I27" s="44">
        <v>0.88</v>
      </c>
      <c r="J27" s="81">
        <f t="shared" ref="J27:J28" si="10">E27*G27*(1-H27)*1440/1000000*2.74</f>
        <v>52.413350399999999</v>
      </c>
      <c r="K27" s="81">
        <f t="shared" ref="K27:K28" si="11">(IF(G27&lt;L27,L27,G27)*(1-IF(H27&lt;N27,H27,N27))*E27*O27*Q27)/100000000</f>
        <v>11.731366080000001</v>
      </c>
      <c r="L27" s="34">
        <v>1200</v>
      </c>
      <c r="M27" s="34">
        <v>960</v>
      </c>
      <c r="N27" s="45">
        <f t="shared" ref="N27:N28" si="12">1-(M27/L27)</f>
        <v>0.19999999999999996</v>
      </c>
      <c r="O27" s="46">
        <f>+'Trim Rwd'!H14</f>
        <v>266</v>
      </c>
      <c r="P27" s="47">
        <f t="shared" ref="P27:P28" si="13">O27*(Q27-R27-S27)</f>
        <v>82992</v>
      </c>
      <c r="Q27" s="46">
        <v>332</v>
      </c>
      <c r="R27" s="498">
        <v>0</v>
      </c>
      <c r="S27" s="498">
        <v>20</v>
      </c>
      <c r="T27" s="36">
        <f t="shared" ref="T27:T28" si="14">E27*M27*O27*Q27/100000000</f>
        <v>11.445235200000001</v>
      </c>
      <c r="U27" s="36">
        <f t="shared" ref="U27:U28" si="15">E27*M27*O27*(Q27-R27-S27)/100000000</f>
        <v>10.755763200000001</v>
      </c>
      <c r="V27" s="36">
        <f t="shared" ref="V27:V28" si="16">E27*G27*(1-N27)*O27/100*(R27+S27)/1000000</f>
        <v>0.70670880000000003</v>
      </c>
      <c r="W27" s="36">
        <f>+'5'!K9/1000</f>
        <v>10.666</v>
      </c>
      <c r="X27" s="37"/>
      <c r="Y27" s="210"/>
      <c r="Z27" s="36"/>
      <c r="AA27" s="36"/>
      <c r="AB27" s="36"/>
      <c r="AC27" s="36">
        <f t="shared" ref="AC27:AC28" si="17">K27-T27</f>
        <v>0.28613087999999998</v>
      </c>
      <c r="AD27" s="36">
        <f>+AM27+BC27</f>
        <v>0</v>
      </c>
      <c r="AE27" s="228" t="s">
        <v>427</v>
      </c>
      <c r="AF27" s="36"/>
      <c r="AG27" s="36">
        <v>0</v>
      </c>
      <c r="AH27" s="36"/>
      <c r="AI27" s="500"/>
      <c r="AJ27" s="36"/>
      <c r="AK27" s="36"/>
      <c r="AL27" s="36"/>
      <c r="AM27" s="36">
        <f t="shared" si="8"/>
        <v>0</v>
      </c>
      <c r="AN27" s="82"/>
      <c r="AO27" s="36"/>
      <c r="AP27" s="36"/>
      <c r="AQ27" s="36"/>
      <c r="AR27" s="36">
        <f t="shared" ref="AR27:AR29" si="18">SUM(AN27:AQ27)</f>
        <v>0</v>
      </c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>
        <f>+AR27+AS27+AU27+AW27+AY27+BB27</f>
        <v>0</v>
      </c>
      <c r="BD27" s="49"/>
      <c r="BE27" s="50">
        <v>0</v>
      </c>
      <c r="BF27" s="50"/>
      <c r="BG27" s="49"/>
      <c r="BH27" s="50"/>
    </row>
    <row r="28" spans="1:60" ht="12.95" customHeight="1">
      <c r="A28" s="39"/>
      <c r="B28" s="40" t="s">
        <v>447</v>
      </c>
      <c r="C28" s="412">
        <f t="shared" si="9"/>
        <v>31.952398800000001</v>
      </c>
      <c r="D28" s="40" t="s">
        <v>302</v>
      </c>
      <c r="E28" s="41">
        <v>12.5</v>
      </c>
      <c r="F28" s="41">
        <v>1</v>
      </c>
      <c r="G28" s="497">
        <v>1230</v>
      </c>
      <c r="H28" s="43">
        <f>+N28</f>
        <v>0.24</v>
      </c>
      <c r="I28" s="44">
        <v>0.88</v>
      </c>
      <c r="J28" s="81">
        <f t="shared" si="10"/>
        <v>46.104336000000004</v>
      </c>
      <c r="K28" s="81">
        <f t="shared" si="11"/>
        <v>31.952398800000001</v>
      </c>
      <c r="L28" s="34">
        <v>1230</v>
      </c>
      <c r="M28" s="34">
        <v>934.8</v>
      </c>
      <c r="N28" s="45">
        <f t="shared" si="12"/>
        <v>0.24</v>
      </c>
      <c r="O28" s="46">
        <f>+'Trim Rwd'!H15</f>
        <v>266</v>
      </c>
      <c r="P28" s="47">
        <f t="shared" si="13"/>
        <v>262808</v>
      </c>
      <c r="Q28" s="46">
        <v>1028</v>
      </c>
      <c r="R28" s="498">
        <v>0</v>
      </c>
      <c r="S28" s="498">
        <v>40</v>
      </c>
      <c r="T28" s="36">
        <f t="shared" si="14"/>
        <v>31.952398800000001</v>
      </c>
      <c r="U28" s="36">
        <f t="shared" si="15"/>
        <v>30.709114799999998</v>
      </c>
      <c r="V28" s="36">
        <f t="shared" si="16"/>
        <v>1.2432840000000001</v>
      </c>
      <c r="W28" s="36">
        <f>+'5'!K10/1000</f>
        <v>25.11</v>
      </c>
      <c r="X28" s="37"/>
      <c r="Y28" s="210"/>
      <c r="Z28" s="36">
        <f>+'5'!D16/1000</f>
        <v>0.27</v>
      </c>
      <c r="AA28" s="36"/>
      <c r="AB28" s="36"/>
      <c r="AC28" s="36">
        <f t="shared" si="17"/>
        <v>0</v>
      </c>
      <c r="AD28" s="36">
        <f>+AM28+BC28</f>
        <v>47</v>
      </c>
      <c r="AE28" s="228" t="s">
        <v>465</v>
      </c>
      <c r="AF28" s="32"/>
      <c r="AG28" s="32"/>
      <c r="AH28" s="32">
        <v>47</v>
      </c>
      <c r="AJ28" s="36"/>
      <c r="AK28" s="36"/>
      <c r="AL28" s="36"/>
      <c r="AM28" s="36">
        <f t="shared" si="8"/>
        <v>47</v>
      </c>
      <c r="AN28" s="36"/>
      <c r="AO28" s="36"/>
      <c r="AP28" s="36"/>
      <c r="AQ28" s="36"/>
      <c r="AR28" s="36">
        <f t="shared" si="18"/>
        <v>0</v>
      </c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>
        <f>+AR28+AS28+AU28+AW28+AY28+BB28</f>
        <v>0</v>
      </c>
      <c r="BD28" s="32"/>
      <c r="BE28" s="501"/>
      <c r="BF28" s="501"/>
      <c r="BG28" s="32"/>
      <c r="BH28" s="501"/>
    </row>
    <row r="29" spans="1:60" ht="12.95" customHeight="1">
      <c r="A29" s="39"/>
      <c r="B29" s="40"/>
      <c r="C29" s="412"/>
      <c r="D29" s="40"/>
      <c r="E29" s="41"/>
      <c r="F29" s="41"/>
      <c r="G29" s="42"/>
      <c r="H29" s="43"/>
      <c r="I29" s="44"/>
      <c r="J29" s="81"/>
      <c r="K29" s="81"/>
      <c r="L29" s="34"/>
      <c r="M29" s="34"/>
      <c r="N29" s="45"/>
      <c r="O29" s="46"/>
      <c r="P29" s="47"/>
      <c r="Q29" s="33"/>
      <c r="R29" s="498"/>
      <c r="S29" s="498"/>
      <c r="T29" s="36"/>
      <c r="U29" s="36"/>
      <c r="V29" s="36"/>
      <c r="W29" s="36"/>
      <c r="X29" s="37"/>
      <c r="Y29" s="210"/>
      <c r="Z29" s="36"/>
      <c r="AA29" s="36"/>
      <c r="AB29" s="36"/>
      <c r="AC29" s="36"/>
      <c r="AD29" s="36">
        <f>+AM29+BC29</f>
        <v>0</v>
      </c>
      <c r="AE29" s="231" t="s">
        <v>378</v>
      </c>
      <c r="AF29" s="36"/>
      <c r="AG29" s="36"/>
      <c r="AH29" s="36"/>
      <c r="AI29" s="500">
        <v>0</v>
      </c>
      <c r="AJ29" s="36"/>
      <c r="AK29" s="36"/>
      <c r="AL29" s="36"/>
      <c r="AM29" s="36">
        <f t="shared" si="8"/>
        <v>0</v>
      </c>
      <c r="AN29" s="36"/>
      <c r="AO29" s="36"/>
      <c r="AP29" s="36"/>
      <c r="AQ29" s="36"/>
      <c r="AR29" s="36">
        <f t="shared" si="18"/>
        <v>0</v>
      </c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>
        <f>+AR29+AS29+AU29+AW29+AY29+BB29</f>
        <v>0</v>
      </c>
      <c r="BD29" s="49"/>
      <c r="BE29" s="50"/>
      <c r="BF29" s="50"/>
      <c r="BG29" s="49"/>
      <c r="BH29" s="50"/>
    </row>
    <row r="30" spans="1:60" ht="12.95" customHeight="1">
      <c r="A30" s="39"/>
      <c r="B30" s="40"/>
      <c r="C30" s="412"/>
      <c r="D30" s="40"/>
      <c r="E30" s="41"/>
      <c r="F30" s="41"/>
      <c r="G30" s="42"/>
      <c r="H30" s="43"/>
      <c r="I30" s="44"/>
      <c r="J30" s="81"/>
      <c r="K30" s="81"/>
      <c r="L30" s="34"/>
      <c r="M30" s="34"/>
      <c r="N30" s="45"/>
      <c r="O30" s="46"/>
      <c r="P30" s="47"/>
      <c r="Q30" s="46"/>
      <c r="R30" s="498"/>
      <c r="S30" s="498"/>
      <c r="T30" s="36"/>
      <c r="U30" s="36"/>
      <c r="V30" s="36"/>
      <c r="W30" s="36"/>
      <c r="X30" s="37"/>
      <c r="Y30" s="210"/>
      <c r="Z30" s="36"/>
      <c r="AA30" s="36"/>
      <c r="AB30" s="36"/>
      <c r="AC30" s="36"/>
      <c r="AD30" s="36"/>
      <c r="AE30" s="228"/>
      <c r="AF30" s="32"/>
      <c r="AG30" s="32"/>
      <c r="AH30" s="32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2"/>
      <c r="BE30" s="501"/>
      <c r="BF30" s="50"/>
      <c r="BG30" s="50"/>
      <c r="BH30" s="50"/>
    </row>
    <row r="31" spans="1:60" ht="12.75" customHeight="1">
      <c r="A31" s="39">
        <v>46028</v>
      </c>
      <c r="B31" s="40" t="s">
        <v>447</v>
      </c>
      <c r="C31" s="412">
        <f t="shared" ref="C31:C32" si="19">(M31*E31*O31*Q31)/100000000</f>
        <v>25.2386652</v>
      </c>
      <c r="D31" s="40" t="s">
        <v>302</v>
      </c>
      <c r="E31" s="41">
        <v>12.5</v>
      </c>
      <c r="F31" s="41">
        <v>1</v>
      </c>
      <c r="G31" s="497">
        <v>1230</v>
      </c>
      <c r="H31" s="43">
        <f>+N31</f>
        <v>0.24</v>
      </c>
      <c r="I31" s="44">
        <v>0.88</v>
      </c>
      <c r="J31" s="81">
        <f t="shared" ref="J31:J32" si="20">E31*G31*(1-H31)*1440/1000000*2.74</f>
        <v>46.104336000000004</v>
      </c>
      <c r="K31" s="81">
        <f t="shared" ref="K31:K32" si="21">(IF(G31&lt;L31,L31,G31)*(1-IF(H31&lt;N31,H31,N31))*E31*O31*Q31)/100000000</f>
        <v>25.2386652</v>
      </c>
      <c r="L31" s="34">
        <v>1230</v>
      </c>
      <c r="M31" s="34">
        <v>934.8</v>
      </c>
      <c r="N31" s="45">
        <f t="shared" ref="N31:N32" si="22">1-(M31/L31)</f>
        <v>0.24</v>
      </c>
      <c r="O31" s="46">
        <f>+'Trim Rwd'!H17</f>
        <v>266</v>
      </c>
      <c r="P31" s="47">
        <f t="shared" ref="P31:P32" si="23">O31*(Q31-R31-S31)</f>
        <v>204022</v>
      </c>
      <c r="Q31" s="46">
        <v>812</v>
      </c>
      <c r="R31" s="498">
        <v>0</v>
      </c>
      <c r="S31" s="498">
        <v>45</v>
      </c>
      <c r="T31" s="36">
        <f t="shared" ref="T31:T32" si="24">E31*M31*O31*Q31/100000000</f>
        <v>25.2386652</v>
      </c>
      <c r="U31" s="36">
        <f t="shared" ref="U31:U32" si="25">E31*M31*O31*(Q31-R31-S31)/100000000</f>
        <v>23.839970699999999</v>
      </c>
      <c r="V31" s="36">
        <f t="shared" ref="V31:V32" si="26">E31*G31*(1-N31)*O31/100*(R31+S31)/1000000</f>
        <v>1.3986945</v>
      </c>
      <c r="W31" s="36">
        <f>+'6'!K10/1000</f>
        <v>25.568000000000001</v>
      </c>
      <c r="X31" s="499">
        <f>SUM(W31:W35)/SUM(K31:K35)</f>
        <v>0.84412500715075345</v>
      </c>
      <c r="Y31" s="210">
        <v>0</v>
      </c>
      <c r="Z31" s="36">
        <f>+'6'!D16/1000</f>
        <v>0.27</v>
      </c>
      <c r="AA31" s="48">
        <f>SUM(U31:U35)-SUM(W31:W35)-SUM(Z31:Z35)-SUM(Y31:Y35)</f>
        <v>4.3708186599999941</v>
      </c>
      <c r="AB31" s="48">
        <f>(SUM(K31:K35)-SUM(W31:W35)-SUM(Y31:Y35)-SUM(Z31:Z35)-SUM(AC31:AC35)-SUM(V31:V35))-AA31</f>
        <v>0</v>
      </c>
      <c r="AC31" s="36">
        <f>K31-T31</f>
        <v>0</v>
      </c>
      <c r="AD31" s="36">
        <f>+AM31+BC31</f>
        <v>18</v>
      </c>
      <c r="AE31" s="228" t="s">
        <v>464</v>
      </c>
      <c r="AF31" s="36">
        <v>18</v>
      </c>
      <c r="AG31" s="36"/>
      <c r="AH31" s="36"/>
      <c r="AI31" s="500"/>
      <c r="AJ31" s="36"/>
      <c r="AK31" s="36"/>
      <c r="AL31" s="36"/>
      <c r="AM31" s="36">
        <f t="shared" ref="AM31:AM34" si="27">SUM(AF31:AL31)+AT31+AV31+AX31</f>
        <v>18</v>
      </c>
      <c r="AN31" s="36"/>
      <c r="AO31" s="36"/>
      <c r="AP31" s="36"/>
      <c r="AQ31" s="36"/>
      <c r="AR31" s="36">
        <f>SUM(AN31:AQ31)</f>
        <v>0</v>
      </c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>
        <f>+AR31+AS31+AU31+AW31+AY31+BB31</f>
        <v>0</v>
      </c>
      <c r="BD31" s="32">
        <v>9</v>
      </c>
      <c r="BE31" s="50"/>
      <c r="BF31" s="50"/>
      <c r="BG31" s="32"/>
      <c r="BH31" s="50"/>
    </row>
    <row r="32" spans="1:60" ht="12.95" customHeight="1">
      <c r="A32" s="39"/>
      <c r="B32" s="40" t="s">
        <v>447</v>
      </c>
      <c r="C32" s="412">
        <f t="shared" si="19"/>
        <v>18.139980959999999</v>
      </c>
      <c r="D32" s="40" t="s">
        <v>302</v>
      </c>
      <c r="E32" s="41">
        <v>12</v>
      </c>
      <c r="F32" s="41">
        <v>1</v>
      </c>
      <c r="G32" s="497">
        <v>1230</v>
      </c>
      <c r="H32" s="43">
        <f>+N32</f>
        <v>0.24</v>
      </c>
      <c r="I32" s="44">
        <v>0.88</v>
      </c>
      <c r="J32" s="81">
        <f t="shared" si="20"/>
        <v>44.260162560000005</v>
      </c>
      <c r="K32" s="81">
        <f t="shared" si="21"/>
        <v>18.139980959999999</v>
      </c>
      <c r="L32" s="34">
        <v>1230</v>
      </c>
      <c r="M32" s="34">
        <v>934.8</v>
      </c>
      <c r="N32" s="45">
        <f t="shared" si="22"/>
        <v>0.24</v>
      </c>
      <c r="O32" s="46">
        <f>+'Trim Rwd'!H18</f>
        <v>257.5</v>
      </c>
      <c r="P32" s="47">
        <f t="shared" si="23"/>
        <v>155272.5</v>
      </c>
      <c r="Q32" s="46">
        <v>628</v>
      </c>
      <c r="R32" s="498">
        <v>0</v>
      </c>
      <c r="S32" s="498">
        <v>25</v>
      </c>
      <c r="T32" s="36">
        <f t="shared" si="24"/>
        <v>18.139980959999999</v>
      </c>
      <c r="U32" s="36">
        <f t="shared" si="25"/>
        <v>17.417847959999996</v>
      </c>
      <c r="V32" s="36">
        <f t="shared" si="26"/>
        <v>0.72213300000000002</v>
      </c>
      <c r="W32" s="36">
        <f>+'6'!K8/1000</f>
        <v>11.048999999999999</v>
      </c>
      <c r="X32" s="37"/>
      <c r="Y32" s="210"/>
      <c r="Z32" s="36"/>
      <c r="AA32" s="36"/>
      <c r="AB32" s="36"/>
      <c r="AC32" s="36">
        <f>K32-T32</f>
        <v>0</v>
      </c>
      <c r="AD32" s="36">
        <f>+AM32+BC32</f>
        <v>0</v>
      </c>
      <c r="AE32" s="228" t="s">
        <v>427</v>
      </c>
      <c r="AF32" s="36"/>
      <c r="AG32" s="36">
        <v>0</v>
      </c>
      <c r="AH32" s="36"/>
      <c r="AI32" s="500"/>
      <c r="AJ32" s="36"/>
      <c r="AK32" s="36"/>
      <c r="AL32" s="36"/>
      <c r="AM32" s="36">
        <f t="shared" si="27"/>
        <v>0</v>
      </c>
      <c r="AN32" s="82"/>
      <c r="AO32" s="36"/>
      <c r="AP32" s="36"/>
      <c r="AQ32" s="36"/>
      <c r="AR32" s="36">
        <f t="shared" ref="AR32:AR34" si="28">SUM(AN32:AQ32)</f>
        <v>0</v>
      </c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>
        <f>+AR32+AS32+AU32+AW32+AY32+BB32</f>
        <v>0</v>
      </c>
      <c r="BD32" s="49"/>
      <c r="BE32" s="50">
        <v>0</v>
      </c>
      <c r="BF32" s="50"/>
      <c r="BG32" s="49"/>
      <c r="BH32" s="50"/>
    </row>
    <row r="33" spans="1:60" ht="12.95" customHeight="1">
      <c r="A33" s="39"/>
      <c r="B33" s="40"/>
      <c r="C33" s="412"/>
      <c r="D33" s="40"/>
      <c r="E33" s="41"/>
      <c r="F33" s="41"/>
      <c r="G33" s="42"/>
      <c r="H33" s="43"/>
      <c r="I33" s="44"/>
      <c r="J33" s="81"/>
      <c r="K33" s="81"/>
      <c r="L33" s="34"/>
      <c r="M33" s="34"/>
      <c r="N33" s="45"/>
      <c r="O33" s="46"/>
      <c r="P33" s="47"/>
      <c r="Q33" s="46"/>
      <c r="R33" s="498"/>
      <c r="S33" s="498"/>
      <c r="T33" s="36"/>
      <c r="U33" s="36"/>
      <c r="V33" s="36"/>
      <c r="W33" s="36"/>
      <c r="X33" s="37"/>
      <c r="Y33" s="210"/>
      <c r="Z33" s="36"/>
      <c r="AA33" s="36"/>
      <c r="AB33" s="36"/>
      <c r="AC33" s="36"/>
      <c r="AD33" s="36">
        <f>+AM33+BC33</f>
        <v>52</v>
      </c>
      <c r="AE33" s="228" t="s">
        <v>449</v>
      </c>
      <c r="AF33" s="32"/>
      <c r="AG33" s="32"/>
      <c r="AH33" s="32">
        <v>52</v>
      </c>
      <c r="AJ33" s="36"/>
      <c r="AK33" s="36"/>
      <c r="AL33" s="36"/>
      <c r="AM33" s="36">
        <f t="shared" si="27"/>
        <v>52</v>
      </c>
      <c r="AN33" s="36"/>
      <c r="AO33" s="36"/>
      <c r="AP33" s="36"/>
      <c r="AQ33" s="36"/>
      <c r="AR33" s="36">
        <f t="shared" si="28"/>
        <v>0</v>
      </c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>
        <f>+AR33+AS33+AU33+AW33+AY33+BB33</f>
        <v>0</v>
      </c>
      <c r="BD33" s="32"/>
      <c r="BE33" s="501"/>
      <c r="BF33" s="501"/>
      <c r="BG33" s="32"/>
      <c r="BH33" s="501"/>
    </row>
    <row r="34" spans="1:60" ht="12.95" customHeight="1">
      <c r="A34" s="39"/>
      <c r="B34" s="40"/>
      <c r="C34" s="412"/>
      <c r="D34" s="40"/>
      <c r="E34" s="41"/>
      <c r="F34" s="41"/>
      <c r="G34" s="42"/>
      <c r="H34" s="43"/>
      <c r="I34" s="44"/>
      <c r="J34" s="81"/>
      <c r="K34" s="81"/>
      <c r="L34" s="34"/>
      <c r="M34" s="34"/>
      <c r="N34" s="45"/>
      <c r="O34" s="46"/>
      <c r="P34" s="47"/>
      <c r="Q34" s="33"/>
      <c r="R34" s="498"/>
      <c r="S34" s="498"/>
      <c r="T34" s="36"/>
      <c r="U34" s="36"/>
      <c r="V34" s="36"/>
      <c r="W34" s="36"/>
      <c r="X34" s="37"/>
      <c r="Y34" s="210"/>
      <c r="Z34" s="36"/>
      <c r="AA34" s="36"/>
      <c r="AB34" s="36"/>
      <c r="AC34" s="36"/>
      <c r="AD34" s="36">
        <f>+AM34+BC34</f>
        <v>0</v>
      </c>
      <c r="AE34" s="231" t="s">
        <v>378</v>
      </c>
      <c r="AF34" s="36"/>
      <c r="AG34" s="36"/>
      <c r="AH34" s="36"/>
      <c r="AI34" s="500">
        <v>0</v>
      </c>
      <c r="AJ34" s="36"/>
      <c r="AK34" s="36"/>
      <c r="AL34" s="36"/>
      <c r="AM34" s="36">
        <f t="shared" si="27"/>
        <v>0</v>
      </c>
      <c r="AN34" s="36"/>
      <c r="AO34" s="36"/>
      <c r="AP34" s="36"/>
      <c r="AQ34" s="36"/>
      <c r="AR34" s="36">
        <f t="shared" si="28"/>
        <v>0</v>
      </c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>
        <f>+AR34+AS34+AU34+AW34+AY34+BB34</f>
        <v>0</v>
      </c>
      <c r="BD34" s="49"/>
      <c r="BE34" s="50"/>
      <c r="BF34" s="50"/>
      <c r="BG34" s="49"/>
      <c r="BH34" s="50"/>
    </row>
    <row r="35" spans="1:60" ht="12.95" customHeight="1">
      <c r="A35" s="39"/>
      <c r="B35" s="40"/>
      <c r="C35" s="412"/>
      <c r="D35" s="40"/>
      <c r="E35" s="41"/>
      <c r="F35" s="41"/>
      <c r="G35" s="42"/>
      <c r="H35" s="43"/>
      <c r="I35" s="44"/>
      <c r="J35" s="81"/>
      <c r="K35" s="81"/>
      <c r="L35" s="34"/>
      <c r="M35" s="34"/>
      <c r="N35" s="45"/>
      <c r="O35" s="46"/>
      <c r="P35" s="47"/>
      <c r="Q35" s="46"/>
      <c r="R35" s="498"/>
      <c r="S35" s="498"/>
      <c r="T35" s="36"/>
      <c r="U35" s="36"/>
      <c r="V35" s="36"/>
      <c r="W35" s="36"/>
      <c r="X35" s="37"/>
      <c r="Y35" s="210"/>
      <c r="Z35" s="36"/>
      <c r="AA35" s="36"/>
      <c r="AB35" s="36"/>
      <c r="AC35" s="36"/>
      <c r="AD35" s="36"/>
      <c r="AE35" s="228"/>
      <c r="AF35" s="32"/>
      <c r="AG35" s="32"/>
      <c r="AH35" s="32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2"/>
      <c r="BE35" s="501"/>
      <c r="BF35" s="50"/>
      <c r="BG35" s="49"/>
      <c r="BH35" s="50"/>
    </row>
    <row r="36" spans="1:60" ht="12.75" customHeight="1">
      <c r="A36" s="39">
        <v>46029</v>
      </c>
      <c r="B36" s="40" t="s">
        <v>447</v>
      </c>
      <c r="C36" s="412">
        <f t="shared" ref="C36" si="29">(M36*E36*O36*Q36)/100000000</f>
        <v>41.594860799999992</v>
      </c>
      <c r="D36" s="40" t="s">
        <v>302</v>
      </c>
      <c r="E36" s="41">
        <v>12</v>
      </c>
      <c r="F36" s="41">
        <v>1</v>
      </c>
      <c r="G36" s="497">
        <v>1230</v>
      </c>
      <c r="H36" s="43">
        <f>+N36</f>
        <v>0.24</v>
      </c>
      <c r="I36" s="44">
        <v>0.88</v>
      </c>
      <c r="J36" s="81">
        <f t="shared" ref="J36" si="30">E36*G36*(1-H36)*1440/1000000*2.74</f>
        <v>44.260162560000005</v>
      </c>
      <c r="K36" s="81">
        <f t="shared" ref="K36" si="31">(IF(G36&lt;L36,L36,G36)*(1-IF(H36&lt;N36,H36,N36))*E36*O36*Q36)/100000000</f>
        <v>41.594860799999992</v>
      </c>
      <c r="L36" s="34">
        <v>1230</v>
      </c>
      <c r="M36" s="34">
        <v>934.8</v>
      </c>
      <c r="N36" s="45">
        <f t="shared" ref="N36" si="32">1-(M36/L36)</f>
        <v>0.24</v>
      </c>
      <c r="O36" s="46">
        <f>+'Trim Rwd'!H20</f>
        <v>257.5</v>
      </c>
      <c r="P36" s="47">
        <f t="shared" ref="P36" si="33">O36*(Q36-R36-S36)</f>
        <v>353032.5</v>
      </c>
      <c r="Q36" s="46">
        <v>1440</v>
      </c>
      <c r="R36" s="498">
        <v>0</v>
      </c>
      <c r="S36" s="498">
        <v>69</v>
      </c>
      <c r="T36" s="36">
        <f t="shared" ref="T36" si="34">E36*M36*O36*Q36/100000000</f>
        <v>41.594860799999992</v>
      </c>
      <c r="U36" s="36">
        <f t="shared" ref="U36" si="35">E36*M36*O36*(Q36-R36-S36)/100000000</f>
        <v>39.601773719999997</v>
      </c>
      <c r="V36" s="36">
        <f t="shared" ref="V36" si="36">E36*G36*(1-N36)*O36/100*(R36+S36)/1000000</f>
        <v>1.99308708</v>
      </c>
      <c r="W36" s="36">
        <f>+'7'!K8/1000</f>
        <v>37.741</v>
      </c>
      <c r="X36" s="499">
        <f>SUM(W36:W40)/SUM(K36:K40)</f>
        <v>0.90734766925821775</v>
      </c>
      <c r="Y36" s="210">
        <v>0</v>
      </c>
      <c r="Z36" s="36">
        <f>+'7'!D7/1000</f>
        <v>0.57899999999999996</v>
      </c>
      <c r="AA36" s="48">
        <f>SUM(U36:U40)-SUM(W36:W40)-SUM(Z36:Z40)-SUM(Y36:Y40)</f>
        <v>1.2817737199999975</v>
      </c>
      <c r="AB36" s="48">
        <f>(SUM(K36:K40)-SUM(W36:W40)-SUM(Y36:Y40)-SUM(Z36:Z40)-SUM(AC36:AC40)-SUM(V36:V40))-AA36</f>
        <v>-4.6629367034256575E-15</v>
      </c>
      <c r="AC36" s="36">
        <f>K36-T36</f>
        <v>0</v>
      </c>
      <c r="AD36" s="36">
        <f>+AM36+BC36</f>
        <v>24</v>
      </c>
      <c r="AE36" s="228" t="s">
        <v>464</v>
      </c>
      <c r="AF36" s="36">
        <v>24</v>
      </c>
      <c r="AG36" s="36"/>
      <c r="AH36" s="36"/>
      <c r="AI36" s="500"/>
      <c r="AJ36" s="36"/>
      <c r="AK36" s="36"/>
      <c r="AL36" s="36"/>
      <c r="AM36" s="36">
        <f t="shared" ref="AM36:AM39" si="37">SUM(AF36:AL36)+AT36+AV36+AX36</f>
        <v>24</v>
      </c>
      <c r="AN36" s="36"/>
      <c r="AO36" s="36"/>
      <c r="AP36" s="36"/>
      <c r="AQ36" s="36"/>
      <c r="AR36" s="36">
        <f>SUM(AN36:AQ36)</f>
        <v>0</v>
      </c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>
        <f>+AR36+AS36+AU36+AW36+AY36+BB36</f>
        <v>0</v>
      </c>
      <c r="BD36" s="32">
        <v>9</v>
      </c>
      <c r="BE36" s="50"/>
      <c r="BF36" s="50"/>
      <c r="BG36" s="32"/>
      <c r="BH36" s="50"/>
    </row>
    <row r="37" spans="1:60" ht="12.95" customHeight="1">
      <c r="A37" s="39"/>
      <c r="B37" s="40"/>
      <c r="C37" s="412"/>
      <c r="D37" s="40"/>
      <c r="E37" s="41"/>
      <c r="F37" s="41"/>
      <c r="G37" s="497"/>
      <c r="H37" s="43"/>
      <c r="I37" s="44"/>
      <c r="J37" s="81"/>
      <c r="K37" s="81"/>
      <c r="L37" s="34"/>
      <c r="M37" s="34"/>
      <c r="N37" s="45"/>
      <c r="O37" s="46"/>
      <c r="P37" s="47"/>
      <c r="Q37" s="46"/>
      <c r="R37" s="498"/>
      <c r="S37" s="498"/>
      <c r="T37" s="36"/>
      <c r="U37" s="36"/>
      <c r="V37" s="36"/>
      <c r="W37" s="36"/>
      <c r="X37" s="37"/>
      <c r="Y37" s="210"/>
      <c r="Z37" s="36"/>
      <c r="AA37" s="36"/>
      <c r="AB37" s="36"/>
      <c r="AC37" s="36"/>
      <c r="AD37" s="36">
        <f>+AM37+BC37</f>
        <v>0</v>
      </c>
      <c r="AE37" s="228" t="s">
        <v>427</v>
      </c>
      <c r="AF37" s="36"/>
      <c r="AG37" s="36">
        <v>0</v>
      </c>
      <c r="AH37" s="36"/>
      <c r="AI37" s="500"/>
      <c r="AJ37" s="36"/>
      <c r="AK37" s="36"/>
      <c r="AL37" s="36"/>
      <c r="AM37" s="36">
        <f t="shared" si="37"/>
        <v>0</v>
      </c>
      <c r="AN37" s="82"/>
      <c r="AO37" s="36"/>
      <c r="AP37" s="36"/>
      <c r="AQ37" s="36"/>
      <c r="AR37" s="36">
        <f t="shared" ref="AR37:AR39" si="38">SUM(AN37:AQ37)</f>
        <v>0</v>
      </c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>
        <f>+AR37+AS37+AU37+AW37+AY37+BB37</f>
        <v>0</v>
      </c>
      <c r="BD37" s="49"/>
      <c r="BE37" s="50">
        <v>0</v>
      </c>
      <c r="BF37" s="50"/>
      <c r="BG37" s="49"/>
      <c r="BH37" s="50"/>
    </row>
    <row r="38" spans="1:60" ht="12.95" customHeight="1">
      <c r="A38" s="39"/>
      <c r="B38" s="40"/>
      <c r="C38" s="412"/>
      <c r="D38" s="40"/>
      <c r="E38" s="41"/>
      <c r="F38" s="41"/>
      <c r="G38" s="42"/>
      <c r="H38" s="43"/>
      <c r="I38" s="44"/>
      <c r="J38" s="81"/>
      <c r="K38" s="81"/>
      <c r="L38" s="34"/>
      <c r="M38" s="34"/>
      <c r="N38" s="45"/>
      <c r="O38" s="46"/>
      <c r="P38" s="47"/>
      <c r="Q38" s="46"/>
      <c r="R38" s="498"/>
      <c r="S38" s="498"/>
      <c r="T38" s="36"/>
      <c r="U38" s="36"/>
      <c r="V38" s="36"/>
      <c r="W38" s="36"/>
      <c r="X38" s="37"/>
      <c r="Y38" s="210"/>
      <c r="Z38" s="36"/>
      <c r="AA38" s="36"/>
      <c r="AB38" s="36"/>
      <c r="AC38" s="36"/>
      <c r="AD38" s="36">
        <f>+AM38+BC38</f>
        <v>45</v>
      </c>
      <c r="AE38" s="228" t="s">
        <v>413</v>
      </c>
      <c r="AF38" s="32"/>
      <c r="AG38" s="32"/>
      <c r="AH38" s="32">
        <v>45</v>
      </c>
      <c r="AJ38" s="36"/>
      <c r="AK38" s="36"/>
      <c r="AL38" s="36"/>
      <c r="AM38" s="36">
        <f t="shared" si="37"/>
        <v>45</v>
      </c>
      <c r="AN38" s="36"/>
      <c r="AO38" s="36"/>
      <c r="AP38" s="36"/>
      <c r="AQ38" s="36"/>
      <c r="AR38" s="36">
        <f t="shared" si="38"/>
        <v>0</v>
      </c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>
        <f>+AR38+AS38+AU38+AW38+AY38+BB38</f>
        <v>0</v>
      </c>
      <c r="BD38" s="32"/>
      <c r="BE38" s="501"/>
      <c r="BF38" s="501"/>
      <c r="BG38" s="32"/>
      <c r="BH38" s="501"/>
    </row>
    <row r="39" spans="1:60" ht="12.95" customHeight="1">
      <c r="A39" s="39"/>
      <c r="B39" s="40"/>
      <c r="C39" s="412"/>
      <c r="D39" s="40"/>
      <c r="E39" s="41"/>
      <c r="F39" s="41"/>
      <c r="G39" s="42"/>
      <c r="H39" s="43"/>
      <c r="I39" s="44"/>
      <c r="J39" s="81"/>
      <c r="K39" s="81"/>
      <c r="L39" s="34"/>
      <c r="M39" s="34"/>
      <c r="N39" s="45"/>
      <c r="O39" s="46"/>
      <c r="P39" s="47"/>
      <c r="Q39" s="33"/>
      <c r="R39" s="498"/>
      <c r="S39" s="498"/>
      <c r="T39" s="36"/>
      <c r="U39" s="36"/>
      <c r="V39" s="36"/>
      <c r="W39" s="36"/>
      <c r="X39" s="37"/>
      <c r="Y39" s="210"/>
      <c r="Z39" s="36"/>
      <c r="AA39" s="36"/>
      <c r="AB39" s="36"/>
      <c r="AC39" s="36"/>
      <c r="AD39" s="36">
        <f>+AM39+BC39</f>
        <v>0</v>
      </c>
      <c r="AE39" s="231" t="s">
        <v>378</v>
      </c>
      <c r="AF39" s="36"/>
      <c r="AG39" s="36"/>
      <c r="AH39" s="36"/>
      <c r="AI39" s="500">
        <v>0</v>
      </c>
      <c r="AJ39" s="36"/>
      <c r="AK39" s="36"/>
      <c r="AL39" s="36"/>
      <c r="AM39" s="36">
        <f t="shared" si="37"/>
        <v>0</v>
      </c>
      <c r="AN39" s="36"/>
      <c r="AO39" s="36"/>
      <c r="AP39" s="36"/>
      <c r="AQ39" s="36"/>
      <c r="AR39" s="36">
        <f t="shared" si="38"/>
        <v>0</v>
      </c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>
        <f>+AR39+AS39+AU39+AW39+AY39+BB39</f>
        <v>0</v>
      </c>
      <c r="BD39" s="49"/>
      <c r="BE39" s="50"/>
      <c r="BF39" s="50"/>
      <c r="BG39" s="49"/>
      <c r="BH39" s="50"/>
    </row>
    <row r="40" spans="1:60" ht="12.95" customHeight="1">
      <c r="A40" s="39"/>
      <c r="B40" s="40"/>
      <c r="C40" s="412"/>
      <c r="D40" s="40"/>
      <c r="E40" s="41"/>
      <c r="F40" s="41"/>
      <c r="G40" s="497"/>
      <c r="H40" s="43"/>
      <c r="I40" s="44"/>
      <c r="J40" s="81"/>
      <c r="K40" s="81"/>
      <c r="L40" s="34"/>
      <c r="M40" s="34"/>
      <c r="N40" s="45"/>
      <c r="O40" s="46"/>
      <c r="P40" s="47"/>
      <c r="Q40" s="46"/>
      <c r="R40" s="498"/>
      <c r="S40" s="498"/>
      <c r="T40" s="36"/>
      <c r="U40" s="36"/>
      <c r="V40" s="36"/>
      <c r="W40" s="36"/>
      <c r="X40" s="37"/>
      <c r="Y40" s="210"/>
      <c r="Z40" s="36"/>
      <c r="AA40" s="36"/>
      <c r="AB40" s="36"/>
      <c r="AC40" s="36"/>
      <c r="AD40" s="36"/>
      <c r="AE40" s="228"/>
      <c r="AF40" s="36"/>
      <c r="AG40" s="36"/>
      <c r="AH40" s="36"/>
      <c r="AI40" s="500"/>
      <c r="AJ40" s="36"/>
      <c r="AK40" s="36"/>
      <c r="AL40" s="36"/>
      <c r="AM40" s="36"/>
      <c r="AN40" s="82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49"/>
      <c r="BE40" s="50"/>
      <c r="BF40" s="501"/>
      <c r="BG40" s="32"/>
      <c r="BH40" s="501"/>
    </row>
    <row r="41" spans="1:60" ht="12.75" customHeight="1">
      <c r="A41" s="39">
        <v>46030</v>
      </c>
      <c r="B41" s="40" t="s">
        <v>447</v>
      </c>
      <c r="C41" s="412">
        <f t="shared" ref="C41" si="39">(M41*E41*O41*Q41)/100000000</f>
        <v>41.770440626086952</v>
      </c>
      <c r="D41" s="40" t="s">
        <v>302</v>
      </c>
      <c r="E41" s="41">
        <v>12</v>
      </c>
      <c r="F41" s="41">
        <v>1</v>
      </c>
      <c r="G41" s="497">
        <v>1230</v>
      </c>
      <c r="H41" s="43">
        <f>+N41</f>
        <v>0.24</v>
      </c>
      <c r="I41" s="44">
        <v>0.88</v>
      </c>
      <c r="J41" s="81">
        <f t="shared" ref="J41" si="40">E41*G41*(1-H41)*1440/1000000*2.74</f>
        <v>44.260162560000005</v>
      </c>
      <c r="K41" s="81">
        <f t="shared" ref="K41" si="41">(IF(G41&lt;L41,L41,G41)*(1-IF(H41&lt;N41,H41,N41))*E41*O41*Q41)/100000000</f>
        <v>41.770440626086952</v>
      </c>
      <c r="L41" s="34">
        <v>1230</v>
      </c>
      <c r="M41" s="34">
        <v>934.8</v>
      </c>
      <c r="N41" s="45">
        <f t="shared" ref="N41" si="42">1-(M41/L41)</f>
        <v>0.24</v>
      </c>
      <c r="O41" s="46">
        <f>+'Trim Rwd'!H22</f>
        <v>258.58695652173913</v>
      </c>
      <c r="P41" s="47">
        <f t="shared" ref="P41" si="43">O41*(Q41-R41-S41)</f>
        <v>352971.19565217389</v>
      </c>
      <c r="Q41" s="46">
        <v>1440</v>
      </c>
      <c r="R41" s="498">
        <v>0</v>
      </c>
      <c r="S41" s="498">
        <v>75</v>
      </c>
      <c r="T41" s="36">
        <f t="shared" ref="T41" si="44">E41*M41*O41*Q41/100000000</f>
        <v>41.770440626086952</v>
      </c>
      <c r="U41" s="36">
        <f t="shared" ref="U41" si="45">E41*M41*O41*(Q41-R41-S41)/100000000</f>
        <v>39.594896843478253</v>
      </c>
      <c r="V41" s="36">
        <f t="shared" ref="V41" si="46">E41*G41*(1-N41)*O41/100*(R41+S41)/1000000</f>
        <v>2.1755437826086954</v>
      </c>
      <c r="W41" s="36">
        <f>+'8'!K8/1000</f>
        <v>36.515000000000001</v>
      </c>
      <c r="X41" s="499">
        <f>SUM(W41:W45)/SUM(K41:K45)</f>
        <v>0.87418278219443146</v>
      </c>
      <c r="Y41" s="210">
        <v>0</v>
      </c>
      <c r="Z41" s="36">
        <f>+'7'!D12/1000</f>
        <v>0</v>
      </c>
      <c r="AA41" s="48">
        <f>SUM(U41:U45)-SUM(W41:W45)-SUM(Z41:Z45)-SUM(Y41:Y45)</f>
        <v>3.0798968434782523</v>
      </c>
      <c r="AB41" s="48">
        <f>(SUM(K41:K45)-SUM(W41:W45)-SUM(Y41:Y45)-SUM(Z41:Z45)-SUM(AC41:AC45)-SUM(V41:V45))-AA41</f>
        <v>3.5527136788005009E-15</v>
      </c>
      <c r="AC41" s="36">
        <f>K41-T41</f>
        <v>0</v>
      </c>
      <c r="AD41" s="36">
        <f>+AM41+BC41</f>
        <v>15</v>
      </c>
      <c r="AE41" s="228" t="s">
        <v>429</v>
      </c>
      <c r="AF41" s="36">
        <v>15</v>
      </c>
      <c r="AG41" s="36"/>
      <c r="AH41" s="36"/>
      <c r="AI41" s="500"/>
      <c r="AJ41" s="36"/>
      <c r="AK41" s="36"/>
      <c r="AL41" s="36"/>
      <c r="AM41" s="36">
        <f t="shared" ref="AM41:AM44" si="47">SUM(AF41:AL41)+AT41+AV41+AX41</f>
        <v>15</v>
      </c>
      <c r="AN41" s="36"/>
      <c r="AO41" s="36"/>
      <c r="AP41" s="36"/>
      <c r="AQ41" s="36"/>
      <c r="AR41" s="36">
        <f>SUM(AN41:AQ41)</f>
        <v>0</v>
      </c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>
        <f>+AR41+AS41+AU41+AW41+AY41+BB41</f>
        <v>0</v>
      </c>
      <c r="BD41" s="32">
        <v>6</v>
      </c>
      <c r="BE41" s="50"/>
      <c r="BF41" s="50"/>
      <c r="BG41" s="32"/>
      <c r="BH41" s="50"/>
    </row>
    <row r="42" spans="1:60" ht="12.95" customHeight="1">
      <c r="A42" s="39"/>
      <c r="B42" s="40"/>
      <c r="C42" s="412"/>
      <c r="D42" s="40"/>
      <c r="E42" s="41"/>
      <c r="F42" s="41"/>
      <c r="G42" s="497"/>
      <c r="H42" s="43"/>
      <c r="I42" s="44"/>
      <c r="J42" s="81"/>
      <c r="K42" s="81"/>
      <c r="L42" s="34"/>
      <c r="M42" s="34"/>
      <c r="N42" s="45"/>
      <c r="O42" s="46"/>
      <c r="P42" s="47"/>
      <c r="Q42" s="46"/>
      <c r="R42" s="498"/>
      <c r="S42" s="498"/>
      <c r="T42" s="36"/>
      <c r="U42" s="36"/>
      <c r="V42" s="36"/>
      <c r="W42" s="36"/>
      <c r="X42" s="37"/>
      <c r="Y42" s="210"/>
      <c r="Z42" s="36"/>
      <c r="AA42" s="36"/>
      <c r="AB42" s="36"/>
      <c r="AC42" s="36"/>
      <c r="AD42" s="36">
        <f>+AM42+BC42</f>
        <v>8</v>
      </c>
      <c r="AE42" s="228" t="s">
        <v>407</v>
      </c>
      <c r="AF42" s="36"/>
      <c r="AG42" s="36">
        <v>8</v>
      </c>
      <c r="AH42" s="36"/>
      <c r="AI42" s="500"/>
      <c r="AJ42" s="36"/>
      <c r="AK42" s="36"/>
      <c r="AL42" s="36"/>
      <c r="AM42" s="36">
        <f t="shared" si="47"/>
        <v>8</v>
      </c>
      <c r="AN42" s="82"/>
      <c r="AO42" s="36"/>
      <c r="AP42" s="36"/>
      <c r="AQ42" s="36"/>
      <c r="AR42" s="36">
        <f t="shared" ref="AR42:AR44" si="48">SUM(AN42:AQ42)</f>
        <v>0</v>
      </c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>
        <f>+AR42+AS42+AU42+AW42+AY42+BB42</f>
        <v>0</v>
      </c>
      <c r="BD42" s="49"/>
      <c r="BE42" s="50">
        <v>4</v>
      </c>
      <c r="BF42" s="50"/>
      <c r="BG42" s="49"/>
      <c r="BH42" s="50"/>
    </row>
    <row r="43" spans="1:60" ht="12.95" customHeight="1">
      <c r="A43" s="39"/>
      <c r="B43" s="40"/>
      <c r="C43" s="412"/>
      <c r="D43" s="40"/>
      <c r="E43" s="41"/>
      <c r="F43" s="41"/>
      <c r="G43" s="42"/>
      <c r="H43" s="43"/>
      <c r="I43" s="44"/>
      <c r="J43" s="81"/>
      <c r="K43" s="81"/>
      <c r="L43" s="34"/>
      <c r="M43" s="34"/>
      <c r="N43" s="45"/>
      <c r="O43" s="46"/>
      <c r="P43" s="47"/>
      <c r="Q43" s="46"/>
      <c r="R43" s="498"/>
      <c r="S43" s="498"/>
      <c r="T43" s="36"/>
      <c r="U43" s="36"/>
      <c r="V43" s="36"/>
      <c r="W43" s="36"/>
      <c r="X43" s="37"/>
      <c r="Y43" s="210"/>
      <c r="Z43" s="36"/>
      <c r="AA43" s="36"/>
      <c r="AB43" s="36"/>
      <c r="AC43" s="36"/>
      <c r="AD43" s="36">
        <f>+AM43+BC43</f>
        <v>52</v>
      </c>
      <c r="AE43" s="228" t="s">
        <v>481</v>
      </c>
      <c r="AF43" s="32"/>
      <c r="AG43" s="32"/>
      <c r="AH43" s="32">
        <v>52</v>
      </c>
      <c r="AJ43" s="36"/>
      <c r="AK43" s="36"/>
      <c r="AL43" s="36"/>
      <c r="AM43" s="36">
        <f t="shared" si="47"/>
        <v>52</v>
      </c>
      <c r="AN43" s="36"/>
      <c r="AO43" s="36"/>
      <c r="AP43" s="36"/>
      <c r="AQ43" s="36"/>
      <c r="AR43" s="36">
        <f t="shared" si="48"/>
        <v>0</v>
      </c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>
        <f>+AR43+AS43+AU43+AW43+AY43+BB43</f>
        <v>0</v>
      </c>
      <c r="BD43" s="32"/>
      <c r="BE43" s="501"/>
      <c r="BF43" s="501"/>
      <c r="BG43" s="32"/>
      <c r="BH43" s="501"/>
    </row>
    <row r="44" spans="1:60" ht="12.95" customHeight="1">
      <c r="A44" s="39"/>
      <c r="B44" s="40"/>
      <c r="C44" s="412"/>
      <c r="D44" s="40"/>
      <c r="E44" s="41"/>
      <c r="F44" s="41"/>
      <c r="G44" s="42"/>
      <c r="H44" s="43"/>
      <c r="I44" s="44"/>
      <c r="J44" s="81"/>
      <c r="K44" s="81"/>
      <c r="L44" s="34"/>
      <c r="M44" s="34"/>
      <c r="N44" s="45"/>
      <c r="O44" s="46"/>
      <c r="P44" s="47"/>
      <c r="Q44" s="33"/>
      <c r="R44" s="498"/>
      <c r="S44" s="498"/>
      <c r="T44" s="36"/>
      <c r="U44" s="36"/>
      <c r="V44" s="36"/>
      <c r="W44" s="36"/>
      <c r="X44" s="37"/>
      <c r="Y44" s="210"/>
      <c r="Z44" s="36"/>
      <c r="AA44" s="36"/>
      <c r="AB44" s="36"/>
      <c r="AC44" s="36"/>
      <c r="AD44" s="36">
        <f>+AM44+BC44</f>
        <v>0</v>
      </c>
      <c r="AE44" s="231" t="s">
        <v>378</v>
      </c>
      <c r="AF44" s="36"/>
      <c r="AG44" s="36"/>
      <c r="AH44" s="36"/>
      <c r="AI44" s="500">
        <v>0</v>
      </c>
      <c r="AJ44" s="36"/>
      <c r="AK44" s="36"/>
      <c r="AL44" s="36"/>
      <c r="AM44" s="36">
        <f t="shared" si="47"/>
        <v>0</v>
      </c>
      <c r="AN44" s="36"/>
      <c r="AO44" s="36"/>
      <c r="AP44" s="36"/>
      <c r="AQ44" s="36"/>
      <c r="AR44" s="36">
        <f t="shared" si="48"/>
        <v>0</v>
      </c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>
        <f>+AR44+AS44+AU44+AW44+AY44+BB44</f>
        <v>0</v>
      </c>
      <c r="BD44" s="49"/>
      <c r="BE44" s="50"/>
      <c r="BF44" s="50"/>
      <c r="BG44" s="49"/>
      <c r="BH44" s="50"/>
    </row>
    <row r="45" spans="1:60" ht="12.95" customHeight="1">
      <c r="A45" s="39"/>
      <c r="B45" s="40"/>
      <c r="C45" s="412"/>
      <c r="D45" s="40"/>
      <c r="E45" s="41"/>
      <c r="F45" s="41"/>
      <c r="G45" s="497"/>
      <c r="H45" s="43"/>
      <c r="I45" s="44"/>
      <c r="J45" s="81"/>
      <c r="K45" s="81"/>
      <c r="L45" s="34"/>
      <c r="M45" s="34"/>
      <c r="N45" s="45"/>
      <c r="O45" s="46"/>
      <c r="P45" s="47"/>
      <c r="Q45" s="46"/>
      <c r="R45" s="498"/>
      <c r="S45" s="498"/>
      <c r="T45" s="36"/>
      <c r="U45" s="36"/>
      <c r="V45" s="36"/>
      <c r="W45" s="36"/>
      <c r="X45" s="37"/>
      <c r="Y45" s="210"/>
      <c r="Z45" s="36"/>
      <c r="AA45" s="36"/>
      <c r="AB45" s="36"/>
      <c r="AC45" s="36"/>
      <c r="AD45" s="36"/>
      <c r="AE45" s="228"/>
      <c r="AF45" s="36"/>
      <c r="AG45" s="36"/>
      <c r="AH45" s="36"/>
      <c r="AI45" s="500"/>
      <c r="AJ45" s="36"/>
      <c r="AK45" s="36"/>
      <c r="AL45" s="36"/>
      <c r="AM45" s="36"/>
      <c r="AN45" s="82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49"/>
      <c r="BE45" s="50"/>
      <c r="BF45" s="50"/>
      <c r="BG45" s="49"/>
      <c r="BH45" s="50"/>
    </row>
    <row r="46" spans="1:60" ht="12.75" customHeight="1">
      <c r="A46" s="39">
        <v>46031</v>
      </c>
      <c r="B46" s="40" t="s">
        <v>447</v>
      </c>
      <c r="C46" s="412">
        <f t="shared" ref="C46:C47" si="49">(M46*E46*O46*Q46)/100000000</f>
        <v>7.5918473279999992</v>
      </c>
      <c r="D46" s="40" t="s">
        <v>302</v>
      </c>
      <c r="E46" s="41">
        <v>12</v>
      </c>
      <c r="F46" s="41">
        <v>1</v>
      </c>
      <c r="G46" s="574">
        <f>+L46</f>
        <v>1230</v>
      </c>
      <c r="H46" s="43">
        <f>+N46</f>
        <v>0.24</v>
      </c>
      <c r="I46" s="44">
        <v>0.88</v>
      </c>
      <c r="J46" s="81">
        <f t="shared" ref="J46:J47" si="50">E46*G46*(1-H46)*1440/1000000*2.74</f>
        <v>44.260162560000005</v>
      </c>
      <c r="K46" s="81">
        <f t="shared" ref="K46:K47" si="51">(IF(G46&lt;L46,L46,G46)*(1-IF(H46&lt;N46,H46,N46))*E46*O46*Q46)/100000000</f>
        <v>7.5918473279999992</v>
      </c>
      <c r="L46" s="34">
        <v>1230</v>
      </c>
      <c r="M46" s="34">
        <v>934.8</v>
      </c>
      <c r="N46" s="45">
        <f t="shared" ref="N46:N47" si="52">1-(M46/L46)</f>
        <v>0.24</v>
      </c>
      <c r="O46" s="46">
        <f>+'Trim Rwd'!H25</f>
        <v>260.3</v>
      </c>
      <c r="P46" s="47">
        <f t="shared" ref="P46:P47" si="53">O46*(Q46-R46-S46)</f>
        <v>64814.700000000004</v>
      </c>
      <c r="Q46" s="46">
        <v>260</v>
      </c>
      <c r="R46" s="498">
        <v>0</v>
      </c>
      <c r="S46" s="498">
        <v>11</v>
      </c>
      <c r="T46" s="36">
        <f t="shared" ref="T46:T47" si="54">E46*M46*O46*Q46/100000000</f>
        <v>7.5918473279999992</v>
      </c>
      <c r="U46" s="36">
        <f t="shared" ref="U46:U47" si="55">E46*M46*O46*(Q46-R46-S46)/100000000</f>
        <v>7.2706537871999988</v>
      </c>
      <c r="V46" s="36">
        <f t="shared" ref="V46:V47" si="56">E46*G46*(1-N46)*O46/100*(R46+S46)/1000000</f>
        <v>0.32119354080000001</v>
      </c>
      <c r="W46" s="36">
        <f>+'9'!K8/1000</f>
        <v>9.8569999999999993</v>
      </c>
      <c r="X46" s="499">
        <f>SUM(W46:W50)/SUM(K46:K50)</f>
        <v>0.99277756661907657</v>
      </c>
      <c r="Y46" s="210">
        <v>0</v>
      </c>
      <c r="Z46" s="36">
        <f>+'9'!D7/1000</f>
        <v>0.27</v>
      </c>
      <c r="AA46" s="48">
        <f>SUM(U46:U50)-SUM(W46:W50)-SUM(Z46:Z50)-SUM(Y46:Y50)</f>
        <v>-1.3907538435692328</v>
      </c>
      <c r="AB46" s="48">
        <f>(SUM(K46:K50)-SUM(W46:W50)-SUM(Y46:Y50)-SUM(Z46:Z50)-SUM(AC46:AC50)-SUM(V46:V50))-AA46</f>
        <v>2.886579864025407E-15</v>
      </c>
      <c r="AC46" s="36">
        <f>K46-T46</f>
        <v>0</v>
      </c>
      <c r="AD46" s="36">
        <f>+AM46+BC46</f>
        <v>15</v>
      </c>
      <c r="AE46" s="228" t="s">
        <v>429</v>
      </c>
      <c r="AF46" s="36">
        <v>15</v>
      </c>
      <c r="AG46" s="36"/>
      <c r="AH46" s="36"/>
      <c r="AI46" s="500"/>
      <c r="AJ46" s="36"/>
      <c r="AK46" s="36"/>
      <c r="AL46" s="36"/>
      <c r="AM46" s="36">
        <f t="shared" ref="AM46:AM49" si="57">SUM(AF46:AL46)+AT46+AV46+AX46</f>
        <v>15</v>
      </c>
      <c r="AN46" s="36"/>
      <c r="AO46" s="36"/>
      <c r="AP46" s="36"/>
      <c r="AQ46" s="36"/>
      <c r="AR46" s="36">
        <f>SUM(AN46:AQ46)</f>
        <v>0</v>
      </c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>
        <f>+AR46+AS46+AU46+AW46+AY46+BB46</f>
        <v>0</v>
      </c>
      <c r="BD46" s="32">
        <v>6</v>
      </c>
      <c r="BE46" s="50"/>
      <c r="BF46" s="50"/>
      <c r="BG46" s="32"/>
      <c r="BH46" s="50"/>
    </row>
    <row r="47" spans="1:60" ht="12.95" customHeight="1">
      <c r="A47" s="39"/>
      <c r="B47" s="40" t="s">
        <v>447</v>
      </c>
      <c r="C47" s="412">
        <f t="shared" si="49"/>
        <v>17.903289600000001</v>
      </c>
      <c r="D47" s="40" t="s">
        <v>302</v>
      </c>
      <c r="E47" s="41">
        <v>13.5</v>
      </c>
      <c r="F47" s="41">
        <v>1</v>
      </c>
      <c r="G47" s="574">
        <f>+L47</f>
        <v>1029.8273155416014</v>
      </c>
      <c r="H47" s="43">
        <f>+N47</f>
        <v>0.2400000000000001</v>
      </c>
      <c r="I47" s="44">
        <v>0.88</v>
      </c>
      <c r="J47" s="81">
        <f t="shared" si="50"/>
        <v>41.689321092621661</v>
      </c>
      <c r="K47" s="81">
        <f t="shared" si="51"/>
        <v>17.903289600000001</v>
      </c>
      <c r="L47" s="34">
        <v>1029.8273155416014</v>
      </c>
      <c r="M47" s="34">
        <v>782.66875981161695</v>
      </c>
      <c r="N47" s="45">
        <f t="shared" si="52"/>
        <v>0.2400000000000001</v>
      </c>
      <c r="O47" s="46">
        <f>+'Trim Rwd'!H27</f>
        <v>266</v>
      </c>
      <c r="P47" s="47">
        <f t="shared" si="53"/>
        <v>160132</v>
      </c>
      <c r="Q47" s="46">
        <f>637</f>
        <v>637</v>
      </c>
      <c r="R47" s="498">
        <f>543-543</f>
        <v>0</v>
      </c>
      <c r="S47" s="498">
        <f>139-104</f>
        <v>35</v>
      </c>
      <c r="T47" s="36">
        <f t="shared" si="54"/>
        <v>17.903289600000001</v>
      </c>
      <c r="U47" s="36">
        <f t="shared" si="55"/>
        <v>16.91959236923077</v>
      </c>
      <c r="V47" s="36">
        <f t="shared" si="56"/>
        <v>0.98369723076923077</v>
      </c>
      <c r="W47" s="36">
        <f>+'9'!K9/1000</f>
        <v>15.454000000000001</v>
      </c>
      <c r="X47" s="37"/>
      <c r="Y47" s="210"/>
      <c r="Z47" s="36"/>
      <c r="AA47" s="36"/>
      <c r="AB47" s="36"/>
      <c r="AC47" s="36">
        <f>K47-T47</f>
        <v>0</v>
      </c>
      <c r="AD47" s="36">
        <f>+AM47+BC47</f>
        <v>0</v>
      </c>
      <c r="AE47" s="228" t="s">
        <v>427</v>
      </c>
      <c r="AF47" s="36"/>
      <c r="AG47" s="36">
        <v>0</v>
      </c>
      <c r="AH47" s="36"/>
      <c r="AI47" s="500"/>
      <c r="AJ47" s="36"/>
      <c r="AK47" s="36"/>
      <c r="AL47" s="36"/>
      <c r="AM47" s="36">
        <f t="shared" si="57"/>
        <v>0</v>
      </c>
      <c r="AN47" s="82"/>
      <c r="AO47" s="36"/>
      <c r="AP47" s="36"/>
      <c r="AQ47" s="36"/>
      <c r="AR47" s="36">
        <f t="shared" ref="AR47:AR49" si="58">SUM(AN47:AQ47)</f>
        <v>0</v>
      </c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>
        <f>+AR47+AS47+AU47+AW47+AY47+BB47</f>
        <v>0</v>
      </c>
      <c r="BD47" s="49"/>
      <c r="BE47" s="50">
        <v>0</v>
      </c>
      <c r="BF47" s="50"/>
      <c r="BG47" s="49"/>
      <c r="BH47" s="50"/>
    </row>
    <row r="48" spans="1:60" ht="12.95" customHeight="1">
      <c r="A48" s="39"/>
      <c r="B48" s="40"/>
      <c r="C48" s="412"/>
      <c r="D48" s="40"/>
      <c r="E48" s="41"/>
      <c r="F48" s="41"/>
      <c r="G48" s="42"/>
      <c r="H48" s="43"/>
      <c r="I48" s="44"/>
      <c r="J48" s="81"/>
      <c r="K48" s="81"/>
      <c r="L48" s="34"/>
      <c r="M48" s="34"/>
      <c r="N48" s="45"/>
      <c r="O48" s="46"/>
      <c r="P48" s="47"/>
      <c r="Q48" s="46"/>
      <c r="R48" s="498"/>
      <c r="S48" s="498"/>
      <c r="T48" s="36"/>
      <c r="U48" s="36"/>
      <c r="V48" s="36"/>
      <c r="W48" s="36"/>
      <c r="X48" s="37"/>
      <c r="Y48" s="210"/>
      <c r="Z48" s="36"/>
      <c r="AA48" s="36"/>
      <c r="AB48" s="36"/>
      <c r="AC48" s="36"/>
      <c r="AD48" s="36">
        <f>+AM48+BC48</f>
        <v>31</v>
      </c>
      <c r="AE48" s="228" t="s">
        <v>495</v>
      </c>
      <c r="AF48" s="32"/>
      <c r="AG48" s="32"/>
      <c r="AH48" s="32">
        <v>31</v>
      </c>
      <c r="AJ48" s="36"/>
      <c r="AK48" s="36"/>
      <c r="AL48" s="36"/>
      <c r="AM48" s="36">
        <f t="shared" si="57"/>
        <v>31</v>
      </c>
      <c r="AN48" s="36"/>
      <c r="AO48" s="36"/>
      <c r="AP48" s="36"/>
      <c r="AQ48" s="36"/>
      <c r="AR48" s="36">
        <f t="shared" si="58"/>
        <v>0</v>
      </c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>
        <f>+AR48+AS48+AU48+AW48+AY48+BB48</f>
        <v>0</v>
      </c>
      <c r="BD48" s="32"/>
      <c r="BE48" s="501"/>
      <c r="BF48" s="501"/>
      <c r="BG48" s="32"/>
      <c r="BH48" s="501"/>
    </row>
    <row r="49" spans="1:60" ht="12.95" customHeight="1">
      <c r="A49" s="39"/>
      <c r="B49" s="40"/>
      <c r="C49" s="412"/>
      <c r="D49" s="40"/>
      <c r="E49" s="41"/>
      <c r="F49" s="41"/>
      <c r="G49" s="42"/>
      <c r="H49" s="43"/>
      <c r="I49" s="44"/>
      <c r="J49" s="81"/>
      <c r="K49" s="81"/>
      <c r="L49" s="34"/>
      <c r="M49" s="34"/>
      <c r="N49" s="45"/>
      <c r="O49" s="46"/>
      <c r="P49" s="47"/>
      <c r="Q49" s="33"/>
      <c r="R49" s="498"/>
      <c r="S49" s="498"/>
      <c r="T49" s="36"/>
      <c r="U49" s="36"/>
      <c r="V49" s="36"/>
      <c r="W49" s="36"/>
      <c r="X49" s="37"/>
      <c r="Y49" s="210"/>
      <c r="Z49" s="36"/>
      <c r="AA49" s="36"/>
      <c r="AB49" s="36"/>
      <c r="AC49" s="36"/>
      <c r="AD49" s="36">
        <f>+AM49+BC49</f>
        <v>0</v>
      </c>
      <c r="AE49" s="231" t="s">
        <v>378</v>
      </c>
      <c r="AF49" s="36"/>
      <c r="AG49" s="36"/>
      <c r="AH49" s="36"/>
      <c r="AI49" s="500">
        <v>0</v>
      </c>
      <c r="AJ49" s="36"/>
      <c r="AK49" s="36"/>
      <c r="AL49" s="36"/>
      <c r="AM49" s="36">
        <f t="shared" si="57"/>
        <v>0</v>
      </c>
      <c r="AN49" s="36"/>
      <c r="AO49" s="36"/>
      <c r="AP49" s="36"/>
      <c r="AQ49" s="36"/>
      <c r="AR49" s="36">
        <f t="shared" si="58"/>
        <v>0</v>
      </c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>
        <f>+AR49+AS49+AU49+AW49+AY49+BB49</f>
        <v>0</v>
      </c>
      <c r="BD49" s="49"/>
      <c r="BE49" s="50"/>
      <c r="BF49" s="50"/>
      <c r="BG49" s="49"/>
      <c r="BH49" s="50"/>
    </row>
    <row r="50" spans="1:60" ht="12.95" customHeight="1">
      <c r="A50" s="39"/>
      <c r="B50" s="40"/>
      <c r="C50" s="412"/>
      <c r="D50" s="40"/>
      <c r="E50" s="41"/>
      <c r="F50" s="41"/>
      <c r="G50" s="42"/>
      <c r="H50" s="43"/>
      <c r="I50" s="44"/>
      <c r="J50" s="81"/>
      <c r="K50" s="81"/>
      <c r="L50" s="34"/>
      <c r="M50" s="34"/>
      <c r="N50" s="45"/>
      <c r="O50" s="46"/>
      <c r="P50" s="47"/>
      <c r="Q50" s="33"/>
      <c r="R50" s="498"/>
      <c r="S50" s="498"/>
      <c r="T50" s="36"/>
      <c r="U50" s="36"/>
      <c r="V50" s="36"/>
      <c r="W50" s="36"/>
      <c r="X50" s="37"/>
      <c r="Y50" s="210"/>
      <c r="Z50" s="36"/>
      <c r="AA50" s="36"/>
      <c r="AB50" s="36"/>
      <c r="AC50" s="36"/>
      <c r="AD50" s="36">
        <f>+AM50+BC50</f>
        <v>0</v>
      </c>
      <c r="AE50" s="231" t="s">
        <v>496</v>
      </c>
      <c r="AF50" s="36"/>
      <c r="AG50" s="36"/>
      <c r="AH50" s="36"/>
      <c r="AI50" s="500"/>
      <c r="AJ50" s="36"/>
      <c r="AK50" s="36"/>
      <c r="AL50" s="36"/>
      <c r="AM50" s="36">
        <f t="shared" ref="AM50" si="59">SUM(AF50:AL50)+AT50+AV50+AX50</f>
        <v>0</v>
      </c>
      <c r="AN50" s="36"/>
      <c r="AO50" s="36"/>
      <c r="AP50" s="36"/>
      <c r="AQ50" s="36"/>
      <c r="AR50" s="36">
        <f t="shared" ref="AR50" si="60">SUM(AN50:AQ50)</f>
        <v>0</v>
      </c>
      <c r="AS50" s="36"/>
      <c r="AT50" s="36"/>
      <c r="AU50" s="36"/>
      <c r="AV50" s="36"/>
      <c r="AW50" s="36"/>
      <c r="AX50" s="36"/>
      <c r="AY50" s="36"/>
      <c r="AZ50" s="36"/>
      <c r="BA50" s="36">
        <f>543-543</f>
        <v>0</v>
      </c>
      <c r="BB50" s="36"/>
      <c r="BC50" s="36">
        <f>+AR50+AS50+AU50+AW50+AY50+BB50+BA50</f>
        <v>0</v>
      </c>
      <c r="BD50" s="49"/>
      <c r="BE50" s="50"/>
      <c r="BF50" s="50"/>
      <c r="BG50" s="49"/>
      <c r="BH50" s="50"/>
    </row>
    <row r="51" spans="1:60" ht="12.95" customHeight="1">
      <c r="A51" s="39"/>
      <c r="B51" s="40"/>
      <c r="C51" s="412"/>
      <c r="D51" s="40"/>
      <c r="E51" s="41"/>
      <c r="F51" s="41"/>
      <c r="G51" s="42"/>
      <c r="H51" s="43"/>
      <c r="I51" s="44"/>
      <c r="J51" s="81"/>
      <c r="K51" s="81"/>
      <c r="L51" s="34"/>
      <c r="M51" s="34"/>
      <c r="N51" s="45"/>
      <c r="O51" s="46"/>
      <c r="P51" s="47"/>
      <c r="Q51" s="46"/>
      <c r="R51" s="498"/>
      <c r="S51" s="498"/>
      <c r="T51" s="36"/>
      <c r="U51" s="36"/>
      <c r="V51" s="36"/>
      <c r="W51" s="36"/>
      <c r="X51" s="37"/>
      <c r="Y51" s="210"/>
      <c r="Z51" s="36"/>
      <c r="AA51" s="36"/>
      <c r="AB51" s="36"/>
      <c r="AC51" s="36"/>
      <c r="AD51" s="36">
        <f t="shared" ref="AD51" si="61">+AM51+BC51</f>
        <v>0</v>
      </c>
      <c r="AE51" s="231" t="s">
        <v>519</v>
      </c>
      <c r="AF51" s="32"/>
      <c r="AG51" s="32"/>
      <c r="AH51" s="32"/>
      <c r="AJ51" s="36"/>
      <c r="AK51" s="36"/>
      <c r="AL51" s="36"/>
      <c r="AM51" s="36">
        <f>SUM(AF51:AL51)+AT51+AV51+AX51+AZ51</f>
        <v>0</v>
      </c>
      <c r="AN51" s="36"/>
      <c r="AO51" s="36"/>
      <c r="AP51" s="36"/>
      <c r="AQ51" s="36"/>
      <c r="AR51" s="36">
        <f t="shared" ref="AR51" si="62">SUM(AN51:AQ51)</f>
        <v>0</v>
      </c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>
        <f>+AR51+AS51+AU51+AW51+AY51+BB51+BA51</f>
        <v>0</v>
      </c>
      <c r="BD51" s="32"/>
      <c r="BE51" s="501"/>
      <c r="BF51" s="501"/>
      <c r="BG51" s="32"/>
      <c r="BH51" s="501"/>
    </row>
    <row r="52" spans="1:60" ht="12.95" customHeight="1">
      <c r="A52" s="39"/>
      <c r="B52" s="40"/>
      <c r="C52" s="412"/>
      <c r="D52" s="40"/>
      <c r="E52" s="41"/>
      <c r="F52" s="41"/>
      <c r="G52" s="497"/>
      <c r="H52" s="43"/>
      <c r="I52" s="44"/>
      <c r="J52" s="81"/>
      <c r="K52" s="81"/>
      <c r="L52" s="34"/>
      <c r="M52" s="34"/>
      <c r="N52" s="45"/>
      <c r="O52" s="46"/>
      <c r="P52" s="47"/>
      <c r="Q52" s="46"/>
      <c r="R52" s="498"/>
      <c r="S52" s="498"/>
      <c r="T52" s="36"/>
      <c r="U52" s="36"/>
      <c r="V52" s="36"/>
      <c r="W52" s="36"/>
      <c r="X52" s="37"/>
      <c r="Y52" s="210"/>
      <c r="Z52" s="36"/>
      <c r="AA52" s="36"/>
      <c r="AB52" s="36"/>
      <c r="AC52" s="36"/>
      <c r="AD52" s="36"/>
      <c r="AE52" s="228"/>
      <c r="AF52" s="36"/>
      <c r="AG52" s="36"/>
      <c r="AH52" s="36"/>
      <c r="AI52" s="500"/>
      <c r="AJ52" s="36"/>
      <c r="AK52" s="36"/>
      <c r="AL52" s="36"/>
      <c r="AM52" s="36"/>
      <c r="AN52" s="82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49"/>
      <c r="BE52" s="50"/>
      <c r="BF52" s="50"/>
      <c r="BG52" s="32"/>
      <c r="BH52" s="50"/>
    </row>
    <row r="53" spans="1:60" ht="12.75" customHeight="1">
      <c r="A53" s="39">
        <v>46032</v>
      </c>
      <c r="B53" s="40" t="s">
        <v>447</v>
      </c>
      <c r="C53" s="412">
        <f t="shared" ref="C53:C54" si="63">(M53*E53*O53*Q53)/100000000</f>
        <v>8.2238688</v>
      </c>
      <c r="D53" s="40" t="s">
        <v>302</v>
      </c>
      <c r="E53" s="41">
        <v>12</v>
      </c>
      <c r="F53" s="41">
        <v>1</v>
      </c>
      <c r="G53" s="574">
        <f>+L53</f>
        <v>1000</v>
      </c>
      <c r="H53" s="43">
        <f>+N53</f>
        <v>0.24</v>
      </c>
      <c r="I53" s="44">
        <v>0.88</v>
      </c>
      <c r="J53" s="81">
        <f t="shared" ref="J53:J54" si="64">E53*G53*(1-H53)*1440/1000000*2.74</f>
        <v>35.983872000000005</v>
      </c>
      <c r="K53" s="81">
        <f t="shared" ref="K53:K54" si="65">(IF(G53&lt;L53,L53,G53)*(1-IF(H53&lt;N53,H53,N53))*E53*O53*Q53)/100000000</f>
        <v>8.2238688</v>
      </c>
      <c r="L53" s="34">
        <v>1000</v>
      </c>
      <c r="M53" s="34">
        <v>760</v>
      </c>
      <c r="N53" s="45">
        <f t="shared" ref="N53:N54" si="66">1-(M53/L53)</f>
        <v>0.24</v>
      </c>
      <c r="O53" s="46">
        <f>+'Trim Rwd'!H30</f>
        <v>266</v>
      </c>
      <c r="P53" s="47">
        <f t="shared" ref="P53:P54" si="67">O53*(Q53-R53-S53)</f>
        <v>81662</v>
      </c>
      <c r="Q53" s="46">
        <f>339</f>
        <v>339</v>
      </c>
      <c r="R53" s="498">
        <f>81-81</f>
        <v>0</v>
      </c>
      <c r="S53" s="498">
        <f>108-76</f>
        <v>32</v>
      </c>
      <c r="T53" s="36">
        <f t="shared" ref="T53:T54" si="68">E53*M53*O53*Q53/100000000</f>
        <v>8.2238688</v>
      </c>
      <c r="U53" s="36">
        <f t="shared" ref="U53:U54" si="69">E53*M53*O53*(Q53-R53-S53)/100000000</f>
        <v>7.4475743999999997</v>
      </c>
      <c r="V53" s="36">
        <f t="shared" ref="V53:V54" si="70">E53*G53*(1-N53)*O53/100*(R53+S53)/1000000</f>
        <v>0.77629440000000005</v>
      </c>
      <c r="W53" s="36">
        <f>+'10'!K8/1000</f>
        <v>7.343</v>
      </c>
      <c r="X53" s="499">
        <f>SUM(W53:W57)/SUM(K53:K57)</f>
        <v>0.80578657294865952</v>
      </c>
      <c r="Y53" s="210">
        <v>0</v>
      </c>
      <c r="Z53" s="36">
        <f>+'9'!D13/1000</f>
        <v>0</v>
      </c>
      <c r="AA53" s="48">
        <f>SUM(U53:U57)-SUM(W53:W57)-SUM(Z53:Z57)-SUM(Y53:Y57)</f>
        <v>5.7844717142117652</v>
      </c>
      <c r="AB53" s="48">
        <f>(SUM(K53:K57)-SUM(W53:W57)-SUM(Y53:Y57)-SUM(Z53:Z57)-SUM(AC53:AC57)-SUM(V53:V57))-AA53</f>
        <v>0</v>
      </c>
      <c r="AC53" s="36">
        <f>K53-T53</f>
        <v>0</v>
      </c>
      <c r="AD53" s="36">
        <f t="shared" ref="AD53:AD58" si="71">+AM53+BC53</f>
        <v>18</v>
      </c>
      <c r="AE53" s="228" t="s">
        <v>429</v>
      </c>
      <c r="AF53" s="36">
        <v>18</v>
      </c>
      <c r="AG53" s="36"/>
      <c r="AH53" s="36"/>
      <c r="AI53" s="500"/>
      <c r="AJ53" s="36"/>
      <c r="AK53" s="36"/>
      <c r="AL53" s="36"/>
      <c r="AM53" s="36">
        <f t="shared" ref="AM53:AM56" si="72">SUM(AF53:AL53)+AT53+AV53+AX53</f>
        <v>18</v>
      </c>
      <c r="AN53" s="36"/>
      <c r="AO53" s="36"/>
      <c r="AP53" s="36"/>
      <c r="AQ53" s="36"/>
      <c r="AR53" s="36">
        <f>SUM(AN53:AQ53)</f>
        <v>0</v>
      </c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>
        <f>+AR53+AS53+AU53+AW53+AY53+BB53</f>
        <v>0</v>
      </c>
      <c r="BD53" s="32">
        <v>6</v>
      </c>
      <c r="BE53" s="50"/>
      <c r="BF53" s="50"/>
      <c r="BG53" s="32"/>
      <c r="BH53" s="50"/>
    </row>
    <row r="54" spans="1:60" ht="12.95" customHeight="1">
      <c r="A54" s="39"/>
      <c r="B54" s="40" t="s">
        <v>447</v>
      </c>
      <c r="C54" s="412">
        <f t="shared" si="63"/>
        <v>30.481169291999997</v>
      </c>
      <c r="D54" s="40" t="s">
        <v>302</v>
      </c>
      <c r="E54" s="41">
        <v>13.5</v>
      </c>
      <c r="F54" s="41">
        <v>1</v>
      </c>
      <c r="G54" s="574">
        <f>+L54</f>
        <v>1094.9705882352941</v>
      </c>
      <c r="H54" s="43">
        <f>+N54</f>
        <v>0.2400000000000001</v>
      </c>
      <c r="I54" s="44">
        <v>0.88</v>
      </c>
      <c r="J54" s="81">
        <f t="shared" si="64"/>
        <v>44.326441677176476</v>
      </c>
      <c r="K54" s="81">
        <f t="shared" si="65"/>
        <v>30.481169291999997</v>
      </c>
      <c r="L54" s="34">
        <v>1094.9705882352941</v>
      </c>
      <c r="M54" s="34">
        <v>832.17764705882348</v>
      </c>
      <c r="N54" s="45">
        <f t="shared" si="66"/>
        <v>0.2400000000000001</v>
      </c>
      <c r="O54" s="46">
        <f>+'Trim Rwd'!H29</f>
        <v>266</v>
      </c>
      <c r="P54" s="47">
        <f t="shared" si="67"/>
        <v>262808</v>
      </c>
      <c r="Q54" s="46">
        <v>1020</v>
      </c>
      <c r="R54" s="498">
        <v>0</v>
      </c>
      <c r="S54" s="498">
        <f>132-100</f>
        <v>32</v>
      </c>
      <c r="T54" s="36">
        <f t="shared" si="68"/>
        <v>30.481169291999997</v>
      </c>
      <c r="U54" s="36">
        <f t="shared" si="69"/>
        <v>29.524897314211763</v>
      </c>
      <c r="V54" s="36">
        <f t="shared" si="70"/>
        <v>0.95627197778823525</v>
      </c>
      <c r="W54" s="36">
        <f>+'10'!K9/1000</f>
        <v>23.844999999999999</v>
      </c>
      <c r="X54" s="37"/>
      <c r="Y54" s="210"/>
      <c r="Z54" s="36"/>
      <c r="AA54" s="36"/>
      <c r="AB54" s="36"/>
      <c r="AC54" s="36">
        <f>K54-T54</f>
        <v>0</v>
      </c>
      <c r="AD54" s="36">
        <f t="shared" si="71"/>
        <v>9</v>
      </c>
      <c r="AE54" s="228" t="s">
        <v>427</v>
      </c>
      <c r="AF54" s="36"/>
      <c r="AG54" s="36">
        <v>9</v>
      </c>
      <c r="AH54" s="36"/>
      <c r="AI54" s="500"/>
      <c r="AJ54" s="36"/>
      <c r="AK54" s="36"/>
      <c r="AL54" s="36"/>
      <c r="AM54" s="36">
        <f t="shared" si="72"/>
        <v>9</v>
      </c>
      <c r="AN54" s="82"/>
      <c r="AO54" s="36"/>
      <c r="AP54" s="36"/>
      <c r="AQ54" s="36"/>
      <c r="AR54" s="36">
        <f t="shared" ref="AR54:AR56" si="73">SUM(AN54:AQ54)</f>
        <v>0</v>
      </c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>
        <f>+AR54+AS54+AU54+AW54+AY54+BB54</f>
        <v>0</v>
      </c>
      <c r="BD54" s="49"/>
      <c r="BE54" s="50">
        <v>0</v>
      </c>
      <c r="BF54" s="50"/>
      <c r="BG54" s="49"/>
      <c r="BH54" s="50"/>
    </row>
    <row r="55" spans="1:60" ht="12.95" customHeight="1">
      <c r="A55" s="39"/>
      <c r="B55" s="40"/>
      <c r="C55" s="412"/>
      <c r="D55" s="40"/>
      <c r="E55" s="41"/>
      <c r="F55" s="41"/>
      <c r="G55" s="42"/>
      <c r="H55" s="43"/>
      <c r="I55" s="44"/>
      <c r="J55" s="81"/>
      <c r="K55" s="81"/>
      <c r="L55" s="34"/>
      <c r="M55" s="34"/>
      <c r="N55" s="45"/>
      <c r="O55" s="46"/>
      <c r="P55" s="47"/>
      <c r="Q55" s="46"/>
      <c r="R55" s="498"/>
      <c r="S55" s="498"/>
      <c r="T55" s="36"/>
      <c r="U55" s="36"/>
      <c r="V55" s="36"/>
      <c r="W55" s="36"/>
      <c r="X55" s="37"/>
      <c r="Y55" s="210"/>
      <c r="Z55" s="36"/>
      <c r="AA55" s="36"/>
      <c r="AB55" s="36"/>
      <c r="AC55" s="36"/>
      <c r="AD55" s="36">
        <f t="shared" si="71"/>
        <v>37</v>
      </c>
      <c r="AE55" s="228" t="s">
        <v>495</v>
      </c>
      <c r="AF55" s="32"/>
      <c r="AG55" s="32"/>
      <c r="AH55" s="32">
        <v>37</v>
      </c>
      <c r="AJ55" s="36"/>
      <c r="AK55" s="36"/>
      <c r="AL55" s="36"/>
      <c r="AM55" s="36">
        <f t="shared" si="72"/>
        <v>37</v>
      </c>
      <c r="AN55" s="36"/>
      <c r="AO55" s="36"/>
      <c r="AP55" s="36"/>
      <c r="AQ55" s="36"/>
      <c r="AR55" s="36">
        <f t="shared" si="73"/>
        <v>0</v>
      </c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>
        <f>+AR55+AS55+AU55+AW55+AY55+BB55</f>
        <v>0</v>
      </c>
      <c r="BD55" s="32"/>
      <c r="BE55" s="501"/>
      <c r="BF55" s="501"/>
      <c r="BG55" s="32"/>
      <c r="BH55" s="501"/>
    </row>
    <row r="56" spans="1:60" ht="12.95" customHeight="1">
      <c r="A56" s="39"/>
      <c r="B56" s="40"/>
      <c r="C56" s="412"/>
      <c r="D56" s="40"/>
      <c r="E56" s="41"/>
      <c r="F56" s="41"/>
      <c r="G56" s="42"/>
      <c r="H56" s="43"/>
      <c r="I56" s="44"/>
      <c r="J56" s="81"/>
      <c r="K56" s="81"/>
      <c r="L56" s="34"/>
      <c r="M56" s="34"/>
      <c r="N56" s="45"/>
      <c r="O56" s="46"/>
      <c r="P56" s="47"/>
      <c r="Q56" s="33"/>
      <c r="R56" s="498"/>
      <c r="S56" s="498"/>
      <c r="T56" s="36"/>
      <c r="U56" s="36"/>
      <c r="V56" s="36"/>
      <c r="W56" s="36"/>
      <c r="X56" s="37"/>
      <c r="Y56" s="210"/>
      <c r="Z56" s="36"/>
      <c r="AA56" s="36"/>
      <c r="AB56" s="36"/>
      <c r="AC56" s="36"/>
      <c r="AD56" s="36">
        <f t="shared" si="71"/>
        <v>0</v>
      </c>
      <c r="AE56" s="231" t="s">
        <v>378</v>
      </c>
      <c r="AF56" s="36"/>
      <c r="AG56" s="36"/>
      <c r="AH56" s="36"/>
      <c r="AI56" s="500">
        <v>0</v>
      </c>
      <c r="AJ56" s="36"/>
      <c r="AK56" s="36"/>
      <c r="AL56" s="36"/>
      <c r="AM56" s="36">
        <f t="shared" si="72"/>
        <v>0</v>
      </c>
      <c r="AN56" s="36"/>
      <c r="AO56" s="36"/>
      <c r="AP56" s="36"/>
      <c r="AQ56" s="36"/>
      <c r="AR56" s="36">
        <f t="shared" si="73"/>
        <v>0</v>
      </c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>
        <f>+AR56+AS56+AU56+AW56+AY56+BB56</f>
        <v>0</v>
      </c>
      <c r="BD56" s="49"/>
      <c r="BE56" s="50"/>
      <c r="BF56" s="50"/>
      <c r="BG56" s="49"/>
      <c r="BH56" s="50"/>
    </row>
    <row r="57" spans="1:60" ht="12.95" customHeight="1">
      <c r="A57" s="39"/>
      <c r="B57" s="40"/>
      <c r="C57" s="412"/>
      <c r="D57" s="40"/>
      <c r="E57" s="41"/>
      <c r="F57" s="41"/>
      <c r="G57" s="42"/>
      <c r="H57" s="43"/>
      <c r="I57" s="44"/>
      <c r="J57" s="81"/>
      <c r="K57" s="81"/>
      <c r="L57" s="34"/>
      <c r="M57" s="34"/>
      <c r="N57" s="45"/>
      <c r="O57" s="46"/>
      <c r="P57" s="47"/>
      <c r="Q57" s="33"/>
      <c r="R57" s="498"/>
      <c r="S57" s="498"/>
      <c r="T57" s="36"/>
      <c r="U57" s="36"/>
      <c r="V57" s="36"/>
      <c r="W57" s="36"/>
      <c r="X57" s="37"/>
      <c r="Y57" s="210"/>
      <c r="Z57" s="36"/>
      <c r="AA57" s="36"/>
      <c r="AB57" s="36"/>
      <c r="AC57" s="36"/>
      <c r="AD57" s="36">
        <f t="shared" si="71"/>
        <v>0</v>
      </c>
      <c r="AE57" s="231" t="s">
        <v>520</v>
      </c>
      <c r="AF57" s="36"/>
      <c r="AG57" s="36"/>
      <c r="AH57" s="36"/>
      <c r="AI57" s="500"/>
      <c r="AJ57" s="36"/>
      <c r="AK57" s="36"/>
      <c r="AL57" s="36"/>
      <c r="AM57" s="36">
        <f t="shared" ref="AM57" si="74">SUM(AF57:AL57)+AT57+AV57+AX57</f>
        <v>0</v>
      </c>
      <c r="AN57" s="36"/>
      <c r="AO57" s="36"/>
      <c r="AP57" s="36"/>
      <c r="AQ57" s="36"/>
      <c r="AR57" s="36">
        <f t="shared" ref="AR57:AR58" si="75">SUM(AN57:AQ57)</f>
        <v>0</v>
      </c>
      <c r="AS57" s="36"/>
      <c r="AT57" s="36"/>
      <c r="AU57" s="36"/>
      <c r="AV57" s="36"/>
      <c r="AW57" s="36"/>
      <c r="AX57" s="36"/>
      <c r="AY57" s="36"/>
      <c r="AZ57" s="36"/>
      <c r="BA57" s="36">
        <f>81-81</f>
        <v>0</v>
      </c>
      <c r="BB57" s="36"/>
      <c r="BC57" s="36">
        <f>+AR57+AS57+AU57+AW57+AY57+BB57+BA57</f>
        <v>0</v>
      </c>
      <c r="BD57" s="49"/>
      <c r="BE57" s="50"/>
      <c r="BF57" s="50"/>
      <c r="BG57" s="49"/>
      <c r="BH57" s="50"/>
    </row>
    <row r="58" spans="1:60" ht="12.95" customHeight="1">
      <c r="A58" s="39"/>
      <c r="B58" s="40"/>
      <c r="C58" s="412"/>
      <c r="D58" s="40"/>
      <c r="E58" s="41"/>
      <c r="F58" s="41"/>
      <c r="G58" s="42"/>
      <c r="H58" s="43"/>
      <c r="I58" s="44"/>
      <c r="J58" s="81"/>
      <c r="K58" s="81"/>
      <c r="L58" s="34"/>
      <c r="M58" s="34"/>
      <c r="N58" s="45"/>
      <c r="O58" s="46"/>
      <c r="P58" s="47"/>
      <c r="Q58" s="46"/>
      <c r="R58" s="498"/>
      <c r="S58" s="498"/>
      <c r="T58" s="36"/>
      <c r="U58" s="36"/>
      <c r="V58" s="36"/>
      <c r="W58" s="36"/>
      <c r="X58" s="37"/>
      <c r="Y58" s="210"/>
      <c r="Z58" s="36"/>
      <c r="AA58" s="36"/>
      <c r="AB58" s="36"/>
      <c r="AC58" s="36"/>
      <c r="AD58" s="36">
        <f t="shared" si="71"/>
        <v>0</v>
      </c>
      <c r="AE58" s="231" t="s">
        <v>519</v>
      </c>
      <c r="AF58" s="32"/>
      <c r="AG58" s="32"/>
      <c r="AH58" s="32"/>
      <c r="AJ58" s="36"/>
      <c r="AK58" s="36"/>
      <c r="AL58" s="36"/>
      <c r="AM58" s="36">
        <f>SUM(AF58:AL58)+AT58+AV58+AX58+AZ58</f>
        <v>0</v>
      </c>
      <c r="AN58" s="36"/>
      <c r="AO58" s="36"/>
      <c r="AP58" s="36"/>
      <c r="AQ58" s="36"/>
      <c r="AR58" s="36">
        <f t="shared" si="75"/>
        <v>0</v>
      </c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>
        <f>+AR58+AS58+AU58+AW58+AY58+BB58+BA58</f>
        <v>0</v>
      </c>
      <c r="BD58" s="32"/>
      <c r="BE58" s="501"/>
      <c r="BF58" s="501"/>
      <c r="BG58" s="32"/>
      <c r="BH58" s="501"/>
    </row>
    <row r="59" spans="1:60" ht="12.95" customHeight="1">
      <c r="A59" s="39"/>
      <c r="B59" s="40"/>
      <c r="C59" s="412"/>
      <c r="D59" s="40"/>
      <c r="E59" s="41"/>
      <c r="F59" s="41"/>
      <c r="G59" s="42"/>
      <c r="H59" s="43"/>
      <c r="I59" s="44"/>
      <c r="J59" s="81"/>
      <c r="K59" s="81"/>
      <c r="L59" s="34"/>
      <c r="M59" s="34"/>
      <c r="N59" s="45"/>
      <c r="O59" s="46"/>
      <c r="P59" s="47"/>
      <c r="Q59" s="33"/>
      <c r="R59" s="498"/>
      <c r="S59" s="498"/>
      <c r="T59" s="36"/>
      <c r="U59" s="36"/>
      <c r="V59" s="36"/>
      <c r="W59" s="36"/>
      <c r="X59" s="37"/>
      <c r="Y59" s="210"/>
      <c r="Z59" s="36"/>
      <c r="AA59" s="36"/>
      <c r="AB59" s="36"/>
      <c r="AC59" s="36"/>
      <c r="AD59" s="36"/>
      <c r="AE59" s="231"/>
      <c r="AF59" s="36"/>
      <c r="AG59" s="36"/>
      <c r="AH59" s="36"/>
      <c r="AI59" s="500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49"/>
      <c r="BE59" s="50"/>
      <c r="BF59" s="50"/>
      <c r="BG59" s="50"/>
      <c r="BH59" s="50"/>
    </row>
    <row r="60" spans="1:60" ht="12.75" customHeight="1">
      <c r="A60" s="39">
        <v>46033</v>
      </c>
      <c r="B60" s="40" t="s">
        <v>447</v>
      </c>
      <c r="C60" s="412">
        <f t="shared" ref="C60" si="76">(M60*E60*O60*Q60)/100000000</f>
        <v>47.1598848</v>
      </c>
      <c r="D60" s="40" t="s">
        <v>302</v>
      </c>
      <c r="E60" s="41">
        <v>13.5</v>
      </c>
      <c r="F60" s="41">
        <v>1</v>
      </c>
      <c r="G60" s="497">
        <v>1230</v>
      </c>
      <c r="H60" s="43">
        <f>+N60</f>
        <v>0.24</v>
      </c>
      <c r="I60" s="44">
        <v>0.88</v>
      </c>
      <c r="J60" s="81">
        <f t="shared" ref="J60" si="77">E60*G60*(1-H60)*1440/1000000*2.74</f>
        <v>49.792682880000008</v>
      </c>
      <c r="K60" s="81">
        <f t="shared" ref="K60" si="78">(IF(G60&lt;L60,L60,G60)*(1-IF(H60&lt;N60,H60,N60))*E60*O60*Q60)/100000000</f>
        <v>48.338881919999999</v>
      </c>
      <c r="L60" s="34">
        <v>1200</v>
      </c>
      <c r="M60" s="34">
        <v>912</v>
      </c>
      <c r="N60" s="45">
        <f t="shared" ref="N60" si="79">1-(M60/L60)</f>
        <v>0.24</v>
      </c>
      <c r="O60" s="46">
        <f>+'Trim Rwd'!H32</f>
        <v>266</v>
      </c>
      <c r="P60" s="47">
        <f t="shared" ref="P60" si="80">O60*(Q60-R60-S60)</f>
        <v>365750</v>
      </c>
      <c r="Q60" s="46">
        <v>1440</v>
      </c>
      <c r="R60" s="498">
        <v>0</v>
      </c>
      <c r="S60" s="498">
        <v>65</v>
      </c>
      <c r="T60" s="36">
        <f t="shared" ref="T60" si="81">E60*M60*O60*Q60/100000000</f>
        <v>47.1598848</v>
      </c>
      <c r="U60" s="36">
        <f t="shared" ref="U60" si="82">E60*M60*O60*(Q60-R60-S60)/100000000</f>
        <v>45.031140000000001</v>
      </c>
      <c r="V60" s="36">
        <f t="shared" ref="V60" si="83">E60*G60*(1-N60)*O60/100*(R60+S60)/1000000</f>
        <v>2.1819634199999998</v>
      </c>
      <c r="W60" s="36">
        <f>+'11'!K9/1000</f>
        <v>45.264000000000003</v>
      </c>
      <c r="X60" s="499">
        <f>SUM(W60:W64)/SUM(K60:K64)</f>
        <v>0.93638905581041632</v>
      </c>
      <c r="Y60" s="210">
        <v>0</v>
      </c>
      <c r="Z60" s="36">
        <f>+'7'!D30/1000</f>
        <v>0</v>
      </c>
      <c r="AA60" s="48">
        <f>SUM(U60:U64)-SUM(W60:W64)-SUM(Z60:Z64)-SUM(Y60:Y64)</f>
        <v>-0.23286000000000229</v>
      </c>
      <c r="AB60" s="48">
        <f>(SUM(K60:K64)-SUM(W60:W64)-SUM(Y60:Y64)-SUM(Z60:Z64)-SUM(AC60:AC64)-SUM(V60:V64))-AA60</f>
        <v>-5.3218619999999994E-2</v>
      </c>
      <c r="AC60" s="36">
        <f>K60-T60</f>
        <v>1.1789971199999982</v>
      </c>
      <c r="AD60" s="36">
        <f>+AM60+BC60</f>
        <v>27</v>
      </c>
      <c r="AE60" s="228" t="s">
        <v>464</v>
      </c>
      <c r="AF60" s="36">
        <v>27</v>
      </c>
      <c r="AG60" s="36"/>
      <c r="AH60" s="36"/>
      <c r="AI60" s="500"/>
      <c r="AJ60" s="36"/>
      <c r="AK60" s="36"/>
      <c r="AL60" s="36"/>
      <c r="AM60" s="36">
        <f t="shared" ref="AM60:AM63" si="84">SUM(AF60:AL60)+AT60+AV60+AX60</f>
        <v>27</v>
      </c>
      <c r="AN60" s="36"/>
      <c r="AO60" s="36"/>
      <c r="AP60" s="36"/>
      <c r="AQ60" s="36"/>
      <c r="AR60" s="36">
        <f>SUM(AN60:AQ60)</f>
        <v>0</v>
      </c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>
        <f>+AR60+AS60+AU60+AW60+AY60+BB60</f>
        <v>0</v>
      </c>
      <c r="BD60" s="32">
        <v>9</v>
      </c>
      <c r="BE60" s="50"/>
      <c r="BF60" s="50"/>
      <c r="BG60" s="32"/>
      <c r="BH60" s="50"/>
    </row>
    <row r="61" spans="1:60" ht="12.95" customHeight="1">
      <c r="A61" s="39"/>
      <c r="B61" s="40"/>
      <c r="C61" s="412"/>
      <c r="D61" s="40"/>
      <c r="E61" s="41"/>
      <c r="F61" s="41"/>
      <c r="G61" s="497"/>
      <c r="H61" s="43"/>
      <c r="I61" s="44"/>
      <c r="J61" s="81"/>
      <c r="K61" s="81"/>
      <c r="L61" s="34"/>
      <c r="M61" s="34"/>
      <c r="N61" s="45"/>
      <c r="O61" s="46"/>
      <c r="P61" s="47"/>
      <c r="Q61" s="46"/>
      <c r="R61" s="498"/>
      <c r="S61" s="498"/>
      <c r="T61" s="36"/>
      <c r="U61" s="36"/>
      <c r="V61" s="36"/>
      <c r="W61" s="36"/>
      <c r="X61" s="37"/>
      <c r="Y61" s="210"/>
      <c r="Z61" s="36"/>
      <c r="AA61" s="36"/>
      <c r="AB61" s="36"/>
      <c r="AC61" s="36"/>
      <c r="AD61" s="36">
        <f>+AM61+BC61</f>
        <v>0</v>
      </c>
      <c r="AE61" s="228" t="s">
        <v>427</v>
      </c>
      <c r="AF61" s="36"/>
      <c r="AG61" s="36">
        <v>0</v>
      </c>
      <c r="AH61" s="36"/>
      <c r="AI61" s="500"/>
      <c r="AJ61" s="36"/>
      <c r="AK61" s="36"/>
      <c r="AL61" s="36"/>
      <c r="AM61" s="36">
        <f t="shared" si="84"/>
        <v>0</v>
      </c>
      <c r="AN61" s="82"/>
      <c r="AO61" s="36"/>
      <c r="AP61" s="36"/>
      <c r="AQ61" s="36"/>
      <c r="AR61" s="36">
        <f t="shared" ref="AR61:AR63" si="85">SUM(AN61:AQ61)</f>
        <v>0</v>
      </c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>
        <f>+AR61+AS61+AU61+AW61+AY61+BB61</f>
        <v>0</v>
      </c>
      <c r="BD61" s="49"/>
      <c r="BE61" s="50">
        <v>0</v>
      </c>
      <c r="BF61" s="50"/>
      <c r="BG61" s="49"/>
      <c r="BH61" s="50"/>
    </row>
    <row r="62" spans="1:60" ht="12.95" customHeight="1">
      <c r="A62" s="39"/>
      <c r="B62" s="40"/>
      <c r="C62" s="412"/>
      <c r="D62" s="40"/>
      <c r="E62" s="41"/>
      <c r="F62" s="41"/>
      <c r="G62" s="42"/>
      <c r="H62" s="43"/>
      <c r="I62" s="44"/>
      <c r="J62" s="81"/>
      <c r="K62" s="81"/>
      <c r="L62" s="34"/>
      <c r="M62" s="34"/>
      <c r="N62" s="45"/>
      <c r="O62" s="46"/>
      <c r="P62" s="47"/>
      <c r="Q62" s="46"/>
      <c r="R62" s="498"/>
      <c r="S62" s="498"/>
      <c r="T62" s="36"/>
      <c r="U62" s="36"/>
      <c r="V62" s="36"/>
      <c r="W62" s="36"/>
      <c r="X62" s="37"/>
      <c r="Y62" s="210"/>
      <c r="Z62" s="36"/>
      <c r="AA62" s="36"/>
      <c r="AB62" s="36"/>
      <c r="AC62" s="36"/>
      <c r="AD62" s="36">
        <f>+AM62+BC62</f>
        <v>38</v>
      </c>
      <c r="AE62" s="228" t="s">
        <v>481</v>
      </c>
      <c r="AF62" s="32"/>
      <c r="AG62" s="32"/>
      <c r="AH62" s="32">
        <v>38</v>
      </c>
      <c r="AJ62" s="36"/>
      <c r="AK62" s="36"/>
      <c r="AL62" s="36"/>
      <c r="AM62" s="36">
        <f t="shared" si="84"/>
        <v>38</v>
      </c>
      <c r="AN62" s="36"/>
      <c r="AO62" s="36"/>
      <c r="AP62" s="36"/>
      <c r="AQ62" s="36"/>
      <c r="AR62" s="36">
        <f t="shared" si="85"/>
        <v>0</v>
      </c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>
        <f>+AR62+AS62+AU62+AW62+AY62+BB62</f>
        <v>0</v>
      </c>
      <c r="BD62" s="32"/>
      <c r="BE62" s="501"/>
      <c r="BF62" s="501"/>
      <c r="BG62" s="32"/>
      <c r="BH62" s="501"/>
    </row>
    <row r="63" spans="1:60" ht="12.95" customHeight="1">
      <c r="A63" s="39"/>
      <c r="B63" s="40"/>
      <c r="C63" s="412"/>
      <c r="D63" s="40"/>
      <c r="E63" s="41"/>
      <c r="F63" s="41"/>
      <c r="G63" s="42"/>
      <c r="H63" s="43"/>
      <c r="I63" s="44"/>
      <c r="J63" s="81"/>
      <c r="K63" s="81"/>
      <c r="L63" s="34"/>
      <c r="M63" s="34"/>
      <c r="N63" s="45"/>
      <c r="O63" s="46"/>
      <c r="P63" s="47"/>
      <c r="Q63" s="33"/>
      <c r="R63" s="498"/>
      <c r="S63" s="498"/>
      <c r="T63" s="36"/>
      <c r="U63" s="36"/>
      <c r="V63" s="36"/>
      <c r="W63" s="36"/>
      <c r="X63" s="37"/>
      <c r="Y63" s="210"/>
      <c r="Z63" s="36"/>
      <c r="AA63" s="36"/>
      <c r="AB63" s="36"/>
      <c r="AC63" s="36"/>
      <c r="AD63" s="36">
        <f>+AM63+BC63</f>
        <v>0</v>
      </c>
      <c r="AE63" s="231" t="s">
        <v>378</v>
      </c>
      <c r="AF63" s="36"/>
      <c r="AG63" s="36"/>
      <c r="AH63" s="36"/>
      <c r="AI63" s="500">
        <v>0</v>
      </c>
      <c r="AJ63" s="36"/>
      <c r="AK63" s="36"/>
      <c r="AL63" s="36"/>
      <c r="AM63" s="36">
        <f t="shared" si="84"/>
        <v>0</v>
      </c>
      <c r="AN63" s="36"/>
      <c r="AO63" s="36"/>
      <c r="AP63" s="36"/>
      <c r="AQ63" s="36"/>
      <c r="AR63" s="36">
        <f t="shared" si="85"/>
        <v>0</v>
      </c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>
        <f>+AR63+AS63+AU63+AW63+AY63+BB63</f>
        <v>0</v>
      </c>
      <c r="BD63" s="49"/>
      <c r="BE63" s="50"/>
      <c r="BF63" s="50"/>
      <c r="BG63" s="49"/>
      <c r="BH63" s="50"/>
    </row>
    <row r="64" spans="1:60" ht="12.95" customHeight="1">
      <c r="A64" s="39"/>
      <c r="B64" s="40"/>
      <c r="C64" s="412"/>
      <c r="D64" s="40"/>
      <c r="E64" s="41"/>
      <c r="F64" s="41"/>
      <c r="G64" s="42"/>
      <c r="H64" s="43"/>
      <c r="I64" s="44"/>
      <c r="J64" s="81"/>
      <c r="K64" s="81"/>
      <c r="L64" s="34"/>
      <c r="M64" s="34"/>
      <c r="N64" s="45"/>
      <c r="O64" s="46"/>
      <c r="P64" s="47"/>
      <c r="Q64" s="33"/>
      <c r="R64" s="498"/>
      <c r="S64" s="498"/>
      <c r="T64" s="36"/>
      <c r="U64" s="36"/>
      <c r="V64" s="36"/>
      <c r="W64" s="36"/>
      <c r="X64" s="37"/>
      <c r="Y64" s="210"/>
      <c r="Z64" s="36"/>
      <c r="AA64" s="36"/>
      <c r="AB64" s="36"/>
      <c r="AC64" s="36"/>
      <c r="AD64" s="36"/>
      <c r="AE64" s="231"/>
      <c r="AF64" s="36"/>
      <c r="AG64" s="36"/>
      <c r="AH64" s="36"/>
      <c r="AI64" s="500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49"/>
      <c r="BE64" s="50"/>
      <c r="BF64" s="50"/>
      <c r="BG64" s="49"/>
      <c r="BH64" s="50"/>
    </row>
    <row r="65" spans="1:60" ht="12.75" customHeight="1">
      <c r="A65" s="39">
        <v>46034</v>
      </c>
      <c r="B65" s="40" t="s">
        <v>447</v>
      </c>
      <c r="C65" s="412">
        <f t="shared" ref="C65:C66" si="86">(M65*E65*O65*Q65)/100000000</f>
        <v>14.002314480000001</v>
      </c>
      <c r="D65" s="40" t="s">
        <v>302</v>
      </c>
      <c r="E65" s="41">
        <v>13.5</v>
      </c>
      <c r="F65" s="41">
        <v>1</v>
      </c>
      <c r="G65" s="497">
        <v>1230</v>
      </c>
      <c r="H65" s="43">
        <f>+N65</f>
        <v>0.22999999999999998</v>
      </c>
      <c r="I65" s="44">
        <v>0.88</v>
      </c>
      <c r="J65" s="81">
        <f t="shared" ref="J65:J66" si="87">E65*G65*(1-H65)*1440/1000000*2.74</f>
        <v>50.447849760000004</v>
      </c>
      <c r="K65" s="81">
        <f t="shared" ref="K65:K66" si="88">(IF(G65&lt;L65,L65,G65)*(1-IF(H65&lt;N65,H65,N65))*E65*O65*Q65)/100000000</f>
        <v>14.352372342000001</v>
      </c>
      <c r="L65" s="34">
        <v>1200</v>
      </c>
      <c r="M65" s="34">
        <v>924</v>
      </c>
      <c r="N65" s="45">
        <f t="shared" ref="N65:N66" si="89">1-(M65/L65)</f>
        <v>0.22999999999999998</v>
      </c>
      <c r="O65" s="46">
        <f>+'Trim Rwd'!H34</f>
        <v>266</v>
      </c>
      <c r="P65" s="47">
        <f t="shared" ref="P65:P66" si="90">O65*(Q65-R65-S65)</f>
        <v>105336</v>
      </c>
      <c r="Q65" s="46">
        <v>422</v>
      </c>
      <c r="R65" s="498">
        <v>0</v>
      </c>
      <c r="S65" s="498">
        <v>26</v>
      </c>
      <c r="T65" s="36">
        <f t="shared" ref="T65:T66" si="91">E65*M65*O65*Q65/100000000</f>
        <v>14.002314480000001</v>
      </c>
      <c r="U65" s="36">
        <f t="shared" ref="U65:U66" si="92">E65*M65*O65*(Q65-R65-S65)/100000000</f>
        <v>13.139612639999999</v>
      </c>
      <c r="V65" s="36">
        <f t="shared" ref="V65:V66" si="93">E65*G65*(1-N65)*O65/100*(R65+S65)/1000000</f>
        <v>0.88426938600000016</v>
      </c>
      <c r="W65" s="36">
        <f>+'12'!K9/1000</f>
        <v>16.573</v>
      </c>
      <c r="X65" s="499">
        <f>SUM(W65:W69)/SUM(K65:K69)</f>
        <v>0.88552141149303754</v>
      </c>
      <c r="Y65" s="210">
        <v>0</v>
      </c>
      <c r="Z65" s="36">
        <f>+'7'!D35/1000</f>
        <v>1.5109603340292276E-5</v>
      </c>
      <c r="AA65" s="48">
        <f>SUM(U65:U69)-SUM(W65:W69)-SUM(Z65:Z69)-SUM(Y65:Y69)</f>
        <v>2.2657347623966482</v>
      </c>
      <c r="AB65" s="48">
        <f>(SUM(K65:K69)-SUM(W65:W69)-SUM(Y65:Y69)-SUM(Z65:Z69)-SUM(AC65:AC69)-SUM(V65:V69))-AA65</f>
        <v>-2.1567546000003546E-2</v>
      </c>
      <c r="AC65" s="36">
        <f>K65-T65</f>
        <v>0.35005786199999989</v>
      </c>
      <c r="AD65" s="36">
        <f>+AM65+BC65</f>
        <v>12</v>
      </c>
      <c r="AE65" s="228" t="s">
        <v>429</v>
      </c>
      <c r="AF65" s="36">
        <v>12</v>
      </c>
      <c r="AG65" s="36"/>
      <c r="AH65" s="36"/>
      <c r="AI65" s="500"/>
      <c r="AJ65" s="36"/>
      <c r="AK65" s="36"/>
      <c r="AL65" s="36"/>
      <c r="AM65" s="36">
        <f t="shared" ref="AM65:AM68" si="94">SUM(AF65:AL65)+AT65+AV65+AX65</f>
        <v>12</v>
      </c>
      <c r="AN65" s="36"/>
      <c r="AO65" s="36"/>
      <c r="AP65" s="36"/>
      <c r="AQ65" s="36"/>
      <c r="AR65" s="36">
        <f>SUM(AN65:AQ65)</f>
        <v>0</v>
      </c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>
        <f>+AR65+AS65+AU65+AW65+AY65+BB65</f>
        <v>0</v>
      </c>
      <c r="BD65" s="32">
        <v>6</v>
      </c>
      <c r="BE65" s="50"/>
      <c r="BF65" s="50"/>
      <c r="BG65" s="32"/>
      <c r="BH65" s="50"/>
    </row>
    <row r="66" spans="1:60" ht="12.95" customHeight="1">
      <c r="A66" s="39"/>
      <c r="B66" s="40" t="s">
        <v>447</v>
      </c>
      <c r="C66" s="412">
        <f t="shared" si="86"/>
        <v>29.576548511999992</v>
      </c>
      <c r="D66" s="40" t="s">
        <v>302</v>
      </c>
      <c r="E66" s="41">
        <v>12</v>
      </c>
      <c r="F66" s="41">
        <v>1</v>
      </c>
      <c r="G66" s="497">
        <v>1230</v>
      </c>
      <c r="H66" s="43">
        <f>+N66</f>
        <v>0.24</v>
      </c>
      <c r="I66" s="44">
        <v>0.88</v>
      </c>
      <c r="J66" s="81">
        <f t="shared" si="87"/>
        <v>44.260162560000005</v>
      </c>
      <c r="K66" s="81">
        <f t="shared" si="88"/>
        <v>29.576548511999992</v>
      </c>
      <c r="L66" s="34">
        <v>1230</v>
      </c>
      <c r="M66" s="34">
        <v>934.8</v>
      </c>
      <c r="N66" s="45">
        <f t="shared" si="89"/>
        <v>0.24</v>
      </c>
      <c r="O66" s="46">
        <f>+'Trim Rwd'!H35</f>
        <v>259</v>
      </c>
      <c r="P66" s="47">
        <f t="shared" si="90"/>
        <v>252007</v>
      </c>
      <c r="Q66" s="46">
        <v>1018</v>
      </c>
      <c r="R66" s="498">
        <v>0</v>
      </c>
      <c r="S66" s="498">
        <v>45</v>
      </c>
      <c r="T66" s="36">
        <f t="shared" si="91"/>
        <v>29.576548511999992</v>
      </c>
      <c r="U66" s="36">
        <f t="shared" si="92"/>
        <v>28.269137231999995</v>
      </c>
      <c r="V66" s="36">
        <f t="shared" si="93"/>
        <v>1.30741128</v>
      </c>
      <c r="W66" s="36">
        <f>+'12'!K8/1000</f>
        <v>22.327000000000002</v>
      </c>
      <c r="X66" s="37"/>
      <c r="Y66" s="210"/>
      <c r="Z66" s="36">
        <f>+'12'!D17/1000</f>
        <v>0.24299999999999999</v>
      </c>
      <c r="AA66" s="36"/>
      <c r="AB66" s="36"/>
      <c r="AC66" s="36">
        <f>K66-T66</f>
        <v>0</v>
      </c>
      <c r="AD66" s="36">
        <f>+AM66+BC66</f>
        <v>10</v>
      </c>
      <c r="AE66" s="228" t="s">
        <v>514</v>
      </c>
      <c r="AF66" s="36"/>
      <c r="AG66" s="36">
        <v>10</v>
      </c>
      <c r="AH66" s="36"/>
      <c r="AI66" s="500"/>
      <c r="AJ66" s="36"/>
      <c r="AK66" s="36"/>
      <c r="AL66" s="36"/>
      <c r="AM66" s="36">
        <f t="shared" si="94"/>
        <v>10</v>
      </c>
      <c r="AN66" s="82"/>
      <c r="AO66" s="36"/>
      <c r="AP66" s="36"/>
      <c r="AQ66" s="36"/>
      <c r="AR66" s="36">
        <f t="shared" ref="AR66:AR68" si="95">SUM(AN66:AQ66)</f>
        <v>0</v>
      </c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>
        <f>+AR66+AS66+AU66+AW66+AY66+BB66</f>
        <v>0</v>
      </c>
      <c r="BD66" s="49"/>
      <c r="BE66" s="50">
        <v>5</v>
      </c>
      <c r="BF66" s="50"/>
      <c r="BG66" s="49"/>
      <c r="BH66" s="50"/>
    </row>
    <row r="67" spans="1:60" ht="12.95" customHeight="1">
      <c r="A67" s="39"/>
      <c r="B67" s="40"/>
      <c r="C67" s="412"/>
      <c r="D67" s="40"/>
      <c r="E67" s="41"/>
      <c r="F67" s="41"/>
      <c r="G67" s="42"/>
      <c r="H67" s="43"/>
      <c r="I67" s="44"/>
      <c r="J67" s="81"/>
      <c r="K67" s="81"/>
      <c r="L67" s="34"/>
      <c r="M67" s="34"/>
      <c r="N67" s="45"/>
      <c r="O67" s="46"/>
      <c r="P67" s="47"/>
      <c r="Q67" s="46"/>
      <c r="R67" s="498"/>
      <c r="S67" s="498"/>
      <c r="T67" s="36"/>
      <c r="U67" s="36"/>
      <c r="V67" s="36"/>
      <c r="W67" s="36"/>
      <c r="X67" s="37"/>
      <c r="Y67" s="210"/>
      <c r="Z67" s="36"/>
      <c r="AA67" s="36"/>
      <c r="AB67" s="36"/>
      <c r="AC67" s="36"/>
      <c r="AD67" s="36">
        <f>+AM67+BC67</f>
        <v>49</v>
      </c>
      <c r="AE67" s="228" t="s">
        <v>413</v>
      </c>
      <c r="AF67" s="32"/>
      <c r="AG67" s="32"/>
      <c r="AH67" s="32">
        <v>49</v>
      </c>
      <c r="AJ67" s="36"/>
      <c r="AK67" s="36"/>
      <c r="AL67" s="36"/>
      <c r="AM67" s="36">
        <f t="shared" si="94"/>
        <v>49</v>
      </c>
      <c r="AN67" s="36"/>
      <c r="AO67" s="36"/>
      <c r="AP67" s="36"/>
      <c r="AQ67" s="36"/>
      <c r="AR67" s="36">
        <f t="shared" si="95"/>
        <v>0</v>
      </c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>
        <f>+AR67+AS67+AU67+AW67+AY67+BB67</f>
        <v>0</v>
      </c>
      <c r="BD67" s="32"/>
      <c r="BE67" s="501"/>
      <c r="BF67" s="501"/>
      <c r="BG67" s="32"/>
      <c r="BH67" s="501"/>
    </row>
    <row r="68" spans="1:60" ht="12.95" customHeight="1">
      <c r="A68" s="39"/>
      <c r="B68" s="40"/>
      <c r="C68" s="412"/>
      <c r="D68" s="40"/>
      <c r="E68" s="41"/>
      <c r="F68" s="41"/>
      <c r="G68" s="42"/>
      <c r="H68" s="43"/>
      <c r="I68" s="44"/>
      <c r="J68" s="81"/>
      <c r="K68" s="81"/>
      <c r="L68" s="34"/>
      <c r="M68" s="34"/>
      <c r="N68" s="45"/>
      <c r="O68" s="46"/>
      <c r="P68" s="47"/>
      <c r="Q68" s="33"/>
      <c r="R68" s="498"/>
      <c r="S68" s="498"/>
      <c r="T68" s="36"/>
      <c r="U68" s="36"/>
      <c r="V68" s="36"/>
      <c r="W68" s="36"/>
      <c r="X68" s="37"/>
      <c r="Y68" s="210"/>
      <c r="Z68" s="36"/>
      <c r="AA68" s="36"/>
      <c r="AB68" s="36"/>
      <c r="AC68" s="36"/>
      <c r="AD68" s="36">
        <f>+AM68+BC68</f>
        <v>0</v>
      </c>
      <c r="AE68" s="231" t="s">
        <v>378</v>
      </c>
      <c r="AF68" s="36"/>
      <c r="AG68" s="36"/>
      <c r="AH68" s="36"/>
      <c r="AI68" s="500">
        <v>0</v>
      </c>
      <c r="AJ68" s="36"/>
      <c r="AK68" s="36"/>
      <c r="AL68" s="36"/>
      <c r="AM68" s="36">
        <f t="shared" si="94"/>
        <v>0</v>
      </c>
      <c r="AN68" s="36"/>
      <c r="AO68" s="36"/>
      <c r="AP68" s="36"/>
      <c r="AQ68" s="36"/>
      <c r="AR68" s="36">
        <f t="shared" si="95"/>
        <v>0</v>
      </c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>
        <f>+AR68+AS68+AU68+AW68+AY68+BB68</f>
        <v>0</v>
      </c>
      <c r="BD68" s="49"/>
      <c r="BE68" s="50"/>
      <c r="BF68" s="50"/>
      <c r="BG68" s="49"/>
      <c r="BH68" s="50"/>
    </row>
    <row r="69" spans="1:60" ht="12.95" customHeight="1">
      <c r="A69" s="39"/>
      <c r="B69" s="40"/>
      <c r="C69" s="412"/>
      <c r="D69" s="40"/>
      <c r="E69" s="41"/>
      <c r="F69" s="41"/>
      <c r="G69" s="42"/>
      <c r="H69" s="43"/>
      <c r="I69" s="44"/>
      <c r="J69" s="81"/>
      <c r="K69" s="81"/>
      <c r="L69" s="34"/>
      <c r="M69" s="34"/>
      <c r="N69" s="45"/>
      <c r="O69" s="46"/>
      <c r="P69" s="47"/>
      <c r="Q69" s="46"/>
      <c r="R69" s="498"/>
      <c r="S69" s="498"/>
      <c r="T69" s="36"/>
      <c r="U69" s="36"/>
      <c r="V69" s="36"/>
      <c r="W69" s="36"/>
      <c r="X69" s="37"/>
      <c r="Y69" s="210"/>
      <c r="Z69" s="36"/>
      <c r="AA69" s="36"/>
      <c r="AB69" s="36"/>
      <c r="AC69" s="36"/>
      <c r="AD69" s="36"/>
      <c r="AE69" s="228"/>
      <c r="AF69" s="32"/>
      <c r="AG69" s="32"/>
      <c r="AH69" s="32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2"/>
      <c r="BE69" s="501"/>
      <c r="BF69" s="50"/>
      <c r="BG69" s="49"/>
      <c r="BH69" s="50"/>
    </row>
    <row r="70" spans="1:60" ht="12.75" customHeight="1">
      <c r="A70" s="39">
        <v>46035</v>
      </c>
      <c r="B70" s="40" t="s">
        <v>447</v>
      </c>
      <c r="C70" s="412">
        <f t="shared" ref="C70:C71" si="96">(M70*E70*O70*Q70)/100000000</f>
        <v>26.990779535999994</v>
      </c>
      <c r="D70" s="40" t="s">
        <v>302</v>
      </c>
      <c r="E70" s="41">
        <v>12</v>
      </c>
      <c r="F70" s="41">
        <v>1</v>
      </c>
      <c r="G70" s="497">
        <v>1230</v>
      </c>
      <c r="H70" s="43">
        <f>+N70</f>
        <v>0.24</v>
      </c>
      <c r="I70" s="44">
        <v>0.88</v>
      </c>
      <c r="J70" s="81">
        <f t="shared" ref="J70:J71" si="97">E70*G70*(1-H70)*1440/1000000*2.74</f>
        <v>44.260162560000005</v>
      </c>
      <c r="K70" s="81">
        <f t="shared" ref="K70:K71" si="98">(IF(G70&lt;L70,L70,G70)*(1-IF(H70&lt;N70,H70,N70))*E70*O70*Q70)/100000000</f>
        <v>26.990779535999994</v>
      </c>
      <c r="L70" s="34">
        <v>1230</v>
      </c>
      <c r="M70" s="34">
        <v>934.8</v>
      </c>
      <c r="N70" s="45">
        <f t="shared" ref="N70:N71" si="99">1-(M70/L70)</f>
        <v>0.24</v>
      </c>
      <c r="O70" s="46">
        <f>+'Trim Rwd'!H37</f>
        <v>259</v>
      </c>
      <c r="P70" s="47">
        <f t="shared" ref="P70:P71" si="100">O70*(Q70-R70-S70)</f>
        <v>229474</v>
      </c>
      <c r="Q70" s="46">
        <v>929</v>
      </c>
      <c r="R70" s="498">
        <v>0</v>
      </c>
      <c r="S70" s="498">
        <v>43</v>
      </c>
      <c r="T70" s="36">
        <f t="shared" ref="T70:T71" si="101">E70*M70*O70*Q70/100000000</f>
        <v>26.990779535999994</v>
      </c>
      <c r="U70" s="36">
        <f t="shared" ref="U70:U71" si="102">E70*M70*O70*(Q70-R70-S70)/100000000</f>
        <v>25.741475423999997</v>
      </c>
      <c r="V70" s="36">
        <f t="shared" ref="V70:V71" si="103">E70*G70*(1-N70)*O70/100*(R70+S70)/1000000</f>
        <v>1.2493041119999999</v>
      </c>
      <c r="W70" s="36">
        <f>+'13'!K8/1000</f>
        <v>23.678000000000001</v>
      </c>
      <c r="X70" s="499">
        <f>SUM(W70:W74)/SUM(K70:K74)</f>
        <v>0.89266474565140097</v>
      </c>
      <c r="Y70" s="210">
        <v>0</v>
      </c>
      <c r="Z70" s="36">
        <f>+'13'!D7/1000</f>
        <v>0.5</v>
      </c>
      <c r="AA70" s="48">
        <f>SUM(U70:U74)-SUM(W70:W74)-SUM(Z70:Z74)-SUM(Y70:Y74)</f>
        <v>2.2834875199999942</v>
      </c>
      <c r="AB70" s="48">
        <f>(SUM(K70:K74)-SUM(W70:W74)-SUM(Y70:Y74)-SUM(Z70:Z74)-SUM(AC70:AC74)-SUM(V70:V74))-AA70</f>
        <v>0</v>
      </c>
      <c r="AC70" s="36">
        <f>K70-T70</f>
        <v>0</v>
      </c>
      <c r="AD70" s="36">
        <f>+AM70+BC70</f>
        <v>8</v>
      </c>
      <c r="AE70" s="228" t="s">
        <v>428</v>
      </c>
      <c r="AF70" s="36">
        <v>8</v>
      </c>
      <c r="AG70" s="36"/>
      <c r="AH70" s="36"/>
      <c r="AI70" s="500"/>
      <c r="AJ70" s="36"/>
      <c r="AK70" s="36"/>
      <c r="AL70" s="36"/>
      <c r="AM70" s="36">
        <f t="shared" ref="AM70:AM73" si="104">SUM(AF70:AL70)+AT70+AV70+AX70</f>
        <v>8</v>
      </c>
      <c r="AN70" s="36"/>
      <c r="AO70" s="36"/>
      <c r="AP70" s="36"/>
      <c r="AQ70" s="36"/>
      <c r="AR70" s="36">
        <f>SUM(AN70:AQ70)</f>
        <v>0</v>
      </c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>
        <f>+AR70+AS70+AU70+AW70+AY70+BB70</f>
        <v>0</v>
      </c>
      <c r="BD70" s="32">
        <v>3</v>
      </c>
      <c r="BE70" s="50"/>
      <c r="BF70" s="50"/>
      <c r="BG70" s="32"/>
      <c r="BH70" s="50"/>
    </row>
    <row r="71" spans="1:60" ht="12.95" customHeight="1">
      <c r="A71" s="39"/>
      <c r="B71" s="40" t="s">
        <v>447</v>
      </c>
      <c r="C71" s="412">
        <f t="shared" si="96"/>
        <v>16.653825215999998</v>
      </c>
      <c r="D71" s="40" t="s">
        <v>302</v>
      </c>
      <c r="E71" s="41">
        <v>14</v>
      </c>
      <c r="F71" s="41">
        <v>1</v>
      </c>
      <c r="G71" s="497">
        <f>+L71</f>
        <v>1180</v>
      </c>
      <c r="H71" s="43">
        <f>+N71</f>
        <v>0.28000000000000003</v>
      </c>
      <c r="I71" s="44">
        <v>0.88</v>
      </c>
      <c r="J71" s="81">
        <f t="shared" si="97"/>
        <v>46.930544640000001</v>
      </c>
      <c r="K71" s="81">
        <f t="shared" si="98"/>
        <v>16.653825216000001</v>
      </c>
      <c r="L71" s="34">
        <v>1180</v>
      </c>
      <c r="M71" s="34">
        <v>849.59999999999991</v>
      </c>
      <c r="N71" s="45">
        <f t="shared" si="99"/>
        <v>0.28000000000000003</v>
      </c>
      <c r="O71" s="46">
        <f>+'Trim Rwd'!H38</f>
        <v>274</v>
      </c>
      <c r="P71" s="47">
        <f t="shared" si="100"/>
        <v>134534</v>
      </c>
      <c r="Q71" s="46">
        <v>511</v>
      </c>
      <c r="R71" s="498">
        <v>0</v>
      </c>
      <c r="S71" s="498">
        <v>20</v>
      </c>
      <c r="T71" s="36">
        <f t="shared" si="101"/>
        <v>16.653825215999998</v>
      </c>
      <c r="U71" s="36">
        <f t="shared" si="102"/>
        <v>16.002012095999998</v>
      </c>
      <c r="V71" s="36">
        <f t="shared" si="103"/>
        <v>0.65181312000000013</v>
      </c>
      <c r="W71" s="36">
        <f>+'13'!K11/1000</f>
        <v>15.282</v>
      </c>
      <c r="X71" s="37"/>
      <c r="Y71" s="210"/>
      <c r="Z71" s="36">
        <f>+'12'!D22/1000</f>
        <v>0</v>
      </c>
      <c r="AA71" s="36"/>
      <c r="AB71" s="36"/>
      <c r="AC71" s="36">
        <f>K71-T71</f>
        <v>0</v>
      </c>
      <c r="AD71" s="36">
        <f>+AM71+BC71</f>
        <v>14</v>
      </c>
      <c r="AE71" s="228" t="s">
        <v>537</v>
      </c>
      <c r="AF71" s="36"/>
      <c r="AG71" s="36">
        <v>14</v>
      </c>
      <c r="AH71" s="36"/>
      <c r="AI71" s="500"/>
      <c r="AJ71" s="36"/>
      <c r="AK71" s="36"/>
      <c r="AL71" s="36"/>
      <c r="AM71" s="36">
        <f t="shared" si="104"/>
        <v>14</v>
      </c>
      <c r="AN71" s="82"/>
      <c r="AO71" s="36"/>
      <c r="AP71" s="36"/>
      <c r="AQ71" s="36"/>
      <c r="AR71" s="36">
        <f t="shared" ref="AR71:AR73" si="105">SUM(AN71:AQ71)</f>
        <v>0</v>
      </c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>
        <f>+AR71+AS71+AU71+AW71+AY71+BB71</f>
        <v>0</v>
      </c>
      <c r="BD71" s="49"/>
      <c r="BE71" s="50">
        <v>9</v>
      </c>
      <c r="BF71" s="50"/>
      <c r="BG71" s="49"/>
      <c r="BH71" s="50"/>
    </row>
    <row r="72" spans="1:60" ht="12.95" customHeight="1">
      <c r="A72" s="39"/>
      <c r="B72" s="40"/>
      <c r="C72" s="412"/>
      <c r="D72" s="40"/>
      <c r="E72" s="41"/>
      <c r="F72" s="41"/>
      <c r="G72" s="42"/>
      <c r="H72" s="43"/>
      <c r="I72" s="44"/>
      <c r="J72" s="81"/>
      <c r="K72" s="81"/>
      <c r="L72" s="34"/>
      <c r="M72" s="34"/>
      <c r="N72" s="45"/>
      <c r="O72" s="46"/>
      <c r="P72" s="47"/>
      <c r="Q72" s="46"/>
      <c r="R72" s="498"/>
      <c r="S72" s="498"/>
      <c r="T72" s="36"/>
      <c r="U72" s="36"/>
      <c r="V72" s="36"/>
      <c r="W72" s="36"/>
      <c r="X72" s="37"/>
      <c r="Y72" s="210"/>
      <c r="Z72" s="36"/>
      <c r="AA72" s="36"/>
      <c r="AB72" s="36"/>
      <c r="AC72" s="36"/>
      <c r="AD72" s="36">
        <f>+AM72+BC72</f>
        <v>41</v>
      </c>
      <c r="AE72" s="228" t="s">
        <v>538</v>
      </c>
      <c r="AF72" s="32"/>
      <c r="AG72" s="32"/>
      <c r="AH72" s="32">
        <v>41</v>
      </c>
      <c r="AJ72" s="36"/>
      <c r="AK72" s="36"/>
      <c r="AL72" s="36"/>
      <c r="AM72" s="36">
        <f t="shared" si="104"/>
        <v>41</v>
      </c>
      <c r="AN72" s="36"/>
      <c r="AO72" s="36"/>
      <c r="AP72" s="36"/>
      <c r="AQ72" s="36"/>
      <c r="AR72" s="36">
        <f t="shared" si="105"/>
        <v>0</v>
      </c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>
        <f>+AR72+AS72+AU72+AW72+AY72+BB72</f>
        <v>0</v>
      </c>
      <c r="BD72" s="32"/>
      <c r="BE72" s="501"/>
      <c r="BF72" s="501"/>
      <c r="BG72" s="32"/>
      <c r="BH72" s="501"/>
    </row>
    <row r="73" spans="1:60" ht="12.95" customHeight="1">
      <c r="A73" s="39"/>
      <c r="B73" s="40"/>
      <c r="C73" s="412"/>
      <c r="D73" s="40"/>
      <c r="E73" s="41"/>
      <c r="F73" s="41"/>
      <c r="G73" s="42"/>
      <c r="H73" s="43"/>
      <c r="I73" s="44"/>
      <c r="J73" s="81"/>
      <c r="K73" s="81"/>
      <c r="L73" s="34"/>
      <c r="M73" s="34"/>
      <c r="N73" s="45"/>
      <c r="O73" s="46"/>
      <c r="P73" s="47"/>
      <c r="Q73" s="33"/>
      <c r="R73" s="498"/>
      <c r="S73" s="498"/>
      <c r="T73" s="36"/>
      <c r="U73" s="36"/>
      <c r="V73" s="36"/>
      <c r="W73" s="36"/>
      <c r="X73" s="37"/>
      <c r="Y73" s="210"/>
      <c r="Z73" s="36"/>
      <c r="AA73" s="36"/>
      <c r="AB73" s="36"/>
      <c r="AC73" s="36"/>
      <c r="AD73" s="36">
        <f>+AM73+BC73</f>
        <v>0</v>
      </c>
      <c r="AE73" s="231" t="s">
        <v>378</v>
      </c>
      <c r="AF73" s="36"/>
      <c r="AG73" s="36"/>
      <c r="AH73" s="36"/>
      <c r="AI73" s="500">
        <v>0</v>
      </c>
      <c r="AJ73" s="36"/>
      <c r="AK73" s="36"/>
      <c r="AL73" s="36"/>
      <c r="AM73" s="36">
        <f t="shared" si="104"/>
        <v>0</v>
      </c>
      <c r="AN73" s="36"/>
      <c r="AO73" s="36"/>
      <c r="AP73" s="36"/>
      <c r="AQ73" s="36"/>
      <c r="AR73" s="36">
        <f t="shared" si="105"/>
        <v>0</v>
      </c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>
        <f>+AR73+AS73+AU73+AW73+AY73+BB73</f>
        <v>0</v>
      </c>
      <c r="BD73" s="49"/>
      <c r="BE73" s="50"/>
      <c r="BF73" s="50"/>
      <c r="BG73" s="49"/>
      <c r="BH73" s="50"/>
    </row>
    <row r="74" spans="1:60" ht="13.5" customHeight="1">
      <c r="A74" s="39"/>
      <c r="B74" s="40"/>
      <c r="C74" s="412"/>
      <c r="D74" s="40"/>
      <c r="E74" s="41"/>
      <c r="F74" s="41"/>
      <c r="G74" s="497"/>
      <c r="H74" s="43"/>
      <c r="I74" s="44"/>
      <c r="J74" s="81"/>
      <c r="K74" s="81"/>
      <c r="L74" s="34"/>
      <c r="M74" s="34"/>
      <c r="N74" s="45"/>
      <c r="O74" s="46"/>
      <c r="P74" s="47"/>
      <c r="Q74" s="46"/>
      <c r="R74" s="498"/>
      <c r="S74" s="498"/>
      <c r="T74" s="36"/>
      <c r="U74" s="36"/>
      <c r="V74" s="36"/>
      <c r="W74" s="36"/>
      <c r="X74" s="499"/>
      <c r="Y74" s="210"/>
      <c r="Z74" s="36"/>
      <c r="AA74" s="48"/>
      <c r="AB74" s="48"/>
      <c r="AC74" s="36"/>
      <c r="AD74" s="36"/>
      <c r="AE74" s="228"/>
      <c r="AF74" s="36"/>
      <c r="AG74" s="36"/>
      <c r="AH74" s="36"/>
      <c r="AI74" s="500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2"/>
      <c r="BE74" s="50"/>
      <c r="BF74" s="50"/>
      <c r="BG74" s="50"/>
      <c r="BH74" s="50"/>
    </row>
    <row r="75" spans="1:60" ht="12.75" customHeight="1">
      <c r="A75" s="39">
        <v>46036</v>
      </c>
      <c r="B75" s="40" t="s">
        <v>447</v>
      </c>
      <c r="C75" s="412">
        <f t="shared" ref="C75:C76" si="106">(M75*E75*O75*Q75)/100000000</f>
        <v>23.097599279999994</v>
      </c>
      <c r="D75" s="40" t="s">
        <v>302</v>
      </c>
      <c r="E75" s="41">
        <v>12</v>
      </c>
      <c r="F75" s="41">
        <v>1</v>
      </c>
      <c r="G75" s="497">
        <v>1230</v>
      </c>
      <c r="H75" s="43">
        <f>+N75</f>
        <v>0.24</v>
      </c>
      <c r="I75" s="44">
        <v>0.88</v>
      </c>
      <c r="J75" s="81">
        <f t="shared" ref="J75:J76" si="107">E75*G75*(1-H75)*1440/1000000*2.74</f>
        <v>44.260162560000005</v>
      </c>
      <c r="K75" s="81">
        <f t="shared" ref="K75:K76" si="108">(IF(G75&lt;L75,L75,G75)*(1-IF(H75&lt;N75,H75,N75))*E75*O75*Q75)/100000000</f>
        <v>23.097599279999994</v>
      </c>
      <c r="L75" s="34">
        <v>1230</v>
      </c>
      <c r="M75" s="34">
        <v>934.8</v>
      </c>
      <c r="N75" s="45">
        <f t="shared" ref="N75:N76" si="109">1-(M75/L75)</f>
        <v>0.24</v>
      </c>
      <c r="O75" s="46">
        <f>+'Trim Rwd'!H40</f>
        <v>259</v>
      </c>
      <c r="P75" s="47">
        <f t="shared" ref="P75:P76" si="110">O75*(Q75-R75-S75)</f>
        <v>195545</v>
      </c>
      <c r="Q75" s="46">
        <v>795</v>
      </c>
      <c r="R75" s="498">
        <v>0</v>
      </c>
      <c r="S75" s="498">
        <v>40</v>
      </c>
      <c r="T75" s="36">
        <f t="shared" ref="T75:T76" si="111">E75*M75*O75*Q75/100000000</f>
        <v>23.097599279999994</v>
      </c>
      <c r="U75" s="36">
        <f t="shared" ref="U75:U76" si="112">E75*M75*O75*(Q75-R75-S75)/100000000</f>
        <v>21.935455919999995</v>
      </c>
      <c r="V75" s="36">
        <f t="shared" ref="V75:V76" si="113">E75*G75*(1-N75)*O75/100*(R75+S75)/1000000</f>
        <v>1.16214336</v>
      </c>
      <c r="W75" s="36">
        <f>+'14'!K8/1000</f>
        <v>17.623999999999999</v>
      </c>
      <c r="X75" s="499">
        <f>SUM(W75:W79)/SUM(K75:K79)</f>
        <v>0.87886983646450489</v>
      </c>
      <c r="Y75" s="210">
        <v>0</v>
      </c>
      <c r="Z75" s="36">
        <f>+'13'!D12/1000</f>
        <v>0</v>
      </c>
      <c r="AA75" s="48">
        <f>SUM(U75:U79)-SUM(W75:W79)-SUM(Z75:Z79)-SUM(Y75:Y79)</f>
        <v>3.0274167167999977</v>
      </c>
      <c r="AB75" s="48">
        <f>(SUM(K75:K79)-SUM(W75:W79)-SUM(Y75:Y79)-SUM(Z75:Z79)-SUM(AC75:AC79)-SUM(V75:V79))-AA75</f>
        <v>-4.3369248000035832E-3</v>
      </c>
      <c r="AC75" s="36">
        <f>K75-T75</f>
        <v>0</v>
      </c>
      <c r="AD75" s="36">
        <f>+AM75+BC75</f>
        <v>16</v>
      </c>
      <c r="AE75" s="228" t="s">
        <v>552</v>
      </c>
      <c r="AF75" s="36">
        <v>16</v>
      </c>
      <c r="AG75" s="36"/>
      <c r="AH75" s="36"/>
      <c r="AI75" s="500"/>
      <c r="AJ75" s="36"/>
      <c r="AK75" s="36"/>
      <c r="AL75" s="36"/>
      <c r="AM75" s="36">
        <f t="shared" ref="AM75:AM78" si="114">SUM(AF75:AL75)+AT75+AV75+AX75</f>
        <v>16</v>
      </c>
      <c r="AN75" s="36"/>
      <c r="AO75" s="36"/>
      <c r="AP75" s="36"/>
      <c r="AQ75" s="36"/>
      <c r="AR75" s="36">
        <f>SUM(AN75:AQ75)</f>
        <v>0</v>
      </c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>
        <f>+AR75+AS75+AU75+AW75+AY75+BB75</f>
        <v>0</v>
      </c>
      <c r="BD75" s="32">
        <v>8</v>
      </c>
      <c r="BE75" s="50"/>
      <c r="BF75" s="50"/>
      <c r="BG75" s="32"/>
      <c r="BH75" s="50"/>
    </row>
    <row r="76" spans="1:60" ht="12.95" customHeight="1">
      <c r="A76" s="39"/>
      <c r="B76" s="40" t="s">
        <v>447</v>
      </c>
      <c r="C76" s="412">
        <f t="shared" si="106"/>
        <v>20.132572824</v>
      </c>
      <c r="D76" s="40" t="s">
        <v>302</v>
      </c>
      <c r="E76" s="41">
        <v>13</v>
      </c>
      <c r="F76" s="41">
        <v>1</v>
      </c>
      <c r="G76" s="497">
        <v>1230</v>
      </c>
      <c r="H76" s="43">
        <f>+N76</f>
        <v>0.2400000000000001</v>
      </c>
      <c r="I76" s="44">
        <v>0.88</v>
      </c>
      <c r="J76" s="81">
        <f t="shared" si="107"/>
        <v>47.948509439999988</v>
      </c>
      <c r="K76" s="81">
        <f t="shared" si="108"/>
        <v>20.222808839999995</v>
      </c>
      <c r="L76" s="34">
        <v>1224.5116279069769</v>
      </c>
      <c r="M76" s="34">
        <v>930.62883720930233</v>
      </c>
      <c r="N76" s="45">
        <f t="shared" si="109"/>
        <v>0.2400000000000001</v>
      </c>
      <c r="O76" s="46">
        <f>+'Trim Rwd'!H41</f>
        <v>258</v>
      </c>
      <c r="P76" s="47">
        <f t="shared" si="110"/>
        <v>158412</v>
      </c>
      <c r="Q76" s="46">
        <v>645</v>
      </c>
      <c r="R76" s="498">
        <v>0</v>
      </c>
      <c r="S76" s="498">
        <v>31</v>
      </c>
      <c r="T76" s="36">
        <f t="shared" si="111"/>
        <v>20.132572824</v>
      </c>
      <c r="U76" s="36">
        <f t="shared" si="112"/>
        <v>19.164960796799999</v>
      </c>
      <c r="V76" s="36">
        <f t="shared" si="113"/>
        <v>0.97194895199999964</v>
      </c>
      <c r="W76" s="36">
        <f>+'14'!K12/1000</f>
        <v>20.449000000000002</v>
      </c>
      <c r="X76" s="37"/>
      <c r="Y76" s="210"/>
      <c r="Z76" s="36">
        <f>+'12'!D27/1000</f>
        <v>0</v>
      </c>
      <c r="AA76" s="36"/>
      <c r="AB76" s="36"/>
      <c r="AC76" s="36">
        <f>K76-T76</f>
        <v>9.0236015999995089E-2</v>
      </c>
      <c r="AD76" s="36">
        <f>+AM76+BC76</f>
        <v>0</v>
      </c>
      <c r="AE76" s="228" t="s">
        <v>427</v>
      </c>
      <c r="AF76" s="36"/>
      <c r="AG76" s="36">
        <v>0</v>
      </c>
      <c r="AH76" s="36"/>
      <c r="AI76" s="500"/>
      <c r="AJ76" s="36"/>
      <c r="AK76" s="36"/>
      <c r="AL76" s="36"/>
      <c r="AM76" s="36">
        <f t="shared" si="114"/>
        <v>0</v>
      </c>
      <c r="AN76" s="82"/>
      <c r="AO76" s="36"/>
      <c r="AP76" s="36"/>
      <c r="AQ76" s="36"/>
      <c r="AR76" s="36">
        <f t="shared" ref="AR76:AR78" si="115">SUM(AN76:AQ76)</f>
        <v>0</v>
      </c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>
        <f>+AR76+AS76+AU76+AW76+AY76+BB76</f>
        <v>0</v>
      </c>
      <c r="BD76" s="49"/>
      <c r="BE76" s="50">
        <v>0</v>
      </c>
      <c r="BF76" s="50"/>
      <c r="BG76" s="49"/>
      <c r="BH76" s="50"/>
    </row>
    <row r="77" spans="1:60" ht="12.95" customHeight="1">
      <c r="A77" s="39"/>
      <c r="B77" s="40"/>
      <c r="C77" s="412"/>
      <c r="D77" s="40"/>
      <c r="E77" s="41"/>
      <c r="F77" s="41"/>
      <c r="G77" s="42"/>
      <c r="H77" s="43"/>
      <c r="I77" s="44"/>
      <c r="J77" s="81"/>
      <c r="K77" s="81"/>
      <c r="L77" s="34"/>
      <c r="M77" s="34"/>
      <c r="N77" s="45"/>
      <c r="O77" s="46"/>
      <c r="P77" s="47"/>
      <c r="Q77" s="46"/>
      <c r="R77" s="498"/>
      <c r="S77" s="498"/>
      <c r="T77" s="36"/>
      <c r="U77" s="36"/>
      <c r="V77" s="36"/>
      <c r="W77" s="36"/>
      <c r="X77" s="37"/>
      <c r="Y77" s="210"/>
      <c r="Z77" s="36"/>
      <c r="AA77" s="36"/>
      <c r="AB77" s="36"/>
      <c r="AC77" s="36"/>
      <c r="AD77" s="36">
        <f>+AM77+BC77</f>
        <v>55</v>
      </c>
      <c r="AE77" s="228" t="s">
        <v>553</v>
      </c>
      <c r="AF77" s="32"/>
      <c r="AG77" s="32"/>
      <c r="AH77" s="32">
        <v>55</v>
      </c>
      <c r="AJ77" s="36"/>
      <c r="AK77" s="36"/>
      <c r="AL77" s="36"/>
      <c r="AM77" s="36">
        <f t="shared" si="114"/>
        <v>55</v>
      </c>
      <c r="AN77" s="36"/>
      <c r="AO77" s="36"/>
      <c r="AP77" s="36"/>
      <c r="AQ77" s="36"/>
      <c r="AR77" s="36">
        <f t="shared" si="115"/>
        <v>0</v>
      </c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>
        <f>+AR77+AS77+AU77+AW77+AY77+BB77</f>
        <v>0</v>
      </c>
      <c r="BD77" s="32"/>
      <c r="BE77" s="501"/>
      <c r="BF77" s="501"/>
      <c r="BG77" s="32"/>
      <c r="BH77" s="501"/>
    </row>
    <row r="78" spans="1:60" ht="12.95" customHeight="1">
      <c r="A78" s="39"/>
      <c r="B78" s="40"/>
      <c r="C78" s="412"/>
      <c r="D78" s="40"/>
      <c r="E78" s="41"/>
      <c r="F78" s="41"/>
      <c r="G78" s="42"/>
      <c r="H78" s="43"/>
      <c r="I78" s="44"/>
      <c r="J78" s="81"/>
      <c r="K78" s="81"/>
      <c r="L78" s="34"/>
      <c r="M78" s="34"/>
      <c r="N78" s="45"/>
      <c r="O78" s="46"/>
      <c r="P78" s="47"/>
      <c r="Q78" s="33"/>
      <c r="R78" s="498"/>
      <c r="S78" s="498"/>
      <c r="T78" s="36"/>
      <c r="U78" s="36"/>
      <c r="V78" s="36"/>
      <c r="W78" s="36"/>
      <c r="X78" s="37"/>
      <c r="Y78" s="210"/>
      <c r="Z78" s="36"/>
      <c r="AA78" s="36"/>
      <c r="AB78" s="36"/>
      <c r="AC78" s="36"/>
      <c r="AD78" s="36">
        <f>+AM78+BC78</f>
        <v>0</v>
      </c>
      <c r="AE78" s="231" t="s">
        <v>378</v>
      </c>
      <c r="AF78" s="36"/>
      <c r="AG78" s="36"/>
      <c r="AH78" s="36"/>
      <c r="AI78" s="500">
        <v>0</v>
      </c>
      <c r="AJ78" s="36"/>
      <c r="AK78" s="36"/>
      <c r="AL78" s="36"/>
      <c r="AM78" s="36">
        <f t="shared" si="114"/>
        <v>0</v>
      </c>
      <c r="AN78" s="36"/>
      <c r="AO78" s="36"/>
      <c r="AP78" s="36"/>
      <c r="AQ78" s="36"/>
      <c r="AR78" s="36">
        <f t="shared" si="115"/>
        <v>0</v>
      </c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>
        <f>+AR78+AS78+AU78+AW78+AY78+BB78</f>
        <v>0</v>
      </c>
      <c r="BD78" s="49"/>
      <c r="BE78" s="50"/>
      <c r="BF78" s="50"/>
      <c r="BG78" s="49"/>
      <c r="BH78" s="50"/>
    </row>
    <row r="79" spans="1:60" ht="13.5" customHeight="1">
      <c r="A79" s="39"/>
      <c r="B79" s="40"/>
      <c r="C79" s="412"/>
      <c r="D79" s="40"/>
      <c r="E79" s="41"/>
      <c r="F79" s="41"/>
      <c r="G79" s="497"/>
      <c r="H79" s="43"/>
      <c r="I79" s="44"/>
      <c r="J79" s="81"/>
      <c r="K79" s="81"/>
      <c r="L79" s="34"/>
      <c r="M79" s="34"/>
      <c r="N79" s="45"/>
      <c r="O79" s="46"/>
      <c r="P79" s="47"/>
      <c r="Q79" s="46"/>
      <c r="R79" s="498"/>
      <c r="S79" s="498"/>
      <c r="T79" s="36"/>
      <c r="U79" s="36"/>
      <c r="V79" s="36"/>
      <c r="W79" s="36"/>
      <c r="X79" s="499"/>
      <c r="Y79" s="210"/>
      <c r="Z79" s="36"/>
      <c r="AA79" s="48"/>
      <c r="AB79" s="48"/>
      <c r="AC79" s="36"/>
      <c r="AD79" s="36"/>
      <c r="AE79" s="228"/>
      <c r="AF79" s="36"/>
      <c r="AG79" s="36"/>
      <c r="AH79" s="36"/>
      <c r="AI79" s="500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2"/>
      <c r="BE79" s="50"/>
      <c r="BF79" s="50"/>
      <c r="BG79" s="50"/>
      <c r="BH79" s="50"/>
    </row>
    <row r="80" spans="1:60" ht="12.75" customHeight="1">
      <c r="A80" s="39">
        <v>46037</v>
      </c>
      <c r="B80" s="40" t="s">
        <v>447</v>
      </c>
      <c r="C80" s="412">
        <f t="shared" ref="C80:C82" si="116">(M80*E80*O80*Q80)/100000000</f>
        <v>6.6179352959999989</v>
      </c>
      <c r="D80" s="40" t="s">
        <v>302</v>
      </c>
      <c r="E80" s="41">
        <v>12</v>
      </c>
      <c r="F80" s="41">
        <v>1</v>
      </c>
      <c r="G80" s="497">
        <v>1230</v>
      </c>
      <c r="H80" s="43">
        <f>+N80</f>
        <v>0.24</v>
      </c>
      <c r="I80" s="44">
        <v>0.88</v>
      </c>
      <c r="J80" s="81">
        <f t="shared" ref="J80:J82" si="117">E80*G80*(1-H80)*1440/1000000*2.74</f>
        <v>44.260162560000005</v>
      </c>
      <c r="K80" s="81">
        <f t="shared" ref="K80:K82" si="118">(IF(G80&lt;L80,L80,G80)*(1-IF(H80&lt;N80,H80,N80))*E80*O80*Q80)/100000000</f>
        <v>6.6179352959999989</v>
      </c>
      <c r="L80" s="34">
        <v>1230</v>
      </c>
      <c r="M80" s="34">
        <v>934.8</v>
      </c>
      <c r="N80" s="45">
        <f t="shared" ref="N80:N82" si="119">1-(M80/L80)</f>
        <v>0.24</v>
      </c>
      <c r="O80" s="46">
        <f>+'Trim Rwd'!H43</f>
        <v>263.375</v>
      </c>
      <c r="P80" s="47">
        <f t="shared" ref="P80:P82" si="120">O80*(Q80-R80-S80)</f>
        <v>55045.375</v>
      </c>
      <c r="Q80" s="46">
        <v>224</v>
      </c>
      <c r="R80" s="498">
        <v>0</v>
      </c>
      <c r="S80" s="498">
        <v>15</v>
      </c>
      <c r="T80" s="36">
        <f t="shared" ref="T80:T82" si="121">E80*M80*O80*Q80/100000000</f>
        <v>6.6179352959999989</v>
      </c>
      <c r="U80" s="36">
        <f t="shared" ref="U80:U82" si="122">E80*M80*O80*(Q80-R80-S80)/100000000</f>
        <v>6.1747699859999994</v>
      </c>
      <c r="V80" s="36">
        <f t="shared" ref="V80:V82" si="123">E80*G80*(1-N80)*O80/100*(R80+S80)/1000000</f>
        <v>0.44316530999999998</v>
      </c>
      <c r="W80" s="36">
        <f>+'15'!K8/1000</f>
        <v>9.766</v>
      </c>
      <c r="X80" s="499">
        <f>SUM(W80:W84)/SUM(K80:K84)</f>
        <v>0.8314135807942663</v>
      </c>
      <c r="Y80" s="210">
        <v>0</v>
      </c>
      <c r="Z80" s="36">
        <f>+'13'!D17/1000</f>
        <v>0</v>
      </c>
      <c r="AA80" s="48">
        <f>SUM(U80:U84)-SUM(W80:W84)-SUM(Z80:Z84)-SUM(Y80:Y84)</f>
        <v>1.7058281390097092</v>
      </c>
      <c r="AB80" s="48">
        <f>(SUM(K80:K84)-SUM(W80:W84)-SUM(Y80:Y84)-SUM(Z80:Z84)-SUM(AC80:AC84)-SUM(V80:V84))-AA80</f>
        <v>-0.13551397700970491</v>
      </c>
      <c r="AC80" s="36">
        <f>K80-T80</f>
        <v>0</v>
      </c>
      <c r="AD80" s="36">
        <f>+AM80+BC80</f>
        <v>14</v>
      </c>
      <c r="AE80" s="228" t="s">
        <v>429</v>
      </c>
      <c r="AF80" s="36">
        <v>14</v>
      </c>
      <c r="AG80" s="36"/>
      <c r="AH80" s="36"/>
      <c r="AI80" s="500"/>
      <c r="AJ80" s="36"/>
      <c r="AK80" s="36"/>
      <c r="AL80" s="36"/>
      <c r="AM80" s="36">
        <f t="shared" ref="AM80:AM83" si="124">SUM(AF80:AL80)+AT80+AV80+AX80</f>
        <v>14</v>
      </c>
      <c r="AN80" s="36"/>
      <c r="AO80" s="36"/>
      <c r="AP80" s="36"/>
      <c r="AQ80" s="36"/>
      <c r="AR80" s="36">
        <f>SUM(AN80:AQ80)</f>
        <v>0</v>
      </c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>
        <f>+AR80+AS80+AU80+AW80+AY80+BB80</f>
        <v>0</v>
      </c>
      <c r="BD80" s="32">
        <v>6</v>
      </c>
      <c r="BE80" s="50"/>
      <c r="BF80" s="50"/>
      <c r="BG80" s="32"/>
      <c r="BH80" s="50"/>
    </row>
    <row r="81" spans="1:60" ht="12.95" customHeight="1">
      <c r="A81" s="39"/>
      <c r="B81" s="40" t="s">
        <v>447</v>
      </c>
      <c r="C81" s="412">
        <f t="shared" si="116"/>
        <v>2.6175676800000001</v>
      </c>
      <c r="D81" s="40" t="s">
        <v>302</v>
      </c>
      <c r="E81" s="41">
        <v>13</v>
      </c>
      <c r="F81" s="41">
        <v>1</v>
      </c>
      <c r="G81" s="497">
        <v>1230</v>
      </c>
      <c r="H81" s="43">
        <f>+N81</f>
        <v>0.24</v>
      </c>
      <c r="I81" s="44">
        <v>0.88</v>
      </c>
      <c r="J81" s="81">
        <f t="shared" si="117"/>
        <v>47.948509440000002</v>
      </c>
      <c r="K81" s="81">
        <f t="shared" si="118"/>
        <v>2.683006872</v>
      </c>
      <c r="L81" s="34">
        <v>1200</v>
      </c>
      <c r="M81" s="34">
        <v>912</v>
      </c>
      <c r="N81" s="45">
        <f t="shared" si="119"/>
        <v>0.24</v>
      </c>
      <c r="O81" s="46">
        <f>+'Trim Rwd'!H45</f>
        <v>266</v>
      </c>
      <c r="P81" s="47">
        <f t="shared" si="120"/>
        <v>20482</v>
      </c>
      <c r="Q81" s="46">
        <v>83</v>
      </c>
      <c r="R81" s="498">
        <v>0</v>
      </c>
      <c r="S81" s="498">
        <v>6</v>
      </c>
      <c r="T81" s="36">
        <f t="shared" si="121"/>
        <v>2.6175676800000001</v>
      </c>
      <c r="U81" s="36">
        <f t="shared" si="122"/>
        <v>2.4283459199999999</v>
      </c>
      <c r="V81" s="36">
        <f t="shared" si="123"/>
        <v>0.19395230399999999</v>
      </c>
      <c r="W81" s="36">
        <f>+'15'!K12/1000</f>
        <v>5.3789999999999996</v>
      </c>
      <c r="X81" s="37"/>
      <c r="Y81" s="210"/>
      <c r="Z81" s="36">
        <f>+'12'!D32/1000</f>
        <v>0</v>
      </c>
      <c r="AA81" s="36"/>
      <c r="AB81" s="36"/>
      <c r="AC81" s="36">
        <f>K81-T81</f>
        <v>6.5439191999999924E-2</v>
      </c>
      <c r="AD81" s="36">
        <f>+AM81+BC81</f>
        <v>0</v>
      </c>
      <c r="AE81" s="228" t="s">
        <v>427</v>
      </c>
      <c r="AF81" s="36"/>
      <c r="AG81" s="36">
        <v>0</v>
      </c>
      <c r="AH81" s="36"/>
      <c r="AI81" s="500"/>
      <c r="AJ81" s="36"/>
      <c r="AK81" s="36"/>
      <c r="AL81" s="36"/>
      <c r="AM81" s="36">
        <f t="shared" si="124"/>
        <v>0</v>
      </c>
      <c r="AN81" s="82"/>
      <c r="AO81" s="36"/>
      <c r="AP81" s="36"/>
      <c r="AQ81" s="36"/>
      <c r="AR81" s="36">
        <f t="shared" ref="AR81:AR83" si="125">SUM(AN81:AQ81)</f>
        <v>0</v>
      </c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>
        <f>+AR81+AS81+AU81+AW81+AY81+BB81</f>
        <v>0</v>
      </c>
      <c r="BD81" s="49"/>
      <c r="BE81" s="50">
        <v>0</v>
      </c>
      <c r="BF81" s="50"/>
      <c r="BG81" s="49"/>
      <c r="BH81" s="50"/>
    </row>
    <row r="82" spans="1:60" ht="12.95" customHeight="1">
      <c r="A82" s="39"/>
      <c r="B82" s="40" t="s">
        <v>447</v>
      </c>
      <c r="C82" s="412">
        <f t="shared" si="116"/>
        <v>39.731340000000003</v>
      </c>
      <c r="D82" s="40" t="s">
        <v>302</v>
      </c>
      <c r="E82" s="41">
        <v>16</v>
      </c>
      <c r="F82" s="41">
        <v>1</v>
      </c>
      <c r="G82" s="497">
        <v>1180</v>
      </c>
      <c r="H82" s="43">
        <f>+N82</f>
        <v>0.26</v>
      </c>
      <c r="I82" s="44">
        <v>0.88</v>
      </c>
      <c r="J82" s="81">
        <f t="shared" si="117"/>
        <v>55.124766720000011</v>
      </c>
      <c r="K82" s="81">
        <f t="shared" si="118"/>
        <v>43.530766399999997</v>
      </c>
      <c r="L82" s="34">
        <v>1077.007943512798</v>
      </c>
      <c r="M82" s="34">
        <v>796.98587819947045</v>
      </c>
      <c r="N82" s="45">
        <f t="shared" si="119"/>
        <v>0.26</v>
      </c>
      <c r="O82" s="46">
        <f>+'Trim Rwd'!H47</f>
        <v>275</v>
      </c>
      <c r="P82" s="47">
        <f t="shared" si="120"/>
        <v>300850</v>
      </c>
      <c r="Q82" s="46">
        <v>1133</v>
      </c>
      <c r="R82" s="498">
        <v>0</v>
      </c>
      <c r="S82" s="498">
        <f>60-S80-S81</f>
        <v>39</v>
      </c>
      <c r="T82" s="36">
        <f t="shared" si="121"/>
        <v>39.731340000000003</v>
      </c>
      <c r="U82" s="36">
        <f t="shared" si="122"/>
        <v>38.363712233009707</v>
      </c>
      <c r="V82" s="36">
        <f t="shared" si="123"/>
        <v>1.4984112000000003</v>
      </c>
      <c r="W82" s="36">
        <f>+'15'!K13/1000</f>
        <v>28.78</v>
      </c>
      <c r="X82" s="37"/>
      <c r="Y82" s="210"/>
      <c r="Z82" s="36">
        <f>+'15'!D25/1000</f>
        <v>1.3360000000000001</v>
      </c>
      <c r="AA82" s="36"/>
      <c r="AB82" s="36"/>
      <c r="AC82" s="36">
        <f>K82-T82</f>
        <v>3.7994263999999944</v>
      </c>
      <c r="AD82" s="36">
        <f>+AM82+BC82</f>
        <v>46</v>
      </c>
      <c r="AE82" s="228" t="s">
        <v>575</v>
      </c>
      <c r="AF82" s="32"/>
      <c r="AG82" s="32"/>
      <c r="AH82" s="32">
        <v>46</v>
      </c>
      <c r="AJ82" s="36"/>
      <c r="AK82" s="36"/>
      <c r="AL82" s="36"/>
      <c r="AM82" s="36">
        <f t="shared" si="124"/>
        <v>46</v>
      </c>
      <c r="AN82" s="36"/>
      <c r="AO82" s="36"/>
      <c r="AP82" s="36"/>
      <c r="AQ82" s="36"/>
      <c r="AR82" s="36">
        <f t="shared" si="125"/>
        <v>0</v>
      </c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>
        <f>+AR82+AS82+AU82+AW82+AY82+BB82</f>
        <v>0</v>
      </c>
      <c r="BD82" s="32"/>
      <c r="BE82" s="501"/>
      <c r="BF82" s="501"/>
      <c r="BG82" s="32"/>
      <c r="BH82" s="501"/>
    </row>
    <row r="83" spans="1:60" ht="12.95" customHeight="1">
      <c r="A83" s="39"/>
      <c r="B83" s="40"/>
      <c r="C83" s="412"/>
      <c r="D83" s="40"/>
      <c r="E83" s="41"/>
      <c r="F83" s="41"/>
      <c r="G83" s="42"/>
      <c r="H83" s="43"/>
      <c r="I83" s="44"/>
      <c r="J83" s="81"/>
      <c r="K83" s="81"/>
      <c r="L83" s="34"/>
      <c r="M83" s="34"/>
      <c r="N83" s="45"/>
      <c r="O83" s="46"/>
      <c r="P83" s="47"/>
      <c r="Q83" s="33"/>
      <c r="R83" s="498"/>
      <c r="S83" s="498"/>
      <c r="T83" s="36"/>
      <c r="U83" s="36"/>
      <c r="V83" s="36"/>
      <c r="W83" s="36"/>
      <c r="X83" s="37"/>
      <c r="Y83" s="210"/>
      <c r="Z83" s="36"/>
      <c r="AA83" s="36"/>
      <c r="AB83" s="36"/>
      <c r="AC83" s="36"/>
      <c r="AD83" s="36">
        <f>+AM83+BC83</f>
        <v>0</v>
      </c>
      <c r="AE83" s="231" t="s">
        <v>378</v>
      </c>
      <c r="AF83" s="36"/>
      <c r="AG83" s="36"/>
      <c r="AH83" s="36"/>
      <c r="AI83" s="500">
        <v>0</v>
      </c>
      <c r="AJ83" s="36"/>
      <c r="AK83" s="36"/>
      <c r="AL83" s="36"/>
      <c r="AM83" s="36">
        <f t="shared" si="124"/>
        <v>0</v>
      </c>
      <c r="AN83" s="36"/>
      <c r="AO83" s="36"/>
      <c r="AP83" s="36"/>
      <c r="AQ83" s="36"/>
      <c r="AR83" s="36">
        <f t="shared" si="125"/>
        <v>0</v>
      </c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>
        <f>+AR83+AS83+AU83+AW83+AY83+BB83</f>
        <v>0</v>
      </c>
      <c r="BD83" s="49"/>
      <c r="BE83" s="50"/>
      <c r="BF83" s="50"/>
      <c r="BG83" s="49"/>
      <c r="BH83" s="50"/>
    </row>
    <row r="84" spans="1:60" ht="13.5" customHeight="1">
      <c r="A84" s="39"/>
      <c r="B84" s="40"/>
      <c r="C84" s="412"/>
      <c r="D84" s="40"/>
      <c r="E84" s="41"/>
      <c r="F84" s="41"/>
      <c r="G84" s="497"/>
      <c r="H84" s="43"/>
      <c r="I84" s="44"/>
      <c r="J84" s="81"/>
      <c r="K84" s="81"/>
      <c r="L84" s="34"/>
      <c r="M84" s="34"/>
      <c r="N84" s="45"/>
      <c r="O84" s="46"/>
      <c r="P84" s="47"/>
      <c r="Q84" s="46"/>
      <c r="R84" s="498"/>
      <c r="S84" s="498"/>
      <c r="T84" s="36"/>
      <c r="U84" s="36"/>
      <c r="V84" s="36"/>
      <c r="W84" s="36"/>
      <c r="X84" s="499"/>
      <c r="Y84" s="210"/>
      <c r="Z84" s="36"/>
      <c r="AA84" s="48"/>
      <c r="AB84" s="48"/>
      <c r="AC84" s="36"/>
      <c r="AD84" s="36"/>
      <c r="AE84" s="228"/>
      <c r="AF84" s="36"/>
      <c r="AG84" s="36"/>
      <c r="AH84" s="36"/>
      <c r="AI84" s="500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2"/>
      <c r="BE84" s="50"/>
      <c r="BF84" s="50"/>
      <c r="BG84" s="50"/>
      <c r="BH84" s="50"/>
    </row>
    <row r="85" spans="1:60" ht="12.75" customHeight="1">
      <c r="A85" s="39">
        <v>46038</v>
      </c>
      <c r="B85" s="40" t="s">
        <v>447</v>
      </c>
      <c r="C85" s="412">
        <f t="shared" ref="C85:C86" si="126">(M85*E85*O85*Q85)/100000000</f>
        <v>11.850537599999999</v>
      </c>
      <c r="D85" s="40" t="s">
        <v>302</v>
      </c>
      <c r="E85" s="41">
        <v>16</v>
      </c>
      <c r="F85" s="41">
        <v>1</v>
      </c>
      <c r="G85" s="497">
        <v>1180</v>
      </c>
      <c r="H85" s="43">
        <f>+N85</f>
        <v>0.26</v>
      </c>
      <c r="I85" s="44">
        <v>0.88</v>
      </c>
      <c r="J85" s="81">
        <f t="shared" ref="J85:J86" si="127">E85*G85*(1-H85)*1440/1000000*2.74</f>
        <v>55.124766720000011</v>
      </c>
      <c r="K85" s="81">
        <f t="shared" ref="K85:K86" si="128">(IF(G85&lt;L85,L85,G85)*(1-IF(H85&lt;N85,H85,N85))*E85*O85*Q85)/100000000</f>
        <v>12.947809599999999</v>
      </c>
      <c r="L85" s="34">
        <v>1080</v>
      </c>
      <c r="M85" s="34">
        <v>799.2</v>
      </c>
      <c r="N85" s="45">
        <f t="shared" ref="N85:N86" si="129">1-(M85/L85)</f>
        <v>0.26</v>
      </c>
      <c r="O85" s="46">
        <f>+'Trim Rwd'!H49</f>
        <v>275</v>
      </c>
      <c r="P85" s="47">
        <f t="shared" ref="P85:P86" si="130">O85*(Q85-R85-S85)</f>
        <v>88825</v>
      </c>
      <c r="Q85" s="46">
        <v>337</v>
      </c>
      <c r="R85" s="498">
        <v>0</v>
      </c>
      <c r="S85" s="498">
        <v>14</v>
      </c>
      <c r="T85" s="36">
        <f t="shared" ref="T85:T86" si="131">E85*M85*O85*Q85/100000000</f>
        <v>11.850537599999999</v>
      </c>
      <c r="U85" s="36">
        <f t="shared" ref="U85:U86" si="132">E85*M85*O85*(Q85-R85-S85)/100000000</f>
        <v>11.3582304</v>
      </c>
      <c r="V85" s="36">
        <f t="shared" ref="V85:V86" si="133">E85*G85*(1-N85)*O85/100*(R85+S85)/1000000</f>
        <v>0.53789120000000012</v>
      </c>
      <c r="W85" s="36">
        <f>+'16'!K12/1000</f>
        <v>27.06</v>
      </c>
      <c r="X85" s="499">
        <f>SUM(W85:W89)/SUM(K85:K89)</f>
        <v>0.81060253938061111</v>
      </c>
      <c r="Y85" s="210">
        <v>0</v>
      </c>
      <c r="Z85" s="36">
        <f>+'13'!D22/1000</f>
        <v>0</v>
      </c>
      <c r="AA85" s="48">
        <f>SUM(U85:U89)-SUM(W85:W89)-SUM(Z85:Z89)-SUM(Y85:Y89)</f>
        <v>5.5718468708384492</v>
      </c>
      <c r="AB85" s="48">
        <f>(SUM(K85:K89)-SUM(W85:W89)-SUM(Y85:Y89)-SUM(Z85:Z89)-SUM(AC85:AC89)-SUM(V85:V89))-AA85</f>
        <v>-6.9080307987105627E-2</v>
      </c>
      <c r="AC85" s="36">
        <f>K85-T85</f>
        <v>1.0972720000000002</v>
      </c>
      <c r="AD85" s="36">
        <f>+AM85+BC85</f>
        <v>8</v>
      </c>
      <c r="AE85" s="228" t="s">
        <v>550</v>
      </c>
      <c r="AF85" s="36">
        <v>8</v>
      </c>
      <c r="AG85" s="36"/>
      <c r="AH85" s="36"/>
      <c r="AI85" s="500"/>
      <c r="AJ85" s="36"/>
      <c r="AK85" s="36"/>
      <c r="AL85" s="36"/>
      <c r="AM85" s="36">
        <f t="shared" ref="AM85:AM88" si="134">SUM(AF85:AL85)+AT85+AV85+AX85</f>
        <v>8</v>
      </c>
      <c r="AN85" s="36"/>
      <c r="AO85" s="36"/>
      <c r="AP85" s="36"/>
      <c r="AQ85" s="36"/>
      <c r="AR85" s="36">
        <f>SUM(AN85:AQ85)</f>
        <v>0</v>
      </c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>
        <f>+AR85+AS85+AU85+AW85+AY85+BB85</f>
        <v>0</v>
      </c>
      <c r="BD85" s="32">
        <v>4</v>
      </c>
      <c r="BE85" s="50"/>
      <c r="BF85" s="50"/>
      <c r="BG85" s="32"/>
      <c r="BH85" s="50"/>
    </row>
    <row r="86" spans="1:60" ht="12.95" customHeight="1">
      <c r="A86" s="39"/>
      <c r="B86" s="40" t="s">
        <v>447</v>
      </c>
      <c r="C86" s="412">
        <f t="shared" si="126"/>
        <v>34.691502329872343</v>
      </c>
      <c r="D86" s="40" t="s">
        <v>302</v>
      </c>
      <c r="E86" s="41">
        <v>13</v>
      </c>
      <c r="F86" s="41">
        <v>1</v>
      </c>
      <c r="G86" s="497">
        <v>1230</v>
      </c>
      <c r="H86" s="43">
        <f>+N86</f>
        <v>0.24435369254295225</v>
      </c>
      <c r="I86" s="44">
        <v>0.88</v>
      </c>
      <c r="J86" s="81">
        <f t="shared" si="127"/>
        <v>47.673834350533426</v>
      </c>
      <c r="K86" s="81">
        <f t="shared" si="128"/>
        <v>35.280512050549092</v>
      </c>
      <c r="L86" s="34">
        <v>1209.4650951949229</v>
      </c>
      <c r="M86" s="34">
        <v>913.9278331822303</v>
      </c>
      <c r="N86" s="45">
        <f t="shared" si="129"/>
        <v>0.24435369254295225</v>
      </c>
      <c r="O86" s="46">
        <f>+'Trim Rwd'!H50</f>
        <v>264.72340425531917</v>
      </c>
      <c r="P86" s="47">
        <f t="shared" si="130"/>
        <v>280342.08510638302</v>
      </c>
      <c r="Q86" s="46">
        <v>1103</v>
      </c>
      <c r="R86" s="498">
        <v>0</v>
      </c>
      <c r="S86" s="498">
        <f>58-S85</f>
        <v>44</v>
      </c>
      <c r="T86" s="36">
        <f t="shared" si="131"/>
        <v>34.691502329872343</v>
      </c>
      <c r="U86" s="36">
        <f t="shared" si="132"/>
        <v>33.307616470838447</v>
      </c>
      <c r="V86" s="36">
        <f t="shared" si="133"/>
        <v>1.4073821670209972</v>
      </c>
      <c r="W86" s="36">
        <f>+'16'!K13/1000</f>
        <v>12.034000000000001</v>
      </c>
      <c r="X86" s="37"/>
      <c r="Y86" s="210"/>
      <c r="Z86" s="36"/>
      <c r="AA86" s="36"/>
      <c r="AB86" s="36"/>
      <c r="AC86" s="36">
        <f>K86-T86</f>
        <v>0.58900972067674928</v>
      </c>
      <c r="AD86" s="36">
        <f>+AM86+BC86</f>
        <v>0</v>
      </c>
      <c r="AE86" s="228" t="s">
        <v>427</v>
      </c>
      <c r="AF86" s="36"/>
      <c r="AG86" s="36">
        <v>0</v>
      </c>
      <c r="AH86" s="36"/>
      <c r="AI86" s="500"/>
      <c r="AJ86" s="36"/>
      <c r="AK86" s="36"/>
      <c r="AL86" s="36"/>
      <c r="AM86" s="36">
        <f t="shared" si="134"/>
        <v>0</v>
      </c>
      <c r="AN86" s="82"/>
      <c r="AO86" s="36"/>
      <c r="AP86" s="36"/>
      <c r="AQ86" s="36"/>
      <c r="AR86" s="36">
        <f t="shared" ref="AR86:AR88" si="135">SUM(AN86:AQ86)</f>
        <v>0</v>
      </c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>
        <f>+AR86+AS86+AU86+AW86+AY86+BB86</f>
        <v>0</v>
      </c>
      <c r="BD86" s="49"/>
      <c r="BE86" s="50">
        <v>0</v>
      </c>
      <c r="BF86" s="50"/>
      <c r="BG86" s="49"/>
      <c r="BH86" s="50"/>
    </row>
    <row r="87" spans="1:60" ht="12.95" customHeight="1">
      <c r="A87" s="39"/>
      <c r="B87" s="40"/>
      <c r="C87" s="412"/>
      <c r="D87" s="40"/>
      <c r="E87" s="41"/>
      <c r="F87" s="41"/>
      <c r="G87" s="42"/>
      <c r="H87" s="43"/>
      <c r="I87" s="44"/>
      <c r="J87" s="81"/>
      <c r="K87" s="81"/>
      <c r="L87" s="34"/>
      <c r="M87" s="34"/>
      <c r="N87" s="45"/>
      <c r="O87" s="46"/>
      <c r="P87" s="47"/>
      <c r="Q87" s="46"/>
      <c r="R87" s="498"/>
      <c r="S87" s="498"/>
      <c r="T87" s="36"/>
      <c r="U87" s="36"/>
      <c r="V87" s="36"/>
      <c r="W87" s="36"/>
      <c r="X87" s="37"/>
      <c r="Y87" s="210"/>
      <c r="Z87" s="36"/>
      <c r="AA87" s="36"/>
      <c r="AB87" s="36"/>
      <c r="AC87" s="36"/>
      <c r="AD87" s="36">
        <f>+AM87+BC87</f>
        <v>50</v>
      </c>
      <c r="AE87" s="228" t="s">
        <v>430</v>
      </c>
      <c r="AF87" s="32"/>
      <c r="AG87" s="32"/>
      <c r="AH87" s="32">
        <v>50</v>
      </c>
      <c r="AJ87" s="36"/>
      <c r="AK87" s="36"/>
      <c r="AL87" s="36"/>
      <c r="AM87" s="36">
        <f t="shared" si="134"/>
        <v>50</v>
      </c>
      <c r="AN87" s="36"/>
      <c r="AO87" s="36"/>
      <c r="AP87" s="36"/>
      <c r="AQ87" s="36"/>
      <c r="AR87" s="36">
        <f t="shared" si="135"/>
        <v>0</v>
      </c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>
        <f>+AR87+AS87+AU87+AW87+AY87+BB87</f>
        <v>0</v>
      </c>
      <c r="BD87" s="32"/>
      <c r="BE87" s="501"/>
      <c r="BF87" s="501"/>
      <c r="BG87" s="32"/>
      <c r="BH87" s="501"/>
    </row>
    <row r="88" spans="1:60" ht="12.95" customHeight="1">
      <c r="A88" s="39"/>
      <c r="B88" s="40"/>
      <c r="C88" s="412"/>
      <c r="D88" s="40"/>
      <c r="E88" s="41"/>
      <c r="F88" s="41"/>
      <c r="G88" s="42"/>
      <c r="H88" s="43"/>
      <c r="I88" s="44"/>
      <c r="J88" s="81"/>
      <c r="K88" s="81"/>
      <c r="L88" s="34"/>
      <c r="M88" s="34"/>
      <c r="N88" s="45"/>
      <c r="O88" s="46"/>
      <c r="P88" s="47"/>
      <c r="Q88" s="33"/>
      <c r="R88" s="498"/>
      <c r="S88" s="498"/>
      <c r="T88" s="36"/>
      <c r="U88" s="36"/>
      <c r="V88" s="36"/>
      <c r="W88" s="36"/>
      <c r="X88" s="37"/>
      <c r="Y88" s="210"/>
      <c r="Z88" s="36"/>
      <c r="AA88" s="36"/>
      <c r="AB88" s="36"/>
      <c r="AC88" s="36"/>
      <c r="AD88" s="36">
        <f>+AM88+BC88</f>
        <v>0</v>
      </c>
      <c r="AE88" s="231" t="s">
        <v>378</v>
      </c>
      <c r="AF88" s="36"/>
      <c r="AG88" s="36"/>
      <c r="AH88" s="36"/>
      <c r="AI88" s="500">
        <v>0</v>
      </c>
      <c r="AJ88" s="36"/>
      <c r="AK88" s="36"/>
      <c r="AL88" s="36"/>
      <c r="AM88" s="36">
        <f t="shared" si="134"/>
        <v>0</v>
      </c>
      <c r="AN88" s="36"/>
      <c r="AO88" s="36"/>
      <c r="AP88" s="36"/>
      <c r="AQ88" s="36"/>
      <c r="AR88" s="36">
        <f t="shared" si="135"/>
        <v>0</v>
      </c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>
        <f>+AR88+AS88+AU88+AW88+AY88+BB88</f>
        <v>0</v>
      </c>
      <c r="BD88" s="49"/>
      <c r="BE88" s="50"/>
      <c r="BF88" s="50"/>
      <c r="BG88" s="49"/>
      <c r="BH88" s="50"/>
    </row>
    <row r="89" spans="1:60" ht="13.5" customHeight="1">
      <c r="A89" s="39"/>
      <c r="B89" s="40"/>
      <c r="C89" s="412"/>
      <c r="D89" s="40"/>
      <c r="E89" s="41"/>
      <c r="F89" s="41"/>
      <c r="G89" s="497"/>
      <c r="H89" s="43"/>
      <c r="I89" s="44"/>
      <c r="J89" s="81"/>
      <c r="K89" s="81"/>
      <c r="L89" s="34"/>
      <c r="M89" s="34"/>
      <c r="N89" s="45"/>
      <c r="O89" s="46"/>
      <c r="P89" s="47"/>
      <c r="Q89" s="46"/>
      <c r="R89" s="498"/>
      <c r="S89" s="498"/>
      <c r="T89" s="36"/>
      <c r="U89" s="36"/>
      <c r="V89" s="36"/>
      <c r="W89" s="36"/>
      <c r="X89" s="499"/>
      <c r="Y89" s="210"/>
      <c r="Z89" s="36"/>
      <c r="AA89" s="48"/>
      <c r="AB89" s="48"/>
      <c r="AC89" s="36"/>
      <c r="AD89" s="36"/>
      <c r="AE89" s="228"/>
      <c r="AF89" s="36"/>
      <c r="AG89" s="36"/>
      <c r="AH89" s="36"/>
      <c r="AI89" s="500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2"/>
      <c r="BE89" s="50"/>
      <c r="BF89" s="50"/>
      <c r="BG89" s="50"/>
      <c r="BH89" s="50"/>
    </row>
    <row r="90" spans="1:60" ht="12.75" customHeight="1">
      <c r="A90" s="39">
        <v>46039</v>
      </c>
      <c r="B90" s="40" t="s">
        <v>447</v>
      </c>
      <c r="C90" s="412">
        <f t="shared" ref="C90" si="136">(M90*E90*O90*Q90)/100000000</f>
        <v>45.31209072</v>
      </c>
      <c r="D90" s="40" t="s">
        <v>302</v>
      </c>
      <c r="E90" s="41">
        <v>13</v>
      </c>
      <c r="F90" s="41">
        <v>1</v>
      </c>
      <c r="G90" s="497">
        <v>1230</v>
      </c>
      <c r="H90" s="43">
        <f>+N90</f>
        <v>0.24</v>
      </c>
      <c r="I90" s="44">
        <v>0.88</v>
      </c>
      <c r="J90" s="81">
        <f t="shared" ref="J90" si="137">E90*G90*(1-H90)*1440/1000000*2.74</f>
        <v>47.948509440000002</v>
      </c>
      <c r="K90" s="81">
        <f t="shared" ref="K90" si="138">(IF(G90&lt;L90,L90,G90)*(1-IF(H90&lt;N90,H90,N90))*E90*O90*Q90)/100000000</f>
        <v>45.498585599999998</v>
      </c>
      <c r="L90" s="34">
        <v>1224.9583333333333</v>
      </c>
      <c r="M90" s="34">
        <v>930.96833333333325</v>
      </c>
      <c r="N90" s="45">
        <f t="shared" ref="N90" si="139">1-(M90/L90)</f>
        <v>0.24</v>
      </c>
      <c r="O90" s="46">
        <f>+'Trim Rwd'!H53</f>
        <v>260</v>
      </c>
      <c r="P90" s="47">
        <f t="shared" ref="P90" si="140">O90*(Q90-R90-S90)</f>
        <v>354380</v>
      </c>
      <c r="Q90" s="46">
        <v>1440</v>
      </c>
      <c r="R90" s="498">
        <v>0</v>
      </c>
      <c r="S90" s="498">
        <v>77</v>
      </c>
      <c r="T90" s="36">
        <f t="shared" ref="T90" si="141">E90*M90*O90*Q90/100000000</f>
        <v>45.31209072</v>
      </c>
      <c r="U90" s="36">
        <f t="shared" ref="U90" si="142">E90*M90*O90*(Q90-R90-S90)/100000000</f>
        <v>42.889152535666668</v>
      </c>
      <c r="V90" s="36">
        <f t="shared" ref="V90" si="143">E90*G90*(1-N90)*O90/100*(R90+S90)/1000000</f>
        <v>2.4329104799999999</v>
      </c>
      <c r="W90" s="36">
        <f>+'17'!K12/1000</f>
        <v>43.94</v>
      </c>
      <c r="X90" s="499">
        <f>SUM(W90:W94)/SUM(K90:K94)</f>
        <v>0.96574430656587262</v>
      </c>
      <c r="Y90" s="210">
        <v>0</v>
      </c>
      <c r="Z90" s="36">
        <f>+'17'!D34/1000</f>
        <v>0.52700000000000002</v>
      </c>
      <c r="AA90" s="48">
        <f>SUM(U90:U94)-SUM(W90:W94)-SUM(Z90:Z94)-SUM(Y90:Y94)</f>
        <v>-1.5778474643333302</v>
      </c>
      <c r="AB90" s="48">
        <f>(SUM(K90:K94)-SUM(W90:W94)-SUM(Y90:Y94)-SUM(Z90:Z94)-SUM(AC90:AC94)-SUM(V90:V94))-AA90</f>
        <v>-9.9722956666670193E-3</v>
      </c>
      <c r="AC90" s="36">
        <f>K90-T90</f>
        <v>0.18649487999999792</v>
      </c>
      <c r="AD90" s="36">
        <f>+AM90+BC90</f>
        <v>16</v>
      </c>
      <c r="AE90" s="228" t="s">
        <v>429</v>
      </c>
      <c r="AF90" s="36">
        <v>16</v>
      </c>
      <c r="AG90" s="36"/>
      <c r="AH90" s="36"/>
      <c r="AI90" s="500"/>
      <c r="AJ90" s="36"/>
      <c r="AK90" s="36"/>
      <c r="AL90" s="36"/>
      <c r="AM90" s="36">
        <f t="shared" ref="AM90:AM93" si="144">SUM(AF90:AL90)+AT90+AV90+AX90</f>
        <v>16</v>
      </c>
      <c r="AN90" s="36"/>
      <c r="AO90" s="36"/>
      <c r="AP90" s="36"/>
      <c r="AQ90" s="36"/>
      <c r="AR90" s="36">
        <f>SUM(AN90:AQ90)</f>
        <v>0</v>
      </c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>
        <f>+AR90+AS90+AU90+AW90+AY90+BB90</f>
        <v>0</v>
      </c>
      <c r="BD90" s="32">
        <v>6</v>
      </c>
      <c r="BE90" s="50"/>
      <c r="BF90" s="50"/>
      <c r="BG90" s="32"/>
      <c r="BH90" s="50"/>
    </row>
    <row r="91" spans="1:60" ht="12.95" customHeight="1">
      <c r="A91" s="39"/>
      <c r="B91" s="40"/>
      <c r="C91" s="412"/>
      <c r="D91" s="40"/>
      <c r="E91" s="41"/>
      <c r="F91" s="41"/>
      <c r="G91" s="497"/>
      <c r="H91" s="43"/>
      <c r="I91" s="44"/>
      <c r="J91" s="81"/>
      <c r="K91" s="81"/>
      <c r="L91" s="34"/>
      <c r="M91" s="34"/>
      <c r="N91" s="45"/>
      <c r="O91" s="46"/>
      <c r="P91" s="47"/>
      <c r="Q91" s="46"/>
      <c r="R91" s="498"/>
      <c r="S91" s="498"/>
      <c r="T91" s="36"/>
      <c r="U91" s="36"/>
      <c r="V91" s="36"/>
      <c r="W91" s="36"/>
      <c r="X91" s="37"/>
      <c r="Y91" s="210"/>
      <c r="Z91" s="36"/>
      <c r="AA91" s="36"/>
      <c r="AB91" s="36"/>
      <c r="AC91" s="36">
        <f>K91-T91</f>
        <v>0</v>
      </c>
      <c r="AD91" s="36">
        <f>+AM91+BC91</f>
        <v>0</v>
      </c>
      <c r="AE91" s="228" t="s">
        <v>427</v>
      </c>
      <c r="AF91" s="36"/>
      <c r="AG91" s="36">
        <v>0</v>
      </c>
      <c r="AH91" s="36"/>
      <c r="AI91" s="500"/>
      <c r="AJ91" s="36"/>
      <c r="AK91" s="36"/>
      <c r="AL91" s="36"/>
      <c r="AM91" s="36">
        <f t="shared" si="144"/>
        <v>0</v>
      </c>
      <c r="AN91" s="82"/>
      <c r="AO91" s="36"/>
      <c r="AP91" s="36"/>
      <c r="AQ91" s="36"/>
      <c r="AR91" s="36">
        <f t="shared" ref="AR91:AR93" si="145">SUM(AN91:AQ91)</f>
        <v>0</v>
      </c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>
        <f>+AR91+AS91+AU91+AW91+AY91+BB91</f>
        <v>0</v>
      </c>
      <c r="BD91" s="49"/>
      <c r="BE91" s="50">
        <v>0</v>
      </c>
      <c r="BF91" s="50"/>
      <c r="BG91" s="49"/>
      <c r="BH91" s="50"/>
    </row>
    <row r="92" spans="1:60" ht="12.95" customHeight="1">
      <c r="A92" s="39"/>
      <c r="B92" s="40"/>
      <c r="C92" s="412"/>
      <c r="D92" s="40"/>
      <c r="E92" s="41"/>
      <c r="F92" s="41"/>
      <c r="G92" s="42"/>
      <c r="H92" s="43"/>
      <c r="I92" s="44"/>
      <c r="J92" s="81"/>
      <c r="K92" s="81"/>
      <c r="L92" s="34"/>
      <c r="M92" s="34"/>
      <c r="N92" s="45"/>
      <c r="O92" s="46"/>
      <c r="P92" s="47"/>
      <c r="Q92" s="46"/>
      <c r="R92" s="498"/>
      <c r="S92" s="498"/>
      <c r="T92" s="36"/>
      <c r="U92" s="36"/>
      <c r="V92" s="36"/>
      <c r="W92" s="36"/>
      <c r="X92" s="37"/>
      <c r="Y92" s="210"/>
      <c r="Z92" s="36"/>
      <c r="AA92" s="36"/>
      <c r="AB92" s="36"/>
      <c r="AC92" s="36"/>
      <c r="AD92" s="36">
        <f>+AM92+BC92</f>
        <v>61</v>
      </c>
      <c r="AE92" s="228" t="s">
        <v>481</v>
      </c>
      <c r="AF92" s="32"/>
      <c r="AG92" s="32"/>
      <c r="AH92" s="32">
        <v>61</v>
      </c>
      <c r="AJ92" s="36"/>
      <c r="AK92" s="36"/>
      <c r="AL92" s="36"/>
      <c r="AM92" s="36">
        <f t="shared" si="144"/>
        <v>61</v>
      </c>
      <c r="AN92" s="36"/>
      <c r="AO92" s="36"/>
      <c r="AP92" s="36"/>
      <c r="AQ92" s="36"/>
      <c r="AR92" s="36">
        <f t="shared" si="145"/>
        <v>0</v>
      </c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>
        <f>+AR92+AS92+AU92+AW92+AY92+BB92</f>
        <v>0</v>
      </c>
      <c r="BD92" s="32"/>
      <c r="BE92" s="501"/>
      <c r="BF92" s="501"/>
      <c r="BG92" s="32"/>
      <c r="BH92" s="501"/>
    </row>
    <row r="93" spans="1:60" ht="12.95" customHeight="1">
      <c r="A93" s="39"/>
      <c r="B93" s="40"/>
      <c r="C93" s="412"/>
      <c r="D93" s="40"/>
      <c r="E93" s="41"/>
      <c r="F93" s="41"/>
      <c r="G93" s="42"/>
      <c r="H93" s="43"/>
      <c r="I93" s="44"/>
      <c r="J93" s="81"/>
      <c r="K93" s="81"/>
      <c r="L93" s="34"/>
      <c r="M93" s="34"/>
      <c r="N93" s="45"/>
      <c r="O93" s="46"/>
      <c r="P93" s="47"/>
      <c r="Q93" s="33"/>
      <c r="R93" s="498"/>
      <c r="S93" s="498"/>
      <c r="T93" s="36"/>
      <c r="U93" s="36"/>
      <c r="V93" s="36"/>
      <c r="W93" s="36"/>
      <c r="X93" s="37"/>
      <c r="Y93" s="210"/>
      <c r="Z93" s="36"/>
      <c r="AA93" s="36"/>
      <c r="AB93" s="36"/>
      <c r="AC93" s="36"/>
      <c r="AD93" s="36">
        <f>+AM93+BC93</f>
        <v>0</v>
      </c>
      <c r="AE93" s="231" t="s">
        <v>378</v>
      </c>
      <c r="AF93" s="36"/>
      <c r="AG93" s="36"/>
      <c r="AH93" s="36"/>
      <c r="AI93" s="500">
        <v>0</v>
      </c>
      <c r="AJ93" s="36"/>
      <c r="AK93" s="36"/>
      <c r="AL93" s="36"/>
      <c r="AM93" s="36">
        <f t="shared" si="144"/>
        <v>0</v>
      </c>
      <c r="AN93" s="36"/>
      <c r="AO93" s="36"/>
      <c r="AP93" s="36"/>
      <c r="AQ93" s="36"/>
      <c r="AR93" s="36">
        <f t="shared" si="145"/>
        <v>0</v>
      </c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>
        <f>+AR93+AS93+AU93+AW93+AY93+BB93</f>
        <v>0</v>
      </c>
      <c r="BD93" s="49"/>
      <c r="BE93" s="50"/>
      <c r="BF93" s="50"/>
      <c r="BG93" s="49"/>
      <c r="BH93" s="50"/>
    </row>
    <row r="94" spans="1:60" ht="13.5" customHeight="1">
      <c r="A94" s="39"/>
      <c r="B94" s="40"/>
      <c r="C94" s="412"/>
      <c r="D94" s="40"/>
      <c r="E94" s="41"/>
      <c r="F94" s="41"/>
      <c r="G94" s="497"/>
      <c r="H94" s="43"/>
      <c r="I94" s="44"/>
      <c r="J94" s="81"/>
      <c r="K94" s="81"/>
      <c r="L94" s="34"/>
      <c r="M94" s="34"/>
      <c r="N94" s="45"/>
      <c r="O94" s="46"/>
      <c r="P94" s="47"/>
      <c r="Q94" s="46"/>
      <c r="R94" s="498"/>
      <c r="S94" s="498"/>
      <c r="T94" s="36"/>
      <c r="U94" s="36"/>
      <c r="V94" s="36"/>
      <c r="W94" s="36"/>
      <c r="X94" s="499"/>
      <c r="Y94" s="210"/>
      <c r="Z94" s="36"/>
      <c r="AA94" s="48"/>
      <c r="AB94" s="48"/>
      <c r="AC94" s="36"/>
      <c r="AD94" s="36"/>
      <c r="AE94" s="228"/>
      <c r="AF94" s="36"/>
      <c r="AG94" s="36"/>
      <c r="AH94" s="36"/>
      <c r="AI94" s="500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2"/>
      <c r="BE94" s="50"/>
      <c r="BF94" s="50"/>
      <c r="BG94" s="50"/>
      <c r="BH94" s="50"/>
    </row>
    <row r="95" spans="1:60" ht="12.75" customHeight="1">
      <c r="A95" s="39">
        <v>46040</v>
      </c>
      <c r="B95" s="40" t="s">
        <v>447</v>
      </c>
      <c r="C95" s="412">
        <f t="shared" ref="C95:C96" si="146">(M95*E95*O95*Q95)/100000000</f>
        <v>15.166195200000001</v>
      </c>
      <c r="D95" s="40" t="s">
        <v>302</v>
      </c>
      <c r="E95" s="41">
        <v>13</v>
      </c>
      <c r="F95" s="41">
        <v>1</v>
      </c>
      <c r="G95" s="497">
        <v>1230</v>
      </c>
      <c r="H95" s="43">
        <f>+N95</f>
        <v>0.24</v>
      </c>
      <c r="I95" s="44">
        <v>0.88</v>
      </c>
      <c r="J95" s="81">
        <f t="shared" ref="J95:J96" si="147">E95*G95*(1-H95)*1440/1000000*2.74</f>
        <v>47.948509440000002</v>
      </c>
      <c r="K95" s="81">
        <f t="shared" ref="K95:K96" si="148">(IF(G95&lt;L95,L95,G95)*(1-IF(H95&lt;N95,H95,N95))*E95*O95*Q95)/100000000</f>
        <v>15.166195200000001</v>
      </c>
      <c r="L95" s="34">
        <v>1230</v>
      </c>
      <c r="M95" s="34">
        <v>934.8</v>
      </c>
      <c r="N95" s="45">
        <f t="shared" ref="N95:N96" si="149">1-(M95/L95)</f>
        <v>0.24</v>
      </c>
      <c r="O95" s="46">
        <f>+'Trim Rwd'!H55</f>
        <v>260</v>
      </c>
      <c r="P95" s="47">
        <f t="shared" ref="P95:P96" si="150">O95*(Q95-R95-S95)</f>
        <v>119600</v>
      </c>
      <c r="Q95" s="46">
        <v>480</v>
      </c>
      <c r="R95" s="498">
        <v>0</v>
      </c>
      <c r="S95" s="498">
        <v>20</v>
      </c>
      <c r="T95" s="36">
        <f t="shared" ref="T95:T96" si="151">E95*M95*O95*Q95/100000000</f>
        <v>15.166195200000001</v>
      </c>
      <c r="U95" s="36">
        <f t="shared" ref="U95:U96" si="152">E95*M95*O95*(Q95-R95-S95)/100000000</f>
        <v>14.5342704</v>
      </c>
      <c r="V95" s="36">
        <f t="shared" ref="V95:V96" si="153">E95*G95*(1-N95)*O95/100*(R95+S95)/1000000</f>
        <v>0.63192480000000006</v>
      </c>
      <c r="W95" s="36">
        <f>+'18'!K12/1000</f>
        <v>15.583</v>
      </c>
      <c r="X95" s="499">
        <f>SUM(W95:W99)/SUM(K95:K99)</f>
        <v>0.87883815059360693</v>
      </c>
      <c r="Y95" s="210">
        <v>0</v>
      </c>
      <c r="Z95" s="36">
        <f>+'13'!D32/1000</f>
        <v>0</v>
      </c>
      <c r="AA95" s="48">
        <f>SUM(U95:U99)-SUM(W95:W99)-SUM(Z95:Z99)-SUM(Y95:Y99)</f>
        <v>2.2560716000000021</v>
      </c>
      <c r="AB95" s="48">
        <f>(SUM(K95:K99)-SUM(W95:W99)-SUM(Y95:Y99)-SUM(Z95:Z99)-SUM(AC95:AC99)-SUM(V95:V99))-AA95</f>
        <v>0</v>
      </c>
      <c r="AC95" s="36">
        <f>K95-T95</f>
        <v>0</v>
      </c>
      <c r="AD95" s="36">
        <f>+AM95+BC95</f>
        <v>23</v>
      </c>
      <c r="AE95" s="228" t="s">
        <v>552</v>
      </c>
      <c r="AF95" s="36">
        <v>23</v>
      </c>
      <c r="AG95" s="36"/>
      <c r="AH95" s="36"/>
      <c r="AI95" s="500"/>
      <c r="AJ95" s="36"/>
      <c r="AK95" s="36"/>
      <c r="AL95" s="36"/>
      <c r="AM95" s="36">
        <f t="shared" ref="AM95:AM98" si="154">SUM(AF95:AL95)+AT95+AV95+AX95</f>
        <v>23</v>
      </c>
      <c r="AN95" s="36"/>
      <c r="AO95" s="36"/>
      <c r="AP95" s="36"/>
      <c r="AQ95" s="36"/>
      <c r="AR95" s="36">
        <f>SUM(AN95:AQ95)</f>
        <v>0</v>
      </c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>
        <f>+AR95+AS95+AU95+AW95+AY95+BB95</f>
        <v>0</v>
      </c>
      <c r="BD95" s="32">
        <v>8</v>
      </c>
      <c r="BE95" s="50"/>
      <c r="BF95" s="50"/>
      <c r="BG95" s="32"/>
      <c r="BH95" s="50"/>
    </row>
    <row r="96" spans="1:60" ht="12.95" customHeight="1">
      <c r="A96" s="39"/>
      <c r="B96" s="40" t="s">
        <v>447</v>
      </c>
      <c r="C96" s="412">
        <f t="shared" si="146"/>
        <v>32.225921280000001</v>
      </c>
      <c r="D96" s="40" t="s">
        <v>302</v>
      </c>
      <c r="E96" s="41">
        <v>13.5</v>
      </c>
      <c r="F96" s="41">
        <v>1</v>
      </c>
      <c r="G96" s="497">
        <v>1230</v>
      </c>
      <c r="H96" s="43">
        <f>+N96</f>
        <v>0.24</v>
      </c>
      <c r="I96" s="44">
        <v>0.88</v>
      </c>
      <c r="J96" s="81">
        <f t="shared" si="147"/>
        <v>49.792682880000008</v>
      </c>
      <c r="K96" s="81">
        <f t="shared" si="148"/>
        <v>32.225921280000001</v>
      </c>
      <c r="L96" s="34">
        <v>1230</v>
      </c>
      <c r="M96" s="34">
        <v>934.8</v>
      </c>
      <c r="N96" s="45">
        <f t="shared" si="149"/>
        <v>0.24</v>
      </c>
      <c r="O96" s="46">
        <f>+'Trim Rwd'!H56</f>
        <v>266</v>
      </c>
      <c r="P96" s="47">
        <f t="shared" si="150"/>
        <v>239400</v>
      </c>
      <c r="Q96" s="46">
        <f>1440-Q95</f>
        <v>960</v>
      </c>
      <c r="R96" s="498">
        <v>0</v>
      </c>
      <c r="S96" s="498">
        <f>80-S95</f>
        <v>60</v>
      </c>
      <c r="T96" s="36">
        <f t="shared" si="151"/>
        <v>32.225921280000001</v>
      </c>
      <c r="U96" s="36">
        <f t="shared" si="152"/>
        <v>30.2118012</v>
      </c>
      <c r="V96" s="36">
        <f t="shared" si="153"/>
        <v>2.0141200799999996</v>
      </c>
      <c r="W96" s="36">
        <f>+'18'!K9/1000</f>
        <v>26.067</v>
      </c>
      <c r="X96" s="37"/>
      <c r="Y96" s="210"/>
      <c r="Z96" s="36">
        <f>+'18'!D25/1000</f>
        <v>0.84</v>
      </c>
      <c r="AA96" s="36"/>
      <c r="AB96" s="36"/>
      <c r="AC96" s="36">
        <f>K96-T96</f>
        <v>0</v>
      </c>
      <c r="AD96" s="36">
        <f>+AM96+BC96</f>
        <v>0</v>
      </c>
      <c r="AE96" s="228" t="s">
        <v>427</v>
      </c>
      <c r="AF96" s="36"/>
      <c r="AG96" s="36">
        <v>0</v>
      </c>
      <c r="AH96" s="36"/>
      <c r="AI96" s="500"/>
      <c r="AJ96" s="36"/>
      <c r="AK96" s="36"/>
      <c r="AL96" s="36"/>
      <c r="AM96" s="36">
        <f t="shared" si="154"/>
        <v>0</v>
      </c>
      <c r="AN96" s="82"/>
      <c r="AO96" s="36"/>
      <c r="AP96" s="36"/>
      <c r="AQ96" s="36"/>
      <c r="AR96" s="36">
        <f t="shared" ref="AR96:AR98" si="155">SUM(AN96:AQ96)</f>
        <v>0</v>
      </c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>
        <f>+AR96+AS96+AU96+AW96+AY96+BB96</f>
        <v>0</v>
      </c>
      <c r="BD96" s="49"/>
      <c r="BE96" s="50">
        <v>0</v>
      </c>
      <c r="BF96" s="50"/>
      <c r="BG96" s="49"/>
      <c r="BH96" s="50"/>
    </row>
    <row r="97" spans="1:60" ht="12.95" customHeight="1">
      <c r="A97" s="39"/>
      <c r="B97" s="40"/>
      <c r="C97" s="412"/>
      <c r="D97" s="40"/>
      <c r="E97" s="41"/>
      <c r="F97" s="41"/>
      <c r="G97" s="42"/>
      <c r="H97" s="43"/>
      <c r="I97" s="44"/>
      <c r="J97" s="81"/>
      <c r="K97" s="81"/>
      <c r="L97" s="34"/>
      <c r="M97" s="34"/>
      <c r="N97" s="45"/>
      <c r="O97" s="46"/>
      <c r="P97" s="47"/>
      <c r="Q97" s="46"/>
      <c r="R97" s="498"/>
      <c r="S97" s="498"/>
      <c r="T97" s="36"/>
      <c r="U97" s="36"/>
      <c r="V97" s="36"/>
      <c r="W97" s="36"/>
      <c r="X97" s="37"/>
      <c r="Y97" s="210"/>
      <c r="Z97" s="36"/>
      <c r="AA97" s="36"/>
      <c r="AB97" s="36"/>
      <c r="AC97" s="36"/>
      <c r="AD97" s="36">
        <f>+AM97+BC97</f>
        <v>49</v>
      </c>
      <c r="AE97" s="228" t="s">
        <v>430</v>
      </c>
      <c r="AF97" s="32"/>
      <c r="AG97" s="32"/>
      <c r="AH97" s="32">
        <v>49</v>
      </c>
      <c r="AJ97" s="36"/>
      <c r="AK97" s="36"/>
      <c r="AL97" s="36"/>
      <c r="AM97" s="36">
        <f t="shared" si="154"/>
        <v>49</v>
      </c>
      <c r="AN97" s="36"/>
      <c r="AO97" s="36"/>
      <c r="AP97" s="36"/>
      <c r="AQ97" s="36"/>
      <c r="AR97" s="36">
        <f t="shared" si="155"/>
        <v>0</v>
      </c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>
        <f>+AR97+AS97+AU97+AW97+AY97+BB97</f>
        <v>0</v>
      </c>
      <c r="BD97" s="32"/>
      <c r="BE97" s="501"/>
      <c r="BF97" s="501"/>
      <c r="BG97" s="32"/>
      <c r="BH97" s="501"/>
    </row>
    <row r="98" spans="1:60" ht="12.95" customHeight="1">
      <c r="A98" s="39"/>
      <c r="B98" s="40"/>
      <c r="C98" s="412"/>
      <c r="D98" s="40"/>
      <c r="E98" s="41"/>
      <c r="F98" s="41"/>
      <c r="G98" s="42"/>
      <c r="H98" s="43"/>
      <c r="I98" s="44"/>
      <c r="J98" s="81"/>
      <c r="K98" s="81"/>
      <c r="L98" s="34"/>
      <c r="M98" s="34"/>
      <c r="N98" s="45"/>
      <c r="O98" s="46"/>
      <c r="P98" s="47"/>
      <c r="Q98" s="33"/>
      <c r="R98" s="498"/>
      <c r="S98" s="498"/>
      <c r="T98" s="36"/>
      <c r="U98" s="36"/>
      <c r="V98" s="36"/>
      <c r="W98" s="36"/>
      <c r="X98" s="37"/>
      <c r="Y98" s="210"/>
      <c r="Z98" s="36"/>
      <c r="AA98" s="36"/>
      <c r="AB98" s="36"/>
      <c r="AC98" s="36"/>
      <c r="AD98" s="36">
        <f>+AM98+BC98</f>
        <v>8</v>
      </c>
      <c r="AE98" s="231" t="s">
        <v>378</v>
      </c>
      <c r="AF98" s="36"/>
      <c r="AG98" s="36"/>
      <c r="AH98" s="36"/>
      <c r="AI98" s="500">
        <v>8</v>
      </c>
      <c r="AJ98" s="36"/>
      <c r="AK98" s="36"/>
      <c r="AL98" s="36"/>
      <c r="AM98" s="36">
        <f t="shared" si="154"/>
        <v>8</v>
      </c>
      <c r="AN98" s="36"/>
      <c r="AO98" s="36"/>
      <c r="AP98" s="36"/>
      <c r="AQ98" s="36"/>
      <c r="AR98" s="36">
        <f t="shared" si="155"/>
        <v>0</v>
      </c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>
        <f>+AR98+AS98+AU98+AW98+AY98+BB98</f>
        <v>0</v>
      </c>
      <c r="BD98" s="49"/>
      <c r="BE98" s="50"/>
      <c r="BF98" s="50"/>
      <c r="BG98" s="49"/>
      <c r="BH98" s="50"/>
    </row>
    <row r="99" spans="1:60" ht="13.5" customHeight="1">
      <c r="A99" s="39"/>
      <c r="B99" s="40"/>
      <c r="C99" s="412"/>
      <c r="D99" s="40"/>
      <c r="E99" s="41"/>
      <c r="F99" s="41"/>
      <c r="G99" s="497"/>
      <c r="H99" s="43"/>
      <c r="I99" s="44"/>
      <c r="J99" s="81"/>
      <c r="K99" s="81"/>
      <c r="L99" s="34"/>
      <c r="M99" s="34"/>
      <c r="N99" s="45"/>
      <c r="O99" s="46"/>
      <c r="P99" s="47"/>
      <c r="Q99" s="46"/>
      <c r="R99" s="498"/>
      <c r="S99" s="498"/>
      <c r="T99" s="36"/>
      <c r="U99" s="36"/>
      <c r="V99" s="36"/>
      <c r="W99" s="36"/>
      <c r="X99" s="499"/>
      <c r="Y99" s="210"/>
      <c r="Z99" s="36"/>
      <c r="AA99" s="48"/>
      <c r="AB99" s="48"/>
      <c r="AC99" s="36"/>
      <c r="AD99" s="36"/>
      <c r="AE99" s="228"/>
      <c r="AF99" s="36"/>
      <c r="AG99" s="36"/>
      <c r="AH99" s="36"/>
      <c r="AI99" s="500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2"/>
      <c r="BE99" s="50"/>
      <c r="BF99" s="50"/>
      <c r="BG99" s="50"/>
      <c r="BH99" s="50"/>
    </row>
    <row r="100" spans="1:60" ht="12.75" customHeight="1">
      <c r="A100" s="39">
        <v>46041</v>
      </c>
      <c r="B100" s="40" t="s">
        <v>447</v>
      </c>
      <c r="C100" s="412">
        <f t="shared" ref="C100" si="156">(M100*E100*O100*Q100)/100000000</f>
        <v>47.509217280000001</v>
      </c>
      <c r="D100" s="40" t="s">
        <v>302</v>
      </c>
      <c r="E100" s="41">
        <v>13.5</v>
      </c>
      <c r="F100" s="41">
        <v>1</v>
      </c>
      <c r="G100" s="497">
        <v>1230</v>
      </c>
      <c r="H100" s="43">
        <f>+N100</f>
        <v>0.24</v>
      </c>
      <c r="I100" s="44">
        <v>0.88</v>
      </c>
      <c r="J100" s="81">
        <f t="shared" ref="J100" si="157">E100*G100*(1-H100)*1440/1000000*2.74</f>
        <v>49.792682880000008</v>
      </c>
      <c r="K100" s="81">
        <f t="shared" ref="K100" si="158">(IF(G100&lt;L100,L100,G100)*(1-IF(H100&lt;N100,H100,N100))*E100*O100*Q100)/100000000</f>
        <v>48.338881919999999</v>
      </c>
      <c r="L100" s="34">
        <v>1208.8888888888889</v>
      </c>
      <c r="M100" s="34">
        <v>918.75555555555559</v>
      </c>
      <c r="N100" s="45">
        <f t="shared" ref="N100" si="159">1-(M100/L100)</f>
        <v>0.24</v>
      </c>
      <c r="O100" s="46">
        <f>+'Trim Rwd'!H58</f>
        <v>266</v>
      </c>
      <c r="P100" s="47">
        <f t="shared" ref="P100" si="160">O100*(Q100-R100-S100)</f>
        <v>352982</v>
      </c>
      <c r="Q100" s="46">
        <f>1440-Q99</f>
        <v>1440</v>
      </c>
      <c r="R100" s="498">
        <v>0</v>
      </c>
      <c r="S100" s="498">
        <v>113</v>
      </c>
      <c r="T100" s="36">
        <f t="shared" ref="T100" si="161">E100*M100*O100*Q100/100000000</f>
        <v>47.509217280000001</v>
      </c>
      <c r="U100" s="36">
        <f t="shared" ref="U100" si="162">E100*M100*O100*(Q100-R100-S100)/100000000</f>
        <v>43.781063424000003</v>
      </c>
      <c r="V100" s="36">
        <f t="shared" ref="V100" si="163">E100*G100*(1-N100)*O100/100*(R100+S100)/1000000</f>
        <v>3.7932594839999996</v>
      </c>
      <c r="W100" s="36">
        <f>+'19'!K9/1000</f>
        <v>43.503</v>
      </c>
      <c r="X100" s="499">
        <f>SUM(W100:W104)/SUM(K100:K104)</f>
        <v>0.89995875519000834</v>
      </c>
      <c r="Y100" s="210">
        <v>0</v>
      </c>
      <c r="Z100" s="36">
        <v>0</v>
      </c>
      <c r="AA100" s="48">
        <f>SUM(U100:U104)-SUM(W100:W104)-SUM(Z100:Z104)-SUM(Y100:Y104)</f>
        <v>0.27806342400000261</v>
      </c>
      <c r="AB100" s="48">
        <f>(SUM(K100:K104)-SUM(W100:W104)-SUM(Y100:Y104)-SUM(Z100:Z104)-SUM(AC100:AC104)-SUM(V100:V104))-AA100</f>
        <v>-6.5105628000000859E-2</v>
      </c>
      <c r="AC100" s="36">
        <f>K100-T100</f>
        <v>0.82966463999999718</v>
      </c>
      <c r="AD100" s="36">
        <f>+AM100+BC100</f>
        <v>27</v>
      </c>
      <c r="AE100" s="228" t="s">
        <v>464</v>
      </c>
      <c r="AF100" s="36">
        <v>27</v>
      </c>
      <c r="AG100" s="36"/>
      <c r="AH100" s="36"/>
      <c r="AI100" s="500"/>
      <c r="AJ100" s="36"/>
      <c r="AK100" s="36"/>
      <c r="AL100" s="36"/>
      <c r="AM100" s="36">
        <f t="shared" ref="AM100:AM103" si="164">SUM(AF100:AL100)+AT100+AV100+AX100</f>
        <v>27</v>
      </c>
      <c r="AN100" s="36"/>
      <c r="AO100" s="36"/>
      <c r="AP100" s="36"/>
      <c r="AQ100" s="36"/>
      <c r="AR100" s="36">
        <f>SUM(AN100:AQ100)</f>
        <v>0</v>
      </c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>
        <f>+AR100+AS100+AU100+AW100+AY100+BB100</f>
        <v>0</v>
      </c>
      <c r="BD100" s="32">
        <v>9</v>
      </c>
      <c r="BE100" s="50"/>
      <c r="BF100" s="50"/>
      <c r="BG100" s="32"/>
      <c r="BH100" s="50"/>
    </row>
    <row r="101" spans="1:60" ht="12.95" customHeight="1">
      <c r="A101" s="39"/>
      <c r="B101" s="40"/>
      <c r="C101" s="412"/>
      <c r="D101" s="40"/>
      <c r="E101" s="41"/>
      <c r="F101" s="41"/>
      <c r="G101" s="497"/>
      <c r="H101" s="43"/>
      <c r="I101" s="44"/>
      <c r="J101" s="81"/>
      <c r="K101" s="81"/>
      <c r="L101" s="34"/>
      <c r="M101" s="34"/>
      <c r="N101" s="45"/>
      <c r="O101" s="46"/>
      <c r="P101" s="47"/>
      <c r="Q101" s="46"/>
      <c r="R101" s="498"/>
      <c r="S101" s="498"/>
      <c r="T101" s="36"/>
      <c r="U101" s="36"/>
      <c r="V101" s="36"/>
      <c r="W101" s="36"/>
      <c r="X101" s="37"/>
      <c r="Y101" s="210"/>
      <c r="Z101" s="36"/>
      <c r="AA101" s="36"/>
      <c r="AB101" s="36"/>
      <c r="AC101" s="36">
        <f>K101-T101</f>
        <v>0</v>
      </c>
      <c r="AD101" s="36">
        <f>+AM101+BC101</f>
        <v>0</v>
      </c>
      <c r="AE101" s="228" t="s">
        <v>427</v>
      </c>
      <c r="AF101" s="36"/>
      <c r="AG101" s="36">
        <v>0</v>
      </c>
      <c r="AH101" s="36"/>
      <c r="AI101" s="500"/>
      <c r="AJ101" s="36"/>
      <c r="AK101" s="36"/>
      <c r="AL101" s="36"/>
      <c r="AM101" s="36">
        <f t="shared" si="164"/>
        <v>0</v>
      </c>
      <c r="AN101" s="82"/>
      <c r="AO101" s="36"/>
      <c r="AP101" s="36"/>
      <c r="AQ101" s="36"/>
      <c r="AR101" s="36">
        <f t="shared" ref="AR101:AR103" si="165">SUM(AN101:AQ101)</f>
        <v>0</v>
      </c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>
        <f>+AR101+AS101+AU101+AW101+AY101+BB101</f>
        <v>0</v>
      </c>
      <c r="BD101" s="49"/>
      <c r="BE101" s="50">
        <v>0</v>
      </c>
      <c r="BF101" s="50"/>
      <c r="BG101" s="49"/>
      <c r="BH101" s="50"/>
    </row>
    <row r="102" spans="1:60" ht="12.95" customHeight="1">
      <c r="A102" s="39"/>
      <c r="B102" s="40"/>
      <c r="C102" s="412"/>
      <c r="D102" s="40"/>
      <c r="E102" s="41"/>
      <c r="F102" s="41"/>
      <c r="G102" s="42"/>
      <c r="H102" s="43"/>
      <c r="I102" s="44"/>
      <c r="J102" s="81"/>
      <c r="K102" s="81"/>
      <c r="L102" s="34"/>
      <c r="M102" s="34"/>
      <c r="N102" s="45"/>
      <c r="O102" s="46"/>
      <c r="P102" s="47"/>
      <c r="Q102" s="46"/>
      <c r="R102" s="498"/>
      <c r="S102" s="498"/>
      <c r="T102" s="36"/>
      <c r="U102" s="36"/>
      <c r="V102" s="36"/>
      <c r="W102" s="36"/>
      <c r="X102" s="37"/>
      <c r="Y102" s="210"/>
      <c r="Z102" s="36"/>
      <c r="AA102" s="36"/>
      <c r="AB102" s="36"/>
      <c r="AC102" s="36"/>
      <c r="AD102" s="36">
        <f>+AM102+BC102</f>
        <v>36</v>
      </c>
      <c r="AE102" s="228" t="s">
        <v>413</v>
      </c>
      <c r="AF102" s="32"/>
      <c r="AG102" s="32"/>
      <c r="AH102" s="32">
        <v>36</v>
      </c>
      <c r="AJ102" s="36"/>
      <c r="AK102" s="36"/>
      <c r="AL102" s="36"/>
      <c r="AM102" s="36">
        <f t="shared" si="164"/>
        <v>36</v>
      </c>
      <c r="AN102" s="36"/>
      <c r="AO102" s="36"/>
      <c r="AP102" s="36"/>
      <c r="AQ102" s="36"/>
      <c r="AR102" s="36">
        <f t="shared" si="165"/>
        <v>0</v>
      </c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>
        <f>+AR102+AS102+AU102+AW102+AY102+BB102</f>
        <v>0</v>
      </c>
      <c r="BD102" s="32"/>
      <c r="BE102" s="501"/>
      <c r="BF102" s="501"/>
      <c r="BG102" s="32"/>
      <c r="BH102" s="501"/>
    </row>
    <row r="103" spans="1:60" ht="12.95" customHeight="1">
      <c r="A103" s="39"/>
      <c r="B103" s="40"/>
      <c r="C103" s="412"/>
      <c r="D103" s="40"/>
      <c r="E103" s="41"/>
      <c r="F103" s="41"/>
      <c r="G103" s="42"/>
      <c r="H103" s="43"/>
      <c r="I103" s="44"/>
      <c r="J103" s="81"/>
      <c r="K103" s="81"/>
      <c r="L103" s="34"/>
      <c r="M103" s="34"/>
      <c r="N103" s="45"/>
      <c r="O103" s="46"/>
      <c r="P103" s="47"/>
      <c r="Q103" s="33"/>
      <c r="R103" s="498"/>
      <c r="S103" s="498"/>
      <c r="T103" s="36"/>
      <c r="U103" s="36"/>
      <c r="V103" s="36"/>
      <c r="W103" s="36"/>
      <c r="X103" s="37"/>
      <c r="Y103" s="210"/>
      <c r="Z103" s="36"/>
      <c r="AA103" s="36"/>
      <c r="AB103" s="36"/>
      <c r="AC103" s="36"/>
      <c r="AD103" s="36">
        <f>+AM103+BC103</f>
        <v>50</v>
      </c>
      <c r="AE103" s="231" t="s">
        <v>596</v>
      </c>
      <c r="AF103" s="36"/>
      <c r="AG103" s="36"/>
      <c r="AH103" s="36"/>
      <c r="AI103" s="500"/>
      <c r="AJ103" s="36"/>
      <c r="AK103" s="36">
        <v>50</v>
      </c>
      <c r="AL103" s="36"/>
      <c r="AM103" s="36">
        <f t="shared" si="164"/>
        <v>50</v>
      </c>
      <c r="AN103" s="36"/>
      <c r="AO103" s="36"/>
      <c r="AP103" s="36"/>
      <c r="AQ103" s="36"/>
      <c r="AR103" s="36">
        <f t="shared" si="165"/>
        <v>0</v>
      </c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>
        <f>+AR103+AS103+AU103+AW103+AY103+BB103</f>
        <v>0</v>
      </c>
      <c r="BD103" s="49"/>
      <c r="BE103" s="50"/>
      <c r="BF103" s="50"/>
      <c r="BG103" s="49"/>
      <c r="BH103" s="50"/>
    </row>
    <row r="104" spans="1:60" ht="13.5" customHeight="1">
      <c r="A104" s="39"/>
      <c r="B104" s="40"/>
      <c r="C104" s="412"/>
      <c r="D104" s="40"/>
      <c r="E104" s="41"/>
      <c r="F104" s="41"/>
      <c r="G104" s="497"/>
      <c r="H104" s="43"/>
      <c r="I104" s="44"/>
      <c r="J104" s="81"/>
      <c r="K104" s="81"/>
      <c r="L104" s="34"/>
      <c r="M104" s="34"/>
      <c r="N104" s="45"/>
      <c r="O104" s="46"/>
      <c r="P104" s="47"/>
      <c r="Q104" s="46"/>
      <c r="R104" s="498"/>
      <c r="S104" s="498"/>
      <c r="T104" s="36"/>
      <c r="U104" s="36"/>
      <c r="V104" s="36"/>
      <c r="W104" s="36"/>
      <c r="X104" s="499"/>
      <c r="Y104" s="210"/>
      <c r="Z104" s="36"/>
      <c r="AA104" s="48"/>
      <c r="AB104" s="48"/>
      <c r="AC104" s="36"/>
      <c r="AD104" s="36"/>
      <c r="AE104" s="228"/>
      <c r="AF104" s="36"/>
      <c r="AG104" s="36"/>
      <c r="AH104" s="36"/>
      <c r="AI104" s="500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2"/>
      <c r="BE104" s="50"/>
      <c r="BF104" s="50"/>
      <c r="BG104" s="50"/>
      <c r="BH104" s="50"/>
    </row>
    <row r="105" spans="1:60" ht="12.75" customHeight="1">
      <c r="A105" s="39">
        <v>46042</v>
      </c>
      <c r="B105" s="40" t="s">
        <v>447</v>
      </c>
      <c r="C105" s="412">
        <f t="shared" ref="C105:C106" si="166">(M105*E105*O105*Q105)/100000000</f>
        <v>32.044159223999998</v>
      </c>
      <c r="D105" s="40" t="s">
        <v>302</v>
      </c>
      <c r="E105" s="41">
        <v>13.5</v>
      </c>
      <c r="F105" s="41">
        <v>1</v>
      </c>
      <c r="G105" s="497">
        <v>1230</v>
      </c>
      <c r="H105" s="43">
        <f>+N105</f>
        <v>0.24</v>
      </c>
      <c r="I105" s="44">
        <v>0.88</v>
      </c>
      <c r="J105" s="81">
        <f t="shared" ref="J105:J106" si="167">E105*G105*(1-H105)*1440/1000000*2.74</f>
        <v>49.792682880000008</v>
      </c>
      <c r="K105" s="81">
        <f t="shared" ref="K105:K106" si="168">(IF(G105&lt;L105,L105,G105)*(1-IF(H105&lt;N105,H105,N105))*E105*O105*Q105)/100000000</f>
        <v>32.225921280000001</v>
      </c>
      <c r="L105" s="34">
        <v>1223.0625</v>
      </c>
      <c r="M105" s="34">
        <v>929.52750000000003</v>
      </c>
      <c r="N105" s="45">
        <f t="shared" ref="N105:N106" si="169">1-(M105/L105)</f>
        <v>0.24</v>
      </c>
      <c r="O105" s="46">
        <f>+'Trim Rwd'!H60</f>
        <v>266</v>
      </c>
      <c r="P105" s="47">
        <f t="shared" ref="P105:P106" si="170">O105*(Q105-R105-S105)</f>
        <v>235144</v>
      </c>
      <c r="Q105" s="46">
        <v>960</v>
      </c>
      <c r="R105" s="498">
        <v>0</v>
      </c>
      <c r="S105" s="498">
        <v>76</v>
      </c>
      <c r="T105" s="36">
        <f t="shared" ref="T105:T106" si="171">E105*M105*O105*Q105/100000000</f>
        <v>32.044159223999998</v>
      </c>
      <c r="U105" s="36">
        <f t="shared" ref="U105:U106" si="172">E105*M105*O105*(Q105-R105-S105)/100000000</f>
        <v>29.507329952100001</v>
      </c>
      <c r="V105" s="36">
        <f t="shared" ref="V105:V106" si="173">E105*G105*(1-N105)*O105/100*(R105+S105)/1000000</f>
        <v>2.5512187679999996</v>
      </c>
      <c r="W105" s="36">
        <f>+'20'!K9/1000</f>
        <v>35.350999999999999</v>
      </c>
      <c r="X105" s="499">
        <f>SUM(W105:W109)/SUM(K105:K109)</f>
        <v>0.98248915222388733</v>
      </c>
      <c r="Y105" s="210">
        <v>0</v>
      </c>
      <c r="Z105" s="36">
        <v>0</v>
      </c>
      <c r="AA105" s="48">
        <f>SUM(U105:U109)-SUM(W105:W109)-SUM(Z105:Z109)-SUM(Y105:Y109)</f>
        <v>-2.5150038079000012</v>
      </c>
      <c r="AB105" s="48">
        <f>(SUM(K105:K109)-SUM(W105:W109)-SUM(Y105:Y109)-SUM(Z105:Z109)-SUM(AC105:AC109)-SUM(V105:V109))-AA105</f>
        <v>-1.4389496099999732E-2</v>
      </c>
      <c r="AC105" s="36">
        <f>K105-T105</f>
        <v>0.18176205600000372</v>
      </c>
      <c r="AD105" s="36">
        <f>+AM105+BC105</f>
        <v>12</v>
      </c>
      <c r="AE105" s="228" t="s">
        <v>429</v>
      </c>
      <c r="AF105" s="36">
        <v>12</v>
      </c>
      <c r="AG105" s="36"/>
      <c r="AH105" s="36"/>
      <c r="AI105" s="500"/>
      <c r="AJ105" s="36"/>
      <c r="AK105" s="36"/>
      <c r="AL105" s="36"/>
      <c r="AM105" s="36">
        <f t="shared" ref="AM105:AM108" si="174">SUM(AF105:AL105)+AT105+AV105+AX105</f>
        <v>12</v>
      </c>
      <c r="AN105" s="36"/>
      <c r="AO105" s="36"/>
      <c r="AP105" s="36"/>
      <c r="AQ105" s="36"/>
      <c r="AR105" s="36">
        <f>SUM(AN105:AQ105)</f>
        <v>0</v>
      </c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>
        <f>+AR105+AS105+AU105+AW105+AY105+BB105</f>
        <v>0</v>
      </c>
      <c r="BD105" s="32">
        <v>6</v>
      </c>
      <c r="BE105" s="50"/>
      <c r="BF105" s="50"/>
      <c r="BG105" s="32"/>
      <c r="BH105" s="50"/>
    </row>
    <row r="106" spans="1:60" ht="12.95" customHeight="1">
      <c r="A106" s="39"/>
      <c r="B106" s="40" t="s">
        <v>447</v>
      </c>
      <c r="C106" s="412">
        <f t="shared" si="166"/>
        <v>14.932869119999999</v>
      </c>
      <c r="D106" s="40" t="s">
        <v>302</v>
      </c>
      <c r="E106" s="41">
        <v>13</v>
      </c>
      <c r="F106" s="41">
        <v>1</v>
      </c>
      <c r="G106" s="497">
        <v>1230</v>
      </c>
      <c r="H106" s="43">
        <f>+N106</f>
        <v>0.24</v>
      </c>
      <c r="I106" s="44">
        <v>0.88</v>
      </c>
      <c r="J106" s="81">
        <f t="shared" si="167"/>
        <v>47.948509440000002</v>
      </c>
      <c r="K106" s="81">
        <f t="shared" si="168"/>
        <v>14.932869119999999</v>
      </c>
      <c r="L106" s="34">
        <v>1230</v>
      </c>
      <c r="M106" s="34">
        <v>934.8</v>
      </c>
      <c r="N106" s="45">
        <f t="shared" si="169"/>
        <v>0.24</v>
      </c>
      <c r="O106" s="46">
        <f>+'Trim Rwd'!H61</f>
        <v>256</v>
      </c>
      <c r="P106" s="47">
        <f t="shared" si="170"/>
        <v>117760</v>
      </c>
      <c r="Q106" s="46">
        <v>480</v>
      </c>
      <c r="R106" s="498">
        <v>0</v>
      </c>
      <c r="S106" s="498">
        <v>20</v>
      </c>
      <c r="T106" s="36">
        <f t="shared" si="171"/>
        <v>14.932869119999999</v>
      </c>
      <c r="U106" s="36">
        <f t="shared" si="172"/>
        <v>14.31066624</v>
      </c>
      <c r="V106" s="36">
        <f t="shared" si="173"/>
        <v>0.62220288000000001</v>
      </c>
      <c r="W106" s="36">
        <f>+'20'!K12/1000</f>
        <v>10.981999999999999</v>
      </c>
      <c r="X106" s="37"/>
      <c r="Y106" s="210"/>
      <c r="Z106" s="36"/>
      <c r="AA106" s="36"/>
      <c r="AB106" s="36"/>
      <c r="AC106" s="36">
        <f>K106-T106</f>
        <v>0</v>
      </c>
      <c r="AD106" s="36">
        <f>+AM106+BC106</f>
        <v>8</v>
      </c>
      <c r="AE106" s="228" t="s">
        <v>407</v>
      </c>
      <c r="AF106" s="36"/>
      <c r="AG106" s="36">
        <v>8</v>
      </c>
      <c r="AH106" s="36"/>
      <c r="AI106" s="500"/>
      <c r="AJ106" s="36"/>
      <c r="AK106" s="36"/>
      <c r="AL106" s="36"/>
      <c r="AM106" s="36">
        <f t="shared" si="174"/>
        <v>8</v>
      </c>
      <c r="AN106" s="82"/>
      <c r="AO106" s="36"/>
      <c r="AP106" s="36"/>
      <c r="AQ106" s="36"/>
      <c r="AR106" s="36">
        <f t="shared" ref="AR106:AR108" si="175">SUM(AN106:AQ106)</f>
        <v>0</v>
      </c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>
        <f>+AR106+AS106+AU106+AW106+AY106+BB106</f>
        <v>0</v>
      </c>
      <c r="BD106" s="49"/>
      <c r="BE106" s="50">
        <v>4</v>
      </c>
      <c r="BF106" s="50"/>
      <c r="BG106" s="49"/>
      <c r="BH106" s="50"/>
    </row>
    <row r="107" spans="1:60" ht="12.95" customHeight="1">
      <c r="A107" s="39"/>
      <c r="B107" s="40"/>
      <c r="C107" s="412"/>
      <c r="D107" s="40"/>
      <c r="E107" s="41"/>
      <c r="F107" s="41"/>
      <c r="G107" s="42"/>
      <c r="H107" s="43"/>
      <c r="I107" s="44"/>
      <c r="J107" s="81"/>
      <c r="K107" s="81"/>
      <c r="L107" s="34"/>
      <c r="M107" s="34"/>
      <c r="N107" s="45"/>
      <c r="O107" s="46"/>
      <c r="P107" s="47"/>
      <c r="Q107" s="46"/>
      <c r="R107" s="498"/>
      <c r="S107" s="498"/>
      <c r="T107" s="36"/>
      <c r="U107" s="36"/>
      <c r="V107" s="36"/>
      <c r="W107" s="36"/>
      <c r="X107" s="37"/>
      <c r="Y107" s="210"/>
      <c r="Z107" s="36"/>
      <c r="AA107" s="36"/>
      <c r="AB107" s="36"/>
      <c r="AC107" s="36"/>
      <c r="AD107" s="36">
        <f>+AM107+BC107</f>
        <v>39</v>
      </c>
      <c r="AE107" s="228" t="s">
        <v>449</v>
      </c>
      <c r="AF107" s="32"/>
      <c r="AG107" s="32"/>
      <c r="AH107" s="32">
        <v>39</v>
      </c>
      <c r="AJ107" s="36"/>
      <c r="AK107" s="36"/>
      <c r="AL107" s="36"/>
      <c r="AM107" s="36">
        <f t="shared" si="174"/>
        <v>39</v>
      </c>
      <c r="AN107" s="36"/>
      <c r="AO107" s="36"/>
      <c r="AP107" s="36"/>
      <c r="AQ107" s="36"/>
      <c r="AR107" s="36">
        <f t="shared" si="175"/>
        <v>0</v>
      </c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>
        <f>+AR107+AS107+AU107+AW107+AY107+BB107</f>
        <v>0</v>
      </c>
      <c r="BD107" s="32"/>
      <c r="BE107" s="501"/>
      <c r="BF107" s="501"/>
      <c r="BG107" s="32"/>
      <c r="BH107" s="501"/>
    </row>
    <row r="108" spans="1:60" ht="12.95" customHeight="1">
      <c r="A108" s="39"/>
      <c r="B108" s="40"/>
      <c r="C108" s="412"/>
      <c r="D108" s="40"/>
      <c r="E108" s="41"/>
      <c r="F108" s="41"/>
      <c r="G108" s="42"/>
      <c r="H108" s="43"/>
      <c r="I108" s="44"/>
      <c r="J108" s="81"/>
      <c r="K108" s="81"/>
      <c r="L108" s="34"/>
      <c r="M108" s="34"/>
      <c r="N108" s="45"/>
      <c r="O108" s="46"/>
      <c r="P108" s="47"/>
      <c r="Q108" s="33"/>
      <c r="R108" s="498"/>
      <c r="S108" s="498"/>
      <c r="T108" s="36"/>
      <c r="U108" s="36"/>
      <c r="V108" s="36"/>
      <c r="W108" s="36"/>
      <c r="X108" s="37"/>
      <c r="Y108" s="210"/>
      <c r="Z108" s="36"/>
      <c r="AA108" s="36"/>
      <c r="AB108" s="36"/>
      <c r="AC108" s="36"/>
      <c r="AD108" s="36">
        <f>+AM108+BC108</f>
        <v>37</v>
      </c>
      <c r="AE108" s="231" t="s">
        <v>596</v>
      </c>
      <c r="AF108" s="36"/>
      <c r="AG108" s="36"/>
      <c r="AH108" s="36"/>
      <c r="AI108" s="500"/>
      <c r="AJ108" s="36"/>
      <c r="AK108" s="36">
        <v>37</v>
      </c>
      <c r="AL108" s="36"/>
      <c r="AM108" s="36">
        <f t="shared" si="174"/>
        <v>37</v>
      </c>
      <c r="AN108" s="36"/>
      <c r="AO108" s="36"/>
      <c r="AP108" s="36"/>
      <c r="AQ108" s="36"/>
      <c r="AR108" s="36">
        <f t="shared" si="175"/>
        <v>0</v>
      </c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>
        <f>+AR108+AS108+AU108+AW108+AY108+BB108</f>
        <v>0</v>
      </c>
      <c r="BD108" s="49"/>
      <c r="BE108" s="50"/>
      <c r="BF108" s="50"/>
      <c r="BG108" s="49"/>
      <c r="BH108" s="50"/>
    </row>
    <row r="109" spans="1:60" ht="13.5" customHeight="1">
      <c r="A109" s="39"/>
      <c r="B109" s="40"/>
      <c r="C109" s="412"/>
      <c r="D109" s="40"/>
      <c r="E109" s="41"/>
      <c r="F109" s="41"/>
      <c r="G109" s="497"/>
      <c r="H109" s="43"/>
      <c r="I109" s="44"/>
      <c r="J109" s="81"/>
      <c r="K109" s="81"/>
      <c r="L109" s="34"/>
      <c r="M109" s="34"/>
      <c r="N109" s="45"/>
      <c r="O109" s="46"/>
      <c r="P109" s="47"/>
      <c r="Q109" s="46"/>
      <c r="R109" s="498"/>
      <c r="S109" s="498"/>
      <c r="T109" s="36"/>
      <c r="U109" s="36"/>
      <c r="V109" s="36"/>
      <c r="W109" s="36"/>
      <c r="X109" s="499"/>
      <c r="Y109" s="210"/>
      <c r="Z109" s="36"/>
      <c r="AA109" s="48"/>
      <c r="AB109" s="48"/>
      <c r="AC109" s="36"/>
      <c r="AD109" s="36"/>
      <c r="AE109" s="228"/>
      <c r="AF109" s="36"/>
      <c r="AG109" s="36"/>
      <c r="AH109" s="36"/>
      <c r="AI109" s="500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2"/>
      <c r="BE109" s="50"/>
      <c r="BF109" s="50"/>
      <c r="BG109" s="50"/>
      <c r="BH109" s="50"/>
    </row>
    <row r="110" spans="1:60" ht="12.75" customHeight="1">
      <c r="A110" s="39">
        <v>46043</v>
      </c>
      <c r="B110" s="40" t="s">
        <v>447</v>
      </c>
      <c r="C110" s="412">
        <f t="shared" ref="C110:C112" si="176">(M110*E110*O110*Q110)/100000000</f>
        <v>30.612381696</v>
      </c>
      <c r="D110" s="40" t="s">
        <v>302</v>
      </c>
      <c r="E110" s="41">
        <v>13</v>
      </c>
      <c r="F110" s="41">
        <v>1</v>
      </c>
      <c r="G110" s="497">
        <v>1230</v>
      </c>
      <c r="H110" s="43">
        <f>+N110</f>
        <v>0.24</v>
      </c>
      <c r="I110" s="44">
        <v>0.88</v>
      </c>
      <c r="J110" s="81">
        <f t="shared" ref="J110:J112" si="177">E110*G110*(1-H110)*1440/1000000*2.74</f>
        <v>47.948509440000002</v>
      </c>
      <c r="K110" s="81">
        <f t="shared" ref="K110:K112" si="178">(IF(G110&lt;L110,L110,G110)*(1-IF(H110&lt;N110,H110,N110))*E110*O110*Q110)/100000000</f>
        <v>30.612381696</v>
      </c>
      <c r="L110" s="34">
        <v>1230</v>
      </c>
      <c r="M110" s="34">
        <v>934.8</v>
      </c>
      <c r="N110" s="45">
        <f t="shared" ref="N110:N112" si="179">1-(M110/L110)</f>
        <v>0.24</v>
      </c>
      <c r="O110" s="46">
        <f>+'Trim Rwd'!H63</f>
        <v>256</v>
      </c>
      <c r="P110" s="47">
        <f t="shared" ref="P110:P112" si="180">O110*(Q110-R110-S110)</f>
        <v>241664</v>
      </c>
      <c r="Q110" s="46">
        <v>984</v>
      </c>
      <c r="R110" s="498">
        <v>0</v>
      </c>
      <c r="S110" s="498">
        <v>40</v>
      </c>
      <c r="T110" s="36">
        <f t="shared" ref="T110:T112" si="181">E110*M110*O110*Q110/100000000</f>
        <v>30.612381696</v>
      </c>
      <c r="U110" s="36">
        <f t="shared" ref="U110:U112" si="182">E110*M110*O110*(Q110-R110-S110)/100000000</f>
        <v>29.367975936000001</v>
      </c>
      <c r="V110" s="36">
        <f t="shared" ref="V110:V112" si="183">E110*G110*(1-N110)*O110/100*(R110+S110)/1000000</f>
        <v>1.24440576</v>
      </c>
      <c r="W110" s="36">
        <f>+'21'!K12/1000</f>
        <v>31.542000000000002</v>
      </c>
      <c r="X110" s="499">
        <f>SUM(W110:W113)/SUM(K110:K113)</f>
        <v>0.91274433956464951</v>
      </c>
      <c r="Y110" s="210">
        <v>0</v>
      </c>
      <c r="Z110" s="36">
        <v>0</v>
      </c>
      <c r="AA110" s="48">
        <f>SUM(U110:U113)-SUM(W110:W113)-SUM(Z110:Z113)-SUM(Y110:Y113)</f>
        <v>1.5775013999999956</v>
      </c>
      <c r="AB110" s="48">
        <f>(SUM(K110:K113)-SUM(W110:W113)-SUM(Y110:Y113)-SUM(Z110:Z113)-SUM(AC110:AC113)-SUM(V110:V113))-AA110</f>
        <v>5.4340608000002177E-2</v>
      </c>
      <c r="AC110" s="36">
        <f>K110-T110</f>
        <v>0</v>
      </c>
      <c r="AD110" s="36">
        <f>+AM110+BC110</f>
        <v>18</v>
      </c>
      <c r="AE110" s="228" t="s">
        <v>429</v>
      </c>
      <c r="AF110" s="36">
        <v>18</v>
      </c>
      <c r="AG110" s="36"/>
      <c r="AH110" s="36"/>
      <c r="AI110" s="500"/>
      <c r="AJ110" s="36"/>
      <c r="AK110" s="36"/>
      <c r="AL110" s="36"/>
      <c r="AM110" s="36">
        <f t="shared" ref="AM110:AM112" si="184">SUM(AF110:AL110)+AT110+AV110+AX110</f>
        <v>18</v>
      </c>
      <c r="AN110" s="36"/>
      <c r="AO110" s="36"/>
      <c r="AP110" s="36"/>
      <c r="AQ110" s="36"/>
      <c r="AR110" s="36">
        <f>SUM(AN110:AQ110)</f>
        <v>0</v>
      </c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>
        <f>+AR110+AS110+AU110+AW110+AY110+BB110</f>
        <v>0</v>
      </c>
      <c r="BD110" s="32">
        <v>6</v>
      </c>
      <c r="BE110" s="50"/>
      <c r="BF110" s="50"/>
      <c r="BG110" s="32"/>
      <c r="BH110" s="50"/>
    </row>
    <row r="111" spans="1:60" ht="12.95" customHeight="1">
      <c r="A111" s="39"/>
      <c r="B111" s="40" t="s">
        <v>447</v>
      </c>
      <c r="C111" s="412">
        <f t="shared" si="176"/>
        <v>11.301619823999999</v>
      </c>
      <c r="D111" s="40" t="s">
        <v>302</v>
      </c>
      <c r="E111" s="41">
        <v>11</v>
      </c>
      <c r="F111" s="41">
        <v>1</v>
      </c>
      <c r="G111" s="497">
        <v>1230</v>
      </c>
      <c r="H111" s="43">
        <f t="shared" ref="H111:H112" si="185">+N111</f>
        <v>0.24</v>
      </c>
      <c r="I111" s="44">
        <v>0.88</v>
      </c>
      <c r="J111" s="81">
        <f t="shared" si="177"/>
        <v>40.571815679999993</v>
      </c>
      <c r="K111" s="81">
        <f t="shared" si="178"/>
        <v>11.301619823999999</v>
      </c>
      <c r="L111" s="34">
        <v>1230</v>
      </c>
      <c r="M111" s="34">
        <v>934.8</v>
      </c>
      <c r="N111" s="45">
        <f t="shared" si="179"/>
        <v>0.24</v>
      </c>
      <c r="O111" s="46">
        <f>+'Trim Rwd'!H64</f>
        <v>258</v>
      </c>
      <c r="P111" s="47">
        <f t="shared" si="180"/>
        <v>103458</v>
      </c>
      <c r="Q111" s="46">
        <v>426</v>
      </c>
      <c r="R111" s="498">
        <v>0</v>
      </c>
      <c r="S111" s="498">
        <v>25</v>
      </c>
      <c r="T111" s="36">
        <f t="shared" si="181"/>
        <v>11.301619823999999</v>
      </c>
      <c r="U111" s="36">
        <f t="shared" si="182"/>
        <v>10.638379223999999</v>
      </c>
      <c r="V111" s="36">
        <f t="shared" si="183"/>
        <v>0.66324059999999996</v>
      </c>
      <c r="W111" s="36">
        <f>+'21'!K14/1000</f>
        <v>7.6680000000000001</v>
      </c>
      <c r="X111" s="37"/>
      <c r="Y111" s="210"/>
      <c r="Z111" s="36"/>
      <c r="AA111" s="36"/>
      <c r="AB111" s="36"/>
      <c r="AC111" s="36">
        <f>K111-T111</f>
        <v>0</v>
      </c>
      <c r="AD111" s="36">
        <f>+AM111+BC111</f>
        <v>9</v>
      </c>
      <c r="AE111" s="228" t="s">
        <v>514</v>
      </c>
      <c r="AF111" s="36"/>
      <c r="AG111" s="36">
        <v>9</v>
      </c>
      <c r="AH111" s="36"/>
      <c r="AI111" s="500"/>
      <c r="AJ111" s="36"/>
      <c r="AK111" s="36"/>
      <c r="AL111" s="36"/>
      <c r="AM111" s="36">
        <f t="shared" si="184"/>
        <v>9</v>
      </c>
      <c r="AN111" s="82"/>
      <c r="AO111" s="36"/>
      <c r="AP111" s="36"/>
      <c r="AQ111" s="36"/>
      <c r="AR111" s="36">
        <f t="shared" ref="AR111:AR112" si="186">SUM(AN111:AQ111)</f>
        <v>0</v>
      </c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>
        <f>+AR111+AS111+AU111+AW111+AY111+BB111</f>
        <v>0</v>
      </c>
      <c r="BD111" s="49"/>
      <c r="BE111" s="50">
        <v>5</v>
      </c>
      <c r="BF111" s="50"/>
      <c r="BG111" s="49"/>
      <c r="BH111" s="50"/>
    </row>
    <row r="112" spans="1:60" ht="12.95" customHeight="1">
      <c r="A112" s="39"/>
      <c r="B112" s="40" t="s">
        <v>447</v>
      </c>
      <c r="C112" s="412">
        <f t="shared" si="176"/>
        <v>0.97643279999999999</v>
      </c>
      <c r="D112" s="40" t="s">
        <v>302</v>
      </c>
      <c r="E112" s="41">
        <v>14</v>
      </c>
      <c r="F112" s="41">
        <v>1</v>
      </c>
      <c r="G112" s="497">
        <v>1230</v>
      </c>
      <c r="H112" s="43">
        <f t="shared" si="185"/>
        <v>0.24</v>
      </c>
      <c r="I112" s="44">
        <v>0.88</v>
      </c>
      <c r="J112" s="81">
        <f t="shared" si="177"/>
        <v>51.636856320000007</v>
      </c>
      <c r="K112" s="81">
        <f t="shared" si="178"/>
        <v>1.0443585599999998</v>
      </c>
      <c r="L112" s="34">
        <v>1150</v>
      </c>
      <c r="M112" s="34">
        <v>874</v>
      </c>
      <c r="N112" s="45">
        <f t="shared" si="179"/>
        <v>0.24</v>
      </c>
      <c r="O112" s="46">
        <f>+'Trim Rwd'!H65</f>
        <v>266</v>
      </c>
      <c r="P112" s="47">
        <f t="shared" si="180"/>
        <v>6384</v>
      </c>
      <c r="Q112" s="46">
        <v>30</v>
      </c>
      <c r="R112" s="498">
        <v>0</v>
      </c>
      <c r="S112" s="498">
        <f>71-S110-S111</f>
        <v>6</v>
      </c>
      <c r="T112" s="36">
        <f t="shared" si="181"/>
        <v>0.97643279999999999</v>
      </c>
      <c r="U112" s="36">
        <f t="shared" si="182"/>
        <v>0.78114623999999999</v>
      </c>
      <c r="V112" s="36">
        <f t="shared" si="183"/>
        <v>0.20887171200000001</v>
      </c>
      <c r="W112" s="36">
        <f>+'20'!K16/1000</f>
        <v>0</v>
      </c>
      <c r="X112" s="37"/>
      <c r="Y112" s="210"/>
      <c r="Z112" s="36"/>
      <c r="AA112" s="36"/>
      <c r="AB112" s="36"/>
      <c r="AC112" s="36"/>
      <c r="AD112" s="36">
        <f>+AM112+BC112</f>
        <v>44</v>
      </c>
      <c r="AE112" s="228" t="s">
        <v>612</v>
      </c>
      <c r="AF112" s="32"/>
      <c r="AG112" s="32"/>
      <c r="AH112" s="32">
        <v>44</v>
      </c>
      <c r="AJ112" s="36"/>
      <c r="AK112" s="36"/>
      <c r="AL112" s="36"/>
      <c r="AM112" s="36">
        <f t="shared" si="184"/>
        <v>44</v>
      </c>
      <c r="AN112" s="36"/>
      <c r="AO112" s="36"/>
      <c r="AP112" s="36"/>
      <c r="AQ112" s="36"/>
      <c r="AR112" s="36">
        <f t="shared" si="186"/>
        <v>0</v>
      </c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>
        <f>+AR112+AS112+AU112+AW112+AY112+BB112</f>
        <v>0</v>
      </c>
      <c r="BD112" s="32"/>
      <c r="BE112" s="501"/>
      <c r="BF112" s="501"/>
      <c r="BG112" s="32"/>
      <c r="BH112" s="501"/>
    </row>
    <row r="113" spans="1:60" ht="12.95" customHeight="1">
      <c r="A113" s="39"/>
      <c r="B113" s="40"/>
      <c r="C113" s="412"/>
      <c r="D113" s="40"/>
      <c r="E113" s="41"/>
      <c r="F113" s="41"/>
      <c r="G113" s="497"/>
      <c r="H113" s="43"/>
      <c r="I113" s="44"/>
      <c r="J113" s="81"/>
      <c r="K113" s="81"/>
      <c r="L113" s="34"/>
      <c r="M113" s="34"/>
      <c r="N113" s="45"/>
      <c r="O113" s="46"/>
      <c r="P113" s="47"/>
      <c r="Q113" s="46"/>
      <c r="R113" s="498"/>
      <c r="S113" s="498"/>
      <c r="T113" s="36"/>
      <c r="U113" s="36"/>
      <c r="V113" s="36"/>
      <c r="W113" s="36"/>
      <c r="X113" s="37"/>
      <c r="Y113" s="210"/>
      <c r="Z113" s="36"/>
      <c r="AA113" s="36"/>
      <c r="AB113" s="36"/>
      <c r="AC113" s="36"/>
      <c r="AD113" s="36"/>
      <c r="AE113" s="228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2"/>
      <c r="BE113" s="50"/>
      <c r="BF113" s="50"/>
      <c r="BG113" s="50"/>
      <c r="BH113" s="50"/>
    </row>
    <row r="114" spans="1:60" ht="12.75" customHeight="1">
      <c r="A114" s="39">
        <v>46044</v>
      </c>
      <c r="B114" s="40" t="s">
        <v>447</v>
      </c>
      <c r="C114" s="412">
        <f t="shared" ref="C114:C115" si="187">(M114*E114*O114*Q114)/100000000</f>
        <v>5.2076415999999996</v>
      </c>
      <c r="D114" s="40" t="s">
        <v>302</v>
      </c>
      <c r="E114" s="41">
        <v>14</v>
      </c>
      <c r="F114" s="41">
        <v>1</v>
      </c>
      <c r="G114" s="497">
        <v>1230</v>
      </c>
      <c r="H114" s="43">
        <f t="shared" ref="H114" si="188">+N114</f>
        <v>0.24</v>
      </c>
      <c r="I114" s="44">
        <v>0.88</v>
      </c>
      <c r="J114" s="81">
        <f t="shared" ref="J114:J115" si="189">E114*G114*(1-H114)*1440/1000000*2.74</f>
        <v>51.636856320000007</v>
      </c>
      <c r="K114" s="81">
        <f t="shared" ref="K114:K115" si="190">(IF(G114&lt;L114,L114,G114)*(1-IF(H114&lt;N114,H114,N114))*E114*O114*Q114)/100000000</f>
        <v>5.5699123200000002</v>
      </c>
      <c r="L114" s="34">
        <v>1150</v>
      </c>
      <c r="M114" s="34">
        <f>+L114-L114*0.24</f>
        <v>874</v>
      </c>
      <c r="N114" s="45">
        <f t="shared" ref="N114:N115" si="191">1-(M114/L114)</f>
        <v>0.24</v>
      </c>
      <c r="O114" s="46">
        <f>+'Trim Rwd'!H68</f>
        <v>266</v>
      </c>
      <c r="P114" s="47">
        <f t="shared" ref="P114:P115" si="192">O114*(Q114-R114-S114)</f>
        <v>40166</v>
      </c>
      <c r="Q114" s="46">
        <v>160</v>
      </c>
      <c r="R114" s="498">
        <v>0</v>
      </c>
      <c r="S114" s="498">
        <v>9</v>
      </c>
      <c r="T114" s="36">
        <f t="shared" ref="T114:T115" si="193">E114*M114*O114*Q114/100000000</f>
        <v>5.2076415999999996</v>
      </c>
      <c r="U114" s="36">
        <f t="shared" ref="U114:U115" si="194">E114*M114*O114*(Q114-R114-S114)/100000000</f>
        <v>4.9147117600000003</v>
      </c>
      <c r="V114" s="36">
        <f t="shared" ref="V114:V115" si="195">E114*G114*(1-N114)*O114/100*(R114+S114)/1000000</f>
        <v>0.31330756800000004</v>
      </c>
      <c r="W114" s="36">
        <f>+'22'!K11/1000</f>
        <v>5.0919999999999996</v>
      </c>
      <c r="X114" s="499">
        <f>SUM(W114:W117)/SUM(K114:K117)</f>
        <v>0.93140347880387475</v>
      </c>
      <c r="Y114" s="210">
        <v>0</v>
      </c>
      <c r="Z114" s="36">
        <v>0</v>
      </c>
      <c r="AA114" s="48">
        <f>SUM(U114:U117)-SUM(W114:W117)-SUM(Z114:Z117)-SUM(Y114:Y117)</f>
        <v>0.59860599999999664</v>
      </c>
      <c r="AB114" s="48">
        <f>(SUM(K114:K117)-SUM(W114:W117)-SUM(Y114:Y117)-SUM(Z114:Z117)-SUM(AC114:AC117)-SUM(V114:V117))-AA114</f>
        <v>-2.0377728000001483E-2</v>
      </c>
      <c r="AC114" s="36">
        <f>K114-T114</f>
        <v>0.3622707200000006</v>
      </c>
      <c r="AD114" s="36">
        <f>+AM114+BC114</f>
        <v>38</v>
      </c>
      <c r="AE114" s="228" t="s">
        <v>552</v>
      </c>
      <c r="AF114" s="36">
        <v>38</v>
      </c>
      <c r="AG114" s="36"/>
      <c r="AH114" s="36"/>
      <c r="AI114" s="500"/>
      <c r="AJ114" s="36"/>
      <c r="AK114" s="36"/>
      <c r="AL114" s="36"/>
      <c r="AM114" s="36">
        <f t="shared" ref="AM114:AM116" si="196">SUM(AF114:AL114)+AT114+AV114+AX114</f>
        <v>38</v>
      </c>
      <c r="AN114" s="36"/>
      <c r="AO114" s="36"/>
      <c r="AP114" s="36"/>
      <c r="AQ114" s="36"/>
      <c r="AR114" s="36">
        <f>SUM(AN114:AQ114)</f>
        <v>0</v>
      </c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>
        <f>+AR114+AS114+AU114+AW114+AY114+BB114</f>
        <v>0</v>
      </c>
      <c r="BD114" s="32">
        <v>8</v>
      </c>
      <c r="BE114" s="50"/>
      <c r="BF114" s="50"/>
      <c r="BG114" s="32"/>
      <c r="BH114" s="50"/>
    </row>
    <row r="115" spans="1:60" ht="12.95" customHeight="1">
      <c r="A115" s="39"/>
      <c r="B115" s="40" t="s">
        <v>410</v>
      </c>
      <c r="C115" s="412">
        <f t="shared" si="187"/>
        <v>40.132085759999995</v>
      </c>
      <c r="D115" s="40" t="s">
        <v>302</v>
      </c>
      <c r="E115" s="41">
        <v>13</v>
      </c>
      <c r="F115" s="41">
        <v>1</v>
      </c>
      <c r="G115" s="574">
        <f>+L115</f>
        <v>1230</v>
      </c>
      <c r="H115" s="575">
        <f>+N115</f>
        <v>0.24</v>
      </c>
      <c r="I115" s="44">
        <v>0.88</v>
      </c>
      <c r="J115" s="81">
        <f t="shared" si="189"/>
        <v>47.948509440000002</v>
      </c>
      <c r="K115" s="81">
        <f t="shared" si="190"/>
        <v>40.132085759999995</v>
      </c>
      <c r="L115" s="34">
        <v>1230</v>
      </c>
      <c r="M115" s="34">
        <f>+L115-L115*0.24</f>
        <v>934.8</v>
      </c>
      <c r="N115" s="45">
        <f t="shared" si="191"/>
        <v>0.24</v>
      </c>
      <c r="O115" s="46">
        <f>+'Trim Rwd'!H69</f>
        <v>258</v>
      </c>
      <c r="P115" s="47">
        <f t="shared" si="192"/>
        <v>314760</v>
      </c>
      <c r="Q115" s="46">
        <v>1280</v>
      </c>
      <c r="R115" s="498">
        <v>0</v>
      </c>
      <c r="S115" s="498">
        <v>60</v>
      </c>
      <c r="T115" s="36">
        <f t="shared" si="193"/>
        <v>40.132085759999995</v>
      </c>
      <c r="U115" s="36">
        <f t="shared" si="194"/>
        <v>38.250894239999994</v>
      </c>
      <c r="V115" s="36">
        <f t="shared" si="195"/>
        <v>1.8811915199999998</v>
      </c>
      <c r="W115" s="36">
        <f>+'22'!K7/1000</f>
        <v>34.83</v>
      </c>
      <c r="X115" s="37"/>
      <c r="Y115" s="210"/>
      <c r="Z115" s="36"/>
      <c r="AA115" s="36"/>
      <c r="AB115" s="36"/>
      <c r="AC115" s="36">
        <f>K115-T115</f>
        <v>0</v>
      </c>
      <c r="AD115" s="36">
        <f>+AM115+BC115</f>
        <v>0</v>
      </c>
      <c r="AE115" s="228" t="s">
        <v>427</v>
      </c>
      <c r="AF115" s="36"/>
      <c r="AG115" s="36">
        <v>0</v>
      </c>
      <c r="AH115" s="36"/>
      <c r="AI115" s="500"/>
      <c r="AJ115" s="36"/>
      <c r="AK115" s="36"/>
      <c r="AL115" s="36"/>
      <c r="AM115" s="36">
        <f t="shared" si="196"/>
        <v>0</v>
      </c>
      <c r="AN115" s="82"/>
      <c r="AO115" s="36"/>
      <c r="AP115" s="36"/>
      <c r="AQ115" s="36"/>
      <c r="AR115" s="36">
        <f t="shared" ref="AR115:AR116" si="197">SUM(AN115:AQ115)</f>
        <v>0</v>
      </c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>
        <f>+AR115+AS115+AU115+AW115+AY115+BB115</f>
        <v>0</v>
      </c>
      <c r="BD115" s="49"/>
      <c r="BE115" s="50">
        <v>0</v>
      </c>
      <c r="BF115" s="50"/>
      <c r="BG115" s="49"/>
      <c r="BH115" s="50"/>
    </row>
    <row r="116" spans="1:60" ht="12.95" customHeight="1">
      <c r="A116" s="39"/>
      <c r="B116" s="40" t="s">
        <v>447</v>
      </c>
      <c r="C116" s="412"/>
      <c r="D116" s="40"/>
      <c r="E116" s="41">
        <v>11</v>
      </c>
      <c r="F116" s="41"/>
      <c r="G116" s="497"/>
      <c r="H116" s="43"/>
      <c r="I116" s="44"/>
      <c r="J116" s="81"/>
      <c r="K116" s="81"/>
      <c r="L116" s="34"/>
      <c r="M116" s="34"/>
      <c r="N116" s="45"/>
      <c r="O116" s="46"/>
      <c r="P116" s="47"/>
      <c r="Q116" s="46"/>
      <c r="R116" s="498"/>
      <c r="S116" s="498"/>
      <c r="T116" s="36"/>
      <c r="U116" s="36"/>
      <c r="V116" s="36"/>
      <c r="W116" s="36">
        <f>+'22'!K14/1000</f>
        <v>2.645</v>
      </c>
      <c r="X116" s="37"/>
      <c r="Y116" s="210"/>
      <c r="Z116" s="36"/>
      <c r="AA116" s="36"/>
      <c r="AB116" s="36"/>
      <c r="AC116" s="36">
        <f>K116-T116</f>
        <v>0</v>
      </c>
      <c r="AD116" s="36">
        <f>+AM116+BC116</f>
        <v>31</v>
      </c>
      <c r="AE116" s="228" t="s">
        <v>481</v>
      </c>
      <c r="AF116" s="32"/>
      <c r="AG116" s="32"/>
      <c r="AH116" s="32">
        <v>31</v>
      </c>
      <c r="AJ116" s="36"/>
      <c r="AK116" s="36"/>
      <c r="AL116" s="36"/>
      <c r="AM116" s="36">
        <f t="shared" si="196"/>
        <v>31</v>
      </c>
      <c r="AN116" s="36"/>
      <c r="AO116" s="36"/>
      <c r="AP116" s="36"/>
      <c r="AQ116" s="36"/>
      <c r="AR116" s="36">
        <f t="shared" si="197"/>
        <v>0</v>
      </c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>
        <f>+AR116+AS116+AU116+AW116+AY116+BB116</f>
        <v>0</v>
      </c>
      <c r="BD116" s="32"/>
      <c r="BE116" s="501"/>
      <c r="BF116" s="501"/>
      <c r="BG116" s="32"/>
      <c r="BH116" s="501"/>
    </row>
    <row r="117" spans="1:60" ht="12.95" customHeight="1">
      <c r="A117" s="39"/>
      <c r="B117" s="40"/>
      <c r="C117" s="412"/>
      <c r="D117" s="40"/>
      <c r="E117" s="41"/>
      <c r="F117" s="41"/>
      <c r="G117" s="497"/>
      <c r="H117" s="43"/>
      <c r="I117" s="44"/>
      <c r="J117" s="81"/>
      <c r="K117" s="81"/>
      <c r="L117" s="34"/>
      <c r="M117" s="34"/>
      <c r="N117" s="45"/>
      <c r="O117" s="46"/>
      <c r="P117" s="47"/>
      <c r="Q117" s="46"/>
      <c r="R117" s="498"/>
      <c r="S117" s="498"/>
      <c r="T117" s="36"/>
      <c r="U117" s="36"/>
      <c r="V117" s="36"/>
      <c r="W117" s="36"/>
      <c r="X117" s="37"/>
      <c r="Y117" s="210"/>
      <c r="Z117" s="36"/>
      <c r="AA117" s="36"/>
      <c r="AB117" s="36"/>
      <c r="AC117" s="36"/>
      <c r="AD117" s="36"/>
      <c r="AE117" s="228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2"/>
      <c r="BE117" s="50"/>
      <c r="BF117" s="50"/>
      <c r="BG117" s="50"/>
      <c r="BH117" s="50"/>
    </row>
    <row r="118" spans="1:60" ht="12.75" customHeight="1">
      <c r="A118" s="39">
        <v>46045</v>
      </c>
      <c r="B118" s="40" t="s">
        <v>410</v>
      </c>
      <c r="C118" s="412">
        <f t="shared" ref="C118" si="198">(M118*E118*O118*Q118)/100000000</f>
        <v>38.250894240000001</v>
      </c>
      <c r="D118" s="40" t="s">
        <v>302</v>
      </c>
      <c r="E118" s="41">
        <v>13</v>
      </c>
      <c r="F118" s="41">
        <v>1</v>
      </c>
      <c r="G118" s="574">
        <f>+L118</f>
        <v>1042.0833333333333</v>
      </c>
      <c r="H118" s="575">
        <f>+N118</f>
        <v>0.23999999999999988</v>
      </c>
      <c r="I118" s="44">
        <v>0.88</v>
      </c>
      <c r="J118" s="81">
        <f t="shared" ref="J118" si="199">E118*G118*(1-H118)*1440/1000000*2.74</f>
        <v>40.623042720000008</v>
      </c>
      <c r="K118" s="81">
        <f t="shared" ref="K118" si="200">(IF(G118&lt;L118,L118,G118)*(1-IF(H118&lt;N118,H118,N118))*E118*O118*Q118)/100000000</f>
        <v>38.250894240000001</v>
      </c>
      <c r="L118" s="34">
        <v>1042.0833333333333</v>
      </c>
      <c r="M118" s="34">
        <v>791.98333333333335</v>
      </c>
      <c r="N118" s="45">
        <f t="shared" ref="N118" si="201">1-(M118/L118)</f>
        <v>0.23999999999999988</v>
      </c>
      <c r="O118" s="46">
        <f>+'Trim Rwd'!H71</f>
        <v>258</v>
      </c>
      <c r="P118" s="47">
        <f t="shared" ref="P118" si="202">O118*(Q118-R118-S118)</f>
        <v>356040</v>
      </c>
      <c r="Q118" s="46">
        <v>1440</v>
      </c>
      <c r="R118" s="498">
        <v>0</v>
      </c>
      <c r="S118" s="498">
        <f>280-220</f>
        <v>60</v>
      </c>
      <c r="T118" s="36">
        <f t="shared" ref="T118" si="203">E118*M118*O118*Q118/100000000</f>
        <v>38.250894240000001</v>
      </c>
      <c r="U118" s="36">
        <f t="shared" ref="U118" si="204">E118*M118*O118*(Q118-R118-S118)/100000000</f>
        <v>36.657106980000002</v>
      </c>
      <c r="V118" s="36">
        <f t="shared" ref="V118" si="205">E118*G118*(1-N118)*O118/100*(R118+S118)/1000000</f>
        <v>1.5937872600000005</v>
      </c>
      <c r="W118" s="36">
        <f>+'23'!K7/1000</f>
        <v>36.118000000000002</v>
      </c>
      <c r="X118" s="499">
        <f>SUM(W118:W122)/SUM(K118:K122)</f>
        <v>0.94423936270306663</v>
      </c>
      <c r="Y118" s="210">
        <v>0</v>
      </c>
      <c r="Z118" s="36">
        <f>+'23'!D16/1000</f>
        <v>0.28499999999999998</v>
      </c>
      <c r="AA118" s="48">
        <f>SUM(U118:U122)-SUM(W118:W122)-SUM(Z118:Z122)-SUM(Y118:Y122)</f>
        <v>0.2541069799999997</v>
      </c>
      <c r="AB118" s="48">
        <f>(SUM(K118:K122)-SUM(W118:W122)-SUM(Y118:Y122)-SUM(Z118:Z122)-SUM(AC118:AC122)-SUM(V118:V122))-AA118</f>
        <v>-1.27675647831893E-15</v>
      </c>
      <c r="AC118" s="36">
        <f>K118-T118</f>
        <v>0</v>
      </c>
      <c r="AD118" s="36">
        <f>+AM118+BC118</f>
        <v>24</v>
      </c>
      <c r="AE118" s="228" t="s">
        <v>464</v>
      </c>
      <c r="AF118" s="36">
        <v>24</v>
      </c>
      <c r="AG118" s="36"/>
      <c r="AH118" s="36"/>
      <c r="AI118" s="36"/>
      <c r="AJ118" s="36"/>
      <c r="AK118" s="36"/>
      <c r="AL118" s="36"/>
      <c r="AM118" s="36">
        <f t="shared" ref="AM118:AM120" si="206">SUM(AF118:AL118)+AT118+AV118+AX118</f>
        <v>24</v>
      </c>
      <c r="AN118" s="36"/>
      <c r="AO118" s="36"/>
      <c r="AP118" s="36"/>
      <c r="AQ118" s="36"/>
      <c r="AR118" s="36">
        <f>SUM(AN118:AQ118)</f>
        <v>0</v>
      </c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>
        <f>+AR118+AS118+AU118+AW118+AY118+BB118</f>
        <v>0</v>
      </c>
      <c r="BD118" s="32">
        <v>9</v>
      </c>
      <c r="BE118" s="50"/>
      <c r="BF118" s="50"/>
      <c r="BG118" s="32"/>
      <c r="BH118" s="50"/>
    </row>
    <row r="119" spans="1:60" ht="12.95" customHeight="1">
      <c r="A119" s="39"/>
      <c r="B119" s="40"/>
      <c r="C119" s="412"/>
      <c r="D119" s="40"/>
      <c r="E119" s="41"/>
      <c r="F119" s="41"/>
      <c r="G119" s="497"/>
      <c r="H119" s="43"/>
      <c r="I119" s="44"/>
      <c r="J119" s="81"/>
      <c r="K119" s="81"/>
      <c r="L119" s="34"/>
      <c r="M119" s="34"/>
      <c r="N119" s="45"/>
      <c r="O119" s="46"/>
      <c r="P119" s="47"/>
      <c r="Q119" s="46"/>
      <c r="R119" s="498"/>
      <c r="S119" s="498"/>
      <c r="T119" s="36"/>
      <c r="U119" s="36"/>
      <c r="V119" s="36"/>
      <c r="W119" s="36"/>
      <c r="X119" s="37"/>
      <c r="Y119" s="210"/>
      <c r="Z119" s="36"/>
      <c r="AA119" s="36"/>
      <c r="AB119" s="36"/>
      <c r="AC119" s="36">
        <f>K119-T119</f>
        <v>0</v>
      </c>
      <c r="AD119" s="36">
        <f>+AM119+BC119</f>
        <v>0</v>
      </c>
      <c r="AE119" s="228" t="s">
        <v>427</v>
      </c>
      <c r="AF119" s="36"/>
      <c r="AG119" s="36">
        <v>0</v>
      </c>
      <c r="AH119" s="36"/>
      <c r="AI119" s="36"/>
      <c r="AJ119" s="36"/>
      <c r="AK119" s="36"/>
      <c r="AL119" s="36"/>
      <c r="AM119" s="36">
        <f t="shared" si="206"/>
        <v>0</v>
      </c>
      <c r="AN119" s="82"/>
      <c r="AO119" s="36"/>
      <c r="AP119" s="36"/>
      <c r="AQ119" s="36"/>
      <c r="AR119" s="36">
        <f t="shared" ref="AR119:AR120" si="207">SUM(AN119:AQ119)</f>
        <v>0</v>
      </c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>
        <f>+AR119+AS119+AU119+AW119+AY119+BB119</f>
        <v>0</v>
      </c>
      <c r="BD119" s="49"/>
      <c r="BE119" s="50">
        <v>0</v>
      </c>
      <c r="BF119" s="50"/>
      <c r="BG119" s="49"/>
      <c r="BH119" s="50"/>
    </row>
    <row r="120" spans="1:60" ht="12.95" customHeight="1">
      <c r="A120" s="39"/>
      <c r="B120" s="40"/>
      <c r="C120" s="412"/>
      <c r="D120" s="40"/>
      <c r="E120" s="41"/>
      <c r="F120" s="41"/>
      <c r="G120" s="42"/>
      <c r="H120" s="43"/>
      <c r="I120" s="44"/>
      <c r="J120" s="81"/>
      <c r="K120" s="81"/>
      <c r="L120" s="34"/>
      <c r="M120" s="34"/>
      <c r="N120" s="45"/>
      <c r="O120" s="46"/>
      <c r="P120" s="47"/>
      <c r="Q120" s="46"/>
      <c r="R120" s="498"/>
      <c r="S120" s="498"/>
      <c r="T120" s="36"/>
      <c r="U120" s="36"/>
      <c r="V120" s="36"/>
      <c r="W120" s="36"/>
      <c r="X120" s="37"/>
      <c r="Y120" s="210"/>
      <c r="Z120" s="36"/>
      <c r="AA120" s="36"/>
      <c r="AB120" s="36"/>
      <c r="AC120" s="36"/>
      <c r="AD120" s="36">
        <f>+AM120+BC120</f>
        <v>36</v>
      </c>
      <c r="AE120" s="228" t="s">
        <v>631</v>
      </c>
      <c r="AF120" s="32"/>
      <c r="AG120" s="32"/>
      <c r="AH120" s="32">
        <v>36</v>
      </c>
      <c r="AI120" s="36"/>
      <c r="AJ120" s="36"/>
      <c r="AK120" s="36"/>
      <c r="AL120" s="36"/>
      <c r="AM120" s="36">
        <f t="shared" si="206"/>
        <v>36</v>
      </c>
      <c r="AN120" s="36"/>
      <c r="AO120" s="36"/>
      <c r="AP120" s="36"/>
      <c r="AQ120" s="36"/>
      <c r="AR120" s="36">
        <f t="shared" si="207"/>
        <v>0</v>
      </c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>
        <f>+AR120+AS120+AU120+AW120+AY120+BB120</f>
        <v>0</v>
      </c>
      <c r="BD120" s="32"/>
      <c r="BE120" s="501"/>
      <c r="BF120" s="501"/>
      <c r="BG120" s="32"/>
      <c r="BH120" s="501"/>
    </row>
    <row r="121" spans="1:60" ht="12.95" customHeight="1">
      <c r="A121" s="39"/>
      <c r="B121" s="40"/>
      <c r="C121" s="412"/>
      <c r="D121" s="40"/>
      <c r="E121" s="41"/>
      <c r="F121" s="41"/>
      <c r="G121" s="42"/>
      <c r="H121" s="43"/>
      <c r="I121" s="44"/>
      <c r="J121" s="81"/>
      <c r="K121" s="81"/>
      <c r="L121" s="34"/>
      <c r="M121" s="34"/>
      <c r="N121" s="45"/>
      <c r="O121" s="46"/>
      <c r="P121" s="47"/>
      <c r="Q121" s="46"/>
      <c r="R121" s="498"/>
      <c r="S121" s="498"/>
      <c r="T121" s="36"/>
      <c r="U121" s="36"/>
      <c r="V121" s="36"/>
      <c r="W121" s="36"/>
      <c r="X121" s="37"/>
      <c r="Y121" s="210"/>
      <c r="Z121" s="36"/>
      <c r="AA121" s="36"/>
      <c r="AB121" s="36"/>
      <c r="AC121" s="36"/>
      <c r="AD121" s="36">
        <f t="shared" ref="AD121" si="208">+AM121+BC121</f>
        <v>0</v>
      </c>
      <c r="AE121" s="231" t="s">
        <v>519</v>
      </c>
      <c r="AF121" s="32"/>
      <c r="AG121" s="32"/>
      <c r="AH121" s="32"/>
      <c r="AI121" s="36"/>
      <c r="AJ121" s="36"/>
      <c r="AK121" s="36"/>
      <c r="AL121" s="36"/>
      <c r="AM121" s="36">
        <f>SUM(AF121:AL121)+AT121+AV121+AX121+AZ121</f>
        <v>0</v>
      </c>
      <c r="AN121" s="36"/>
      <c r="AO121" s="36"/>
      <c r="AP121" s="36"/>
      <c r="AQ121" s="36"/>
      <c r="AR121" s="36">
        <f t="shared" ref="AR121" si="209">SUM(AN121:AQ121)</f>
        <v>0</v>
      </c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>
        <f>+AR121+AS121+AU121+AW121+AY121+BB121+BA121</f>
        <v>0</v>
      </c>
      <c r="BD121" s="32"/>
      <c r="BE121" s="501"/>
      <c r="BF121" s="501"/>
      <c r="BG121" s="32"/>
      <c r="BH121" s="501"/>
    </row>
    <row r="122" spans="1:60" ht="12.95" customHeight="1">
      <c r="A122" s="39"/>
      <c r="B122" s="40"/>
      <c r="C122" s="412"/>
      <c r="D122" s="40"/>
      <c r="E122" s="41"/>
      <c r="F122" s="41"/>
      <c r="G122" s="42"/>
      <c r="H122" s="43"/>
      <c r="I122" s="44"/>
      <c r="J122" s="81"/>
      <c r="K122" s="81"/>
      <c r="L122" s="34"/>
      <c r="M122" s="34"/>
      <c r="N122" s="45"/>
      <c r="O122" s="46"/>
      <c r="P122" s="47"/>
      <c r="Q122" s="33"/>
      <c r="R122" s="498"/>
      <c r="S122" s="498"/>
      <c r="T122" s="36"/>
      <c r="U122" s="36"/>
      <c r="V122" s="36"/>
      <c r="W122" s="36"/>
      <c r="X122" s="37"/>
      <c r="Y122" s="210"/>
      <c r="Z122" s="36"/>
      <c r="AA122" s="36"/>
      <c r="AB122" s="36"/>
      <c r="AC122" s="36"/>
      <c r="AD122" s="36"/>
      <c r="AE122" s="231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49"/>
      <c r="BE122" s="50"/>
      <c r="BF122" s="50"/>
      <c r="BG122" s="50"/>
      <c r="BH122" s="50"/>
    </row>
    <row r="123" spans="1:60" ht="12.75" customHeight="1">
      <c r="A123" s="39">
        <v>46046</v>
      </c>
      <c r="B123" s="40" t="s">
        <v>410</v>
      </c>
      <c r="C123" s="412">
        <f t="shared" ref="C123" si="210">(M123*E123*O123*Q123)/100000000</f>
        <v>36.310310088000008</v>
      </c>
      <c r="D123" s="40" t="s">
        <v>302</v>
      </c>
      <c r="E123" s="41">
        <v>13</v>
      </c>
      <c r="F123" s="41">
        <v>1</v>
      </c>
      <c r="G123" s="574">
        <f>+L123</f>
        <v>989.21527777777783</v>
      </c>
      <c r="H123" s="575">
        <f>+N123</f>
        <v>0.24</v>
      </c>
      <c r="I123" s="44">
        <v>0.88</v>
      </c>
      <c r="J123" s="81">
        <f t="shared" ref="J123" si="211">E123*G123*(1-H123)*1440/1000000*2.74</f>
        <v>38.562112264</v>
      </c>
      <c r="K123" s="81">
        <f t="shared" ref="K123" si="212">(IF(G123&lt;L123,L123,G123)*(1-IF(H123&lt;N123,H123,N123))*E123*O123*Q123)/100000000</f>
        <v>36.310310088000008</v>
      </c>
      <c r="L123" s="34">
        <v>989.21527777777783</v>
      </c>
      <c r="M123" s="34">
        <v>751.80361111111119</v>
      </c>
      <c r="N123" s="45">
        <f t="shared" ref="N123" si="213">1-(M123/L123)</f>
        <v>0.24</v>
      </c>
      <c r="O123" s="46">
        <f>+'Trim Rwd'!H73</f>
        <v>258</v>
      </c>
      <c r="P123" s="47">
        <f t="shared" ref="P123" si="214">O123*(Q123-R123-S123)</f>
        <v>355266</v>
      </c>
      <c r="Q123" s="46">
        <v>1440</v>
      </c>
      <c r="R123" s="498">
        <v>0</v>
      </c>
      <c r="S123" s="498">
        <f>157-94</f>
        <v>63</v>
      </c>
      <c r="T123" s="36">
        <f t="shared" ref="T123" si="215">E123*M123*O123*Q123/100000000</f>
        <v>36.310310088000008</v>
      </c>
      <c r="U123" s="36">
        <f t="shared" ref="U123" si="216">E123*M123*O123*(Q123-R123-S123)/100000000</f>
        <v>34.721734021650008</v>
      </c>
      <c r="V123" s="36">
        <f t="shared" ref="V123" si="217">E123*G123*(1-N123)*O123/100*(R123+S123)/1000000</f>
        <v>1.5885760663499999</v>
      </c>
      <c r="W123" s="36">
        <f>+'24'!K7/1000</f>
        <v>33.08</v>
      </c>
      <c r="X123" s="499">
        <f>SUM(W123:W127)/SUM(K123:K127)</f>
        <v>0.91103600932707052</v>
      </c>
      <c r="Y123" s="210">
        <v>0</v>
      </c>
      <c r="Z123" s="36">
        <f>+'23'!D21/1000</f>
        <v>0</v>
      </c>
      <c r="AA123" s="48">
        <f>SUM(U123:U127)-SUM(W123:W127)-SUM(Z123:Z127)-SUM(Y123:Y127)</f>
        <v>1.6417340216500094</v>
      </c>
      <c r="AB123" s="48">
        <f>(SUM(K123:K127)-SUM(W123:W127)-SUM(Y123:Y127)-SUM(Z123:Z127)-SUM(AC123:AC127)-SUM(V123:V127))-AA123</f>
        <v>0</v>
      </c>
      <c r="AC123" s="36">
        <f>K123-T123</f>
        <v>0</v>
      </c>
      <c r="AD123" s="36">
        <f>+AM123+BC123</f>
        <v>12</v>
      </c>
      <c r="AE123" s="228" t="s">
        <v>429</v>
      </c>
      <c r="AF123" s="36">
        <v>12</v>
      </c>
      <c r="AG123" s="36"/>
      <c r="AH123" s="36"/>
      <c r="AI123" s="36"/>
      <c r="AJ123" s="36"/>
      <c r="AK123" s="36"/>
      <c r="AL123" s="36"/>
      <c r="AM123" s="36">
        <f t="shared" ref="AM123:AM125" si="218">SUM(AF123:AL123)+AT123+AV123+AX123</f>
        <v>12</v>
      </c>
      <c r="AN123" s="36"/>
      <c r="AO123" s="36"/>
      <c r="AP123" s="36"/>
      <c r="AQ123" s="36"/>
      <c r="AR123" s="36">
        <f>SUM(AN123:AQ123)</f>
        <v>0</v>
      </c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>
        <f>+AR123+AS123+AU123+AW123+AY123+BB123</f>
        <v>0</v>
      </c>
      <c r="BD123" s="32">
        <v>6</v>
      </c>
      <c r="BE123" s="50"/>
      <c r="BF123" s="50"/>
      <c r="BG123" s="32"/>
      <c r="BH123" s="50"/>
    </row>
    <row r="124" spans="1:60" ht="12.95" customHeight="1">
      <c r="A124" s="39"/>
      <c r="B124" s="40"/>
      <c r="C124" s="412"/>
      <c r="D124" s="40"/>
      <c r="E124" s="41"/>
      <c r="F124" s="41"/>
      <c r="G124" s="497"/>
      <c r="H124" s="43"/>
      <c r="I124" s="44"/>
      <c r="J124" s="81"/>
      <c r="K124" s="81"/>
      <c r="L124" s="34"/>
      <c r="M124" s="34"/>
      <c r="N124" s="45"/>
      <c r="O124" s="46"/>
      <c r="P124" s="47"/>
      <c r="Q124" s="46"/>
      <c r="R124" s="498"/>
      <c r="S124" s="498"/>
      <c r="T124" s="36"/>
      <c r="U124" s="36"/>
      <c r="V124" s="36"/>
      <c r="W124" s="36"/>
      <c r="X124" s="37"/>
      <c r="Y124" s="210"/>
      <c r="Z124" s="36"/>
      <c r="AA124" s="36"/>
      <c r="AB124" s="36"/>
      <c r="AC124" s="36">
        <f>K124-T124</f>
        <v>0</v>
      </c>
      <c r="AD124" s="36">
        <f>+AM124+BC124</f>
        <v>6</v>
      </c>
      <c r="AE124" s="228" t="s">
        <v>387</v>
      </c>
      <c r="AF124" s="36"/>
      <c r="AG124" s="36">
        <v>6</v>
      </c>
      <c r="AH124" s="36"/>
      <c r="AI124" s="36"/>
      <c r="AJ124" s="36"/>
      <c r="AK124" s="36"/>
      <c r="AL124" s="36"/>
      <c r="AM124" s="36">
        <f t="shared" si="218"/>
        <v>6</v>
      </c>
      <c r="AN124" s="82"/>
      <c r="AO124" s="36"/>
      <c r="AP124" s="36"/>
      <c r="AQ124" s="36"/>
      <c r="AR124" s="36">
        <f t="shared" ref="AR124:AR125" si="219">SUM(AN124:AQ124)</f>
        <v>0</v>
      </c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>
        <f>+AR124+AS124+AU124+AW124+AY124+BB124</f>
        <v>0</v>
      </c>
      <c r="BD124" s="49"/>
      <c r="BE124" s="50">
        <v>3</v>
      </c>
      <c r="BF124" s="50"/>
      <c r="BG124" s="49"/>
      <c r="BH124" s="50"/>
    </row>
    <row r="125" spans="1:60" ht="12" customHeight="1">
      <c r="A125" s="39"/>
      <c r="B125" s="40"/>
      <c r="C125" s="412"/>
      <c r="D125" s="40"/>
      <c r="E125" s="41"/>
      <c r="F125" s="41"/>
      <c r="G125" s="42"/>
      <c r="H125" s="43"/>
      <c r="I125" s="44"/>
      <c r="J125" s="81"/>
      <c r="K125" s="81"/>
      <c r="L125" s="34"/>
      <c r="M125" s="34"/>
      <c r="N125" s="45"/>
      <c r="O125" s="46"/>
      <c r="P125" s="47"/>
      <c r="Q125" s="46"/>
      <c r="R125" s="498"/>
      <c r="S125" s="498"/>
      <c r="T125" s="36"/>
      <c r="U125" s="36"/>
      <c r="V125" s="36"/>
      <c r="W125" s="36"/>
      <c r="X125" s="37"/>
      <c r="Y125" s="210"/>
      <c r="Z125" s="36"/>
      <c r="AA125" s="36"/>
      <c r="AB125" s="36"/>
      <c r="AC125" s="36"/>
      <c r="AD125" s="36">
        <f>+AM125+BC125</f>
        <v>45</v>
      </c>
      <c r="AE125" s="228" t="s">
        <v>413</v>
      </c>
      <c r="AF125" s="32"/>
      <c r="AG125" s="32"/>
      <c r="AH125" s="32">
        <v>45</v>
      </c>
      <c r="AI125" s="36"/>
      <c r="AJ125" s="36"/>
      <c r="AK125" s="36"/>
      <c r="AL125" s="36"/>
      <c r="AM125" s="36">
        <f t="shared" si="218"/>
        <v>45</v>
      </c>
      <c r="AN125" s="36"/>
      <c r="AO125" s="36"/>
      <c r="AP125" s="36"/>
      <c r="AQ125" s="36"/>
      <c r="AR125" s="36">
        <f t="shared" si="219"/>
        <v>0</v>
      </c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>
        <f>+AR125+AS125+AU125+AW125+AY125+BB125</f>
        <v>0</v>
      </c>
      <c r="BD125" s="32"/>
      <c r="BE125" s="501"/>
      <c r="BF125" s="501"/>
      <c r="BG125" s="32"/>
      <c r="BH125" s="501"/>
    </row>
    <row r="126" spans="1:60" ht="12.95" customHeight="1">
      <c r="A126" s="39"/>
      <c r="B126" s="40"/>
      <c r="C126" s="412"/>
      <c r="D126" s="40"/>
      <c r="E126" s="41"/>
      <c r="F126" s="41"/>
      <c r="G126" s="42"/>
      <c r="H126" s="43"/>
      <c r="I126" s="44"/>
      <c r="J126" s="81"/>
      <c r="K126" s="81"/>
      <c r="L126" s="34"/>
      <c r="M126" s="34"/>
      <c r="N126" s="45"/>
      <c r="O126" s="46"/>
      <c r="P126" s="47"/>
      <c r="Q126" s="46"/>
      <c r="R126" s="498"/>
      <c r="S126" s="498"/>
      <c r="T126" s="36"/>
      <c r="U126" s="36"/>
      <c r="V126" s="36"/>
      <c r="W126" s="36"/>
      <c r="X126" s="37"/>
      <c r="Y126" s="210"/>
      <c r="Z126" s="36"/>
      <c r="AA126" s="36"/>
      <c r="AB126" s="36"/>
      <c r="AC126" s="36"/>
      <c r="AD126" s="36">
        <f t="shared" ref="AD126" si="220">+AM126+BC126</f>
        <v>0</v>
      </c>
      <c r="AE126" s="231" t="s">
        <v>519</v>
      </c>
      <c r="AF126" s="32"/>
      <c r="AG126" s="32"/>
      <c r="AH126" s="32"/>
      <c r="AI126" s="36"/>
      <c r="AJ126" s="36"/>
      <c r="AK126" s="36"/>
      <c r="AL126" s="36"/>
      <c r="AM126" s="36">
        <f>SUM(AF126:AL126)+AT126+AV126+AX126+AZ126</f>
        <v>0</v>
      </c>
      <c r="AN126" s="36"/>
      <c r="AO126" s="36"/>
      <c r="AP126" s="36"/>
      <c r="AQ126" s="36"/>
      <c r="AR126" s="36">
        <f t="shared" ref="AR126" si="221">SUM(AN126:AQ126)</f>
        <v>0</v>
      </c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>
        <f>+AR126+AS126+AU126+AW126+AY126+BB126+BA126</f>
        <v>0</v>
      </c>
      <c r="BD126" s="32"/>
      <c r="BE126" s="501"/>
      <c r="BF126" s="501"/>
      <c r="BG126" s="32"/>
      <c r="BH126" s="501"/>
    </row>
    <row r="127" spans="1:60" ht="12.75" customHeight="1">
      <c r="A127" s="39"/>
      <c r="B127" s="40"/>
      <c r="C127" s="412"/>
      <c r="D127" s="40"/>
      <c r="E127" s="41"/>
      <c r="F127" s="41"/>
      <c r="G127" s="42"/>
      <c r="H127" s="43"/>
      <c r="I127" s="44"/>
      <c r="J127" s="81"/>
      <c r="K127" s="81"/>
      <c r="L127" s="34"/>
      <c r="M127" s="34"/>
      <c r="N127" s="45"/>
      <c r="O127" s="46"/>
      <c r="P127" s="47"/>
      <c r="Q127" s="46"/>
      <c r="R127" s="498"/>
      <c r="S127" s="498"/>
      <c r="T127" s="36"/>
      <c r="U127" s="36"/>
      <c r="V127" s="36"/>
      <c r="W127" s="36"/>
      <c r="X127" s="37"/>
      <c r="Y127" s="210"/>
      <c r="Z127" s="36"/>
      <c r="AA127" s="36"/>
      <c r="AB127" s="36"/>
      <c r="AC127" s="36"/>
      <c r="AD127" s="36"/>
      <c r="AE127" s="228"/>
      <c r="AF127" s="32"/>
      <c r="AG127" s="32"/>
      <c r="AH127" s="32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2"/>
      <c r="BE127" s="501"/>
      <c r="BF127" s="50"/>
      <c r="BG127" s="50"/>
      <c r="BH127" s="50"/>
    </row>
    <row r="128" spans="1:60" ht="12.75" customHeight="1">
      <c r="A128" s="39">
        <v>46047</v>
      </c>
      <c r="B128" s="40" t="s">
        <v>410</v>
      </c>
      <c r="C128" s="412">
        <f t="shared" ref="C128" si="222">(M128*E128*O128*Q128)/100000000</f>
        <v>40.970561482423292</v>
      </c>
      <c r="D128" s="40" t="s">
        <v>302</v>
      </c>
      <c r="E128" s="41">
        <v>13</v>
      </c>
      <c r="F128" s="41">
        <v>1</v>
      </c>
      <c r="G128" s="574">
        <f>+L128</f>
        <v>1116.1762391817467</v>
      </c>
      <c r="H128" s="575">
        <f>+N128</f>
        <v>0.24</v>
      </c>
      <c r="I128" s="44">
        <v>0.88</v>
      </c>
      <c r="J128" s="81">
        <f t="shared" ref="J128" si="223">E128*G128*(1-H128)*1440/1000000*2.74</f>
        <v>43.51137149683715</v>
      </c>
      <c r="K128" s="81">
        <f t="shared" ref="K128" si="224">(IF(G128&lt;L128,L128,G128)*(1-IF(H128&lt;N128,H128,N128))*E128*O128*Q128)/100000000</f>
        <v>40.970561482423292</v>
      </c>
      <c r="L128" s="34">
        <v>1116.1762391817467</v>
      </c>
      <c r="M128" s="34">
        <v>848.29394177812753</v>
      </c>
      <c r="N128" s="45">
        <f t="shared" ref="N128" si="225">1-(M128/L128)</f>
        <v>0.24</v>
      </c>
      <c r="O128" s="46">
        <f>+'Trim Rwd'!H75</f>
        <v>258</v>
      </c>
      <c r="P128" s="47">
        <f t="shared" ref="P128" si="226">O128*(Q128-R128-S128)</f>
        <v>313470</v>
      </c>
      <c r="Q128" s="46">
        <v>1440</v>
      </c>
      <c r="R128" s="498">
        <v>169</v>
      </c>
      <c r="S128" s="498">
        <f>173-117</f>
        <v>56</v>
      </c>
      <c r="T128" s="36">
        <f t="shared" ref="T128" si="227">E128*M128*O128*Q128/100000000</f>
        <v>40.970561482423292</v>
      </c>
      <c r="U128" s="36">
        <f t="shared" ref="U128" si="228">E128*M128*O128*(Q128-R128-S128)/100000000</f>
        <v>34.568911250794649</v>
      </c>
      <c r="V128" s="36">
        <f t="shared" ref="V128" si="229">E128*G128*(1-N128)*O128/100*(R128+S128)/1000000</f>
        <v>6.4016502316286399</v>
      </c>
      <c r="W128" s="36">
        <f>+'25'!K7/1000</f>
        <v>34.482999999999997</v>
      </c>
      <c r="X128" s="499">
        <f>SUM(W128:W132)/SUM(K128:K132)</f>
        <v>0.84165309803707444</v>
      </c>
      <c r="Y128" s="210">
        <v>0</v>
      </c>
      <c r="Z128" s="36">
        <f>+'23'!D25/1000</f>
        <v>0</v>
      </c>
      <c r="AA128" s="48">
        <f>SUM(U128:U132)-SUM(W128:W132)-SUM(Z128:Z132)-SUM(Y128:Y132)</f>
        <v>8.5911250794652005E-2</v>
      </c>
      <c r="AB128" s="48">
        <f>(SUM(K128:K132)-SUM(W128:W132)-SUM(Y128:Y132)-SUM(Z128:Z132)-SUM(AC128:AC132)-SUM(V128:V132))-AA128</f>
        <v>3.5527136788005009E-15</v>
      </c>
      <c r="AC128" s="36">
        <f>K128-T128</f>
        <v>0</v>
      </c>
      <c r="AD128" s="36">
        <f>+AM128+BC128</f>
        <v>10</v>
      </c>
      <c r="AE128" s="228" t="s">
        <v>653</v>
      </c>
      <c r="AF128" s="36">
        <v>10</v>
      </c>
      <c r="AG128" s="36"/>
      <c r="AH128" s="36"/>
      <c r="AI128" s="36"/>
      <c r="AJ128" s="36"/>
      <c r="AK128" s="36"/>
      <c r="AL128" s="36"/>
      <c r="AM128" s="36">
        <f t="shared" ref="AM128:AM130" si="230">SUM(AF128:AL128)+AT128+AV128+AX128</f>
        <v>10</v>
      </c>
      <c r="AN128" s="36"/>
      <c r="AO128" s="36"/>
      <c r="AP128" s="36"/>
      <c r="AQ128" s="36"/>
      <c r="AR128" s="36">
        <f>SUM(AN128:AQ128)</f>
        <v>0</v>
      </c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>
        <f>+AR128+AS128+AU128+AW128+AY128+BB128</f>
        <v>0</v>
      </c>
      <c r="BD128" s="32">
        <v>5</v>
      </c>
      <c r="BE128" s="50"/>
      <c r="BF128" s="50"/>
      <c r="BG128" s="32"/>
      <c r="BH128" s="50"/>
    </row>
    <row r="129" spans="1:60" ht="12.95" customHeight="1">
      <c r="A129" s="39"/>
      <c r="B129" s="40"/>
      <c r="C129" s="412"/>
      <c r="D129" s="40"/>
      <c r="E129" s="41"/>
      <c r="F129" s="41"/>
      <c r="G129" s="497"/>
      <c r="H129" s="43"/>
      <c r="I129" s="44"/>
      <c r="J129" s="81"/>
      <c r="K129" s="81"/>
      <c r="L129" s="34"/>
      <c r="M129" s="34"/>
      <c r="N129" s="45"/>
      <c r="O129" s="46"/>
      <c r="P129" s="47"/>
      <c r="Q129" s="46"/>
      <c r="R129" s="498"/>
      <c r="S129" s="498"/>
      <c r="T129" s="36"/>
      <c r="U129" s="36"/>
      <c r="V129" s="36"/>
      <c r="W129" s="36"/>
      <c r="X129" s="37"/>
      <c r="Y129" s="210"/>
      <c r="Z129" s="36"/>
      <c r="AA129" s="36"/>
      <c r="AB129" s="36"/>
      <c r="AC129" s="36">
        <f>K129-T129</f>
        <v>0</v>
      </c>
      <c r="AD129" s="36">
        <f>+AM129+BC129</f>
        <v>4</v>
      </c>
      <c r="AE129" s="228" t="s">
        <v>652</v>
      </c>
      <c r="AF129" s="36"/>
      <c r="AG129" s="36">
        <v>4</v>
      </c>
      <c r="AH129" s="36"/>
      <c r="AI129" s="36"/>
      <c r="AJ129" s="36"/>
      <c r="AK129" s="36"/>
      <c r="AL129" s="36"/>
      <c r="AM129" s="36">
        <f t="shared" si="230"/>
        <v>4</v>
      </c>
      <c r="AN129" s="82"/>
      <c r="AO129" s="36"/>
      <c r="AP129" s="36"/>
      <c r="AQ129" s="36"/>
      <c r="AR129" s="36">
        <f t="shared" ref="AR129:AR130" si="231">SUM(AN129:AQ129)</f>
        <v>0</v>
      </c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>
        <f>+AR129+AS129+AU129+AW129+AY129+BB129</f>
        <v>0</v>
      </c>
      <c r="BD129" s="49"/>
      <c r="BE129" s="50">
        <v>2</v>
      </c>
      <c r="BF129" s="50"/>
      <c r="BG129" s="49"/>
      <c r="BH129" s="50"/>
    </row>
    <row r="130" spans="1:60" ht="12.95" customHeight="1">
      <c r="A130" s="39"/>
      <c r="B130" s="40"/>
      <c r="C130" s="412"/>
      <c r="D130" s="40"/>
      <c r="E130" s="41"/>
      <c r="F130" s="41"/>
      <c r="G130" s="42"/>
      <c r="H130" s="43"/>
      <c r="I130" s="44"/>
      <c r="J130" s="81"/>
      <c r="K130" s="81"/>
      <c r="L130" s="34"/>
      <c r="M130" s="34"/>
      <c r="N130" s="45"/>
      <c r="O130" s="46"/>
      <c r="P130" s="47"/>
      <c r="Q130" s="46"/>
      <c r="R130" s="498"/>
      <c r="S130" s="498"/>
      <c r="T130" s="36"/>
      <c r="U130" s="36"/>
      <c r="V130" s="36"/>
      <c r="W130" s="36"/>
      <c r="X130" s="37"/>
      <c r="Y130" s="210"/>
      <c r="Z130" s="36"/>
      <c r="AA130" s="36"/>
      <c r="AB130" s="36"/>
      <c r="AC130" s="36"/>
      <c r="AD130" s="36">
        <f>+AM130+BC130</f>
        <v>42</v>
      </c>
      <c r="AE130" s="228" t="s">
        <v>631</v>
      </c>
      <c r="AF130" s="32"/>
      <c r="AG130" s="32"/>
      <c r="AH130" s="32">
        <v>42</v>
      </c>
      <c r="AI130" s="36"/>
      <c r="AJ130" s="36"/>
      <c r="AK130" s="36"/>
      <c r="AL130" s="36"/>
      <c r="AM130" s="36">
        <f t="shared" si="230"/>
        <v>42</v>
      </c>
      <c r="AN130" s="36"/>
      <c r="AO130" s="36"/>
      <c r="AP130" s="36"/>
      <c r="AQ130" s="36"/>
      <c r="AR130" s="36">
        <f t="shared" si="231"/>
        <v>0</v>
      </c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>
        <f>+AR130+AS130+AU130+AW130+AY130+BB130</f>
        <v>0</v>
      </c>
      <c r="BD130" s="32"/>
      <c r="BE130" s="501"/>
      <c r="BF130" s="501"/>
      <c r="BG130" s="32"/>
      <c r="BH130" s="501"/>
    </row>
    <row r="131" spans="1:60" ht="12.95" customHeight="1">
      <c r="A131" s="39"/>
      <c r="B131" s="40"/>
      <c r="C131" s="412"/>
      <c r="D131" s="40"/>
      <c r="E131" s="41"/>
      <c r="F131" s="41"/>
      <c r="G131" s="42"/>
      <c r="H131" s="43"/>
      <c r="I131" s="44"/>
      <c r="J131" s="81"/>
      <c r="K131" s="81"/>
      <c r="L131" s="34"/>
      <c r="M131" s="34"/>
      <c r="N131" s="45"/>
      <c r="O131" s="46"/>
      <c r="P131" s="47"/>
      <c r="Q131" s="46"/>
      <c r="R131" s="498"/>
      <c r="S131" s="498"/>
      <c r="T131" s="36"/>
      <c r="U131" s="36"/>
      <c r="V131" s="36"/>
      <c r="W131" s="36"/>
      <c r="X131" s="37"/>
      <c r="Y131" s="210"/>
      <c r="Z131" s="36"/>
      <c r="AA131" s="36"/>
      <c r="AB131" s="36"/>
      <c r="AC131" s="36"/>
      <c r="AD131" s="36">
        <f t="shared" ref="AD131" si="232">+AM131+BC131</f>
        <v>0</v>
      </c>
      <c r="AE131" s="231" t="s">
        <v>519</v>
      </c>
      <c r="AF131" s="32"/>
      <c r="AG131" s="32"/>
      <c r="AH131" s="32"/>
      <c r="AI131" s="36"/>
      <c r="AJ131" s="36"/>
      <c r="AK131" s="36"/>
      <c r="AL131" s="36"/>
      <c r="AM131" s="36">
        <f>SUM(AF131:AL131)+AT131+AV131+AX131+AZ131</f>
        <v>0</v>
      </c>
      <c r="AN131" s="36"/>
      <c r="AO131" s="36"/>
      <c r="AP131" s="36"/>
      <c r="AQ131" s="36"/>
      <c r="AR131" s="36">
        <f t="shared" ref="AR131" si="233">SUM(AN131:AQ131)</f>
        <v>0</v>
      </c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>
        <f>+AR131+AS131+AU131+AW131+AY131+BB131+BA131</f>
        <v>0</v>
      </c>
      <c r="BD131" s="32"/>
      <c r="BE131" s="501"/>
      <c r="BF131" s="501"/>
      <c r="BG131" s="32"/>
      <c r="BH131" s="501"/>
    </row>
    <row r="132" spans="1:60" ht="12.95" customHeight="1">
      <c r="A132" s="39"/>
      <c r="B132" s="40"/>
      <c r="C132" s="412"/>
      <c r="D132" s="40"/>
      <c r="E132" s="41"/>
      <c r="F132" s="41"/>
      <c r="G132" s="42"/>
      <c r="H132" s="43"/>
      <c r="I132" s="44"/>
      <c r="J132" s="81"/>
      <c r="K132" s="81"/>
      <c r="L132" s="34"/>
      <c r="M132" s="34"/>
      <c r="N132" s="45"/>
      <c r="O132" s="46"/>
      <c r="P132" s="47"/>
      <c r="Q132" s="46"/>
      <c r="R132" s="498"/>
      <c r="S132" s="498"/>
      <c r="T132" s="36"/>
      <c r="U132" s="36"/>
      <c r="V132" s="36"/>
      <c r="W132" s="36"/>
      <c r="X132" s="37"/>
      <c r="Y132" s="210"/>
      <c r="Z132" s="36"/>
      <c r="AA132" s="36"/>
      <c r="AB132" s="36"/>
      <c r="AC132" s="36"/>
      <c r="AD132" s="36">
        <f>+AM132+BC132</f>
        <v>169</v>
      </c>
      <c r="AE132" s="228" t="s">
        <v>654</v>
      </c>
      <c r="AF132" s="32"/>
      <c r="AG132" s="32"/>
      <c r="AH132" s="32"/>
      <c r="AI132" s="36"/>
      <c r="AJ132" s="36"/>
      <c r="AK132" s="36"/>
      <c r="AL132" s="36"/>
      <c r="AM132" s="36">
        <f t="shared" ref="AM132:AM133" si="234">SUM(AF132:AL132)+AT132+AV132+AX132</f>
        <v>0</v>
      </c>
      <c r="AN132" s="36"/>
      <c r="AO132" s="36"/>
      <c r="AP132" s="36"/>
      <c r="AQ132" s="36"/>
      <c r="AR132" s="36">
        <f t="shared" ref="AR132:AR133" si="235">SUM(AN132:AQ132)</f>
        <v>0</v>
      </c>
      <c r="AS132" s="36"/>
      <c r="AT132" s="36"/>
      <c r="AU132" s="36"/>
      <c r="AV132" s="36"/>
      <c r="AW132" s="36">
        <v>169</v>
      </c>
      <c r="AX132" s="36"/>
      <c r="AY132" s="36"/>
      <c r="AZ132" s="36"/>
      <c r="BA132" s="36"/>
      <c r="BB132" s="36"/>
      <c r="BC132" s="36">
        <f>+AR132+AS132+AU132+AW132+AY132+BB132</f>
        <v>169</v>
      </c>
      <c r="BD132" s="32"/>
      <c r="BE132" s="501"/>
      <c r="BF132" s="501">
        <v>1</v>
      </c>
      <c r="BG132" s="32"/>
      <c r="BH132" s="501"/>
    </row>
    <row r="133" spans="1:60" ht="12.95" customHeight="1">
      <c r="A133" s="39"/>
      <c r="B133" s="40"/>
      <c r="C133" s="412"/>
      <c r="D133" s="40"/>
      <c r="E133" s="41"/>
      <c r="F133" s="41"/>
      <c r="G133" s="42"/>
      <c r="H133" s="43"/>
      <c r="I133" s="44"/>
      <c r="J133" s="81"/>
      <c r="K133" s="81"/>
      <c r="L133" s="34"/>
      <c r="M133" s="34"/>
      <c r="N133" s="45"/>
      <c r="O133" s="46"/>
      <c r="P133" s="47"/>
      <c r="Q133" s="33"/>
      <c r="R133" s="498"/>
      <c r="S133" s="498"/>
      <c r="T133" s="36"/>
      <c r="U133" s="36"/>
      <c r="V133" s="36"/>
      <c r="W133" s="36"/>
      <c r="X133" s="37"/>
      <c r="Y133" s="210"/>
      <c r="Z133" s="36"/>
      <c r="AA133" s="36"/>
      <c r="AB133" s="36"/>
      <c r="AC133" s="36"/>
      <c r="AD133" s="36"/>
      <c r="AE133" s="231"/>
      <c r="AF133" s="36"/>
      <c r="AG133" s="36"/>
      <c r="AH133" s="36"/>
      <c r="AI133" s="36"/>
      <c r="AJ133" s="36"/>
      <c r="AK133" s="36"/>
      <c r="AL133" s="36"/>
      <c r="AM133" s="36">
        <f t="shared" si="234"/>
        <v>0</v>
      </c>
      <c r="AN133" s="36"/>
      <c r="AO133" s="36"/>
      <c r="AP133" s="36"/>
      <c r="AQ133" s="36"/>
      <c r="AR133" s="36">
        <f t="shared" si="235"/>
        <v>0</v>
      </c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>
        <f>+AR133+AS133+AU133+AW133+AY133+BB133</f>
        <v>0</v>
      </c>
      <c r="BD133" s="49"/>
      <c r="BE133" s="50"/>
      <c r="BF133" s="50"/>
      <c r="BG133" s="50"/>
      <c r="BH133" s="50"/>
    </row>
    <row r="134" spans="1:60" ht="12.75" customHeight="1">
      <c r="A134" s="39">
        <v>46048</v>
      </c>
      <c r="B134" s="40" t="s">
        <v>410</v>
      </c>
      <c r="C134" s="412">
        <f t="shared" ref="C134" si="236">(M134*E134*O134*Q134)/100000000</f>
        <v>28.447286399999999</v>
      </c>
      <c r="D134" s="40" t="s">
        <v>302</v>
      </c>
      <c r="E134" s="41">
        <v>13</v>
      </c>
      <c r="F134" s="41">
        <v>1</v>
      </c>
      <c r="G134" s="574">
        <f>+L134</f>
        <v>814.0043763676149</v>
      </c>
      <c r="H134" s="575">
        <f>+N134</f>
        <v>0.2400000000000001</v>
      </c>
      <c r="I134" s="44">
        <v>0.88</v>
      </c>
      <c r="J134" s="81">
        <f t="shared" ref="J134" si="237">E134*G134*(1-H134)*1440/1000000*2.74</f>
        <v>31.731948393873083</v>
      </c>
      <c r="K134" s="81">
        <f t="shared" ref="K134" si="238">(IF(G134&lt;L134,L134,G134)*(1-IF(H134&lt;N134,H134,N134))*E134*O134*Q134)/100000000</f>
        <v>28.447286399999999</v>
      </c>
      <c r="L134" s="34">
        <v>814.0043763676149</v>
      </c>
      <c r="M134" s="34">
        <v>618.64332603938726</v>
      </c>
      <c r="N134" s="45">
        <f t="shared" ref="N134" si="239">1-(M134/L134)</f>
        <v>0.2400000000000001</v>
      </c>
      <c r="O134" s="46">
        <f>+'Trim Rwd'!H77</f>
        <v>258</v>
      </c>
      <c r="P134" s="47">
        <f t="shared" ref="P134" si="240">O134*(Q134-R134-S134)</f>
        <v>340302</v>
      </c>
      <c r="Q134" s="46">
        <f>1440-69</f>
        <v>1371</v>
      </c>
      <c r="R134" s="498">
        <f>69-69</f>
        <v>0</v>
      </c>
      <c r="S134" s="498">
        <f>540-488</f>
        <v>52</v>
      </c>
      <c r="T134" s="36">
        <f t="shared" ref="T134" si="241">E134*M134*O134*Q134/100000000</f>
        <v>28.447286399999999</v>
      </c>
      <c r="U134" s="36">
        <f t="shared" ref="U134" si="242">E134*M134*O134*(Q134-R134-S134)/100000000</f>
        <v>27.368322947921225</v>
      </c>
      <c r="V134" s="36">
        <f t="shared" ref="V134" si="243">E134*G134*(1-N134)*O134/100*(R134+S134)/1000000</f>
        <v>1.0789634520787745</v>
      </c>
      <c r="W134" s="36">
        <f>+'26'!K7/1000</f>
        <v>32.168999999999997</v>
      </c>
      <c r="X134" s="499">
        <f>SUM(W134:W138)/SUM(K134:K138)</f>
        <v>1.1308284223552514</v>
      </c>
      <c r="Y134" s="210">
        <v>0</v>
      </c>
      <c r="Z134" s="36">
        <f>+'23'!D31/1000</f>
        <v>0</v>
      </c>
      <c r="AA134" s="48">
        <f>SUM(U134:U138)-SUM(W134:W138)-SUM(Z134:Z138)-SUM(Y134:Y138)</f>
        <v>-4.8006770520787718</v>
      </c>
      <c r="AB134" s="48">
        <f>(SUM(K134:K138)-SUM(W134:W138)-SUM(Y134:Y138)-SUM(Z134:Z138)-SUM(AC134:AC138)-SUM(V134:V138))-AA134</f>
        <v>0</v>
      </c>
      <c r="AC134" s="36">
        <f>K134-T134</f>
        <v>0</v>
      </c>
      <c r="AD134" s="36">
        <f>+AM134+BC134</f>
        <v>10</v>
      </c>
      <c r="AE134" s="228" t="s">
        <v>653</v>
      </c>
      <c r="AF134" s="36">
        <v>10</v>
      </c>
      <c r="AG134" s="36"/>
      <c r="AH134" s="36"/>
      <c r="AI134" s="36"/>
      <c r="AJ134" s="36"/>
      <c r="AK134" s="36"/>
      <c r="AL134" s="36"/>
      <c r="AM134" s="36">
        <f t="shared" ref="AM134:AM136" si="244">SUM(AF134:AL134)+AT134+AV134+AX134</f>
        <v>10</v>
      </c>
      <c r="AN134" s="36"/>
      <c r="AO134" s="36"/>
      <c r="AP134" s="36"/>
      <c r="AQ134" s="36"/>
      <c r="AR134" s="36">
        <f>SUM(AN134:AQ134)</f>
        <v>0</v>
      </c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>
        <f>+AR134+AS134+AU134+AW134+AY134+BB134</f>
        <v>0</v>
      </c>
      <c r="BD134" s="32">
        <v>5</v>
      </c>
      <c r="BE134" s="50"/>
      <c r="BF134" s="50"/>
      <c r="BG134" s="32"/>
      <c r="BH134" s="50"/>
    </row>
    <row r="135" spans="1:60" ht="12.95" customHeight="1">
      <c r="A135" s="39"/>
      <c r="B135" s="40"/>
      <c r="C135" s="412"/>
      <c r="D135" s="40"/>
      <c r="E135" s="41"/>
      <c r="F135" s="41"/>
      <c r="G135" s="497"/>
      <c r="H135" s="43"/>
      <c r="I135" s="44"/>
      <c r="J135" s="81"/>
      <c r="K135" s="81"/>
      <c r="L135" s="34"/>
      <c r="M135" s="34"/>
      <c r="N135" s="45"/>
      <c r="O135" s="46"/>
      <c r="P135" s="47"/>
      <c r="Q135" s="46"/>
      <c r="R135" s="498"/>
      <c r="S135" s="498"/>
      <c r="T135" s="36"/>
      <c r="U135" s="36"/>
      <c r="V135" s="36"/>
      <c r="W135" s="36"/>
      <c r="X135" s="37"/>
      <c r="Y135" s="210"/>
      <c r="Z135" s="36"/>
      <c r="AA135" s="36"/>
      <c r="AB135" s="36"/>
      <c r="AC135" s="36">
        <f>K135-T135</f>
        <v>0</v>
      </c>
      <c r="AD135" s="36">
        <f>+AM135+BC135</f>
        <v>4</v>
      </c>
      <c r="AE135" s="228" t="s">
        <v>652</v>
      </c>
      <c r="AF135" s="36"/>
      <c r="AG135" s="36">
        <v>4</v>
      </c>
      <c r="AH135" s="36"/>
      <c r="AI135" s="36"/>
      <c r="AJ135" s="36"/>
      <c r="AK135" s="36"/>
      <c r="AL135" s="36"/>
      <c r="AM135" s="36">
        <f t="shared" si="244"/>
        <v>4</v>
      </c>
      <c r="AN135" s="82"/>
      <c r="AO135" s="36"/>
      <c r="AP135" s="36"/>
      <c r="AQ135" s="36"/>
      <c r="AR135" s="36">
        <f t="shared" ref="AR135:AR136" si="245">SUM(AN135:AQ135)</f>
        <v>0</v>
      </c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>
        <f>+AR135+AS135+AU135+AW135+AY135+BB135</f>
        <v>0</v>
      </c>
      <c r="BD135" s="49"/>
      <c r="BE135" s="50">
        <v>2</v>
      </c>
      <c r="BF135" s="50"/>
      <c r="BG135" s="49"/>
      <c r="BH135" s="50"/>
    </row>
    <row r="136" spans="1:60" ht="12.95" customHeight="1">
      <c r="A136" s="39"/>
      <c r="B136" s="40"/>
      <c r="C136" s="412"/>
      <c r="D136" s="40"/>
      <c r="E136" s="41"/>
      <c r="F136" s="41"/>
      <c r="G136" s="42"/>
      <c r="H136" s="43"/>
      <c r="I136" s="44"/>
      <c r="J136" s="81"/>
      <c r="K136" s="81"/>
      <c r="L136" s="34"/>
      <c r="M136" s="34"/>
      <c r="N136" s="45"/>
      <c r="O136" s="46"/>
      <c r="P136" s="47"/>
      <c r="Q136" s="46"/>
      <c r="R136" s="498"/>
      <c r="S136" s="498"/>
      <c r="T136" s="36"/>
      <c r="U136" s="36"/>
      <c r="V136" s="36"/>
      <c r="W136" s="36"/>
      <c r="X136" s="37"/>
      <c r="Y136" s="210"/>
      <c r="Z136" s="36"/>
      <c r="AA136" s="36"/>
      <c r="AB136" s="36"/>
      <c r="AC136" s="36"/>
      <c r="AD136" s="36">
        <f>+AM136+BC136</f>
        <v>38</v>
      </c>
      <c r="AE136" s="228" t="s">
        <v>631</v>
      </c>
      <c r="AF136" s="32"/>
      <c r="AG136" s="32"/>
      <c r="AH136" s="32">
        <v>38</v>
      </c>
      <c r="AI136" s="36"/>
      <c r="AJ136" s="36"/>
      <c r="AK136" s="36"/>
      <c r="AL136" s="36"/>
      <c r="AM136" s="36">
        <f t="shared" si="244"/>
        <v>38</v>
      </c>
      <c r="AN136" s="36"/>
      <c r="AO136" s="36"/>
      <c r="AP136" s="36"/>
      <c r="AQ136" s="36"/>
      <c r="AR136" s="36">
        <f t="shared" si="245"/>
        <v>0</v>
      </c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>
        <f>+AR136+AS136+AU136+AW136+AY136+BB136</f>
        <v>0</v>
      </c>
      <c r="BD136" s="32"/>
      <c r="BE136" s="501"/>
      <c r="BF136" s="501"/>
      <c r="BG136" s="32"/>
      <c r="BH136" s="501"/>
    </row>
    <row r="137" spans="1:60" ht="12.95" customHeight="1">
      <c r="A137" s="39"/>
      <c r="B137" s="40"/>
      <c r="C137" s="412"/>
      <c r="D137" s="40"/>
      <c r="E137" s="41"/>
      <c r="F137" s="41"/>
      <c r="G137" s="42"/>
      <c r="H137" s="43"/>
      <c r="I137" s="44"/>
      <c r="J137" s="81"/>
      <c r="K137" s="81"/>
      <c r="L137" s="34"/>
      <c r="M137" s="34"/>
      <c r="N137" s="45"/>
      <c r="O137" s="46"/>
      <c r="P137" s="47"/>
      <c r="Q137" s="46"/>
      <c r="R137" s="498"/>
      <c r="S137" s="498"/>
      <c r="T137" s="36"/>
      <c r="U137" s="36"/>
      <c r="V137" s="36"/>
      <c r="W137" s="36"/>
      <c r="X137" s="37"/>
      <c r="Y137" s="210"/>
      <c r="Z137" s="36"/>
      <c r="AA137" s="36"/>
      <c r="AB137" s="36"/>
      <c r="AC137" s="36"/>
      <c r="AD137" s="36">
        <f t="shared" ref="AD137:AD138" si="246">+AM137+BC137</f>
        <v>0</v>
      </c>
      <c r="AE137" s="231" t="s">
        <v>666</v>
      </c>
      <c r="AF137" s="32"/>
      <c r="AG137" s="32"/>
      <c r="AH137" s="32"/>
      <c r="AI137" s="36"/>
      <c r="AJ137" s="36"/>
      <c r="AK137" s="36"/>
      <c r="AL137" s="36"/>
      <c r="AM137" s="36">
        <f>SUM(AF137:AL137)+AT137+AV137+AX137+AZ137</f>
        <v>0</v>
      </c>
      <c r="AN137" s="36"/>
      <c r="AO137" s="36"/>
      <c r="AP137" s="36"/>
      <c r="AQ137" s="36"/>
      <c r="AR137" s="36">
        <f t="shared" ref="AR137" si="247">SUM(AN137:AQ137)</f>
        <v>0</v>
      </c>
      <c r="AS137" s="36"/>
      <c r="AT137" s="36"/>
      <c r="AU137" s="36"/>
      <c r="AV137" s="36"/>
      <c r="AW137" s="36"/>
      <c r="AX137" s="36"/>
      <c r="AY137" s="36"/>
      <c r="AZ137" s="36"/>
      <c r="BA137" s="36">
        <f>69-69</f>
        <v>0</v>
      </c>
      <c r="BB137" s="36"/>
      <c r="BC137" s="36">
        <f>+AR137+AS137+AU137+AW137+AY137+BB137+BA137</f>
        <v>0</v>
      </c>
      <c r="BD137" s="32"/>
      <c r="BE137" s="501"/>
      <c r="BF137" s="501"/>
      <c r="BG137" s="32"/>
      <c r="BH137" s="501"/>
    </row>
    <row r="138" spans="1:60" ht="12.95" customHeight="1">
      <c r="A138" s="39"/>
      <c r="B138" s="40"/>
      <c r="C138" s="412"/>
      <c r="D138" s="40"/>
      <c r="E138" s="41"/>
      <c r="F138" s="41"/>
      <c r="G138" s="42"/>
      <c r="H138" s="43"/>
      <c r="I138" s="44"/>
      <c r="J138" s="81"/>
      <c r="K138" s="81"/>
      <c r="L138" s="34"/>
      <c r="M138" s="34"/>
      <c r="N138" s="45"/>
      <c r="O138" s="46"/>
      <c r="P138" s="47"/>
      <c r="Q138" s="46"/>
      <c r="R138" s="498"/>
      <c r="S138" s="498"/>
      <c r="T138" s="36"/>
      <c r="U138" s="36"/>
      <c r="V138" s="36"/>
      <c r="W138" s="36"/>
      <c r="X138" s="37"/>
      <c r="Y138" s="210"/>
      <c r="Z138" s="36"/>
      <c r="AA138" s="36"/>
      <c r="AB138" s="36"/>
      <c r="AC138" s="36"/>
      <c r="AD138" s="36">
        <f t="shared" si="246"/>
        <v>0</v>
      </c>
      <c r="AE138" s="231" t="s">
        <v>519</v>
      </c>
      <c r="AF138" s="32"/>
      <c r="AG138" s="32"/>
      <c r="AH138" s="32"/>
      <c r="AI138" s="36"/>
      <c r="AJ138" s="36"/>
      <c r="AK138" s="36"/>
      <c r="AL138" s="36"/>
      <c r="AM138" s="36">
        <f>SUM(AF138:AL138)+AT138+AV138+AX138+AZ138</f>
        <v>0</v>
      </c>
      <c r="AN138" s="36"/>
      <c r="AO138" s="36"/>
      <c r="AP138" s="36"/>
      <c r="AQ138" s="36"/>
      <c r="AR138" s="36">
        <f t="shared" ref="AR138" si="248">SUM(AN138:AQ138)</f>
        <v>0</v>
      </c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>
        <f>+AR138+AS138+AU138+AW138+AY138+BB138+BA138</f>
        <v>0</v>
      </c>
      <c r="BD138" s="32"/>
      <c r="BE138" s="501"/>
      <c r="BF138" s="501"/>
      <c r="BG138" s="32"/>
      <c r="BH138" s="501"/>
    </row>
    <row r="139" spans="1:60" ht="12.95" customHeight="1">
      <c r="A139" s="39"/>
      <c r="B139" s="40"/>
      <c r="C139" s="412"/>
      <c r="D139" s="40"/>
      <c r="E139" s="41"/>
      <c r="F139" s="41"/>
      <c r="G139" s="42"/>
      <c r="H139" s="43"/>
      <c r="I139" s="44"/>
      <c r="J139" s="81"/>
      <c r="K139" s="81"/>
      <c r="L139" s="34"/>
      <c r="M139" s="34"/>
      <c r="N139" s="45"/>
      <c r="O139" s="46"/>
      <c r="P139" s="47"/>
      <c r="Q139" s="46"/>
      <c r="R139" s="498"/>
      <c r="S139" s="498"/>
      <c r="T139" s="36"/>
      <c r="U139" s="36"/>
      <c r="V139" s="36"/>
      <c r="W139" s="36"/>
      <c r="X139" s="499"/>
      <c r="Y139" s="210"/>
      <c r="Z139" s="36"/>
      <c r="AA139" s="48"/>
      <c r="AB139" s="48"/>
      <c r="AC139" s="36"/>
      <c r="AD139" s="36"/>
      <c r="AE139" s="228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2"/>
      <c r="BE139" s="50"/>
      <c r="BF139" s="50"/>
      <c r="BG139" s="50"/>
      <c r="BH139" s="50"/>
    </row>
    <row r="140" spans="1:60" ht="12.75" customHeight="1">
      <c r="A140" s="39">
        <v>46049</v>
      </c>
      <c r="B140" s="40" t="s">
        <v>410</v>
      </c>
      <c r="C140" s="412">
        <f t="shared" ref="C140" si="249">(M140*E140*O140*Q140)/100000000</f>
        <v>29.305803072000003</v>
      </c>
      <c r="D140" s="40" t="s">
        <v>302</v>
      </c>
      <c r="E140" s="41">
        <v>13</v>
      </c>
      <c r="F140" s="41">
        <v>1</v>
      </c>
      <c r="G140" s="574">
        <f>+L140</f>
        <v>798.38888888888891</v>
      </c>
      <c r="H140" s="575">
        <f>+N140</f>
        <v>0.24</v>
      </c>
      <c r="I140" s="44">
        <v>0.88</v>
      </c>
      <c r="J140" s="81">
        <f t="shared" ref="J140" si="250">E140*G140*(1-H140)*1440/1000000*2.74</f>
        <v>31.123217216000008</v>
      </c>
      <c r="K140" s="81">
        <f t="shared" ref="K140" si="251">(IF(G140&lt;L140,L140,G140)*(1-IF(H140&lt;N140,H140,N140))*E140*O140*Q140)/100000000</f>
        <v>29.305803072000003</v>
      </c>
      <c r="L140" s="34">
        <v>798.38888888888891</v>
      </c>
      <c r="M140" s="34">
        <v>606.77555555555557</v>
      </c>
      <c r="N140" s="45">
        <f t="shared" ref="N140" si="252">1-(M140/L140)</f>
        <v>0.24</v>
      </c>
      <c r="O140" s="46">
        <f>+'Trim Rwd'!H79</f>
        <v>258</v>
      </c>
      <c r="P140" s="47">
        <f t="shared" ref="P140" si="253">O140*(Q140-R140-S140)</f>
        <v>354492</v>
      </c>
      <c r="Q140" s="46">
        <v>1440</v>
      </c>
      <c r="R140" s="498">
        <v>0</v>
      </c>
      <c r="S140" s="498">
        <f>572-506</f>
        <v>66</v>
      </c>
      <c r="T140" s="36">
        <f t="shared" ref="T140" si="254">E140*M140*O140*Q140/100000000</f>
        <v>29.305803072000003</v>
      </c>
      <c r="U140" s="36">
        <f t="shared" ref="U140" si="255">E140*M140*O140*(Q140-R140-S140)/100000000</f>
        <v>27.962620431199998</v>
      </c>
      <c r="V140" s="36">
        <f t="shared" ref="V140" si="256">E140*G140*(1-N140)*O140/100*(R140+S140)/1000000</f>
        <v>1.3431826408000003</v>
      </c>
      <c r="W140" s="36">
        <f>+'27'!K7/1000</f>
        <v>28.209</v>
      </c>
      <c r="X140" s="499">
        <f>SUM(W140:W144)/SUM(K140:K144)</f>
        <v>0.96257386056593219</v>
      </c>
      <c r="Y140" s="210">
        <v>0</v>
      </c>
      <c r="Z140" s="36">
        <v>0</v>
      </c>
      <c r="AA140" s="48">
        <f>SUM(U140:U144)-SUM(W140:W144)-SUM(Z140:Z144)-SUM(Y140:Y144)</f>
        <v>-0.24637956880000189</v>
      </c>
      <c r="AB140" s="48">
        <f>(SUM(K140:K144)-SUM(W140:W144)-SUM(Y140:Y144)-SUM(Z140:Z144)-SUM(AC140:AC144)-SUM(V140:V144))-AA140</f>
        <v>5.3290705182007514E-15</v>
      </c>
      <c r="AC140" s="36">
        <f>K140-T140</f>
        <v>0</v>
      </c>
      <c r="AD140" s="36">
        <f>+AM140+BC140</f>
        <v>24</v>
      </c>
      <c r="AE140" s="228" t="s">
        <v>429</v>
      </c>
      <c r="AF140" s="36">
        <v>24</v>
      </c>
      <c r="AG140" s="36"/>
      <c r="AH140" s="36"/>
      <c r="AI140" s="36"/>
      <c r="AJ140" s="36"/>
      <c r="AK140" s="36"/>
      <c r="AL140" s="36"/>
      <c r="AM140" s="36">
        <f t="shared" ref="AM140:AM142" si="257">SUM(AF140:AL140)+AT140+AV140+AX140</f>
        <v>24</v>
      </c>
      <c r="AN140" s="36"/>
      <c r="AO140" s="36"/>
      <c r="AP140" s="36"/>
      <c r="AQ140" s="36"/>
      <c r="AR140" s="36">
        <f>SUM(AN140:AQ140)</f>
        <v>0</v>
      </c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>
        <f>+AR140+AS140+AU140+AW140+AY140+BB140</f>
        <v>0</v>
      </c>
      <c r="BD140" s="32">
        <v>6</v>
      </c>
      <c r="BE140" s="50"/>
      <c r="BF140" s="50"/>
      <c r="BG140" s="32"/>
      <c r="BH140" s="50"/>
    </row>
    <row r="141" spans="1:60" ht="12.95" customHeight="1">
      <c r="A141" s="39"/>
      <c r="B141" s="40"/>
      <c r="C141" s="412"/>
      <c r="D141" s="40"/>
      <c r="E141" s="41"/>
      <c r="F141" s="41"/>
      <c r="G141" s="497"/>
      <c r="H141" s="43"/>
      <c r="I141" s="44"/>
      <c r="J141" s="81"/>
      <c r="K141" s="81"/>
      <c r="L141" s="34"/>
      <c r="M141" s="34"/>
      <c r="N141" s="45"/>
      <c r="O141" s="46"/>
      <c r="P141" s="47"/>
      <c r="Q141" s="46"/>
      <c r="R141" s="498"/>
      <c r="S141" s="498"/>
      <c r="T141" s="36"/>
      <c r="U141" s="36"/>
      <c r="V141" s="36"/>
      <c r="W141" s="36"/>
      <c r="X141" s="37"/>
      <c r="Y141" s="210"/>
      <c r="Z141" s="36"/>
      <c r="AA141" s="36"/>
      <c r="AB141" s="36"/>
      <c r="AC141" s="36">
        <f>K141-T141</f>
        <v>0</v>
      </c>
      <c r="AD141" s="36">
        <f>+AM141+BC141</f>
        <v>8</v>
      </c>
      <c r="AE141" s="228" t="s">
        <v>407</v>
      </c>
      <c r="AF141" s="36"/>
      <c r="AG141" s="36">
        <v>8</v>
      </c>
      <c r="AH141" s="36"/>
      <c r="AI141" s="36"/>
      <c r="AJ141" s="36"/>
      <c r="AK141" s="36"/>
      <c r="AL141" s="36"/>
      <c r="AM141" s="36">
        <f t="shared" si="257"/>
        <v>8</v>
      </c>
      <c r="AN141" s="82"/>
      <c r="AO141" s="36"/>
      <c r="AP141" s="36"/>
      <c r="AQ141" s="36"/>
      <c r="AR141" s="36">
        <f t="shared" ref="AR141:AR142" si="258">SUM(AN141:AQ141)</f>
        <v>0</v>
      </c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>
        <f>+AR141+AS141+AU141+AW141+AY141+BB141</f>
        <v>0</v>
      </c>
      <c r="BD141" s="49"/>
      <c r="BE141" s="50">
        <v>4</v>
      </c>
      <c r="BF141" s="50"/>
      <c r="BG141" s="49"/>
      <c r="BH141" s="50"/>
    </row>
    <row r="142" spans="1:60" ht="12.95" customHeight="1">
      <c r="A142" s="39"/>
      <c r="B142" s="40"/>
      <c r="C142" s="412"/>
      <c r="D142" s="40"/>
      <c r="E142" s="41"/>
      <c r="F142" s="41"/>
      <c r="G142" s="42"/>
      <c r="H142" s="43"/>
      <c r="I142" s="44"/>
      <c r="J142" s="81"/>
      <c r="K142" s="81"/>
      <c r="L142" s="34"/>
      <c r="M142" s="34"/>
      <c r="N142" s="45"/>
      <c r="O142" s="46"/>
      <c r="P142" s="47"/>
      <c r="Q142" s="46"/>
      <c r="R142" s="498"/>
      <c r="S142" s="498"/>
      <c r="T142" s="36"/>
      <c r="U142" s="36"/>
      <c r="V142" s="36"/>
      <c r="W142" s="36"/>
      <c r="X142" s="37"/>
      <c r="Y142" s="210"/>
      <c r="Z142" s="36"/>
      <c r="AA142" s="36"/>
      <c r="AB142" s="36"/>
      <c r="AC142" s="36"/>
      <c r="AD142" s="36">
        <f>+AM142+BC142</f>
        <v>34</v>
      </c>
      <c r="AE142" s="228" t="s">
        <v>676</v>
      </c>
      <c r="AF142" s="32"/>
      <c r="AG142" s="32"/>
      <c r="AH142" s="32">
        <v>34</v>
      </c>
      <c r="AI142" s="36"/>
      <c r="AJ142" s="36"/>
      <c r="AK142" s="36"/>
      <c r="AL142" s="36"/>
      <c r="AM142" s="36">
        <f t="shared" si="257"/>
        <v>34</v>
      </c>
      <c r="AN142" s="36"/>
      <c r="AO142" s="36"/>
      <c r="AP142" s="36"/>
      <c r="AQ142" s="36"/>
      <c r="AR142" s="36">
        <f t="shared" si="258"/>
        <v>0</v>
      </c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>
        <f>+AR142+AS142+AU142+AW142+AY142+BB142</f>
        <v>0</v>
      </c>
      <c r="BD142" s="32"/>
      <c r="BE142" s="501"/>
      <c r="BF142" s="501"/>
      <c r="BG142" s="32"/>
      <c r="BH142" s="501"/>
    </row>
    <row r="143" spans="1:60" ht="12.95" customHeight="1">
      <c r="A143" s="39"/>
      <c r="B143" s="40"/>
      <c r="C143" s="412"/>
      <c r="D143" s="40"/>
      <c r="E143" s="41"/>
      <c r="F143" s="41"/>
      <c r="G143" s="42"/>
      <c r="H143" s="43"/>
      <c r="I143" s="44"/>
      <c r="J143" s="81"/>
      <c r="K143" s="81"/>
      <c r="L143" s="34"/>
      <c r="M143" s="34"/>
      <c r="N143" s="45"/>
      <c r="O143" s="46"/>
      <c r="P143" s="47"/>
      <c r="Q143" s="46"/>
      <c r="R143" s="498"/>
      <c r="S143" s="498"/>
      <c r="T143" s="36"/>
      <c r="U143" s="36"/>
      <c r="V143" s="36"/>
      <c r="W143" s="36"/>
      <c r="X143" s="37"/>
      <c r="Y143" s="210"/>
      <c r="Z143" s="36"/>
      <c r="AA143" s="36"/>
      <c r="AB143" s="36"/>
      <c r="AC143" s="36"/>
      <c r="AD143" s="36">
        <f t="shared" ref="AD143" si="259">+AM143+BC143</f>
        <v>0</v>
      </c>
      <c r="AE143" s="231" t="s">
        <v>519</v>
      </c>
      <c r="AF143" s="32"/>
      <c r="AG143" s="32"/>
      <c r="AH143" s="32"/>
      <c r="AI143" s="36"/>
      <c r="AJ143" s="36"/>
      <c r="AK143" s="36"/>
      <c r="AL143" s="36"/>
      <c r="AM143" s="36">
        <f>SUM(AF143:AL143)+AT143+AV143+AX143+AZ143</f>
        <v>0</v>
      </c>
      <c r="AN143" s="36"/>
      <c r="AO143" s="36"/>
      <c r="AP143" s="36"/>
      <c r="AQ143" s="36"/>
      <c r="AR143" s="36">
        <f t="shared" ref="AR143" si="260">SUM(AN143:AQ143)</f>
        <v>0</v>
      </c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>
        <f>+AR143+AS143+AU143+AW143+AY143+BB143+BA143</f>
        <v>0</v>
      </c>
      <c r="BD143" s="32"/>
      <c r="BE143" s="501"/>
      <c r="BF143" s="501"/>
      <c r="BG143" s="32"/>
      <c r="BH143" s="501"/>
    </row>
    <row r="144" spans="1:60" ht="12.95" customHeight="1">
      <c r="A144" s="39"/>
      <c r="B144" s="40"/>
      <c r="C144" s="412"/>
      <c r="D144" s="40"/>
      <c r="E144" s="41"/>
      <c r="F144" s="41"/>
      <c r="G144" s="42"/>
      <c r="H144" s="43"/>
      <c r="I144" s="44"/>
      <c r="J144" s="81"/>
      <c r="K144" s="81"/>
      <c r="L144" s="34"/>
      <c r="M144" s="34"/>
      <c r="N144" s="45"/>
      <c r="O144" s="46"/>
      <c r="P144" s="47"/>
      <c r="Q144" s="46"/>
      <c r="R144" s="498"/>
      <c r="S144" s="498"/>
      <c r="T144" s="36"/>
      <c r="U144" s="36"/>
      <c r="V144" s="36"/>
      <c r="W144" s="36"/>
      <c r="X144" s="499"/>
      <c r="Y144" s="210"/>
      <c r="Z144" s="36"/>
      <c r="AA144" s="48"/>
      <c r="AB144" s="48"/>
      <c r="AC144" s="36"/>
      <c r="AD144" s="36"/>
      <c r="AE144" s="228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2"/>
      <c r="BE144" s="50"/>
      <c r="BF144" s="50"/>
      <c r="BG144" s="50"/>
      <c r="BH144" s="50"/>
    </row>
    <row r="145" spans="1:60" ht="12.75" customHeight="1">
      <c r="A145" s="39">
        <v>46050</v>
      </c>
      <c r="B145" s="40" t="s">
        <v>410</v>
      </c>
      <c r="C145" s="412">
        <f t="shared" ref="C145" si="261">(M145*E145*O145*Q145)/100000000</f>
        <v>27.203354879999996</v>
      </c>
      <c r="D145" s="40" t="s">
        <v>302</v>
      </c>
      <c r="E145" s="41">
        <v>13</v>
      </c>
      <c r="F145" s="41">
        <v>1</v>
      </c>
      <c r="G145" s="574">
        <f>+L145</f>
        <v>741.11111111111109</v>
      </c>
      <c r="H145" s="575">
        <f>+N145</f>
        <v>0.24</v>
      </c>
      <c r="I145" s="44">
        <v>0.88</v>
      </c>
      <c r="J145" s="81">
        <f t="shared" ref="J145" si="262">E145*G145*(1-H145)*1440/1000000*2.74</f>
        <v>28.890384639999997</v>
      </c>
      <c r="K145" s="81">
        <f t="shared" ref="K145" si="263">(IF(G145&lt;L145,L145,G145)*(1-IF(H145&lt;N145,H145,N145))*E145*O145*Q145)/100000000</f>
        <v>27.203354879999996</v>
      </c>
      <c r="L145" s="34">
        <v>741.11111111111109</v>
      </c>
      <c r="M145" s="34">
        <v>563.24444444444441</v>
      </c>
      <c r="N145" s="45">
        <f t="shared" ref="N145" si="264">1-(M145/L145)</f>
        <v>0.24</v>
      </c>
      <c r="O145" s="46">
        <f>+'Trim Rwd'!H81</f>
        <v>258</v>
      </c>
      <c r="P145" s="47">
        <f t="shared" ref="P145" si="265">O145*(Q145-R145-S145)</f>
        <v>357330</v>
      </c>
      <c r="Q145" s="46">
        <v>1440</v>
      </c>
      <c r="R145" s="498">
        <v>0</v>
      </c>
      <c r="S145" s="498">
        <f>627-572</f>
        <v>55</v>
      </c>
      <c r="T145" s="36">
        <f t="shared" ref="T145" si="266">E145*M145*O145*Q145/100000000</f>
        <v>27.203354879999996</v>
      </c>
      <c r="U145" s="36">
        <f t="shared" ref="U145" si="267">E145*M145*O145*(Q145-R145-S145)/100000000</f>
        <v>26.164337853333329</v>
      </c>
      <c r="V145" s="36">
        <f t="shared" ref="V145" si="268">E145*G145*(1-N145)*O145/100*(R145+S145)/1000000</f>
        <v>1.0390170266666665</v>
      </c>
      <c r="W145" s="36">
        <f>+'28'!K7/1000</f>
        <v>26.655999999999999</v>
      </c>
      <c r="X145" s="499">
        <f>SUM(W145:W149)/SUM(K145:K149)</f>
        <v>0.97987914055400516</v>
      </c>
      <c r="Y145" s="210">
        <v>0</v>
      </c>
      <c r="Z145" s="36">
        <v>0</v>
      </c>
      <c r="AA145" s="48">
        <f>SUM(U145:U149)-SUM(W145:W149)-SUM(Z145:Z149)-SUM(Y145:Y149)</f>
        <v>-0.49166214666666974</v>
      </c>
      <c r="AB145" s="48">
        <f>(SUM(K145:K149)-SUM(W145:W149)-SUM(Y145:Y149)-SUM(Z145:Z149)-SUM(AC145:AC149)-SUM(V145:V149))-AA145</f>
        <v>0</v>
      </c>
      <c r="AC145" s="36">
        <f>K145-T145</f>
        <v>0</v>
      </c>
      <c r="AD145" s="36">
        <f>+AM145+BC145</f>
        <v>10</v>
      </c>
      <c r="AE145" s="228" t="s">
        <v>653</v>
      </c>
      <c r="AF145" s="36">
        <v>10</v>
      </c>
      <c r="AG145" s="36"/>
      <c r="AH145" s="36"/>
      <c r="AI145" s="36"/>
      <c r="AJ145" s="36"/>
      <c r="AK145" s="36"/>
      <c r="AL145" s="36"/>
      <c r="AM145" s="36">
        <f t="shared" ref="AM145:AM147" si="269">SUM(AF145:AL145)+AT145+AV145+AX145</f>
        <v>10</v>
      </c>
      <c r="AN145" s="36"/>
      <c r="AO145" s="36"/>
      <c r="AP145" s="36"/>
      <c r="AQ145" s="36"/>
      <c r="AR145" s="36">
        <f>SUM(AN145:AQ145)</f>
        <v>0</v>
      </c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>
        <f>+AR145+AS145+AU145+AW145+AY145+BB145</f>
        <v>0</v>
      </c>
      <c r="BD145" s="32">
        <v>5</v>
      </c>
      <c r="BE145" s="50"/>
      <c r="BF145" s="50"/>
      <c r="BG145" s="32"/>
      <c r="BH145" s="50"/>
    </row>
    <row r="146" spans="1:60" ht="12.95" customHeight="1">
      <c r="A146" s="39"/>
      <c r="B146" s="40"/>
      <c r="C146" s="412"/>
      <c r="D146" s="40"/>
      <c r="E146" s="41"/>
      <c r="F146" s="41"/>
      <c r="G146" s="497"/>
      <c r="H146" s="43"/>
      <c r="I146" s="44"/>
      <c r="J146" s="81"/>
      <c r="K146" s="81"/>
      <c r="L146" s="34"/>
      <c r="M146" s="34"/>
      <c r="N146" s="45"/>
      <c r="O146" s="46"/>
      <c r="P146" s="47"/>
      <c r="Q146" s="46"/>
      <c r="R146" s="498"/>
      <c r="S146" s="498"/>
      <c r="T146" s="36"/>
      <c r="U146" s="36"/>
      <c r="V146" s="36"/>
      <c r="W146" s="36"/>
      <c r="X146" s="37"/>
      <c r="Y146" s="210"/>
      <c r="Z146" s="36"/>
      <c r="AA146" s="36"/>
      <c r="AB146" s="36"/>
      <c r="AC146" s="36">
        <f>K146-T146</f>
        <v>0</v>
      </c>
      <c r="AD146" s="36">
        <f>+AM146+BC146</f>
        <v>9</v>
      </c>
      <c r="AE146" s="228" t="s">
        <v>514</v>
      </c>
      <c r="AF146" s="36"/>
      <c r="AG146" s="36">
        <v>9</v>
      </c>
      <c r="AH146" s="36"/>
      <c r="AI146" s="36"/>
      <c r="AJ146" s="36"/>
      <c r="AK146" s="36"/>
      <c r="AL146" s="36"/>
      <c r="AM146" s="36">
        <f t="shared" si="269"/>
        <v>9</v>
      </c>
      <c r="AN146" s="82"/>
      <c r="AO146" s="36"/>
      <c r="AP146" s="36"/>
      <c r="AQ146" s="36"/>
      <c r="AR146" s="36">
        <f t="shared" ref="AR146:AR147" si="270">SUM(AN146:AQ146)</f>
        <v>0</v>
      </c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>
        <f>+AR146+AS146+AU146+AW146+AY146+BB146</f>
        <v>0</v>
      </c>
      <c r="BD146" s="49"/>
      <c r="BE146" s="50">
        <v>5</v>
      </c>
      <c r="BF146" s="50"/>
      <c r="BG146" s="49"/>
      <c r="BH146" s="50"/>
    </row>
    <row r="147" spans="1:60" ht="12.95" customHeight="1">
      <c r="A147" s="39"/>
      <c r="B147" s="40"/>
      <c r="C147" s="412"/>
      <c r="D147" s="40"/>
      <c r="E147" s="41"/>
      <c r="F147" s="41"/>
      <c r="G147" s="42"/>
      <c r="H147" s="43"/>
      <c r="I147" s="44"/>
      <c r="J147" s="81"/>
      <c r="K147" s="81"/>
      <c r="L147" s="34"/>
      <c r="M147" s="34"/>
      <c r="N147" s="45"/>
      <c r="O147" s="46"/>
      <c r="P147" s="47"/>
      <c r="Q147" s="46"/>
      <c r="R147" s="498"/>
      <c r="S147" s="498"/>
      <c r="T147" s="36"/>
      <c r="U147" s="36"/>
      <c r="V147" s="36"/>
      <c r="W147" s="36"/>
      <c r="X147" s="37"/>
      <c r="Y147" s="210"/>
      <c r="Z147" s="36"/>
      <c r="AA147" s="36"/>
      <c r="AB147" s="36"/>
      <c r="AC147" s="36"/>
      <c r="AD147" s="36">
        <f>+AM147+BC147</f>
        <v>36</v>
      </c>
      <c r="AE147" s="228" t="s">
        <v>686</v>
      </c>
      <c r="AF147" s="32"/>
      <c r="AG147" s="32"/>
      <c r="AH147" s="32">
        <v>36</v>
      </c>
      <c r="AI147" s="36"/>
      <c r="AJ147" s="36"/>
      <c r="AK147" s="36"/>
      <c r="AL147" s="36"/>
      <c r="AM147" s="36">
        <f t="shared" si="269"/>
        <v>36</v>
      </c>
      <c r="AN147" s="36"/>
      <c r="AO147" s="36"/>
      <c r="AP147" s="36"/>
      <c r="AQ147" s="36"/>
      <c r="AR147" s="36">
        <f t="shared" si="270"/>
        <v>0</v>
      </c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>
        <f>+AR147+AS147+AU147+AW147+AY147+BB147</f>
        <v>0</v>
      </c>
      <c r="BD147" s="32"/>
      <c r="BE147" s="501"/>
      <c r="BF147" s="501"/>
      <c r="BG147" s="32"/>
      <c r="BH147" s="501"/>
    </row>
    <row r="148" spans="1:60" ht="12.95" customHeight="1">
      <c r="A148" s="39"/>
      <c r="B148" s="40"/>
      <c r="C148" s="412"/>
      <c r="D148" s="40"/>
      <c r="E148" s="41"/>
      <c r="F148" s="41"/>
      <c r="G148" s="42"/>
      <c r="H148" s="43"/>
      <c r="I148" s="44"/>
      <c r="J148" s="81"/>
      <c r="K148" s="81"/>
      <c r="L148" s="34"/>
      <c r="M148" s="34"/>
      <c r="N148" s="45"/>
      <c r="O148" s="46"/>
      <c r="P148" s="47"/>
      <c r="Q148" s="46"/>
      <c r="R148" s="498"/>
      <c r="S148" s="498"/>
      <c r="T148" s="36"/>
      <c r="U148" s="36"/>
      <c r="V148" s="36"/>
      <c r="W148" s="36"/>
      <c r="X148" s="37"/>
      <c r="Y148" s="210"/>
      <c r="Z148" s="36"/>
      <c r="AA148" s="36"/>
      <c r="AB148" s="36"/>
      <c r="AC148" s="36"/>
      <c r="AD148" s="36">
        <f t="shared" ref="AD148" si="271">+AM148+BC148</f>
        <v>0</v>
      </c>
      <c r="AE148" s="231" t="s">
        <v>519</v>
      </c>
      <c r="AF148" s="32"/>
      <c r="AG148" s="32"/>
      <c r="AH148" s="32"/>
      <c r="AI148" s="36"/>
      <c r="AJ148" s="36"/>
      <c r="AK148" s="36"/>
      <c r="AL148" s="36"/>
      <c r="AM148" s="36">
        <f>SUM(AF148:AL148)+AT148+AV148+AX148+AZ148</f>
        <v>0</v>
      </c>
      <c r="AN148" s="36"/>
      <c r="AO148" s="36"/>
      <c r="AP148" s="36"/>
      <c r="AQ148" s="36"/>
      <c r="AR148" s="36">
        <f t="shared" ref="AR148" si="272">SUM(AN148:AQ148)</f>
        <v>0</v>
      </c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>
        <f>+AR148+AS148+AU148+AW148+AY148+BB148+BA148</f>
        <v>0</v>
      </c>
      <c r="BD148" s="32"/>
      <c r="BE148" s="501"/>
      <c r="BF148" s="501"/>
      <c r="BG148" s="32"/>
      <c r="BH148" s="501"/>
    </row>
    <row r="149" spans="1:60" ht="12.95" customHeight="1">
      <c r="A149" s="39"/>
      <c r="B149" s="40"/>
      <c r="C149" s="412"/>
      <c r="D149" s="40"/>
      <c r="E149" s="41"/>
      <c r="F149" s="41"/>
      <c r="G149" s="42"/>
      <c r="H149" s="43"/>
      <c r="I149" s="44"/>
      <c r="J149" s="81"/>
      <c r="K149" s="81"/>
      <c r="L149" s="34"/>
      <c r="M149" s="34"/>
      <c r="N149" s="45"/>
      <c r="O149" s="46"/>
      <c r="P149" s="47"/>
      <c r="Q149" s="33"/>
      <c r="R149" s="498"/>
      <c r="S149" s="498"/>
      <c r="T149" s="36"/>
      <c r="U149" s="36"/>
      <c r="V149" s="36"/>
      <c r="W149" s="36"/>
      <c r="X149" s="37"/>
      <c r="Y149" s="210"/>
      <c r="Z149" s="36"/>
      <c r="AA149" s="36"/>
      <c r="AB149" s="36"/>
      <c r="AC149" s="36"/>
      <c r="AD149" s="36"/>
      <c r="AE149" s="231"/>
      <c r="AF149" s="36"/>
      <c r="AG149" s="36"/>
      <c r="AH149" s="36"/>
      <c r="AI149" s="500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49"/>
      <c r="BE149" s="50"/>
      <c r="BF149" s="50"/>
      <c r="BG149" s="50"/>
      <c r="BH149" s="50"/>
    </row>
    <row r="150" spans="1:60" ht="12.75" customHeight="1">
      <c r="A150" s="39">
        <v>46051</v>
      </c>
      <c r="B150" s="40" t="s">
        <v>410</v>
      </c>
      <c r="C150" s="412">
        <f t="shared" ref="C150:C151" si="273">(M150*E150*O150*Q150)/100000000</f>
        <v>6.9333888000000004</v>
      </c>
      <c r="D150" s="40" t="s">
        <v>302</v>
      </c>
      <c r="E150" s="41">
        <v>13</v>
      </c>
      <c r="F150" s="41">
        <v>1</v>
      </c>
      <c r="G150" s="574">
        <f>+L150</f>
        <v>680</v>
      </c>
      <c r="H150" s="575">
        <f>+N150</f>
        <v>0.2400000000000001</v>
      </c>
      <c r="I150" s="44">
        <v>0.88</v>
      </c>
      <c r="J150" s="81">
        <f t="shared" ref="J150:J151" si="274">E150*G150*(1-H150)*1440/1000000*2.74</f>
        <v>26.508119039999997</v>
      </c>
      <c r="K150" s="81">
        <f t="shared" ref="K150:K151" si="275">(IF(G150&lt;L150,L150,G150)*(1-IF(H150&lt;N150,H150,N150))*E150*O150*Q150)/100000000</f>
        <v>6.9333888000000004</v>
      </c>
      <c r="L150" s="34">
        <v>680</v>
      </c>
      <c r="M150" s="34">
        <v>516.79999999999995</v>
      </c>
      <c r="N150" s="45">
        <f t="shared" ref="N150:N151" si="276">1-(M150/L150)</f>
        <v>0.2400000000000001</v>
      </c>
      <c r="O150" s="46">
        <f>+'Trim Rwd'!H83</f>
        <v>258</v>
      </c>
      <c r="P150" s="47">
        <f t="shared" ref="P150:P151" si="277">O150*(Q150-R150-S150)</f>
        <v>98556</v>
      </c>
      <c r="Q150" s="46">
        <v>400</v>
      </c>
      <c r="R150" s="498">
        <v>0</v>
      </c>
      <c r="S150" s="498">
        <f>69-51</f>
        <v>18</v>
      </c>
      <c r="T150" s="36">
        <f t="shared" ref="T150" si="278">E150*M150*O150*Q150/100000000</f>
        <v>6.9333888000000004</v>
      </c>
      <c r="U150" s="36">
        <f t="shared" ref="U150:U151" si="279">E150*M150*O150*(Q150-R150-S150)/100000000</f>
        <v>6.6213863039999996</v>
      </c>
      <c r="V150" s="36">
        <f t="shared" ref="V150:V151" si="280">E150*G150*(1-N150)*O150/100*(R150+S150)/1000000</f>
        <v>0.31200249599999996</v>
      </c>
      <c r="W150" s="36">
        <f>+'29'!K7/1000</f>
        <v>9.7639999999999993</v>
      </c>
      <c r="X150" s="499">
        <f>SUM(W150:W154)/SUM(K150:K154)</f>
        <v>1.0435904223830543</v>
      </c>
      <c r="Y150" s="210">
        <v>0</v>
      </c>
      <c r="Z150" s="36">
        <v>0</v>
      </c>
      <c r="AA150" s="48">
        <f>SUM(U150:U154)-SUM(W150:W154)-SUM(Z150:Z154)-SUM(Y150:Y154)</f>
        <v>-2.1964843421538482</v>
      </c>
      <c r="AB150" s="48">
        <f>(SUM(K150:K154)-SUM(W150:W154)-SUM(Y150:Y154)-SUM(Z150:Z154)-SUM(AC150:AC154)-SUM(V150:V154))-AA150</f>
        <v>0</v>
      </c>
      <c r="AC150" s="36">
        <f>K150-T150</f>
        <v>0</v>
      </c>
      <c r="AD150" s="36">
        <f>+AM150+BC150</f>
        <v>18</v>
      </c>
      <c r="AE150" s="228" t="s">
        <v>429</v>
      </c>
      <c r="AF150" s="36">
        <v>18</v>
      </c>
      <c r="AG150" s="36"/>
      <c r="AH150" s="36"/>
      <c r="AI150" s="36"/>
      <c r="AJ150" s="36"/>
      <c r="AK150" s="36"/>
      <c r="AL150" s="36"/>
      <c r="AM150" s="36">
        <f t="shared" ref="AM150:AM152" si="281">SUM(AF150:AL150)+AT150+AV150+AX150</f>
        <v>18</v>
      </c>
      <c r="AN150" s="36"/>
      <c r="AO150" s="36"/>
      <c r="AP150" s="36"/>
      <c r="AQ150" s="36"/>
      <c r="AR150" s="36">
        <f>SUM(AN150:AQ150)</f>
        <v>0</v>
      </c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>
        <f>+AR150+AS150+AU150+AW150+AY150+BB150</f>
        <v>0</v>
      </c>
      <c r="BD150" s="32">
        <v>6</v>
      </c>
      <c r="BE150" s="50"/>
      <c r="BF150" s="50"/>
      <c r="BG150" s="32"/>
      <c r="BH150" s="50"/>
    </row>
    <row r="151" spans="1:60" ht="12.95" customHeight="1">
      <c r="A151" s="39"/>
      <c r="B151" s="40" t="s">
        <v>410</v>
      </c>
      <c r="C151" s="412">
        <f t="shared" si="273"/>
        <v>19.986176</v>
      </c>
      <c r="D151" s="40" t="s">
        <v>302</v>
      </c>
      <c r="E151" s="41">
        <v>12.5</v>
      </c>
      <c r="F151" s="41">
        <v>1</v>
      </c>
      <c r="G151" s="574">
        <f>+L151</f>
        <v>790.19230769230774</v>
      </c>
      <c r="H151" s="575">
        <f>+N151</f>
        <v>0.24</v>
      </c>
      <c r="I151" s="44">
        <v>0.88</v>
      </c>
      <c r="J151" s="81">
        <f t="shared" si="274"/>
        <v>29.618936307692312</v>
      </c>
      <c r="K151" s="81">
        <f t="shared" si="275"/>
        <v>19.986176</v>
      </c>
      <c r="L151" s="34">
        <v>790.19230769230774</v>
      </c>
      <c r="M151" s="34">
        <v>600.54615384615386</v>
      </c>
      <c r="N151" s="45">
        <f t="shared" si="276"/>
        <v>0.24</v>
      </c>
      <c r="O151" s="46">
        <f>+'Trim Rwd'!H84</f>
        <v>256</v>
      </c>
      <c r="P151" s="47">
        <f t="shared" si="277"/>
        <v>256768</v>
      </c>
      <c r="Q151" s="46">
        <v>1040</v>
      </c>
      <c r="R151" s="498">
        <v>0</v>
      </c>
      <c r="S151" s="498">
        <f>537-500</f>
        <v>37</v>
      </c>
      <c r="T151" s="36">
        <f>E151*M151*O151*Q151/100000000</f>
        <v>19.986176</v>
      </c>
      <c r="U151" s="36">
        <f t="shared" si="279"/>
        <v>19.275129353846154</v>
      </c>
      <c r="V151" s="36">
        <f t="shared" si="280"/>
        <v>0.71104664615384616</v>
      </c>
      <c r="W151" s="36">
        <f>+'29'!K15/1000</f>
        <v>18.329000000000001</v>
      </c>
      <c r="X151" s="37"/>
      <c r="Y151" s="210"/>
      <c r="Z151" s="36"/>
      <c r="AA151" s="36"/>
      <c r="AB151" s="36"/>
      <c r="AC151" s="36">
        <f>K151-T151</f>
        <v>0</v>
      </c>
      <c r="AD151" s="36">
        <f>+AM151+BC151</f>
        <v>0</v>
      </c>
      <c r="AE151" s="228" t="s">
        <v>427</v>
      </c>
      <c r="AF151" s="36"/>
      <c r="AG151" s="36">
        <v>0</v>
      </c>
      <c r="AH151" s="36"/>
      <c r="AI151" s="36"/>
      <c r="AJ151" s="36"/>
      <c r="AK151" s="36"/>
      <c r="AL151" s="36"/>
      <c r="AM151" s="36">
        <f t="shared" si="281"/>
        <v>0</v>
      </c>
      <c r="AN151" s="82"/>
      <c r="AO151" s="36"/>
      <c r="AP151" s="36"/>
      <c r="AQ151" s="36"/>
      <c r="AR151" s="36">
        <f t="shared" ref="AR151:AR152" si="282">SUM(AN151:AQ151)</f>
        <v>0</v>
      </c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>
        <f>+AR151+AS151+AU151+AW151+AY151+BB151</f>
        <v>0</v>
      </c>
      <c r="BD151" s="49"/>
      <c r="BE151" s="50">
        <v>0</v>
      </c>
      <c r="BF151" s="50"/>
      <c r="BG151" s="49"/>
      <c r="BH151" s="50"/>
    </row>
    <row r="152" spans="1:60" ht="12.95" customHeight="1">
      <c r="A152" s="39"/>
      <c r="B152" s="40"/>
      <c r="C152" s="412"/>
      <c r="D152" s="40"/>
      <c r="E152" s="41"/>
      <c r="F152" s="41"/>
      <c r="G152" s="42"/>
      <c r="H152" s="43"/>
      <c r="I152" s="44"/>
      <c r="J152" s="81"/>
      <c r="K152" s="81"/>
      <c r="L152" s="34"/>
      <c r="M152" s="34"/>
      <c r="N152" s="45"/>
      <c r="O152" s="46"/>
      <c r="P152" s="47"/>
      <c r="Q152" s="46"/>
      <c r="R152" s="498"/>
      <c r="S152" s="498"/>
      <c r="T152" s="36"/>
      <c r="U152" s="36"/>
      <c r="V152" s="36"/>
      <c r="W152" s="36"/>
      <c r="X152" s="37"/>
      <c r="Y152" s="210"/>
      <c r="Z152" s="36"/>
      <c r="AA152" s="36"/>
      <c r="AB152" s="36"/>
      <c r="AC152" s="36"/>
      <c r="AD152" s="36">
        <f>+AM152+BC152</f>
        <v>37</v>
      </c>
      <c r="AE152" s="228" t="s">
        <v>631</v>
      </c>
      <c r="AF152" s="32"/>
      <c r="AG152" s="32"/>
      <c r="AH152" s="32">
        <v>37</v>
      </c>
      <c r="AI152" s="36"/>
      <c r="AJ152" s="36"/>
      <c r="AK152" s="36"/>
      <c r="AL152" s="36"/>
      <c r="AM152" s="36">
        <f t="shared" si="281"/>
        <v>37</v>
      </c>
      <c r="AN152" s="36"/>
      <c r="AO152" s="36"/>
      <c r="AP152" s="36"/>
      <c r="AQ152" s="36"/>
      <c r="AR152" s="36">
        <f t="shared" si="282"/>
        <v>0</v>
      </c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>
        <f>+AR152+AS152+AU152+AW152+AY152+BB152</f>
        <v>0</v>
      </c>
      <c r="BD152" s="32"/>
      <c r="BE152" s="501"/>
      <c r="BF152" s="501"/>
      <c r="BG152" s="32"/>
      <c r="BH152" s="501"/>
    </row>
    <row r="153" spans="1:60" ht="12.95" customHeight="1">
      <c r="A153" s="39"/>
      <c r="B153" s="40"/>
      <c r="C153" s="412"/>
      <c r="D153" s="40"/>
      <c r="E153" s="41"/>
      <c r="F153" s="41"/>
      <c r="G153" s="42"/>
      <c r="H153" s="43"/>
      <c r="I153" s="44"/>
      <c r="J153" s="81"/>
      <c r="K153" s="81"/>
      <c r="L153" s="34"/>
      <c r="M153" s="34"/>
      <c r="N153" s="45"/>
      <c r="O153" s="46"/>
      <c r="P153" s="47"/>
      <c r="Q153" s="46"/>
      <c r="R153" s="498"/>
      <c r="S153" s="498"/>
      <c r="T153" s="36"/>
      <c r="U153" s="36"/>
      <c r="V153" s="36"/>
      <c r="W153" s="36"/>
      <c r="X153" s="37"/>
      <c r="Y153" s="210"/>
      <c r="Z153" s="36"/>
      <c r="AA153" s="36"/>
      <c r="AB153" s="36"/>
      <c r="AC153" s="36"/>
      <c r="AD153" s="36">
        <f t="shared" ref="AD153" si="283">+AM153+BC153</f>
        <v>0</v>
      </c>
      <c r="AE153" s="231" t="s">
        <v>519</v>
      </c>
      <c r="AF153" s="32"/>
      <c r="AG153" s="32"/>
      <c r="AH153" s="32"/>
      <c r="AI153" s="36"/>
      <c r="AJ153" s="36"/>
      <c r="AK153" s="36"/>
      <c r="AL153" s="36"/>
      <c r="AM153" s="36">
        <f>SUM(AF153:AL153)+AT153+AV153+AX153+AZ153</f>
        <v>0</v>
      </c>
      <c r="AN153" s="36"/>
      <c r="AO153" s="36"/>
      <c r="AP153" s="36"/>
      <c r="AQ153" s="36"/>
      <c r="AR153" s="36">
        <f t="shared" ref="AR153" si="284">SUM(AN153:AQ153)</f>
        <v>0</v>
      </c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>
        <f>+AR153+AS153+AU153+AW153+AY153+BB153+BA153</f>
        <v>0</v>
      </c>
      <c r="BD153" s="32"/>
      <c r="BE153" s="501"/>
      <c r="BF153" s="501"/>
      <c r="BG153" s="32"/>
      <c r="BH153" s="501"/>
    </row>
    <row r="154" spans="1:60" ht="12.95" customHeight="1">
      <c r="A154" s="39"/>
      <c r="B154" s="40"/>
      <c r="C154" s="412"/>
      <c r="D154" s="40"/>
      <c r="E154" s="41"/>
      <c r="F154" s="41"/>
      <c r="G154" s="42"/>
      <c r="H154" s="43"/>
      <c r="I154" s="44"/>
      <c r="J154" s="81"/>
      <c r="K154" s="81"/>
      <c r="L154" s="34"/>
      <c r="M154" s="34"/>
      <c r="N154" s="45"/>
      <c r="O154" s="46"/>
      <c r="P154" s="47"/>
      <c r="Q154" s="33"/>
      <c r="R154" s="498"/>
      <c r="S154" s="498"/>
      <c r="T154" s="36"/>
      <c r="U154" s="36"/>
      <c r="V154" s="36"/>
      <c r="W154" s="36"/>
      <c r="X154" s="37"/>
      <c r="Y154" s="210"/>
      <c r="Z154" s="36"/>
      <c r="AA154" s="36"/>
      <c r="AB154" s="36"/>
      <c r="AC154" s="36"/>
      <c r="AD154" s="36"/>
      <c r="AE154" s="231"/>
      <c r="AF154" s="36"/>
      <c r="AG154" s="36"/>
      <c r="AH154" s="36"/>
      <c r="AI154" s="500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49"/>
      <c r="BE154" s="50"/>
      <c r="BF154" s="50"/>
      <c r="BG154" s="50"/>
      <c r="BH154" s="50"/>
    </row>
    <row r="155" spans="1:60" ht="12.75" customHeight="1">
      <c r="A155" s="39">
        <v>46052</v>
      </c>
      <c r="B155" s="40" t="s">
        <v>410</v>
      </c>
      <c r="C155" s="412">
        <f t="shared" ref="C155" si="285">(M155*E155*O155*Q155)/100000000</f>
        <v>35.210912914285714</v>
      </c>
      <c r="D155" s="40" t="s">
        <v>302</v>
      </c>
      <c r="E155" s="41">
        <v>12.5</v>
      </c>
      <c r="F155" s="41">
        <v>1</v>
      </c>
      <c r="G155" s="574">
        <f>+L155</f>
        <v>1005.4285714285714</v>
      </c>
      <c r="H155" s="575">
        <f>+N155</f>
        <v>0.24</v>
      </c>
      <c r="I155" s="44">
        <v>0.88</v>
      </c>
      <c r="J155" s="81">
        <f t="shared" ref="J155" si="286">E155*G155*(1-H155)*1440/1000000*2.74</f>
        <v>37.686680228571433</v>
      </c>
      <c r="K155" s="81">
        <f t="shared" ref="K155" si="287">(IF(G155&lt;L155,L155,G155)*(1-IF(H155&lt;N155,H155,N155))*E155*O155*Q155)/100000000</f>
        <v>35.210912914285714</v>
      </c>
      <c r="L155" s="34">
        <v>1005.4285714285714</v>
      </c>
      <c r="M155" s="34">
        <v>764.12571428571425</v>
      </c>
      <c r="N155" s="45">
        <f t="shared" ref="N155" si="288">1-(M155/L155)</f>
        <v>0.24</v>
      </c>
      <c r="O155" s="46">
        <f>+'Trim Rwd'!H86</f>
        <v>256</v>
      </c>
      <c r="P155" s="47">
        <f t="shared" ref="P155" si="289">O155*(Q155-R155-S155)</f>
        <v>345344</v>
      </c>
      <c r="Q155" s="46">
        <v>1440</v>
      </c>
      <c r="R155" s="498">
        <v>40</v>
      </c>
      <c r="S155" s="498">
        <f>308-257</f>
        <v>51</v>
      </c>
      <c r="T155" s="36">
        <f t="shared" ref="T155" si="290">E155*M155*O155*Q155/100000000</f>
        <v>35.210912914285714</v>
      </c>
      <c r="U155" s="36">
        <f t="shared" ref="U155" si="291">E155*M155*O155*(Q155-R155-S155)/100000000</f>
        <v>32.985778834285711</v>
      </c>
      <c r="V155" s="36">
        <f t="shared" ref="V155" si="292">E155*G155*(1-N155)*O155/100*(R155+S155)/1000000</f>
        <v>2.2251340800000001</v>
      </c>
      <c r="W155" s="36">
        <f>+'30'!K15/1000</f>
        <v>33.451999999999998</v>
      </c>
      <c r="X155" s="499">
        <f>SUM(W155:W160)/SUM(K155:K160)</f>
        <v>0.95004637003966763</v>
      </c>
      <c r="Y155" s="210">
        <v>0</v>
      </c>
      <c r="Z155" s="36">
        <v>0</v>
      </c>
      <c r="AA155" s="48">
        <f>SUM(U155:U160)-SUM(W155:W160)-SUM(Z155:Z160)-SUM(Y155:Y160)</f>
        <v>-0.46622116571428762</v>
      </c>
      <c r="AB155" s="48">
        <f>(SUM(K155:K160)-SUM(W155:W160)-SUM(Y155:Y160)-SUM(Z155:Z160)-SUM(AC155:AC160)-SUM(V155:V160))-AA155</f>
        <v>3.5527136788005009E-15</v>
      </c>
      <c r="AC155" s="36">
        <f>K155-T155</f>
        <v>0</v>
      </c>
      <c r="AD155" s="36">
        <f>+AM155+BC155</f>
        <v>18</v>
      </c>
      <c r="AE155" s="228" t="s">
        <v>429</v>
      </c>
      <c r="AF155" s="36">
        <v>18</v>
      </c>
      <c r="AG155" s="36"/>
      <c r="AH155" s="36"/>
      <c r="AI155" s="36"/>
      <c r="AJ155" s="36"/>
      <c r="AK155" s="47"/>
      <c r="AL155" s="36"/>
      <c r="AM155" s="36">
        <f t="shared" ref="AM155:AM157" si="293">SUM(AF155:AL155)+AT155+AV155+AX155</f>
        <v>18</v>
      </c>
      <c r="AN155" s="36"/>
      <c r="AO155" s="36"/>
      <c r="AP155" s="36"/>
      <c r="AQ155" s="36"/>
      <c r="AR155" s="36">
        <f>SUM(AN155:AQ155)</f>
        <v>0</v>
      </c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>
        <f>+AR155+AS155+AU155+AW155+AY155+BB155</f>
        <v>0</v>
      </c>
      <c r="BD155" s="32">
        <v>6</v>
      </c>
      <c r="BE155" s="50"/>
      <c r="BF155" s="50"/>
      <c r="BG155" s="32"/>
      <c r="BH155" s="50"/>
    </row>
    <row r="156" spans="1:60" ht="12.95" customHeight="1">
      <c r="A156" s="39"/>
      <c r="B156" s="40"/>
      <c r="C156" s="412"/>
      <c r="D156" s="40"/>
      <c r="E156" s="41"/>
      <c r="F156" s="41"/>
      <c r="G156" s="42"/>
      <c r="H156" s="43"/>
      <c r="I156" s="44"/>
      <c r="J156" s="81"/>
      <c r="K156" s="81"/>
      <c r="L156" s="34"/>
      <c r="M156" s="34"/>
      <c r="N156" s="45"/>
      <c r="O156" s="46"/>
      <c r="Q156" s="46"/>
      <c r="R156" s="498"/>
      <c r="S156" s="498"/>
      <c r="T156" s="36"/>
      <c r="U156" s="36"/>
      <c r="V156" s="36"/>
      <c r="W156" s="36"/>
      <c r="X156" s="37"/>
      <c r="Y156" s="210"/>
      <c r="Z156" s="36"/>
      <c r="AA156" s="36"/>
      <c r="AB156" s="36"/>
      <c r="AC156" s="36">
        <f>K156-T156</f>
        <v>0</v>
      </c>
      <c r="AD156" s="36">
        <f>+AM156+BC156</f>
        <v>0</v>
      </c>
      <c r="AE156" s="228" t="s">
        <v>427</v>
      </c>
      <c r="AF156" s="36"/>
      <c r="AG156" s="36">
        <v>0</v>
      </c>
      <c r="AH156" s="36"/>
      <c r="AI156" s="36"/>
      <c r="AJ156" s="36"/>
      <c r="AK156" s="36"/>
      <c r="AL156" s="36"/>
      <c r="AM156" s="36">
        <f t="shared" si="293"/>
        <v>0</v>
      </c>
      <c r="AN156" s="82"/>
      <c r="AO156" s="36"/>
      <c r="AP156" s="36"/>
      <c r="AQ156" s="36"/>
      <c r="AR156" s="36">
        <f t="shared" ref="AR156:AR157" si="294">SUM(AN156:AQ156)</f>
        <v>0</v>
      </c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>
        <f>+AR156+AS156+AU156+AW156+AY156+BB156</f>
        <v>0</v>
      </c>
      <c r="BD156" s="49"/>
      <c r="BE156" s="50">
        <v>0</v>
      </c>
      <c r="BF156" s="50"/>
      <c r="BG156" s="49"/>
      <c r="BH156" s="50"/>
    </row>
    <row r="157" spans="1:60" ht="12.95" customHeight="1">
      <c r="A157" s="39"/>
      <c r="B157" s="40"/>
      <c r="C157" s="412"/>
      <c r="D157" s="40"/>
      <c r="E157" s="41"/>
      <c r="F157" s="41"/>
      <c r="G157" s="42"/>
      <c r="H157" s="43"/>
      <c r="I157" s="44"/>
      <c r="J157" s="81"/>
      <c r="K157" s="81"/>
      <c r="L157" s="34"/>
      <c r="M157" s="34"/>
      <c r="N157" s="45"/>
      <c r="O157" s="46"/>
      <c r="P157" s="47"/>
      <c r="Q157" s="46"/>
      <c r="R157" s="498"/>
      <c r="S157" s="498"/>
      <c r="T157" s="36"/>
      <c r="U157" s="36"/>
      <c r="V157" s="36"/>
      <c r="W157" s="36"/>
      <c r="X157" s="37"/>
      <c r="Y157" s="210"/>
      <c r="Z157" s="36"/>
      <c r="AA157" s="36"/>
      <c r="AB157" s="36"/>
      <c r="AC157" s="36"/>
      <c r="AD157" s="36">
        <f>+AM157+BC157</f>
        <v>33</v>
      </c>
      <c r="AE157" s="228" t="s">
        <v>676</v>
      </c>
      <c r="AF157" s="32"/>
      <c r="AG157" s="32"/>
      <c r="AH157" s="32">
        <v>33</v>
      </c>
      <c r="AI157" s="36"/>
      <c r="AJ157" s="36"/>
      <c r="AK157" s="36"/>
      <c r="AL157" s="36"/>
      <c r="AM157" s="36">
        <f t="shared" si="293"/>
        <v>33</v>
      </c>
      <c r="AN157" s="36"/>
      <c r="AO157" s="36"/>
      <c r="AP157" s="36"/>
      <c r="AQ157" s="36"/>
      <c r="AR157" s="36">
        <f t="shared" si="294"/>
        <v>0</v>
      </c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>
        <f>+AR157+AS157+AU157+AW157+AY157+BB157</f>
        <v>0</v>
      </c>
      <c r="BD157" s="32"/>
      <c r="BE157" s="501"/>
      <c r="BF157" s="501"/>
      <c r="BG157" s="32"/>
      <c r="BH157" s="501"/>
    </row>
    <row r="158" spans="1:60" ht="12.95" customHeight="1">
      <c r="A158" s="39"/>
      <c r="B158" s="40"/>
      <c r="C158" s="412"/>
      <c r="D158" s="40"/>
      <c r="E158" s="41"/>
      <c r="F158" s="41"/>
      <c r="G158" s="42"/>
      <c r="H158" s="43"/>
      <c r="I158" s="44"/>
      <c r="J158" s="81"/>
      <c r="K158" s="81"/>
      <c r="L158" s="34"/>
      <c r="M158" s="34"/>
      <c r="N158" s="45"/>
      <c r="O158" s="46"/>
      <c r="P158" s="47"/>
      <c r="Q158" s="46"/>
      <c r="R158" s="498"/>
      <c r="S158" s="498"/>
      <c r="T158" s="36"/>
      <c r="U158" s="36"/>
      <c r="V158" s="36"/>
      <c r="W158" s="36"/>
      <c r="X158" s="37"/>
      <c r="Y158" s="210"/>
      <c r="Z158" s="36"/>
      <c r="AA158" s="36"/>
      <c r="AB158" s="36"/>
      <c r="AC158" s="36"/>
      <c r="AD158" s="36">
        <f>+AM158+BC158</f>
        <v>40</v>
      </c>
      <c r="AE158" s="228" t="s">
        <v>716</v>
      </c>
      <c r="AF158" s="32"/>
      <c r="AG158" s="32"/>
      <c r="AH158" s="32"/>
      <c r="AI158" s="36"/>
      <c r="AJ158" s="36"/>
      <c r="AK158" s="36"/>
      <c r="AL158" s="36"/>
      <c r="AM158" s="36">
        <f t="shared" ref="AM158" si="295">SUM(AF158:AL158)+AT158+AV158+AX158</f>
        <v>0</v>
      </c>
      <c r="AN158" s="36"/>
      <c r="AO158" s="36"/>
      <c r="AP158" s="36">
        <v>40</v>
      </c>
      <c r="AQ158" s="36"/>
      <c r="AR158" s="36">
        <f t="shared" ref="AR158" si="296">SUM(AN158:AQ158)</f>
        <v>40</v>
      </c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>
        <f>+AR158+AS158+AU158+AW158+AY158+BB158</f>
        <v>40</v>
      </c>
      <c r="BD158" s="32"/>
      <c r="BE158" s="501"/>
      <c r="BF158" s="501"/>
      <c r="BG158" s="32"/>
      <c r="BH158" s="501"/>
    </row>
    <row r="159" spans="1:60" ht="12.95" customHeight="1">
      <c r="A159" s="39"/>
      <c r="B159" s="40"/>
      <c r="C159" s="412"/>
      <c r="D159" s="40"/>
      <c r="E159" s="41"/>
      <c r="F159" s="41"/>
      <c r="G159" s="42"/>
      <c r="H159" s="43"/>
      <c r="I159" s="44"/>
      <c r="J159" s="81"/>
      <c r="K159" s="81"/>
      <c r="L159" s="34"/>
      <c r="M159" s="34"/>
      <c r="N159" s="45"/>
      <c r="O159" s="46"/>
      <c r="P159" s="47"/>
      <c r="Q159" s="46"/>
      <c r="R159" s="498"/>
      <c r="S159" s="498"/>
      <c r="T159" s="36"/>
      <c r="U159" s="36"/>
      <c r="V159" s="36"/>
      <c r="W159" s="36"/>
      <c r="X159" s="37"/>
      <c r="Y159" s="210"/>
      <c r="Z159" s="36"/>
      <c r="AA159" s="36"/>
      <c r="AB159" s="36"/>
      <c r="AC159" s="36"/>
      <c r="AD159" s="36">
        <f t="shared" ref="AD159" si="297">+AM159+BC159</f>
        <v>0</v>
      </c>
      <c r="AE159" s="231" t="s">
        <v>519</v>
      </c>
      <c r="AF159" s="32"/>
      <c r="AG159" s="32"/>
      <c r="AH159" s="32"/>
      <c r="AI159" s="36"/>
      <c r="AJ159" s="36"/>
      <c r="AK159" s="36"/>
      <c r="AL159" s="36"/>
      <c r="AM159" s="36">
        <f>SUM(AF159:AL159)+AT159+AV159+AX159+AZ159</f>
        <v>0</v>
      </c>
      <c r="AN159" s="36"/>
      <c r="AO159" s="36"/>
      <c r="AP159" s="36"/>
      <c r="AQ159" s="36"/>
      <c r="AR159" s="36">
        <f t="shared" ref="AR159" si="298">SUM(AN159:AQ159)</f>
        <v>0</v>
      </c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>
        <f>+AR159+AS159+AU159+AW159+AY159+BB159+BA159</f>
        <v>0</v>
      </c>
      <c r="BD159" s="32"/>
      <c r="BE159" s="501"/>
      <c r="BF159" s="501"/>
      <c r="BG159" s="32"/>
      <c r="BH159" s="501"/>
    </row>
    <row r="160" spans="1:60" ht="12.95" customHeight="1">
      <c r="A160" s="39"/>
      <c r="B160" s="40"/>
      <c r="C160" s="412"/>
      <c r="D160" s="40"/>
      <c r="E160" s="41"/>
      <c r="F160" s="41"/>
      <c r="G160" s="42"/>
      <c r="H160" s="43"/>
      <c r="I160" s="44"/>
      <c r="J160" s="81"/>
      <c r="K160" s="81"/>
      <c r="L160" s="34"/>
      <c r="M160" s="34"/>
      <c r="N160" s="45"/>
      <c r="O160" s="46"/>
      <c r="P160" s="47"/>
      <c r="Q160" s="33"/>
      <c r="R160" s="498"/>
      <c r="S160" s="498"/>
      <c r="T160" s="36"/>
      <c r="U160" s="36"/>
      <c r="V160" s="36"/>
      <c r="W160" s="36"/>
      <c r="X160" s="37"/>
      <c r="Y160" s="210"/>
      <c r="Z160" s="36"/>
      <c r="AA160" s="36"/>
      <c r="AB160" s="36"/>
      <c r="AC160" s="36"/>
      <c r="AD160" s="36"/>
      <c r="AE160" s="231"/>
      <c r="AF160" s="36"/>
      <c r="AG160" s="36"/>
      <c r="AH160" s="36"/>
      <c r="AI160" s="500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49"/>
      <c r="BE160" s="50"/>
      <c r="BF160" s="50"/>
      <c r="BG160" s="50"/>
      <c r="BH160" s="50"/>
    </row>
    <row r="161" spans="1:60" ht="12.75" customHeight="1">
      <c r="A161" s="39">
        <v>46053</v>
      </c>
      <c r="B161" s="40" t="s">
        <v>410</v>
      </c>
      <c r="C161" s="412">
        <f t="shared" ref="C161:C162" si="299">(M161*E161*O161*Q161)/100000000</f>
        <v>24.7684608</v>
      </c>
      <c r="D161" s="40" t="s">
        <v>302</v>
      </c>
      <c r="E161" s="41">
        <v>12.5</v>
      </c>
      <c r="F161" s="41">
        <v>1</v>
      </c>
      <c r="G161" s="574">
        <v>1230</v>
      </c>
      <c r="H161" s="575">
        <f>+N161</f>
        <v>0.24</v>
      </c>
      <c r="I161" s="44">
        <v>0.88</v>
      </c>
      <c r="J161" s="81">
        <f t="shared" ref="J161:J162" si="300">E161*G161*(1-H161)*1440/1000000*2.74</f>
        <v>46.104336000000004</v>
      </c>
      <c r="K161" s="81">
        <f t="shared" ref="K161:K162" si="301">(IF(G161&lt;L161,L161,G161)*(1-IF(H161&lt;N161,H161,N161))*E161*O161*Q161)/100000000</f>
        <v>24.7684608</v>
      </c>
      <c r="L161" s="34">
        <v>1230</v>
      </c>
      <c r="M161" s="34">
        <v>934.8</v>
      </c>
      <c r="N161" s="45">
        <f t="shared" ref="N161:N162" si="302">1-(M161/L161)</f>
        <v>0.24</v>
      </c>
      <c r="O161" s="46">
        <f>+'Trim Rwd'!H88</f>
        <v>256</v>
      </c>
      <c r="P161" s="47">
        <f t="shared" ref="P161:P162" si="303">O161*(Q161-R161-S161)</f>
        <v>176128</v>
      </c>
      <c r="Q161" s="46">
        <f>731+97</f>
        <v>828</v>
      </c>
      <c r="R161" s="498">
        <v>97</v>
      </c>
      <c r="S161" s="498">
        <v>43</v>
      </c>
      <c r="T161" s="36">
        <f t="shared" ref="T161:T162" si="304">E161*M161*O161*Q161/100000000</f>
        <v>24.7684608</v>
      </c>
      <c r="U161" s="36">
        <f t="shared" ref="U161:U162" si="305">E161*M161*O161*(Q161-R161-S161)/100000000</f>
        <v>20.5805568</v>
      </c>
      <c r="V161" s="36">
        <f t="shared" ref="V161:V162" si="306">E161*G161*(1-N161)*O161/100*(R161+S161)/1000000</f>
        <v>4.1879039999999996</v>
      </c>
      <c r="W161" s="36">
        <f>+'31'!K15/1000</f>
        <v>23.754000000000001</v>
      </c>
      <c r="X161" s="499">
        <f>SUM(W161:W165)/SUM(K161:K165)</f>
        <v>0.84436885210724499</v>
      </c>
      <c r="Y161" s="210">
        <f>+SUM(RBP!AG3:AG4)</f>
        <v>4.0600000000000005</v>
      </c>
      <c r="Z161" s="36">
        <v>0</v>
      </c>
      <c r="AA161" s="48">
        <f>SUM(U161:U165)-SUM(W161:W165)-SUM(Z161:Z165)-SUM(Y161:Y165)</f>
        <v>-2.6577475839999973</v>
      </c>
      <c r="AB161" s="48">
        <f>(SUM(K161:K165)-SUM(W161:W165)-SUM(Y161:Y165)-SUM(Z161:Z165)-SUM(AC161:AC165)-SUM(V161:V165))-AA161</f>
        <v>-1.517568000000491E-2</v>
      </c>
      <c r="AC161" s="36">
        <f>K161-T161</f>
        <v>0</v>
      </c>
      <c r="AD161" s="36">
        <f>+AM161+BC161</f>
        <v>27</v>
      </c>
      <c r="AE161" s="228" t="s">
        <v>464</v>
      </c>
      <c r="AF161" s="36">
        <v>27</v>
      </c>
      <c r="AG161" s="36"/>
      <c r="AH161" s="36"/>
      <c r="AI161" s="36"/>
      <c r="AJ161" s="36"/>
      <c r="AK161" s="36"/>
      <c r="AL161" s="36"/>
      <c r="AM161" s="36">
        <f t="shared" ref="AM161:AM163" si="307">SUM(AF161:AL161)+AT161+AV161+AX161</f>
        <v>27</v>
      </c>
      <c r="AN161" s="36"/>
      <c r="AO161" s="36"/>
      <c r="AP161" s="36"/>
      <c r="AQ161" s="36"/>
      <c r="AR161" s="36">
        <f>SUM(AN161:AQ161)</f>
        <v>0</v>
      </c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>
        <f>+AR161+AS161+AU161+AW161+AY161+BB161</f>
        <v>0</v>
      </c>
      <c r="BD161" s="32">
        <v>9</v>
      </c>
      <c r="BE161" s="50"/>
      <c r="BF161" s="50"/>
      <c r="BG161" s="32"/>
      <c r="BH161" s="50"/>
    </row>
    <row r="162" spans="1:60" ht="12.95" customHeight="1">
      <c r="A162" s="39"/>
      <c r="B162" s="40" t="s">
        <v>447</v>
      </c>
      <c r="C162" s="412">
        <f t="shared" si="299"/>
        <v>18.729824256000001</v>
      </c>
      <c r="D162" s="40" t="s">
        <v>302</v>
      </c>
      <c r="E162" s="41">
        <v>13</v>
      </c>
      <c r="F162" s="41">
        <v>1</v>
      </c>
      <c r="G162" s="574">
        <v>1230</v>
      </c>
      <c r="H162" s="575">
        <f>+N162</f>
        <v>0.24</v>
      </c>
      <c r="I162" s="44">
        <v>0.88</v>
      </c>
      <c r="J162" s="81">
        <f t="shared" si="300"/>
        <v>47.948509440000002</v>
      </c>
      <c r="K162" s="81">
        <f t="shared" si="301"/>
        <v>19.039408127999998</v>
      </c>
      <c r="L162" s="34">
        <v>1210</v>
      </c>
      <c r="M162" s="34">
        <v>919.6</v>
      </c>
      <c r="N162" s="45">
        <f t="shared" si="302"/>
        <v>0.24</v>
      </c>
      <c r="O162" s="46">
        <f>+'Trim Rwd'!H89</f>
        <v>256</v>
      </c>
      <c r="P162" s="47">
        <f t="shared" si="303"/>
        <v>148992</v>
      </c>
      <c r="Q162" s="46">
        <v>612</v>
      </c>
      <c r="R162" s="498">
        <v>0</v>
      </c>
      <c r="S162" s="498">
        <v>30</v>
      </c>
      <c r="T162" s="36">
        <f t="shared" si="304"/>
        <v>18.729824256000001</v>
      </c>
      <c r="U162" s="36">
        <f t="shared" si="305"/>
        <v>17.811695616000002</v>
      </c>
      <c r="V162" s="36">
        <f t="shared" si="306"/>
        <v>0.93330432000000008</v>
      </c>
      <c r="W162" s="36">
        <f>+'31'!K12/1000</f>
        <v>13.236000000000001</v>
      </c>
      <c r="X162" s="37"/>
      <c r="Y162" s="210"/>
      <c r="Z162" s="36"/>
      <c r="AA162" s="36"/>
      <c r="AB162" s="36"/>
      <c r="AC162" s="36">
        <f>K162-T162</f>
        <v>0.30958387199999748</v>
      </c>
      <c r="AD162" s="36">
        <f>+AM162+BC162</f>
        <v>0</v>
      </c>
      <c r="AE162" s="228" t="s">
        <v>427</v>
      </c>
      <c r="AF162" s="36"/>
      <c r="AG162" s="36">
        <v>0</v>
      </c>
      <c r="AH162" s="36"/>
      <c r="AI162" s="36"/>
      <c r="AJ162" s="36"/>
      <c r="AK162" s="36"/>
      <c r="AL162" s="36"/>
      <c r="AM162" s="36">
        <f t="shared" si="307"/>
        <v>0</v>
      </c>
      <c r="AN162" s="82"/>
      <c r="AO162" s="36"/>
      <c r="AP162" s="36"/>
      <c r="AQ162" s="36"/>
      <c r="AR162" s="36">
        <f t="shared" ref="AR162:AR163" si="308">SUM(AN162:AQ162)</f>
        <v>0</v>
      </c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>
        <f>+AR162+AS162+AU162+AW162+AY162+BB162</f>
        <v>0</v>
      </c>
      <c r="BD162" s="49"/>
      <c r="BE162" s="50">
        <v>0</v>
      </c>
      <c r="BF162" s="50"/>
      <c r="BG162" s="49"/>
      <c r="BH162" s="50"/>
    </row>
    <row r="163" spans="1:60" ht="12.95" customHeight="1">
      <c r="A163" s="39"/>
      <c r="B163" s="40"/>
      <c r="C163" s="412"/>
      <c r="D163" s="40"/>
      <c r="E163" s="41"/>
      <c r="F163" s="41"/>
      <c r="G163" s="42"/>
      <c r="H163" s="43"/>
      <c r="I163" s="44"/>
      <c r="J163" s="81"/>
      <c r="K163" s="81"/>
      <c r="L163" s="34"/>
      <c r="M163" s="34"/>
      <c r="N163" s="45"/>
      <c r="O163" s="46"/>
      <c r="P163" s="47"/>
      <c r="Q163" s="46"/>
      <c r="R163" s="498"/>
      <c r="S163" s="498"/>
      <c r="T163" s="36"/>
      <c r="U163" s="36"/>
      <c r="V163" s="36"/>
      <c r="W163" s="36"/>
      <c r="X163" s="37"/>
      <c r="Y163" s="210"/>
      <c r="Z163" s="36"/>
      <c r="AA163" s="36"/>
      <c r="AB163" s="36"/>
      <c r="AC163" s="36"/>
      <c r="AD163" s="36">
        <f>+AM163+BC163</f>
        <v>46</v>
      </c>
      <c r="AE163" s="228" t="s">
        <v>481</v>
      </c>
      <c r="AF163" s="32"/>
      <c r="AG163" s="32"/>
      <c r="AH163" s="32">
        <v>46</v>
      </c>
      <c r="AI163" s="36"/>
      <c r="AJ163" s="36"/>
      <c r="AK163" s="36"/>
      <c r="AL163" s="36"/>
      <c r="AM163" s="36">
        <f t="shared" si="307"/>
        <v>46</v>
      </c>
      <c r="AN163" s="36"/>
      <c r="AO163" s="36"/>
      <c r="AP163" s="36"/>
      <c r="AQ163" s="36"/>
      <c r="AR163" s="36">
        <f t="shared" si="308"/>
        <v>0</v>
      </c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>
        <f>+AR163+AS163+AU163+AW163+AY163+BB163</f>
        <v>0</v>
      </c>
      <c r="BD163" s="32"/>
      <c r="BE163" s="501"/>
      <c r="BF163" s="501"/>
      <c r="BG163" s="32"/>
      <c r="BH163" s="501"/>
    </row>
    <row r="164" spans="1:60" ht="12.95" customHeight="1">
      <c r="A164" s="39"/>
      <c r="B164" s="40"/>
      <c r="C164" s="412"/>
      <c r="D164" s="40"/>
      <c r="E164" s="41"/>
      <c r="F164" s="41"/>
      <c r="G164" s="42"/>
      <c r="H164" s="43"/>
      <c r="I164" s="44"/>
      <c r="J164" s="81"/>
      <c r="K164" s="81"/>
      <c r="L164" s="34"/>
      <c r="M164" s="34"/>
      <c r="N164" s="45"/>
      <c r="O164" s="46"/>
      <c r="P164" s="47"/>
      <c r="Q164" s="46"/>
      <c r="R164" s="498"/>
      <c r="S164" s="498"/>
      <c r="T164" s="36"/>
      <c r="U164" s="36"/>
      <c r="V164" s="36"/>
      <c r="W164" s="36"/>
      <c r="X164" s="37"/>
      <c r="Y164" s="210"/>
      <c r="Z164" s="36"/>
      <c r="AA164" s="36"/>
      <c r="AB164" s="36"/>
      <c r="AC164" s="36"/>
      <c r="AD164" s="36">
        <f>+AM164+BC164</f>
        <v>97</v>
      </c>
      <c r="AE164" s="228" t="s">
        <v>726</v>
      </c>
      <c r="AF164" s="32"/>
      <c r="AG164" s="32"/>
      <c r="AH164" s="32"/>
      <c r="AI164" s="36"/>
      <c r="AJ164" s="36"/>
      <c r="AK164" s="36"/>
      <c r="AL164" s="36"/>
      <c r="AM164" s="36">
        <f t="shared" ref="AM164" si="309">SUM(AF164:AL164)+AT164+AV164+AX164</f>
        <v>0</v>
      </c>
      <c r="AN164" s="36"/>
      <c r="AO164" s="36"/>
      <c r="AP164" s="36">
        <v>97</v>
      </c>
      <c r="AQ164" s="36"/>
      <c r="AR164" s="36">
        <f t="shared" ref="AR164" si="310">SUM(AN164:AQ164)</f>
        <v>97</v>
      </c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>
        <f>+AR164+AS164+AU164+AW164+AY164+BB164</f>
        <v>97</v>
      </c>
      <c r="BD164" s="32"/>
      <c r="BE164" s="501"/>
      <c r="BF164" s="501"/>
      <c r="BG164" s="32"/>
      <c r="BH164" s="501"/>
    </row>
    <row r="165" spans="1:60" ht="12.95" customHeight="1">
      <c r="A165" s="39"/>
      <c r="B165" s="40"/>
      <c r="C165" s="412"/>
      <c r="D165" s="40"/>
      <c r="E165" s="41"/>
      <c r="F165" s="41"/>
      <c r="G165" s="42"/>
      <c r="H165" s="43"/>
      <c r="I165" s="44"/>
      <c r="J165" s="81"/>
      <c r="K165" s="81"/>
      <c r="L165" s="34"/>
      <c r="M165" s="34"/>
      <c r="N165" s="45"/>
      <c r="O165" s="46"/>
      <c r="P165" s="47"/>
      <c r="Q165" s="46"/>
      <c r="R165" s="498"/>
      <c r="S165" s="498"/>
      <c r="T165" s="36"/>
      <c r="U165" s="36"/>
      <c r="V165" s="36"/>
      <c r="W165" s="36"/>
      <c r="X165" s="37"/>
      <c r="Y165" s="210"/>
      <c r="Z165" s="36"/>
      <c r="AA165" s="36"/>
      <c r="AB165" s="36"/>
      <c r="AC165" s="36"/>
      <c r="AD165" s="36"/>
      <c r="AE165" s="228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2"/>
      <c r="BE165" s="50"/>
      <c r="BF165" s="50"/>
      <c r="BG165" s="50"/>
      <c r="BH165" s="50"/>
    </row>
    <row r="166" spans="1:60">
      <c r="R166" s="502"/>
      <c r="S166" s="502"/>
      <c r="AA166" s="245">
        <f>U166-W166-Z166</f>
        <v>0</v>
      </c>
      <c r="AB166" s="245"/>
      <c r="AC166" s="246">
        <f>K166-T166</f>
        <v>0</v>
      </c>
      <c r="AD166" s="36"/>
      <c r="AF166" s="51"/>
      <c r="AG166" s="51"/>
      <c r="AH166" s="51"/>
      <c r="AI166" s="51"/>
      <c r="AJ166" s="51"/>
      <c r="AK166" s="51"/>
      <c r="AL166" s="51"/>
      <c r="AM166" s="36">
        <f t="shared" ref="AM166" si="311">SUM(AF166:AL166)</f>
        <v>0</v>
      </c>
      <c r="AN166" s="51"/>
      <c r="AO166" s="51"/>
      <c r="AP166" s="51"/>
      <c r="AQ166" s="51"/>
      <c r="AR166" s="36">
        <f t="shared" ref="AR166" si="312">SUM(AN166:AQ166)</f>
        <v>0</v>
      </c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6"/>
      <c r="BD166" s="32"/>
      <c r="BE166" s="50"/>
      <c r="BF166" s="50"/>
      <c r="BG166" s="50"/>
      <c r="BH166" s="50"/>
    </row>
    <row r="167" spans="1:60" s="26" customFormat="1" ht="12.95" customHeight="1">
      <c r="A167" s="55"/>
      <c r="B167" s="56"/>
      <c r="C167" s="413">
        <f>SUM(C6:C165)</f>
        <v>1259.578914940668</v>
      </c>
      <c r="D167" s="56"/>
      <c r="E167" s="57"/>
      <c r="F167" s="57"/>
      <c r="G167" s="58"/>
      <c r="H167" s="58"/>
      <c r="I167" s="59">
        <v>0.85</v>
      </c>
      <c r="J167" s="81"/>
      <c r="K167" s="83">
        <f>SUM(K6:K165)</f>
        <v>1269.7854135593445</v>
      </c>
      <c r="L167" s="61"/>
      <c r="M167" s="61"/>
      <c r="N167" s="62"/>
      <c r="O167" s="63">
        <f>P167/(Q167-R167-S167)</f>
        <v>260.94156996892957</v>
      </c>
      <c r="P167" s="60">
        <f>SUM(P6:P165)</f>
        <v>10846036.355758557</v>
      </c>
      <c r="Q167" s="331">
        <f>SUM(Q6:Q166)</f>
        <v>43947</v>
      </c>
      <c r="R167" s="60">
        <f t="shared" ref="R167:W167" si="313">SUM(R6:R165)</f>
        <v>306</v>
      </c>
      <c r="S167" s="60">
        <f t="shared" si="313"/>
        <v>2076</v>
      </c>
      <c r="T167" s="60">
        <f t="shared" ca="1" si="313"/>
        <v>1278.2369715388938</v>
      </c>
      <c r="U167" s="60">
        <f t="shared" si="313"/>
        <v>1190.6802786923224</v>
      </c>
      <c r="V167" s="355">
        <f t="shared" si="313"/>
        <v>69.355668375728229</v>
      </c>
      <c r="W167" s="444">
        <f t="shared" si="313"/>
        <v>1150.521</v>
      </c>
      <c r="X167" s="493">
        <f>W167/K167</f>
        <v>0.90607514286604252</v>
      </c>
      <c r="Y167" s="356">
        <f>SUM(Y6:Y165)</f>
        <v>4.0600000000000005</v>
      </c>
      <c r="Z167" s="444">
        <f>SUM(Z6:Z165)</f>
        <v>6.1500151096033404</v>
      </c>
      <c r="AA167" s="60">
        <f>SUM(AA6:AA165)</f>
        <v>29.949263582719489</v>
      </c>
      <c r="AB167" s="60">
        <f>SUM(AB6:AB165)</f>
        <v>-0.38910636738279075</v>
      </c>
      <c r="AC167" s="60">
        <f>SUM(AC6:AC165)</f>
        <v>10.138572858676724</v>
      </c>
      <c r="AD167" s="36">
        <f>SUM(AD6:AD166)</f>
        <v>2382</v>
      </c>
      <c r="AE167" s="64"/>
      <c r="AF167" s="60">
        <f t="shared" ref="AF167:BH167" si="314">SUM(AF6:AF166)</f>
        <v>520</v>
      </c>
      <c r="AG167" s="60">
        <f t="shared" si="314"/>
        <v>130</v>
      </c>
      <c r="AH167" s="60">
        <f t="shared" si="314"/>
        <v>1331</v>
      </c>
      <c r="AI167" s="60">
        <f t="shared" si="314"/>
        <v>8</v>
      </c>
      <c r="AJ167" s="60">
        <f t="shared" si="314"/>
        <v>0</v>
      </c>
      <c r="AK167" s="60">
        <f t="shared" si="314"/>
        <v>87</v>
      </c>
      <c r="AL167" s="60">
        <f t="shared" si="314"/>
        <v>0</v>
      </c>
      <c r="AM167" s="60">
        <f t="shared" si="314"/>
        <v>2076</v>
      </c>
      <c r="AN167" s="51">
        <f t="shared" si="314"/>
        <v>0</v>
      </c>
      <c r="AO167" s="51">
        <f t="shared" si="314"/>
        <v>0</v>
      </c>
      <c r="AP167" s="51">
        <f t="shared" si="314"/>
        <v>137</v>
      </c>
      <c r="AQ167" s="51">
        <f t="shared" si="314"/>
        <v>0</v>
      </c>
      <c r="AR167" s="60">
        <f t="shared" si="314"/>
        <v>137</v>
      </c>
      <c r="AS167" s="60">
        <f t="shared" si="314"/>
        <v>0</v>
      </c>
      <c r="AT167" s="60">
        <f t="shared" si="314"/>
        <v>0</v>
      </c>
      <c r="AU167" s="60">
        <f t="shared" si="314"/>
        <v>0</v>
      </c>
      <c r="AV167" s="60">
        <f t="shared" si="314"/>
        <v>0</v>
      </c>
      <c r="AW167" s="60">
        <f t="shared" si="314"/>
        <v>169</v>
      </c>
      <c r="AX167" s="60">
        <f t="shared" si="314"/>
        <v>0</v>
      </c>
      <c r="AY167" s="60">
        <f t="shared" si="314"/>
        <v>0</v>
      </c>
      <c r="AZ167" s="60">
        <f t="shared" si="314"/>
        <v>0</v>
      </c>
      <c r="BA167" s="60">
        <f t="shared" si="314"/>
        <v>0</v>
      </c>
      <c r="BB167" s="60">
        <f t="shared" si="314"/>
        <v>0</v>
      </c>
      <c r="BC167" s="60">
        <f t="shared" si="314"/>
        <v>306</v>
      </c>
      <c r="BD167" s="51">
        <f t="shared" si="314"/>
        <v>195</v>
      </c>
      <c r="BE167" s="51">
        <f t="shared" si="314"/>
        <v>62</v>
      </c>
      <c r="BF167" s="51">
        <f t="shared" si="314"/>
        <v>1</v>
      </c>
      <c r="BG167" s="51">
        <f t="shared" si="314"/>
        <v>0</v>
      </c>
      <c r="BH167" s="51">
        <f t="shared" si="314"/>
        <v>0</v>
      </c>
    </row>
    <row r="168" spans="1:60" s="26" customFormat="1" ht="12.95" customHeight="1">
      <c r="A168" s="55"/>
      <c r="B168" s="56"/>
      <c r="C168" s="56"/>
      <c r="D168" s="56"/>
      <c r="E168" s="57"/>
      <c r="F168" s="57"/>
      <c r="G168" s="58"/>
      <c r="H168" s="58"/>
      <c r="I168" s="58"/>
      <c r="J168" s="84"/>
      <c r="K168" s="84"/>
      <c r="L168" s="61"/>
      <c r="M168" s="61"/>
      <c r="N168" s="62"/>
      <c r="O168" s="674"/>
      <c r="P168" s="675"/>
      <c r="Q168" s="58">
        <f>31*1440-Q167</f>
        <v>693</v>
      </c>
      <c r="R168" s="65">
        <f>R167/Q167</f>
        <v>6.9629326233872618E-3</v>
      </c>
      <c r="S168" s="65">
        <f>S167/Q167</f>
        <v>4.7238719366509661E-2</v>
      </c>
      <c r="T168" s="342"/>
      <c r="U168" s="342"/>
      <c r="V168" s="344">
        <f>V167/K167</f>
        <v>5.4619991405726466E-2</v>
      </c>
      <c r="W168" s="360" t="s">
        <v>169</v>
      </c>
      <c r="X168" s="494">
        <v>0.85</v>
      </c>
      <c r="Y168" s="357">
        <f>Y167/K167</f>
        <v>3.1973906430531325E-3</v>
      </c>
      <c r="Z168" s="66">
        <f>Z167/K167</f>
        <v>4.8433499423845084E-3</v>
      </c>
      <c r="AA168" s="66">
        <f>AA167/K167</f>
        <v>2.3586082548206704E-2</v>
      </c>
      <c r="AB168" s="66">
        <f>AB167/K167</f>
        <v>-3.0643474340446544E-4</v>
      </c>
      <c r="AC168" s="495">
        <f>AC167/K167</f>
        <v>7.9844773379914788E-3</v>
      </c>
      <c r="AD168" s="345"/>
      <c r="AE168" s="38"/>
      <c r="AF168" s="66">
        <f>AF167/$AD$167*$V$168</f>
        <v>1.1923759668756407E-2</v>
      </c>
      <c r="AG168" s="66">
        <f>AG167/$AD$167*$V$168</f>
        <v>2.9809399171891017E-3</v>
      </c>
      <c r="AH168" s="66">
        <f>AH167/$AD$167*$V$168</f>
        <v>3.0520238690605342E-2</v>
      </c>
      <c r="AI168" s="66">
        <f>AI167/$AD$167*$V$168</f>
        <v>1.8344245644240627E-4</v>
      </c>
      <c r="AJ168" s="66">
        <f t="shared" ref="AJ168:BC168" si="315">AJ167/$AD$167*$V$168</f>
        <v>0</v>
      </c>
      <c r="AK168" s="66">
        <f t="shared" si="315"/>
        <v>1.9949367138111683E-3</v>
      </c>
      <c r="AL168" s="66">
        <f t="shared" si="315"/>
        <v>0</v>
      </c>
      <c r="AM168" s="66">
        <f t="shared" si="315"/>
        <v>4.7603317446804426E-2</v>
      </c>
      <c r="AN168" s="66">
        <f t="shared" si="315"/>
        <v>0</v>
      </c>
      <c r="AO168" s="66">
        <f t="shared" si="315"/>
        <v>0</v>
      </c>
      <c r="AP168" s="66">
        <f t="shared" si="315"/>
        <v>3.1414520665762071E-3</v>
      </c>
      <c r="AQ168" s="66">
        <f t="shared" si="315"/>
        <v>0</v>
      </c>
      <c r="AR168" s="66">
        <f t="shared" si="315"/>
        <v>3.1414520665762071E-3</v>
      </c>
      <c r="AS168" s="66">
        <f t="shared" si="315"/>
        <v>0</v>
      </c>
      <c r="AT168" s="66">
        <f t="shared" si="315"/>
        <v>0</v>
      </c>
      <c r="AU168" s="66">
        <f t="shared" si="315"/>
        <v>0</v>
      </c>
      <c r="AV168" s="66">
        <f>AV167/$AD$167*$V$168</f>
        <v>0</v>
      </c>
      <c r="AW168" s="66">
        <f t="shared" ref="AW168:BB168" si="316">AW167/$AD$167*$V$168</f>
        <v>3.8752218923458325E-3</v>
      </c>
      <c r="AX168" s="66">
        <f t="shared" si="316"/>
        <v>0</v>
      </c>
      <c r="AY168" s="66">
        <f t="shared" si="316"/>
        <v>0</v>
      </c>
      <c r="AZ168" s="66">
        <f t="shared" si="316"/>
        <v>0</v>
      </c>
      <c r="BA168" s="66">
        <f t="shared" si="316"/>
        <v>0</v>
      </c>
      <c r="BB168" s="66">
        <f t="shared" si="316"/>
        <v>0</v>
      </c>
      <c r="BC168" s="66">
        <f t="shared" si="315"/>
        <v>7.0166739589220392E-3</v>
      </c>
      <c r="BD168" s="33" t="s">
        <v>168</v>
      </c>
      <c r="BE168" s="33" t="s">
        <v>168</v>
      </c>
      <c r="BF168" s="33" t="s">
        <v>399</v>
      </c>
      <c r="BG168" s="33" t="s">
        <v>399</v>
      </c>
      <c r="BH168" s="33" t="s">
        <v>399</v>
      </c>
    </row>
    <row r="169" spans="1:60" ht="12.95" customHeight="1">
      <c r="A169" s="55"/>
      <c r="B169" s="56"/>
      <c r="C169" s="56"/>
      <c r="D169" s="56"/>
      <c r="E169" s="57"/>
      <c r="F169" s="57"/>
      <c r="G169" s="33"/>
      <c r="H169" s="33"/>
      <c r="I169" s="33"/>
      <c r="J169" s="81"/>
      <c r="K169" s="81"/>
      <c r="L169" s="34"/>
      <c r="M169" s="34"/>
      <c r="N169" s="32"/>
      <c r="O169" s="35"/>
      <c r="P169" s="27"/>
      <c r="Q169" s="33"/>
      <c r="R169" s="36">
        <f>R167-(BC167)</f>
        <v>0</v>
      </c>
      <c r="S169" s="36">
        <f>S167-SUM(AF167:AL167)-AZ167</f>
        <v>0</v>
      </c>
      <c r="T169" s="32"/>
      <c r="U169" s="32"/>
      <c r="V169" s="32"/>
      <c r="W169" s="358"/>
      <c r="X169" s="359"/>
      <c r="Y169" s="67">
        <f>+Y167-(SUM(RBP!AG3:AG4))</f>
        <v>0</v>
      </c>
      <c r="Z169" s="36"/>
      <c r="AA169" s="32"/>
      <c r="AB169" s="32"/>
      <c r="AC169" s="32"/>
      <c r="AD169" s="32"/>
      <c r="AE169" s="38"/>
      <c r="AF169" s="332"/>
      <c r="AG169" s="332"/>
      <c r="AH169" s="332"/>
      <c r="AI169" s="332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588">
        <v>0</v>
      </c>
      <c r="AU169" s="588">
        <v>0</v>
      </c>
      <c r="AV169" s="588">
        <v>0</v>
      </c>
      <c r="AW169" s="588">
        <v>169</v>
      </c>
      <c r="AX169" s="588">
        <v>0</v>
      </c>
      <c r="AY169" s="588">
        <v>0</v>
      </c>
      <c r="AZ169" s="588">
        <v>0</v>
      </c>
      <c r="BA169" s="588">
        <v>693</v>
      </c>
      <c r="BB169" s="76"/>
      <c r="BC169" s="76"/>
      <c r="BD169" s="503">
        <f>BD167/($Q$167/1440)/2</f>
        <v>3.1947573213188614</v>
      </c>
      <c r="BE169" s="503">
        <f>BE167/($Q$167/1440)/2</f>
        <v>1.0157689944706123</v>
      </c>
      <c r="BF169" s="503">
        <f>BF167/($Q$167/1440)</f>
        <v>3.2766741757116524E-2</v>
      </c>
      <c r="BG169" s="503">
        <f t="shared" ref="BG169:BH169" si="317">BG167/($Q$167/1440)</f>
        <v>0</v>
      </c>
      <c r="BH169" s="503">
        <f t="shared" si="317"/>
        <v>0</v>
      </c>
    </row>
    <row r="170" spans="1:60">
      <c r="A170" s="68"/>
      <c r="B170" s="69"/>
      <c r="C170" s="69"/>
      <c r="D170" s="69"/>
      <c r="E170" s="70"/>
      <c r="F170" s="70"/>
      <c r="G170" s="71"/>
      <c r="H170" s="71"/>
      <c r="I170" s="71"/>
      <c r="J170" s="85"/>
      <c r="K170" s="85"/>
      <c r="O170" s="72"/>
      <c r="P170" s="73"/>
      <c r="Q170" s="71"/>
      <c r="R170" s="52"/>
      <c r="S170" s="52"/>
      <c r="U170" s="74"/>
      <c r="V170" s="74"/>
      <c r="W170" s="75" t="s">
        <v>118</v>
      </c>
      <c r="X170" s="496">
        <f>W167/U167</f>
        <v>0.96627198802987835</v>
      </c>
      <c r="Y170" s="496"/>
      <c r="Z170" s="52"/>
      <c r="AD170" s="82"/>
      <c r="AE170" s="77"/>
      <c r="AF170" s="78"/>
      <c r="AG170" s="78"/>
      <c r="AH170" s="78"/>
      <c r="AI170" s="78"/>
      <c r="AJ170" s="78"/>
      <c r="AK170" s="78"/>
      <c r="AL170" s="78"/>
      <c r="AM170" s="78"/>
      <c r="AN170" s="76"/>
      <c r="AO170" s="76"/>
      <c r="AP170" s="76"/>
      <c r="AQ170" s="76"/>
      <c r="AR170" s="76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6"/>
      <c r="BD170" s="26"/>
      <c r="BE170" s="76"/>
      <c r="BF170" s="76"/>
      <c r="BG170" s="26"/>
      <c r="BH170" s="76"/>
    </row>
    <row r="171" spans="1:60">
      <c r="A171" s="68"/>
      <c r="B171" s="69"/>
      <c r="C171" s="69"/>
      <c r="D171" s="69"/>
      <c r="E171" s="70"/>
      <c r="F171" s="70"/>
      <c r="G171" s="71"/>
      <c r="H171" s="71"/>
      <c r="I171" s="71"/>
      <c r="J171" s="85"/>
      <c r="K171" s="85"/>
      <c r="O171" s="72"/>
      <c r="P171" s="73"/>
      <c r="Q171" s="71"/>
      <c r="R171" s="52"/>
      <c r="S171" s="52"/>
      <c r="U171" s="74"/>
      <c r="V171" s="74"/>
      <c r="W171" s="75"/>
      <c r="X171" s="76"/>
      <c r="Y171" s="76"/>
      <c r="Z171" s="52">
        <f>+Z167-'25'!J56/1000</f>
        <v>1.5109603340057731E-5</v>
      </c>
      <c r="AA171" s="88"/>
      <c r="AB171" s="88"/>
      <c r="AD171" s="82"/>
      <c r="AE171" s="77"/>
      <c r="AF171" s="78"/>
      <c r="AG171" s="78"/>
      <c r="AH171" s="78"/>
      <c r="AI171" s="78"/>
      <c r="AJ171" s="78"/>
      <c r="AK171" s="78"/>
      <c r="AL171" s="78"/>
      <c r="AM171" s="78"/>
      <c r="AN171" s="78"/>
      <c r="AO171" s="76"/>
      <c r="AP171" s="76"/>
      <c r="AQ171" s="76"/>
      <c r="AR171" s="78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26"/>
      <c r="BE171" s="76"/>
      <c r="BF171" s="76"/>
      <c r="BG171" s="26"/>
      <c r="BH171" s="76"/>
    </row>
    <row r="172" spans="1:60">
      <c r="A172" s="68"/>
      <c r="B172" s="69"/>
      <c r="C172" s="69"/>
      <c r="D172" s="69"/>
      <c r="E172" s="70"/>
      <c r="F172" s="70"/>
      <c r="G172" s="71"/>
      <c r="H172" s="71"/>
      <c r="I172" s="71"/>
      <c r="J172" s="85"/>
      <c r="K172" s="85"/>
      <c r="O172" s="72"/>
      <c r="P172" s="73"/>
      <c r="Q172" s="71">
        <f>+Efficiency1!BA167</f>
        <v>693</v>
      </c>
      <c r="R172" s="343"/>
      <c r="S172" s="52"/>
      <c r="U172" s="74"/>
      <c r="V172" s="74"/>
      <c r="W172" s="75" t="s">
        <v>142</v>
      </c>
      <c r="X172" s="332">
        <f>+W167+Y167</f>
        <v>1154.5809999999999</v>
      </c>
      <c r="Y172" s="76"/>
      <c r="Z172" s="52"/>
      <c r="AD172" s="82"/>
      <c r="AE172" s="77"/>
      <c r="AF172" s="82"/>
      <c r="AG172" s="82"/>
      <c r="AH172" s="82"/>
      <c r="AI172" s="82"/>
      <c r="AJ172" s="76"/>
      <c r="AK172" s="76"/>
      <c r="AL172" s="76"/>
      <c r="AM172" s="78"/>
      <c r="AN172" s="76"/>
      <c r="AO172" s="76"/>
      <c r="AP172" s="76"/>
      <c r="AQ172" s="76"/>
      <c r="AR172" s="78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26"/>
      <c r="BE172" s="76"/>
      <c r="BF172" s="76"/>
      <c r="BG172" s="26"/>
      <c r="BH172" s="76"/>
    </row>
    <row r="173" spans="1:60">
      <c r="A173" s="68"/>
      <c r="C173" s="69" t="s">
        <v>298</v>
      </c>
      <c r="D173" s="69"/>
      <c r="E173" s="70"/>
      <c r="F173" s="70"/>
      <c r="G173" s="71"/>
      <c r="H173" s="71"/>
      <c r="I173" s="71"/>
      <c r="J173" s="85"/>
      <c r="K173" s="85"/>
      <c r="O173" s="72"/>
      <c r="P173" s="73"/>
      <c r="Q173" s="71"/>
      <c r="R173" s="343"/>
      <c r="S173" s="52"/>
      <c r="U173" s="74"/>
      <c r="V173" s="353"/>
      <c r="W173" s="354"/>
      <c r="X173" s="348"/>
      <c r="Y173" s="354"/>
      <c r="Z173" s="348"/>
      <c r="AD173" s="341"/>
      <c r="AE173" s="77"/>
      <c r="AF173" s="341"/>
      <c r="AG173" s="341"/>
      <c r="AH173" s="341"/>
      <c r="AI173" s="341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26"/>
      <c r="BE173" s="76"/>
      <c r="BF173" s="76"/>
      <c r="BG173" s="26"/>
      <c r="BH173" s="76"/>
    </row>
    <row r="174" spans="1:60">
      <c r="A174" s="68"/>
      <c r="B174" s="69"/>
      <c r="C174" s="69" t="s">
        <v>299</v>
      </c>
      <c r="D174" s="69"/>
      <c r="E174" s="70"/>
      <c r="F174" s="70"/>
      <c r="G174" s="71"/>
      <c r="H174" s="71"/>
      <c r="I174" s="71"/>
      <c r="J174" s="85"/>
      <c r="K174" s="85"/>
      <c r="O174" s="72"/>
      <c r="P174" s="73"/>
      <c r="Q174" s="71"/>
      <c r="R174" s="343"/>
      <c r="S174" s="52"/>
      <c r="V174" s="346"/>
      <c r="W174" s="347" t="s">
        <v>305</v>
      </c>
      <c r="X174" s="346"/>
      <c r="Y174" s="346"/>
      <c r="Z174" s="348"/>
      <c r="AB174" s="28" t="s">
        <v>730</v>
      </c>
      <c r="AC174" s="581">
        <f>+AC47+AC53+AC54+AC118+AC123+AC128+AC134+AC140+AC145+AC150+AC151+AC155</f>
        <v>0</v>
      </c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26"/>
      <c r="BG174" s="26"/>
    </row>
    <row r="175" spans="1:60">
      <c r="A175" s="68"/>
      <c r="B175" s="69"/>
      <c r="C175" s="69"/>
      <c r="D175" s="69"/>
      <c r="E175" s="70"/>
      <c r="F175" s="70"/>
      <c r="G175" s="71"/>
      <c r="H175" s="71"/>
      <c r="I175" s="71"/>
      <c r="J175" s="85"/>
      <c r="K175" s="85"/>
      <c r="O175" s="72"/>
      <c r="P175" s="73"/>
      <c r="Q175" s="71"/>
      <c r="R175" s="343"/>
      <c r="S175" s="52"/>
      <c r="V175" s="346"/>
      <c r="W175" s="349" t="s">
        <v>294</v>
      </c>
      <c r="X175" s="504">
        <f>Y168</f>
        <v>3.1973906430531325E-3</v>
      </c>
      <c r="Y175" s="350"/>
      <c r="Z175" s="348"/>
      <c r="AB175" s="28" t="s">
        <v>731</v>
      </c>
      <c r="AC175" s="582">
        <f>+AC174/K167</f>
        <v>0</v>
      </c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26"/>
      <c r="BG175" s="26"/>
    </row>
    <row r="176" spans="1:60">
      <c r="R176" s="88"/>
      <c r="V176" s="346"/>
      <c r="W176" s="349" t="s">
        <v>148</v>
      </c>
      <c r="X176" s="352">
        <f>Z168</f>
        <v>4.8433499423845084E-3</v>
      </c>
      <c r="Y176" s="351"/>
      <c r="Z176" s="346"/>
      <c r="AB176" s="578"/>
    </row>
    <row r="177" spans="6:30">
      <c r="R177" s="88"/>
      <c r="V177" s="346"/>
      <c r="W177" s="349" t="s">
        <v>149</v>
      </c>
      <c r="X177" s="352">
        <f>AC168-AC175</f>
        <v>7.9844773379914788E-3</v>
      </c>
      <c r="Y177" s="504"/>
      <c r="Z177" s="352"/>
      <c r="AD177" s="583"/>
    </row>
    <row r="178" spans="6:30">
      <c r="R178" s="88"/>
      <c r="V178" s="346"/>
      <c r="W178" s="349" t="s">
        <v>150</v>
      </c>
      <c r="X178" s="352">
        <f>AA168</f>
        <v>2.3586082548206704E-2</v>
      </c>
      <c r="Y178" s="350"/>
      <c r="Z178" s="352"/>
      <c r="AD178" s="583"/>
    </row>
    <row r="179" spans="6:30">
      <c r="V179" s="346"/>
      <c r="W179" s="349" t="s">
        <v>166</v>
      </c>
      <c r="X179" s="352">
        <f>AB168</f>
        <v>-3.0643474340446544E-4</v>
      </c>
      <c r="Y179" s="351" t="s">
        <v>164</v>
      </c>
      <c r="Z179" s="346"/>
      <c r="AD179" s="582"/>
    </row>
    <row r="180" spans="6:30">
      <c r="V180" s="346"/>
      <c r="W180" s="349" t="s">
        <v>222</v>
      </c>
      <c r="X180" s="352">
        <f>AF168</f>
        <v>1.1923759668756407E-2</v>
      </c>
      <c r="Y180" s="351"/>
      <c r="Z180" s="346"/>
    </row>
    <row r="181" spans="6:30">
      <c r="V181" s="346"/>
      <c r="W181" s="349" t="s">
        <v>223</v>
      </c>
      <c r="X181" s="352">
        <f>+AG168</f>
        <v>2.9809399171891017E-3</v>
      </c>
      <c r="Y181" s="351"/>
      <c r="Z181" s="346"/>
      <c r="AD181" s="88"/>
    </row>
    <row r="182" spans="6:30">
      <c r="V182" s="346"/>
      <c r="W182" s="349" t="s">
        <v>300</v>
      </c>
      <c r="X182" s="352">
        <f>+AH168</f>
        <v>3.0520238690605342E-2</v>
      </c>
      <c r="Y182" s="351"/>
      <c r="Z182" s="346"/>
    </row>
    <row r="183" spans="6:30">
      <c r="V183" s="346"/>
      <c r="W183" s="349" t="s">
        <v>224</v>
      </c>
      <c r="X183" s="352">
        <f>+AI168</f>
        <v>1.8344245644240627E-4</v>
      </c>
      <c r="Y183" s="351"/>
      <c r="Z183" s="346"/>
    </row>
    <row r="184" spans="6:30">
      <c r="F184" s="28"/>
      <c r="J184" s="28"/>
      <c r="K184" s="28"/>
      <c r="L184" s="28"/>
      <c r="M184" s="28"/>
      <c r="Q184" s="28"/>
      <c r="V184" s="346"/>
      <c r="W184" s="349" t="s">
        <v>157</v>
      </c>
      <c r="X184" s="352">
        <f>+AJ168</f>
        <v>0</v>
      </c>
      <c r="Y184" s="351"/>
      <c r="Z184" s="346"/>
    </row>
    <row r="185" spans="6:30">
      <c r="F185" s="28"/>
      <c r="J185" s="28"/>
      <c r="K185" s="28"/>
      <c r="L185" s="28"/>
      <c r="M185" s="28"/>
      <c r="Q185" s="28"/>
      <c r="V185" s="346"/>
      <c r="W185" s="349" t="s">
        <v>159</v>
      </c>
      <c r="X185" s="352">
        <f>+AK168</f>
        <v>1.9949367138111683E-3</v>
      </c>
      <c r="Y185" s="351"/>
      <c r="Z185" s="346"/>
    </row>
    <row r="186" spans="6:30">
      <c r="F186" s="28"/>
      <c r="J186" s="28"/>
      <c r="K186" s="28"/>
      <c r="L186" s="28"/>
      <c r="M186" s="28"/>
      <c r="Q186" s="28"/>
      <c r="V186" s="346"/>
      <c r="W186" s="349" t="s">
        <v>158</v>
      </c>
      <c r="X186" s="352">
        <f>+AL168</f>
        <v>0</v>
      </c>
      <c r="Y186" s="351"/>
      <c r="Z186" s="346"/>
    </row>
    <row r="187" spans="6:30">
      <c r="F187" s="28"/>
      <c r="J187" s="28"/>
      <c r="K187" s="28"/>
      <c r="L187" s="28"/>
      <c r="M187" s="28"/>
      <c r="Q187" s="28"/>
      <c r="V187" s="346"/>
      <c r="W187" s="349" t="s">
        <v>151</v>
      </c>
      <c r="X187" s="352">
        <f>+AN168</f>
        <v>0</v>
      </c>
      <c r="Y187" s="351"/>
      <c r="Z187" s="346"/>
    </row>
    <row r="188" spans="6:30">
      <c r="F188" s="28"/>
      <c r="J188" s="28"/>
      <c r="K188" s="28"/>
      <c r="L188" s="28"/>
      <c r="M188" s="28"/>
      <c r="Q188" s="28"/>
      <c r="V188" s="346"/>
      <c r="W188" s="349" t="s">
        <v>161</v>
      </c>
      <c r="X188" s="352">
        <f>+AO168</f>
        <v>0</v>
      </c>
      <c r="Y188" s="351"/>
      <c r="Z188" s="346"/>
    </row>
    <row r="189" spans="6:30">
      <c r="F189" s="28"/>
      <c r="J189" s="28"/>
      <c r="K189" s="28"/>
      <c r="L189" s="28"/>
      <c r="M189" s="28"/>
      <c r="Q189" s="28"/>
      <c r="V189" s="346"/>
      <c r="W189" s="349" t="s">
        <v>152</v>
      </c>
      <c r="X189" s="352">
        <f>+AP168</f>
        <v>3.1414520665762071E-3</v>
      </c>
      <c r="Y189" s="351"/>
      <c r="Z189" s="346"/>
    </row>
    <row r="190" spans="6:30">
      <c r="F190" s="28"/>
      <c r="J190" s="28"/>
      <c r="K190" s="28"/>
      <c r="L190" s="28"/>
      <c r="M190" s="28"/>
      <c r="Q190" s="28"/>
      <c r="V190" s="346"/>
      <c r="W190" s="349" t="s">
        <v>160</v>
      </c>
      <c r="X190" s="352">
        <f>+AQ168</f>
        <v>0</v>
      </c>
      <c r="Y190" s="351"/>
      <c r="Z190" s="346"/>
    </row>
    <row r="191" spans="6:30">
      <c r="F191" s="28"/>
      <c r="J191" s="28"/>
      <c r="K191" s="28"/>
      <c r="L191" s="28"/>
      <c r="M191" s="28"/>
      <c r="Q191" s="28"/>
      <c r="V191" s="346"/>
      <c r="W191" s="349" t="s">
        <v>163</v>
      </c>
      <c r="X191" s="352">
        <f>+AS168</f>
        <v>0</v>
      </c>
      <c r="Y191" s="351"/>
      <c r="Z191" s="346"/>
    </row>
    <row r="192" spans="6:30">
      <c r="F192" s="28"/>
      <c r="J192" s="28"/>
      <c r="K192" s="28"/>
      <c r="L192" s="28"/>
      <c r="M192" s="28"/>
      <c r="Q192" s="28"/>
      <c r="V192" s="346"/>
      <c r="W192" s="349" t="s">
        <v>301</v>
      </c>
      <c r="X192" s="352">
        <f>+AT168</f>
        <v>0</v>
      </c>
      <c r="Y192" s="351"/>
      <c r="Z192" s="346"/>
    </row>
    <row r="193" spans="6:26">
      <c r="F193" s="28"/>
      <c r="J193" s="28"/>
      <c r="K193" s="28"/>
      <c r="L193" s="28"/>
      <c r="M193" s="28"/>
      <c r="Q193" s="28"/>
      <c r="V193" s="346"/>
      <c r="W193" s="349" t="s">
        <v>238</v>
      </c>
      <c r="X193" s="352">
        <f>+AU168</f>
        <v>0</v>
      </c>
      <c r="Y193" s="351"/>
      <c r="Z193" s="346"/>
    </row>
    <row r="194" spans="6:26">
      <c r="F194" s="28"/>
      <c r="J194" s="28"/>
      <c r="K194" s="28"/>
      <c r="L194" s="28"/>
      <c r="M194" s="28"/>
      <c r="Q194" s="28"/>
      <c r="V194" s="346"/>
      <c r="W194" s="349" t="s">
        <v>307</v>
      </c>
      <c r="X194" s="352">
        <f>+AW168</f>
        <v>3.8752218923458325E-3</v>
      </c>
      <c r="Y194" s="351"/>
      <c r="Z194" s="346"/>
    </row>
    <row r="195" spans="6:26">
      <c r="F195" s="28"/>
      <c r="J195" s="28"/>
      <c r="K195" s="28"/>
      <c r="L195" s="28"/>
      <c r="M195" s="28"/>
      <c r="Q195" s="28"/>
      <c r="V195" s="346"/>
      <c r="W195" s="349" t="s">
        <v>308</v>
      </c>
      <c r="X195" s="352">
        <f>+AV168</f>
        <v>0</v>
      </c>
      <c r="Y195" s="351"/>
      <c r="Z195" s="346"/>
    </row>
    <row r="196" spans="6:26">
      <c r="F196" s="28"/>
      <c r="J196" s="28"/>
      <c r="K196" s="28"/>
      <c r="L196" s="28"/>
      <c r="M196" s="28"/>
      <c r="Q196" s="28"/>
      <c r="V196" s="346"/>
      <c r="W196" s="346" t="s">
        <v>162</v>
      </c>
      <c r="X196" s="352">
        <f>+AX168+AY168</f>
        <v>0</v>
      </c>
      <c r="Y196" s="352"/>
      <c r="Z196" s="346"/>
    </row>
    <row r="197" spans="6:26">
      <c r="F197" s="28"/>
      <c r="J197" s="28"/>
      <c r="K197" s="28"/>
      <c r="L197" s="28"/>
      <c r="M197" s="28"/>
      <c r="Q197" s="28"/>
      <c r="V197" s="346"/>
      <c r="W197" s="346" t="s">
        <v>497</v>
      </c>
      <c r="X197" s="352">
        <f>+BA168</f>
        <v>0</v>
      </c>
      <c r="Y197" s="352"/>
      <c r="Z197" s="346"/>
    </row>
    <row r="198" spans="6:26">
      <c r="F198" s="28"/>
      <c r="J198" s="28"/>
      <c r="K198" s="28"/>
      <c r="L198" s="28"/>
      <c r="M198" s="28"/>
      <c r="Q198" s="28"/>
      <c r="V198" s="346"/>
      <c r="W198" s="346" t="s">
        <v>729</v>
      </c>
      <c r="X198" s="352">
        <f>+AC175</f>
        <v>0</v>
      </c>
      <c r="Y198" s="352"/>
      <c r="Z198" s="346"/>
    </row>
    <row r="199" spans="6:26">
      <c r="F199" s="28"/>
      <c r="J199" s="28"/>
      <c r="K199" s="28"/>
      <c r="L199" s="28"/>
      <c r="M199" s="28"/>
      <c r="Q199" s="28"/>
      <c r="V199" s="346"/>
      <c r="W199" s="346" t="s">
        <v>306</v>
      </c>
      <c r="X199" s="352">
        <f>+BB168</f>
        <v>0</v>
      </c>
      <c r="Y199" s="346"/>
      <c r="Z199" s="346"/>
    </row>
    <row r="200" spans="6:26">
      <c r="F200" s="28"/>
      <c r="J200" s="28"/>
      <c r="K200" s="28"/>
      <c r="L200" s="28"/>
      <c r="M200" s="28"/>
      <c r="Q200" s="28"/>
      <c r="V200" s="346"/>
      <c r="W200" s="346"/>
      <c r="X200" s="517">
        <f>SUM(X175:X199)</f>
        <v>9.3924857133957818E-2</v>
      </c>
      <c r="Y200" s="346"/>
      <c r="Z200" s="346"/>
    </row>
    <row r="203" spans="6:26">
      <c r="F203" s="28"/>
      <c r="J203" s="28"/>
      <c r="K203" s="28"/>
      <c r="L203" s="28"/>
      <c r="M203" s="28"/>
      <c r="Q203" s="28"/>
      <c r="X203" s="88">
        <f>+X200+X167</f>
        <v>1.0000000000000004</v>
      </c>
    </row>
    <row r="241" s="28" customFormat="1"/>
    <row r="242" s="28" customFormat="1"/>
    <row r="243" s="28" customFormat="1"/>
    <row r="244" s="28" customFormat="1"/>
    <row r="245" s="28" customFormat="1"/>
    <row r="246" s="28" customFormat="1"/>
    <row r="247" s="28" customFormat="1"/>
    <row r="248" s="28" customFormat="1"/>
    <row r="249" s="28" customFormat="1"/>
    <row r="250" s="28" customFormat="1"/>
    <row r="253" s="28" customFormat="1"/>
  </sheetData>
  <mergeCells count="51">
    <mergeCell ref="O168:P168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  <mergeCell ref="AM3:AM5"/>
    <mergeCell ref="AN3:AR3"/>
    <mergeCell ref="AS3:AS5"/>
    <mergeCell ref="AF4:AH4"/>
    <mergeCell ref="AI4:AI5"/>
    <mergeCell ref="AJ4:AJ5"/>
    <mergeCell ref="AK4:AK5"/>
    <mergeCell ref="AQ4:AQ5"/>
    <mergeCell ref="BB3:BB5"/>
    <mergeCell ref="AR4:AR5"/>
    <mergeCell ref="BF3:BF5"/>
    <mergeCell ref="BG3:BG5"/>
    <mergeCell ref="BH3:BH5"/>
    <mergeCell ref="BC3:BC5"/>
    <mergeCell ref="BD3:BD5"/>
    <mergeCell ref="BE3:BE5"/>
    <mergeCell ref="AT3:AU4"/>
    <mergeCell ref="AV3:AW3"/>
    <mergeCell ref="AX3:AY3"/>
    <mergeCell ref="AZ3:BA3"/>
    <mergeCell ref="F3:F5"/>
    <mergeCell ref="A3:A5"/>
    <mergeCell ref="B3:B5"/>
    <mergeCell ref="C3:C5"/>
    <mergeCell ref="D3:D5"/>
    <mergeCell ref="E3:E5"/>
    <mergeCell ref="X3:X5"/>
    <mergeCell ref="G3:K4"/>
    <mergeCell ref="L3:N4"/>
    <mergeCell ref="O3:O5"/>
    <mergeCell ref="P3:P5"/>
    <mergeCell ref="Q3:Q5"/>
    <mergeCell ref="R3:R5"/>
    <mergeCell ref="T3:T5"/>
    <mergeCell ref="U3:U5"/>
  </mergeCells>
  <conditionalFormatting sqref="C168 C166 B166:B168">
    <cfRule type="cellIs" dxfId="931" priority="1851" stopIfTrue="1" operator="equal">
      <formula>"Towel"</formula>
    </cfRule>
    <cfRule type="cellIs" dxfId="930" priority="1852" stopIfTrue="1" operator="equal">
      <formula>"Napkin Hs"</formula>
    </cfRule>
  </conditionalFormatting>
  <conditionalFormatting sqref="B6:C6 B8:C8 B165:C165 B10:C10">
    <cfRule type="cellIs" dxfId="929" priority="925" stopIfTrue="1" operator="equal">
      <formula>"Towel"</formula>
    </cfRule>
    <cfRule type="cellIs" dxfId="928" priority="926" stopIfTrue="1" operator="equal">
      <formula>"Napkin Hs"</formula>
    </cfRule>
  </conditionalFormatting>
  <conditionalFormatting sqref="B7:C7">
    <cfRule type="cellIs" dxfId="927" priority="907" stopIfTrue="1" operator="equal">
      <formula>"Towel"</formula>
    </cfRule>
    <cfRule type="cellIs" dxfId="926" priority="908" stopIfTrue="1" operator="equal">
      <formula>"Napkin Hs"</formula>
    </cfRule>
  </conditionalFormatting>
  <conditionalFormatting sqref="B108:C108">
    <cfRule type="cellIs" dxfId="925" priority="921" stopIfTrue="1" operator="equal">
      <formula>"Towel"</formula>
    </cfRule>
    <cfRule type="cellIs" dxfId="924" priority="922" stopIfTrue="1" operator="equal">
      <formula>"Napkin Hs"</formula>
    </cfRule>
  </conditionalFormatting>
  <conditionalFormatting sqref="B113:C113">
    <cfRule type="cellIs" dxfId="923" priority="915" stopIfTrue="1" operator="equal">
      <formula>"Towel"</formula>
    </cfRule>
    <cfRule type="cellIs" dxfId="922" priority="916" stopIfTrue="1" operator="equal">
      <formula>"Napkin Hs"</formula>
    </cfRule>
  </conditionalFormatting>
  <conditionalFormatting sqref="C6 C8 C165 C10">
    <cfRule type="cellIs" dxfId="921" priority="924" stopIfTrue="1" operator="equal">
      <formula>"Napkin Hs"</formula>
    </cfRule>
  </conditionalFormatting>
  <conditionalFormatting sqref="C6:C8 C10">
    <cfRule type="cellIs" dxfId="920" priority="905" stopIfTrue="1" operator="equal">
      <formula>"Towel"</formula>
    </cfRule>
    <cfRule type="cellIs" dxfId="919" priority="906" stopIfTrue="1" operator="equal">
      <formula>"Napkin Hs"</formula>
    </cfRule>
  </conditionalFormatting>
  <conditionalFormatting sqref="C7">
    <cfRule type="cellIs" dxfId="918" priority="903" stopIfTrue="1" operator="equal">
      <formula>"Towel"</formula>
    </cfRule>
    <cfRule type="cellIs" dxfId="917" priority="904" stopIfTrue="1" operator="equal">
      <formula>"Napkin Hs"</formula>
    </cfRule>
  </conditionalFormatting>
  <conditionalFormatting sqref="C165 C6 C8 C10">
    <cfRule type="cellIs" dxfId="916" priority="923" stopIfTrue="1" operator="equal">
      <formula>"Towel"</formula>
    </cfRule>
  </conditionalFormatting>
  <conditionalFormatting sqref="C108">
    <cfRule type="cellIs" dxfId="915" priority="919" stopIfTrue="1" operator="equal">
      <formula>"Towel"</formula>
    </cfRule>
    <cfRule type="cellIs" dxfId="914" priority="920" stopIfTrue="1" operator="equal">
      <formula>"Napkin Hs"</formula>
    </cfRule>
  </conditionalFormatting>
  <conditionalFormatting sqref="C108">
    <cfRule type="cellIs" dxfId="913" priority="917" stopIfTrue="1" operator="equal">
      <formula>"Towel"</formula>
    </cfRule>
    <cfRule type="cellIs" dxfId="912" priority="918" stopIfTrue="1" operator="equal">
      <formula>"Napkin Hs"</formula>
    </cfRule>
  </conditionalFormatting>
  <conditionalFormatting sqref="C113">
    <cfRule type="cellIs" dxfId="911" priority="913" stopIfTrue="1" operator="equal">
      <formula>"Towel"</formula>
    </cfRule>
    <cfRule type="cellIs" dxfId="910" priority="914" stopIfTrue="1" operator="equal">
      <formula>"Napkin Hs"</formula>
    </cfRule>
  </conditionalFormatting>
  <conditionalFormatting sqref="C113">
    <cfRule type="cellIs" dxfId="909" priority="911" stopIfTrue="1" operator="equal">
      <formula>"Towel"</formula>
    </cfRule>
    <cfRule type="cellIs" dxfId="908" priority="912" stopIfTrue="1" operator="equal">
      <formula>"Napkin Hs"</formula>
    </cfRule>
  </conditionalFormatting>
  <conditionalFormatting sqref="C165">
    <cfRule type="cellIs" dxfId="907" priority="909" stopIfTrue="1" operator="equal">
      <formula>"Towel"</formula>
    </cfRule>
    <cfRule type="cellIs" dxfId="906" priority="910" stopIfTrue="1" operator="equal">
      <formula>"Napkin Hs"</formula>
    </cfRule>
  </conditionalFormatting>
  <conditionalFormatting sqref="B9:C9">
    <cfRule type="cellIs" dxfId="905" priority="901" stopIfTrue="1" operator="equal">
      <formula>"Towel"</formula>
    </cfRule>
    <cfRule type="cellIs" dxfId="904" priority="902" stopIfTrue="1" operator="equal">
      <formula>"Napkin Hs"</formula>
    </cfRule>
  </conditionalFormatting>
  <conditionalFormatting sqref="C9">
    <cfRule type="cellIs" dxfId="903" priority="897" stopIfTrue="1" operator="equal">
      <formula>"Towel"</formula>
    </cfRule>
    <cfRule type="cellIs" dxfId="902" priority="898" stopIfTrue="1" operator="equal">
      <formula>"Napkin Hs"</formula>
    </cfRule>
  </conditionalFormatting>
  <conditionalFormatting sqref="C9">
    <cfRule type="cellIs" dxfId="901" priority="900" stopIfTrue="1" operator="equal">
      <formula>"Napkin Hs"</formula>
    </cfRule>
  </conditionalFormatting>
  <conditionalFormatting sqref="C9">
    <cfRule type="cellIs" dxfId="900" priority="899" stopIfTrue="1" operator="equal">
      <formula>"Towel"</formula>
    </cfRule>
  </conditionalFormatting>
  <conditionalFormatting sqref="B40:C40">
    <cfRule type="cellIs" dxfId="899" priority="895" stopIfTrue="1" operator="equal">
      <formula>"Towel"</formula>
    </cfRule>
    <cfRule type="cellIs" dxfId="898" priority="896" stopIfTrue="1" operator="equal">
      <formula>"Napkin Hs"</formula>
    </cfRule>
  </conditionalFormatting>
  <conditionalFormatting sqref="C40">
    <cfRule type="cellIs" dxfId="897" priority="891" stopIfTrue="1" operator="equal">
      <formula>"Towel"</formula>
    </cfRule>
    <cfRule type="cellIs" dxfId="896" priority="892" stopIfTrue="1" operator="equal">
      <formula>"Napkin Hs"</formula>
    </cfRule>
  </conditionalFormatting>
  <conditionalFormatting sqref="C40">
    <cfRule type="cellIs" dxfId="895" priority="893" stopIfTrue="1" operator="equal">
      <formula>"Towel"</formula>
    </cfRule>
    <cfRule type="cellIs" dxfId="894" priority="894" stopIfTrue="1" operator="equal">
      <formula>"Napkin Hs"</formula>
    </cfRule>
  </conditionalFormatting>
  <conditionalFormatting sqref="B45:C45">
    <cfRule type="cellIs" dxfId="893" priority="889" stopIfTrue="1" operator="equal">
      <formula>"Towel"</formula>
    </cfRule>
    <cfRule type="cellIs" dxfId="892" priority="890" stopIfTrue="1" operator="equal">
      <formula>"Napkin Hs"</formula>
    </cfRule>
  </conditionalFormatting>
  <conditionalFormatting sqref="C45">
    <cfRule type="cellIs" dxfId="891" priority="888" stopIfTrue="1" operator="equal">
      <formula>"Napkin Hs"</formula>
    </cfRule>
  </conditionalFormatting>
  <conditionalFormatting sqref="C45">
    <cfRule type="cellIs" dxfId="890" priority="885" stopIfTrue="1" operator="equal">
      <formula>"Towel"</formula>
    </cfRule>
    <cfRule type="cellIs" dxfId="889" priority="886" stopIfTrue="1" operator="equal">
      <formula>"Napkin Hs"</formula>
    </cfRule>
  </conditionalFormatting>
  <conditionalFormatting sqref="C45">
    <cfRule type="cellIs" dxfId="888" priority="887" stopIfTrue="1" operator="equal">
      <formula>"Towel"</formula>
    </cfRule>
  </conditionalFormatting>
  <conditionalFormatting sqref="B52:C52">
    <cfRule type="cellIs" dxfId="887" priority="883" stopIfTrue="1" operator="equal">
      <formula>"Towel"</formula>
    </cfRule>
    <cfRule type="cellIs" dxfId="886" priority="884" stopIfTrue="1" operator="equal">
      <formula>"Napkin Hs"</formula>
    </cfRule>
  </conditionalFormatting>
  <conditionalFormatting sqref="C52">
    <cfRule type="cellIs" dxfId="885" priority="879" stopIfTrue="1" operator="equal">
      <formula>"Towel"</formula>
    </cfRule>
    <cfRule type="cellIs" dxfId="884" priority="880" stopIfTrue="1" operator="equal">
      <formula>"Napkin Hs"</formula>
    </cfRule>
  </conditionalFormatting>
  <conditionalFormatting sqref="C52">
    <cfRule type="cellIs" dxfId="883" priority="881" stopIfTrue="1" operator="equal">
      <formula>"Towel"</formula>
    </cfRule>
    <cfRule type="cellIs" dxfId="882" priority="882" stopIfTrue="1" operator="equal">
      <formula>"Napkin Hs"</formula>
    </cfRule>
  </conditionalFormatting>
  <conditionalFormatting sqref="B58:C59">
    <cfRule type="cellIs" dxfId="881" priority="877" stopIfTrue="1" operator="equal">
      <formula>"Towel"</formula>
    </cfRule>
    <cfRule type="cellIs" dxfId="880" priority="878" stopIfTrue="1" operator="equal">
      <formula>"Napkin Hs"</formula>
    </cfRule>
  </conditionalFormatting>
  <conditionalFormatting sqref="C58:C59">
    <cfRule type="cellIs" dxfId="879" priority="876" stopIfTrue="1" operator="equal">
      <formula>"Napkin Hs"</formula>
    </cfRule>
  </conditionalFormatting>
  <conditionalFormatting sqref="C58:C59">
    <cfRule type="cellIs" dxfId="878" priority="873" stopIfTrue="1" operator="equal">
      <formula>"Towel"</formula>
    </cfRule>
    <cfRule type="cellIs" dxfId="877" priority="874" stopIfTrue="1" operator="equal">
      <formula>"Napkin Hs"</formula>
    </cfRule>
  </conditionalFormatting>
  <conditionalFormatting sqref="C58:C59">
    <cfRule type="cellIs" dxfId="876" priority="875" stopIfTrue="1" operator="equal">
      <formula>"Towel"</formula>
    </cfRule>
  </conditionalFormatting>
  <conditionalFormatting sqref="B64:C64">
    <cfRule type="cellIs" dxfId="875" priority="871" stopIfTrue="1" operator="equal">
      <formula>"Towel"</formula>
    </cfRule>
    <cfRule type="cellIs" dxfId="874" priority="872" stopIfTrue="1" operator="equal">
      <formula>"Napkin Hs"</formula>
    </cfRule>
  </conditionalFormatting>
  <conditionalFormatting sqref="C64">
    <cfRule type="cellIs" dxfId="873" priority="870" stopIfTrue="1" operator="equal">
      <formula>"Napkin Hs"</formula>
    </cfRule>
  </conditionalFormatting>
  <conditionalFormatting sqref="C64">
    <cfRule type="cellIs" dxfId="872" priority="867" stopIfTrue="1" operator="equal">
      <formula>"Towel"</formula>
    </cfRule>
    <cfRule type="cellIs" dxfId="871" priority="868" stopIfTrue="1" operator="equal">
      <formula>"Napkin Hs"</formula>
    </cfRule>
  </conditionalFormatting>
  <conditionalFormatting sqref="C64">
    <cfRule type="cellIs" dxfId="870" priority="869" stopIfTrue="1" operator="equal">
      <formula>"Towel"</formula>
    </cfRule>
  </conditionalFormatting>
  <conditionalFormatting sqref="B69:C69">
    <cfRule type="cellIs" dxfId="869" priority="865" stopIfTrue="1" operator="equal">
      <formula>"Towel"</formula>
    </cfRule>
    <cfRule type="cellIs" dxfId="868" priority="866" stopIfTrue="1" operator="equal">
      <formula>"Napkin Hs"</formula>
    </cfRule>
  </conditionalFormatting>
  <conditionalFormatting sqref="C69">
    <cfRule type="cellIs" dxfId="867" priority="864" stopIfTrue="1" operator="equal">
      <formula>"Napkin Hs"</formula>
    </cfRule>
  </conditionalFormatting>
  <conditionalFormatting sqref="C69">
    <cfRule type="cellIs" dxfId="866" priority="861" stopIfTrue="1" operator="equal">
      <formula>"Towel"</formula>
    </cfRule>
    <cfRule type="cellIs" dxfId="865" priority="862" stopIfTrue="1" operator="equal">
      <formula>"Napkin Hs"</formula>
    </cfRule>
  </conditionalFormatting>
  <conditionalFormatting sqref="C69">
    <cfRule type="cellIs" dxfId="864" priority="863" stopIfTrue="1" operator="equal">
      <formula>"Towel"</formula>
    </cfRule>
  </conditionalFormatting>
  <conditionalFormatting sqref="B74:C74">
    <cfRule type="cellIs" dxfId="863" priority="859" stopIfTrue="1" operator="equal">
      <formula>"Towel"</formula>
    </cfRule>
    <cfRule type="cellIs" dxfId="862" priority="860" stopIfTrue="1" operator="equal">
      <formula>"Napkin Hs"</formula>
    </cfRule>
  </conditionalFormatting>
  <conditionalFormatting sqref="C74">
    <cfRule type="cellIs" dxfId="861" priority="855" stopIfTrue="1" operator="equal">
      <formula>"Towel"</formula>
    </cfRule>
    <cfRule type="cellIs" dxfId="860" priority="856" stopIfTrue="1" operator="equal">
      <formula>"Napkin Hs"</formula>
    </cfRule>
  </conditionalFormatting>
  <conditionalFormatting sqref="C74">
    <cfRule type="cellIs" dxfId="859" priority="858" stopIfTrue="1" operator="equal">
      <formula>"Napkin Hs"</formula>
    </cfRule>
  </conditionalFormatting>
  <conditionalFormatting sqref="C74">
    <cfRule type="cellIs" dxfId="858" priority="857" stopIfTrue="1" operator="equal">
      <formula>"Towel"</formula>
    </cfRule>
  </conditionalFormatting>
  <conditionalFormatting sqref="B79:C79">
    <cfRule type="cellIs" dxfId="857" priority="853" stopIfTrue="1" operator="equal">
      <formula>"Towel"</formula>
    </cfRule>
    <cfRule type="cellIs" dxfId="856" priority="854" stopIfTrue="1" operator="equal">
      <formula>"Napkin Hs"</formula>
    </cfRule>
  </conditionalFormatting>
  <conditionalFormatting sqref="C79">
    <cfRule type="cellIs" dxfId="855" priority="852" stopIfTrue="1" operator="equal">
      <formula>"Napkin Hs"</formula>
    </cfRule>
  </conditionalFormatting>
  <conditionalFormatting sqref="C79">
    <cfRule type="cellIs" dxfId="854" priority="849" stopIfTrue="1" operator="equal">
      <formula>"Towel"</formula>
    </cfRule>
    <cfRule type="cellIs" dxfId="853" priority="850" stopIfTrue="1" operator="equal">
      <formula>"Napkin Hs"</formula>
    </cfRule>
  </conditionalFormatting>
  <conditionalFormatting sqref="C79">
    <cfRule type="cellIs" dxfId="852" priority="851" stopIfTrue="1" operator="equal">
      <formula>"Towel"</formula>
    </cfRule>
  </conditionalFormatting>
  <conditionalFormatting sqref="B84:C84">
    <cfRule type="cellIs" dxfId="851" priority="847" stopIfTrue="1" operator="equal">
      <formula>"Towel"</formula>
    </cfRule>
    <cfRule type="cellIs" dxfId="850" priority="848" stopIfTrue="1" operator="equal">
      <formula>"Napkin Hs"</formula>
    </cfRule>
  </conditionalFormatting>
  <conditionalFormatting sqref="C84">
    <cfRule type="cellIs" dxfId="849" priority="843" stopIfTrue="1" operator="equal">
      <formula>"Towel"</formula>
    </cfRule>
    <cfRule type="cellIs" dxfId="848" priority="844" stopIfTrue="1" operator="equal">
      <formula>"Napkin Hs"</formula>
    </cfRule>
  </conditionalFormatting>
  <conditionalFormatting sqref="C84">
    <cfRule type="cellIs" dxfId="847" priority="846" stopIfTrue="1" operator="equal">
      <formula>"Napkin Hs"</formula>
    </cfRule>
  </conditionalFormatting>
  <conditionalFormatting sqref="C84">
    <cfRule type="cellIs" dxfId="846" priority="845" stopIfTrue="1" operator="equal">
      <formula>"Towel"</formula>
    </cfRule>
  </conditionalFormatting>
  <conditionalFormatting sqref="B89:C89">
    <cfRule type="cellIs" dxfId="845" priority="841" stopIfTrue="1" operator="equal">
      <formula>"Towel"</formula>
    </cfRule>
    <cfRule type="cellIs" dxfId="844" priority="842" stopIfTrue="1" operator="equal">
      <formula>"Napkin Hs"</formula>
    </cfRule>
  </conditionalFormatting>
  <conditionalFormatting sqref="C89">
    <cfRule type="cellIs" dxfId="843" priority="837" stopIfTrue="1" operator="equal">
      <formula>"Towel"</formula>
    </cfRule>
    <cfRule type="cellIs" dxfId="842" priority="838" stopIfTrue="1" operator="equal">
      <formula>"Napkin Hs"</formula>
    </cfRule>
  </conditionalFormatting>
  <conditionalFormatting sqref="C89">
    <cfRule type="cellIs" dxfId="841" priority="840" stopIfTrue="1" operator="equal">
      <formula>"Napkin Hs"</formula>
    </cfRule>
  </conditionalFormatting>
  <conditionalFormatting sqref="C89">
    <cfRule type="cellIs" dxfId="840" priority="839" stopIfTrue="1" operator="equal">
      <formula>"Towel"</formula>
    </cfRule>
  </conditionalFormatting>
  <conditionalFormatting sqref="B94:C94">
    <cfRule type="cellIs" dxfId="839" priority="835" stopIfTrue="1" operator="equal">
      <formula>"Towel"</formula>
    </cfRule>
    <cfRule type="cellIs" dxfId="838" priority="836" stopIfTrue="1" operator="equal">
      <formula>"Napkin Hs"</formula>
    </cfRule>
  </conditionalFormatting>
  <conditionalFormatting sqref="C94">
    <cfRule type="cellIs" dxfId="837" priority="834" stopIfTrue="1" operator="equal">
      <formula>"Napkin Hs"</formula>
    </cfRule>
  </conditionalFormatting>
  <conditionalFormatting sqref="C94">
    <cfRule type="cellIs" dxfId="836" priority="831" stopIfTrue="1" operator="equal">
      <formula>"Towel"</formula>
    </cfRule>
    <cfRule type="cellIs" dxfId="835" priority="832" stopIfTrue="1" operator="equal">
      <formula>"Napkin Hs"</formula>
    </cfRule>
  </conditionalFormatting>
  <conditionalFormatting sqref="C94">
    <cfRule type="cellIs" dxfId="834" priority="833" stopIfTrue="1" operator="equal">
      <formula>"Towel"</formula>
    </cfRule>
  </conditionalFormatting>
  <conditionalFormatting sqref="B99:C99">
    <cfRule type="cellIs" dxfId="833" priority="829" stopIfTrue="1" operator="equal">
      <formula>"Towel"</formula>
    </cfRule>
    <cfRule type="cellIs" dxfId="832" priority="830" stopIfTrue="1" operator="equal">
      <formula>"Napkin Hs"</formula>
    </cfRule>
  </conditionalFormatting>
  <conditionalFormatting sqref="C99">
    <cfRule type="cellIs" dxfId="831" priority="828" stopIfTrue="1" operator="equal">
      <formula>"Napkin Hs"</formula>
    </cfRule>
  </conditionalFormatting>
  <conditionalFormatting sqref="C99">
    <cfRule type="cellIs" dxfId="830" priority="825" stopIfTrue="1" operator="equal">
      <formula>"Towel"</formula>
    </cfRule>
    <cfRule type="cellIs" dxfId="829" priority="826" stopIfTrue="1" operator="equal">
      <formula>"Napkin Hs"</formula>
    </cfRule>
  </conditionalFormatting>
  <conditionalFormatting sqref="C99">
    <cfRule type="cellIs" dxfId="828" priority="827" stopIfTrue="1" operator="equal">
      <formula>"Towel"</formula>
    </cfRule>
  </conditionalFormatting>
  <conditionalFormatting sqref="B107:C107">
    <cfRule type="cellIs" dxfId="827" priority="823" stopIfTrue="1" operator="equal">
      <formula>"Towel"</formula>
    </cfRule>
    <cfRule type="cellIs" dxfId="826" priority="824" stopIfTrue="1" operator="equal">
      <formula>"Napkin Hs"</formula>
    </cfRule>
  </conditionalFormatting>
  <conditionalFormatting sqref="C107">
    <cfRule type="cellIs" dxfId="825" priority="822" stopIfTrue="1" operator="equal">
      <formula>"Napkin Hs"</formula>
    </cfRule>
  </conditionalFormatting>
  <conditionalFormatting sqref="C107">
    <cfRule type="cellIs" dxfId="824" priority="819" stopIfTrue="1" operator="equal">
      <formula>"Towel"</formula>
    </cfRule>
    <cfRule type="cellIs" dxfId="823" priority="820" stopIfTrue="1" operator="equal">
      <formula>"Napkin Hs"</formula>
    </cfRule>
  </conditionalFormatting>
  <conditionalFormatting sqref="C107">
    <cfRule type="cellIs" dxfId="822" priority="821" stopIfTrue="1" operator="equal">
      <formula>"Towel"</formula>
    </cfRule>
  </conditionalFormatting>
  <conditionalFormatting sqref="B105:C106">
    <cfRule type="cellIs" dxfId="821" priority="817" stopIfTrue="1" operator="equal">
      <formula>"Towel"</formula>
    </cfRule>
    <cfRule type="cellIs" dxfId="820" priority="818" stopIfTrue="1" operator="equal">
      <formula>"Napkin Hs"</formula>
    </cfRule>
  </conditionalFormatting>
  <conditionalFormatting sqref="C105:C106">
    <cfRule type="cellIs" dxfId="819" priority="816" stopIfTrue="1" operator="equal">
      <formula>"Napkin Hs"</formula>
    </cfRule>
  </conditionalFormatting>
  <conditionalFormatting sqref="C105:C106">
    <cfRule type="cellIs" dxfId="818" priority="813" stopIfTrue="1" operator="equal">
      <formula>"Towel"</formula>
    </cfRule>
    <cfRule type="cellIs" dxfId="817" priority="814" stopIfTrue="1" operator="equal">
      <formula>"Napkin Hs"</formula>
    </cfRule>
  </conditionalFormatting>
  <conditionalFormatting sqref="C105:C106">
    <cfRule type="cellIs" dxfId="816" priority="815" stopIfTrue="1" operator="equal">
      <formula>"Towel"</formula>
    </cfRule>
  </conditionalFormatting>
  <conditionalFormatting sqref="B104:C104">
    <cfRule type="cellIs" dxfId="815" priority="811" stopIfTrue="1" operator="equal">
      <formula>"Towel"</formula>
    </cfRule>
    <cfRule type="cellIs" dxfId="814" priority="812" stopIfTrue="1" operator="equal">
      <formula>"Napkin Hs"</formula>
    </cfRule>
  </conditionalFormatting>
  <conditionalFormatting sqref="C104">
    <cfRule type="cellIs" dxfId="813" priority="810" stopIfTrue="1" operator="equal">
      <formula>"Napkin Hs"</formula>
    </cfRule>
  </conditionalFormatting>
  <conditionalFormatting sqref="C104">
    <cfRule type="cellIs" dxfId="812" priority="807" stopIfTrue="1" operator="equal">
      <formula>"Towel"</formula>
    </cfRule>
    <cfRule type="cellIs" dxfId="811" priority="808" stopIfTrue="1" operator="equal">
      <formula>"Napkin Hs"</formula>
    </cfRule>
  </conditionalFormatting>
  <conditionalFormatting sqref="C104">
    <cfRule type="cellIs" dxfId="810" priority="809" stopIfTrue="1" operator="equal">
      <formula>"Towel"</formula>
    </cfRule>
  </conditionalFormatting>
  <conditionalFormatting sqref="B109:C109">
    <cfRule type="cellIs" dxfId="809" priority="805" stopIfTrue="1" operator="equal">
      <formula>"Towel"</formula>
    </cfRule>
    <cfRule type="cellIs" dxfId="808" priority="806" stopIfTrue="1" operator="equal">
      <formula>"Napkin Hs"</formula>
    </cfRule>
  </conditionalFormatting>
  <conditionalFormatting sqref="C109">
    <cfRule type="cellIs" dxfId="807" priority="804" stopIfTrue="1" operator="equal">
      <formula>"Napkin Hs"</formula>
    </cfRule>
  </conditionalFormatting>
  <conditionalFormatting sqref="C109">
    <cfRule type="cellIs" dxfId="806" priority="801" stopIfTrue="1" operator="equal">
      <formula>"Towel"</formula>
    </cfRule>
    <cfRule type="cellIs" dxfId="805" priority="802" stopIfTrue="1" operator="equal">
      <formula>"Napkin Hs"</formula>
    </cfRule>
  </conditionalFormatting>
  <conditionalFormatting sqref="C109">
    <cfRule type="cellIs" dxfId="804" priority="803" stopIfTrue="1" operator="equal">
      <formula>"Towel"</formula>
    </cfRule>
  </conditionalFormatting>
  <conditionalFormatting sqref="B139:C139 B144:C144">
    <cfRule type="cellIs" dxfId="803" priority="799" stopIfTrue="1" operator="equal">
      <formula>"Towel"</formula>
    </cfRule>
    <cfRule type="cellIs" dxfId="802" priority="800" stopIfTrue="1" operator="equal">
      <formula>"Napkin Hs"</formula>
    </cfRule>
  </conditionalFormatting>
  <conditionalFormatting sqref="C139 C144">
    <cfRule type="cellIs" dxfId="801" priority="797" stopIfTrue="1" operator="equal">
      <formula>"Towel"</formula>
    </cfRule>
    <cfRule type="cellIs" dxfId="800" priority="798" stopIfTrue="1" operator="equal">
      <formula>"Napkin Hs"</formula>
    </cfRule>
  </conditionalFormatting>
  <conditionalFormatting sqref="C139 C144">
    <cfRule type="cellIs" dxfId="799" priority="795" stopIfTrue="1" operator="equal">
      <formula>"Towel"</formula>
    </cfRule>
    <cfRule type="cellIs" dxfId="798" priority="796" stopIfTrue="1" operator="equal">
      <formula>"Napkin Hs"</formula>
    </cfRule>
  </conditionalFormatting>
  <conditionalFormatting sqref="B122:C122">
    <cfRule type="cellIs" dxfId="797" priority="793" stopIfTrue="1" operator="equal">
      <formula>"Towel"</formula>
    </cfRule>
    <cfRule type="cellIs" dxfId="796" priority="794" stopIfTrue="1" operator="equal">
      <formula>"Napkin Hs"</formula>
    </cfRule>
  </conditionalFormatting>
  <conditionalFormatting sqref="C122">
    <cfRule type="cellIs" dxfId="795" priority="792" stopIfTrue="1" operator="equal">
      <formula>"Napkin Hs"</formula>
    </cfRule>
  </conditionalFormatting>
  <conditionalFormatting sqref="C122">
    <cfRule type="cellIs" dxfId="794" priority="789" stopIfTrue="1" operator="equal">
      <formula>"Towel"</formula>
    </cfRule>
    <cfRule type="cellIs" dxfId="793" priority="790" stopIfTrue="1" operator="equal">
      <formula>"Napkin Hs"</formula>
    </cfRule>
  </conditionalFormatting>
  <conditionalFormatting sqref="C122">
    <cfRule type="cellIs" dxfId="792" priority="791" stopIfTrue="1" operator="equal">
      <formula>"Towel"</formula>
    </cfRule>
  </conditionalFormatting>
  <conditionalFormatting sqref="B127:C127">
    <cfRule type="cellIs" dxfId="791" priority="787" stopIfTrue="1" operator="equal">
      <formula>"Towel"</formula>
    </cfRule>
    <cfRule type="cellIs" dxfId="790" priority="788" stopIfTrue="1" operator="equal">
      <formula>"Napkin Hs"</formula>
    </cfRule>
  </conditionalFormatting>
  <conditionalFormatting sqref="C127">
    <cfRule type="cellIs" dxfId="789" priority="786" stopIfTrue="1" operator="equal">
      <formula>"Napkin Hs"</formula>
    </cfRule>
  </conditionalFormatting>
  <conditionalFormatting sqref="C127">
    <cfRule type="cellIs" dxfId="788" priority="783" stopIfTrue="1" operator="equal">
      <formula>"Towel"</formula>
    </cfRule>
    <cfRule type="cellIs" dxfId="787" priority="784" stopIfTrue="1" operator="equal">
      <formula>"Napkin Hs"</formula>
    </cfRule>
  </conditionalFormatting>
  <conditionalFormatting sqref="C127">
    <cfRule type="cellIs" dxfId="786" priority="785" stopIfTrue="1" operator="equal">
      <formula>"Towel"</formula>
    </cfRule>
  </conditionalFormatting>
  <conditionalFormatting sqref="B133:C133">
    <cfRule type="cellIs" dxfId="785" priority="781" stopIfTrue="1" operator="equal">
      <formula>"Towel"</formula>
    </cfRule>
    <cfRule type="cellIs" dxfId="784" priority="782" stopIfTrue="1" operator="equal">
      <formula>"Napkin Hs"</formula>
    </cfRule>
  </conditionalFormatting>
  <conditionalFormatting sqref="C133">
    <cfRule type="cellIs" dxfId="783" priority="780" stopIfTrue="1" operator="equal">
      <formula>"Napkin Hs"</formula>
    </cfRule>
  </conditionalFormatting>
  <conditionalFormatting sqref="C133">
    <cfRule type="cellIs" dxfId="782" priority="777" stopIfTrue="1" operator="equal">
      <formula>"Towel"</formula>
    </cfRule>
    <cfRule type="cellIs" dxfId="781" priority="778" stopIfTrue="1" operator="equal">
      <formula>"Napkin Hs"</formula>
    </cfRule>
  </conditionalFormatting>
  <conditionalFormatting sqref="C133">
    <cfRule type="cellIs" dxfId="780" priority="779" stopIfTrue="1" operator="equal">
      <formula>"Towel"</formula>
    </cfRule>
  </conditionalFormatting>
  <conditionalFormatting sqref="B149:C149">
    <cfRule type="cellIs" dxfId="779" priority="775" stopIfTrue="1" operator="equal">
      <formula>"Towel"</formula>
    </cfRule>
    <cfRule type="cellIs" dxfId="778" priority="776" stopIfTrue="1" operator="equal">
      <formula>"Napkin Hs"</formula>
    </cfRule>
  </conditionalFormatting>
  <conditionalFormatting sqref="C149">
    <cfRule type="cellIs" dxfId="777" priority="774" stopIfTrue="1" operator="equal">
      <formula>"Napkin Hs"</formula>
    </cfRule>
  </conditionalFormatting>
  <conditionalFormatting sqref="C149">
    <cfRule type="cellIs" dxfId="776" priority="771" stopIfTrue="1" operator="equal">
      <formula>"Towel"</formula>
    </cfRule>
    <cfRule type="cellIs" dxfId="775" priority="772" stopIfTrue="1" operator="equal">
      <formula>"Napkin Hs"</formula>
    </cfRule>
  </conditionalFormatting>
  <conditionalFormatting sqref="C149">
    <cfRule type="cellIs" dxfId="774" priority="773" stopIfTrue="1" operator="equal">
      <formula>"Towel"</formula>
    </cfRule>
  </conditionalFormatting>
  <conditionalFormatting sqref="B154:C154">
    <cfRule type="cellIs" dxfId="773" priority="769" stopIfTrue="1" operator="equal">
      <formula>"Towel"</formula>
    </cfRule>
    <cfRule type="cellIs" dxfId="772" priority="770" stopIfTrue="1" operator="equal">
      <formula>"Napkin Hs"</formula>
    </cfRule>
  </conditionalFormatting>
  <conditionalFormatting sqref="C154">
    <cfRule type="cellIs" dxfId="771" priority="768" stopIfTrue="1" operator="equal">
      <formula>"Napkin Hs"</formula>
    </cfRule>
  </conditionalFormatting>
  <conditionalFormatting sqref="C154">
    <cfRule type="cellIs" dxfId="770" priority="765" stopIfTrue="1" operator="equal">
      <formula>"Towel"</formula>
    </cfRule>
    <cfRule type="cellIs" dxfId="769" priority="766" stopIfTrue="1" operator="equal">
      <formula>"Napkin Hs"</formula>
    </cfRule>
  </conditionalFormatting>
  <conditionalFormatting sqref="C154">
    <cfRule type="cellIs" dxfId="768" priority="767" stopIfTrue="1" operator="equal">
      <formula>"Towel"</formula>
    </cfRule>
  </conditionalFormatting>
  <conditionalFormatting sqref="B160:C160">
    <cfRule type="cellIs" dxfId="767" priority="763" stopIfTrue="1" operator="equal">
      <formula>"Towel"</formula>
    </cfRule>
    <cfRule type="cellIs" dxfId="766" priority="764" stopIfTrue="1" operator="equal">
      <formula>"Napkin Hs"</formula>
    </cfRule>
  </conditionalFormatting>
  <conditionalFormatting sqref="C160">
    <cfRule type="cellIs" dxfId="765" priority="762" stopIfTrue="1" operator="equal">
      <formula>"Napkin Hs"</formula>
    </cfRule>
  </conditionalFormatting>
  <conditionalFormatting sqref="C160">
    <cfRule type="cellIs" dxfId="764" priority="759" stopIfTrue="1" operator="equal">
      <formula>"Towel"</formula>
    </cfRule>
    <cfRule type="cellIs" dxfId="763" priority="760" stopIfTrue="1" operator="equal">
      <formula>"Napkin Hs"</formula>
    </cfRule>
  </conditionalFormatting>
  <conditionalFormatting sqref="C160">
    <cfRule type="cellIs" dxfId="762" priority="761" stopIfTrue="1" operator="equal">
      <formula>"Towel"</formula>
    </cfRule>
  </conditionalFormatting>
  <conditionalFormatting sqref="B20:C20">
    <cfRule type="cellIs" dxfId="761" priority="757" stopIfTrue="1" operator="equal">
      <formula>"Towel"</formula>
    </cfRule>
    <cfRule type="cellIs" dxfId="760" priority="758" stopIfTrue="1" operator="equal">
      <formula>"Napkin Hs"</formula>
    </cfRule>
  </conditionalFormatting>
  <conditionalFormatting sqref="C20">
    <cfRule type="cellIs" dxfId="759" priority="756" stopIfTrue="1" operator="equal">
      <formula>"Napkin Hs"</formula>
    </cfRule>
  </conditionalFormatting>
  <conditionalFormatting sqref="C20">
    <cfRule type="cellIs" dxfId="758" priority="753" stopIfTrue="1" operator="equal">
      <formula>"Towel"</formula>
    </cfRule>
    <cfRule type="cellIs" dxfId="757" priority="754" stopIfTrue="1" operator="equal">
      <formula>"Napkin Hs"</formula>
    </cfRule>
  </conditionalFormatting>
  <conditionalFormatting sqref="C20">
    <cfRule type="cellIs" dxfId="756" priority="755" stopIfTrue="1" operator="equal">
      <formula>"Towel"</formula>
    </cfRule>
  </conditionalFormatting>
  <conditionalFormatting sqref="B20:C20">
    <cfRule type="cellIs" dxfId="755" priority="751" stopIfTrue="1" operator="equal">
      <formula>"Towel"</formula>
    </cfRule>
    <cfRule type="cellIs" dxfId="754" priority="752" stopIfTrue="1" operator="equal">
      <formula>"Napkin Hs"</formula>
    </cfRule>
  </conditionalFormatting>
  <conditionalFormatting sqref="C20">
    <cfRule type="cellIs" dxfId="753" priority="750" stopIfTrue="1" operator="equal">
      <formula>"Napkin Hs"</formula>
    </cfRule>
  </conditionalFormatting>
  <conditionalFormatting sqref="C20">
    <cfRule type="cellIs" dxfId="752" priority="747" stopIfTrue="1" operator="equal">
      <formula>"Towel"</formula>
    </cfRule>
    <cfRule type="cellIs" dxfId="751" priority="748" stopIfTrue="1" operator="equal">
      <formula>"Napkin Hs"</formula>
    </cfRule>
  </conditionalFormatting>
  <conditionalFormatting sqref="C20">
    <cfRule type="cellIs" dxfId="750" priority="749" stopIfTrue="1" operator="equal">
      <formula>"Towel"</formula>
    </cfRule>
  </conditionalFormatting>
  <conditionalFormatting sqref="B25:C25">
    <cfRule type="cellIs" dxfId="749" priority="745" stopIfTrue="1" operator="equal">
      <formula>"Towel"</formula>
    </cfRule>
    <cfRule type="cellIs" dxfId="748" priority="746" stopIfTrue="1" operator="equal">
      <formula>"Napkin Hs"</formula>
    </cfRule>
  </conditionalFormatting>
  <conditionalFormatting sqref="C25">
    <cfRule type="cellIs" dxfId="747" priority="744" stopIfTrue="1" operator="equal">
      <formula>"Napkin Hs"</formula>
    </cfRule>
  </conditionalFormatting>
  <conditionalFormatting sqref="C25">
    <cfRule type="cellIs" dxfId="746" priority="741" stopIfTrue="1" operator="equal">
      <formula>"Towel"</formula>
    </cfRule>
    <cfRule type="cellIs" dxfId="745" priority="742" stopIfTrue="1" operator="equal">
      <formula>"Napkin Hs"</formula>
    </cfRule>
  </conditionalFormatting>
  <conditionalFormatting sqref="C25">
    <cfRule type="cellIs" dxfId="744" priority="743" stopIfTrue="1" operator="equal">
      <formula>"Towel"</formula>
    </cfRule>
  </conditionalFormatting>
  <conditionalFormatting sqref="B25:C25">
    <cfRule type="cellIs" dxfId="743" priority="739" stopIfTrue="1" operator="equal">
      <formula>"Towel"</formula>
    </cfRule>
    <cfRule type="cellIs" dxfId="742" priority="740" stopIfTrue="1" operator="equal">
      <formula>"Napkin Hs"</formula>
    </cfRule>
  </conditionalFormatting>
  <conditionalFormatting sqref="C25">
    <cfRule type="cellIs" dxfId="741" priority="738" stopIfTrue="1" operator="equal">
      <formula>"Napkin Hs"</formula>
    </cfRule>
  </conditionalFormatting>
  <conditionalFormatting sqref="C25">
    <cfRule type="cellIs" dxfId="740" priority="735" stopIfTrue="1" operator="equal">
      <formula>"Towel"</formula>
    </cfRule>
    <cfRule type="cellIs" dxfId="739" priority="736" stopIfTrue="1" operator="equal">
      <formula>"Napkin Hs"</formula>
    </cfRule>
  </conditionalFormatting>
  <conditionalFormatting sqref="C25">
    <cfRule type="cellIs" dxfId="738" priority="737" stopIfTrue="1" operator="equal">
      <formula>"Towel"</formula>
    </cfRule>
  </conditionalFormatting>
  <conditionalFormatting sqref="B35:C35">
    <cfRule type="cellIs" dxfId="737" priority="733" stopIfTrue="1" operator="equal">
      <formula>"Towel"</formula>
    </cfRule>
    <cfRule type="cellIs" dxfId="736" priority="734" stopIfTrue="1" operator="equal">
      <formula>"Napkin Hs"</formula>
    </cfRule>
  </conditionalFormatting>
  <conditionalFormatting sqref="C35">
    <cfRule type="cellIs" dxfId="735" priority="732" stopIfTrue="1" operator="equal">
      <formula>"Napkin Hs"</formula>
    </cfRule>
  </conditionalFormatting>
  <conditionalFormatting sqref="C35">
    <cfRule type="cellIs" dxfId="734" priority="729" stopIfTrue="1" operator="equal">
      <formula>"Towel"</formula>
    </cfRule>
    <cfRule type="cellIs" dxfId="733" priority="730" stopIfTrue="1" operator="equal">
      <formula>"Napkin Hs"</formula>
    </cfRule>
  </conditionalFormatting>
  <conditionalFormatting sqref="C35">
    <cfRule type="cellIs" dxfId="732" priority="731" stopIfTrue="1" operator="equal">
      <formula>"Towel"</formula>
    </cfRule>
  </conditionalFormatting>
  <conditionalFormatting sqref="B35:C35">
    <cfRule type="cellIs" dxfId="731" priority="727" stopIfTrue="1" operator="equal">
      <formula>"Towel"</formula>
    </cfRule>
    <cfRule type="cellIs" dxfId="730" priority="728" stopIfTrue="1" operator="equal">
      <formula>"Napkin Hs"</formula>
    </cfRule>
  </conditionalFormatting>
  <conditionalFormatting sqref="C35">
    <cfRule type="cellIs" dxfId="729" priority="726" stopIfTrue="1" operator="equal">
      <formula>"Napkin Hs"</formula>
    </cfRule>
  </conditionalFormatting>
  <conditionalFormatting sqref="C35">
    <cfRule type="cellIs" dxfId="728" priority="723" stopIfTrue="1" operator="equal">
      <formula>"Towel"</formula>
    </cfRule>
    <cfRule type="cellIs" dxfId="727" priority="724" stopIfTrue="1" operator="equal">
      <formula>"Napkin Hs"</formula>
    </cfRule>
  </conditionalFormatting>
  <conditionalFormatting sqref="C35">
    <cfRule type="cellIs" dxfId="726" priority="725" stopIfTrue="1" operator="equal">
      <formula>"Towel"</formula>
    </cfRule>
  </conditionalFormatting>
  <conditionalFormatting sqref="B11:C11 B13:C13 B15:C15">
    <cfRule type="cellIs" dxfId="725" priority="721" stopIfTrue="1" operator="equal">
      <formula>"Towel"</formula>
    </cfRule>
    <cfRule type="cellIs" dxfId="724" priority="722" stopIfTrue="1" operator="equal">
      <formula>"Napkin Hs"</formula>
    </cfRule>
  </conditionalFormatting>
  <conditionalFormatting sqref="B12:C12">
    <cfRule type="cellIs" dxfId="723" priority="717" stopIfTrue="1" operator="equal">
      <formula>"Towel"</formula>
    </cfRule>
    <cfRule type="cellIs" dxfId="722" priority="718" stopIfTrue="1" operator="equal">
      <formula>"Napkin Hs"</formula>
    </cfRule>
  </conditionalFormatting>
  <conditionalFormatting sqref="C11 C13 C15">
    <cfRule type="cellIs" dxfId="721" priority="720" stopIfTrue="1" operator="equal">
      <formula>"Napkin Hs"</formula>
    </cfRule>
  </conditionalFormatting>
  <conditionalFormatting sqref="C11:C13 C15">
    <cfRule type="cellIs" dxfId="720" priority="715" stopIfTrue="1" operator="equal">
      <formula>"Towel"</formula>
    </cfRule>
    <cfRule type="cellIs" dxfId="719" priority="716" stopIfTrue="1" operator="equal">
      <formula>"Napkin Hs"</formula>
    </cfRule>
  </conditionalFormatting>
  <conditionalFormatting sqref="C12">
    <cfRule type="cellIs" dxfId="718" priority="713" stopIfTrue="1" operator="equal">
      <formula>"Towel"</formula>
    </cfRule>
    <cfRule type="cellIs" dxfId="717" priority="714" stopIfTrue="1" operator="equal">
      <formula>"Napkin Hs"</formula>
    </cfRule>
  </conditionalFormatting>
  <conditionalFormatting sqref="C11 C13 C15">
    <cfRule type="cellIs" dxfId="716" priority="719" stopIfTrue="1" operator="equal">
      <formula>"Towel"</formula>
    </cfRule>
  </conditionalFormatting>
  <conditionalFormatting sqref="B14:C14">
    <cfRule type="cellIs" dxfId="715" priority="711" stopIfTrue="1" operator="equal">
      <formula>"Towel"</formula>
    </cfRule>
    <cfRule type="cellIs" dxfId="714" priority="712" stopIfTrue="1" operator="equal">
      <formula>"Napkin Hs"</formula>
    </cfRule>
  </conditionalFormatting>
  <conditionalFormatting sqref="C14">
    <cfRule type="cellIs" dxfId="713" priority="707" stopIfTrue="1" operator="equal">
      <formula>"Towel"</formula>
    </cfRule>
    <cfRule type="cellIs" dxfId="712" priority="708" stopIfTrue="1" operator="equal">
      <formula>"Napkin Hs"</formula>
    </cfRule>
  </conditionalFormatting>
  <conditionalFormatting sqref="C14">
    <cfRule type="cellIs" dxfId="711" priority="710" stopIfTrue="1" operator="equal">
      <formula>"Napkin Hs"</formula>
    </cfRule>
  </conditionalFormatting>
  <conditionalFormatting sqref="C14">
    <cfRule type="cellIs" dxfId="710" priority="709" stopIfTrue="1" operator="equal">
      <formula>"Towel"</formula>
    </cfRule>
  </conditionalFormatting>
  <conditionalFormatting sqref="B18:C18">
    <cfRule type="cellIs" dxfId="709" priority="705" stopIfTrue="1" operator="equal">
      <formula>"Towel"</formula>
    </cfRule>
    <cfRule type="cellIs" dxfId="708" priority="706" stopIfTrue="1" operator="equal">
      <formula>"Napkin Hs"</formula>
    </cfRule>
  </conditionalFormatting>
  <conditionalFormatting sqref="C18">
    <cfRule type="cellIs" dxfId="707" priority="704" stopIfTrue="1" operator="equal">
      <formula>"Napkin Hs"</formula>
    </cfRule>
  </conditionalFormatting>
  <conditionalFormatting sqref="C18">
    <cfRule type="cellIs" dxfId="706" priority="701" stopIfTrue="1" operator="equal">
      <formula>"Towel"</formula>
    </cfRule>
    <cfRule type="cellIs" dxfId="705" priority="702" stopIfTrue="1" operator="equal">
      <formula>"Napkin Hs"</formula>
    </cfRule>
  </conditionalFormatting>
  <conditionalFormatting sqref="C18">
    <cfRule type="cellIs" dxfId="704" priority="703" stopIfTrue="1" operator="equal">
      <formula>"Towel"</formula>
    </cfRule>
  </conditionalFormatting>
  <conditionalFormatting sqref="B19:C19">
    <cfRule type="cellIs" dxfId="703" priority="699" stopIfTrue="1" operator="equal">
      <formula>"Towel"</formula>
    </cfRule>
    <cfRule type="cellIs" dxfId="702" priority="700" stopIfTrue="1" operator="equal">
      <formula>"Napkin Hs"</formula>
    </cfRule>
  </conditionalFormatting>
  <conditionalFormatting sqref="C19">
    <cfRule type="cellIs" dxfId="701" priority="695" stopIfTrue="1" operator="equal">
      <formula>"Towel"</formula>
    </cfRule>
    <cfRule type="cellIs" dxfId="700" priority="696" stopIfTrue="1" operator="equal">
      <formula>"Napkin Hs"</formula>
    </cfRule>
  </conditionalFormatting>
  <conditionalFormatting sqref="C19">
    <cfRule type="cellIs" dxfId="699" priority="698" stopIfTrue="1" operator="equal">
      <formula>"Napkin Hs"</formula>
    </cfRule>
  </conditionalFormatting>
  <conditionalFormatting sqref="C19">
    <cfRule type="cellIs" dxfId="698" priority="697" stopIfTrue="1" operator="equal">
      <formula>"Towel"</formula>
    </cfRule>
  </conditionalFormatting>
  <conditionalFormatting sqref="B21:C21 B23:C23">
    <cfRule type="cellIs" dxfId="697" priority="693" stopIfTrue="1" operator="equal">
      <formula>"Towel"</formula>
    </cfRule>
    <cfRule type="cellIs" dxfId="696" priority="694" stopIfTrue="1" operator="equal">
      <formula>"Napkin Hs"</formula>
    </cfRule>
  </conditionalFormatting>
  <conditionalFormatting sqref="B22:C22">
    <cfRule type="cellIs" dxfId="695" priority="689" stopIfTrue="1" operator="equal">
      <formula>"Towel"</formula>
    </cfRule>
    <cfRule type="cellIs" dxfId="694" priority="690" stopIfTrue="1" operator="equal">
      <formula>"Napkin Hs"</formula>
    </cfRule>
  </conditionalFormatting>
  <conditionalFormatting sqref="C21 C23">
    <cfRule type="cellIs" dxfId="693" priority="692" stopIfTrue="1" operator="equal">
      <formula>"Napkin Hs"</formula>
    </cfRule>
  </conditionalFormatting>
  <conditionalFormatting sqref="C21:C23">
    <cfRule type="cellIs" dxfId="692" priority="687" stopIfTrue="1" operator="equal">
      <formula>"Towel"</formula>
    </cfRule>
    <cfRule type="cellIs" dxfId="691" priority="688" stopIfTrue="1" operator="equal">
      <formula>"Napkin Hs"</formula>
    </cfRule>
  </conditionalFormatting>
  <conditionalFormatting sqref="C22">
    <cfRule type="cellIs" dxfId="690" priority="685" stopIfTrue="1" operator="equal">
      <formula>"Towel"</formula>
    </cfRule>
    <cfRule type="cellIs" dxfId="689" priority="686" stopIfTrue="1" operator="equal">
      <formula>"Napkin Hs"</formula>
    </cfRule>
  </conditionalFormatting>
  <conditionalFormatting sqref="C21 C23">
    <cfRule type="cellIs" dxfId="688" priority="691" stopIfTrue="1" operator="equal">
      <formula>"Towel"</formula>
    </cfRule>
  </conditionalFormatting>
  <conditionalFormatting sqref="B24:C24">
    <cfRule type="cellIs" dxfId="687" priority="683" stopIfTrue="1" operator="equal">
      <formula>"Towel"</formula>
    </cfRule>
    <cfRule type="cellIs" dxfId="686" priority="684" stopIfTrue="1" operator="equal">
      <formula>"Napkin Hs"</formula>
    </cfRule>
  </conditionalFormatting>
  <conditionalFormatting sqref="C24">
    <cfRule type="cellIs" dxfId="685" priority="679" stopIfTrue="1" operator="equal">
      <formula>"Towel"</formula>
    </cfRule>
    <cfRule type="cellIs" dxfId="684" priority="680" stopIfTrue="1" operator="equal">
      <formula>"Napkin Hs"</formula>
    </cfRule>
  </conditionalFormatting>
  <conditionalFormatting sqref="C24">
    <cfRule type="cellIs" dxfId="683" priority="682" stopIfTrue="1" operator="equal">
      <formula>"Napkin Hs"</formula>
    </cfRule>
  </conditionalFormatting>
  <conditionalFormatting sqref="C24">
    <cfRule type="cellIs" dxfId="682" priority="681" stopIfTrue="1" operator="equal">
      <formula>"Towel"</formula>
    </cfRule>
  </conditionalFormatting>
  <conditionalFormatting sqref="B16:C17">
    <cfRule type="cellIs" dxfId="681" priority="677" stopIfTrue="1" operator="equal">
      <formula>"Towel"</formula>
    </cfRule>
    <cfRule type="cellIs" dxfId="680" priority="678" stopIfTrue="1" operator="equal">
      <formula>"Napkin Hs"</formula>
    </cfRule>
  </conditionalFormatting>
  <conditionalFormatting sqref="C16:C17">
    <cfRule type="cellIs" dxfId="679" priority="676" stopIfTrue="1" operator="equal">
      <formula>"Napkin Hs"</formula>
    </cfRule>
  </conditionalFormatting>
  <conditionalFormatting sqref="C16:C17">
    <cfRule type="cellIs" dxfId="678" priority="673" stopIfTrue="1" operator="equal">
      <formula>"Towel"</formula>
    </cfRule>
    <cfRule type="cellIs" dxfId="677" priority="674" stopIfTrue="1" operator="equal">
      <formula>"Napkin Hs"</formula>
    </cfRule>
  </conditionalFormatting>
  <conditionalFormatting sqref="C16:C17">
    <cfRule type="cellIs" dxfId="676" priority="675" stopIfTrue="1" operator="equal">
      <formula>"Towel"</formula>
    </cfRule>
  </conditionalFormatting>
  <conditionalFormatting sqref="B30:C30">
    <cfRule type="cellIs" dxfId="675" priority="671" stopIfTrue="1" operator="equal">
      <formula>"Towel"</formula>
    </cfRule>
    <cfRule type="cellIs" dxfId="674" priority="672" stopIfTrue="1" operator="equal">
      <formula>"Napkin Hs"</formula>
    </cfRule>
  </conditionalFormatting>
  <conditionalFormatting sqref="C30">
    <cfRule type="cellIs" dxfId="673" priority="670" stopIfTrue="1" operator="equal">
      <formula>"Napkin Hs"</formula>
    </cfRule>
  </conditionalFormatting>
  <conditionalFormatting sqref="C30">
    <cfRule type="cellIs" dxfId="672" priority="667" stopIfTrue="1" operator="equal">
      <formula>"Towel"</formula>
    </cfRule>
    <cfRule type="cellIs" dxfId="671" priority="668" stopIfTrue="1" operator="equal">
      <formula>"Napkin Hs"</formula>
    </cfRule>
  </conditionalFormatting>
  <conditionalFormatting sqref="C30">
    <cfRule type="cellIs" dxfId="670" priority="669" stopIfTrue="1" operator="equal">
      <formula>"Towel"</formula>
    </cfRule>
  </conditionalFormatting>
  <conditionalFormatting sqref="B30:C30">
    <cfRule type="cellIs" dxfId="669" priority="665" stopIfTrue="1" operator="equal">
      <formula>"Towel"</formula>
    </cfRule>
    <cfRule type="cellIs" dxfId="668" priority="666" stopIfTrue="1" operator="equal">
      <formula>"Napkin Hs"</formula>
    </cfRule>
  </conditionalFormatting>
  <conditionalFormatting sqref="C30">
    <cfRule type="cellIs" dxfId="667" priority="664" stopIfTrue="1" operator="equal">
      <formula>"Napkin Hs"</formula>
    </cfRule>
  </conditionalFormatting>
  <conditionalFormatting sqref="C30">
    <cfRule type="cellIs" dxfId="666" priority="661" stopIfTrue="1" operator="equal">
      <formula>"Towel"</formula>
    </cfRule>
    <cfRule type="cellIs" dxfId="665" priority="662" stopIfTrue="1" operator="equal">
      <formula>"Napkin Hs"</formula>
    </cfRule>
  </conditionalFormatting>
  <conditionalFormatting sqref="C30">
    <cfRule type="cellIs" dxfId="664" priority="663" stopIfTrue="1" operator="equal">
      <formula>"Towel"</formula>
    </cfRule>
  </conditionalFormatting>
  <conditionalFormatting sqref="B26:C28">
    <cfRule type="cellIs" dxfId="663" priority="659" stopIfTrue="1" operator="equal">
      <formula>"Towel"</formula>
    </cfRule>
    <cfRule type="cellIs" dxfId="662" priority="660" stopIfTrue="1" operator="equal">
      <formula>"Napkin Hs"</formula>
    </cfRule>
  </conditionalFormatting>
  <conditionalFormatting sqref="C26:C28">
    <cfRule type="cellIs" dxfId="661" priority="658" stopIfTrue="1" operator="equal">
      <formula>"Napkin Hs"</formula>
    </cfRule>
  </conditionalFormatting>
  <conditionalFormatting sqref="C26:C28">
    <cfRule type="cellIs" dxfId="660" priority="655" stopIfTrue="1" operator="equal">
      <formula>"Towel"</formula>
    </cfRule>
    <cfRule type="cellIs" dxfId="659" priority="656" stopIfTrue="1" operator="equal">
      <formula>"Napkin Hs"</formula>
    </cfRule>
  </conditionalFormatting>
  <conditionalFormatting sqref="C26:C28">
    <cfRule type="cellIs" dxfId="658" priority="657" stopIfTrue="1" operator="equal">
      <formula>"Towel"</formula>
    </cfRule>
  </conditionalFormatting>
  <conditionalFormatting sqref="B29:C29">
    <cfRule type="cellIs" dxfId="657" priority="653" stopIfTrue="1" operator="equal">
      <formula>"Towel"</formula>
    </cfRule>
    <cfRule type="cellIs" dxfId="656" priority="654" stopIfTrue="1" operator="equal">
      <formula>"Napkin Hs"</formula>
    </cfRule>
  </conditionalFormatting>
  <conditionalFormatting sqref="C29">
    <cfRule type="cellIs" dxfId="655" priority="649" stopIfTrue="1" operator="equal">
      <formula>"Towel"</formula>
    </cfRule>
    <cfRule type="cellIs" dxfId="654" priority="650" stopIfTrue="1" operator="equal">
      <formula>"Napkin Hs"</formula>
    </cfRule>
  </conditionalFormatting>
  <conditionalFormatting sqref="C29">
    <cfRule type="cellIs" dxfId="653" priority="652" stopIfTrue="1" operator="equal">
      <formula>"Napkin Hs"</formula>
    </cfRule>
  </conditionalFormatting>
  <conditionalFormatting sqref="C29">
    <cfRule type="cellIs" dxfId="652" priority="651" stopIfTrue="1" operator="equal">
      <formula>"Towel"</formula>
    </cfRule>
  </conditionalFormatting>
  <conditionalFormatting sqref="B33:C33">
    <cfRule type="cellIs" dxfId="651" priority="647" stopIfTrue="1" operator="equal">
      <formula>"Towel"</formula>
    </cfRule>
    <cfRule type="cellIs" dxfId="650" priority="648" stopIfTrue="1" operator="equal">
      <formula>"Napkin Hs"</formula>
    </cfRule>
  </conditionalFormatting>
  <conditionalFormatting sqref="C33">
    <cfRule type="cellIs" dxfId="649" priority="646" stopIfTrue="1" operator="equal">
      <formula>"Napkin Hs"</formula>
    </cfRule>
  </conditionalFormatting>
  <conditionalFormatting sqref="C33">
    <cfRule type="cellIs" dxfId="648" priority="643" stopIfTrue="1" operator="equal">
      <formula>"Towel"</formula>
    </cfRule>
    <cfRule type="cellIs" dxfId="647" priority="644" stopIfTrue="1" operator="equal">
      <formula>"Napkin Hs"</formula>
    </cfRule>
  </conditionalFormatting>
  <conditionalFormatting sqref="C33">
    <cfRule type="cellIs" dxfId="646" priority="645" stopIfTrue="1" operator="equal">
      <formula>"Towel"</formula>
    </cfRule>
  </conditionalFormatting>
  <conditionalFormatting sqref="B34:C34">
    <cfRule type="cellIs" dxfId="645" priority="641" stopIfTrue="1" operator="equal">
      <formula>"Towel"</formula>
    </cfRule>
    <cfRule type="cellIs" dxfId="644" priority="642" stopIfTrue="1" operator="equal">
      <formula>"Napkin Hs"</formula>
    </cfRule>
  </conditionalFormatting>
  <conditionalFormatting sqref="C34">
    <cfRule type="cellIs" dxfId="643" priority="637" stopIfTrue="1" operator="equal">
      <formula>"Towel"</formula>
    </cfRule>
    <cfRule type="cellIs" dxfId="642" priority="638" stopIfTrue="1" operator="equal">
      <formula>"Napkin Hs"</formula>
    </cfRule>
  </conditionalFormatting>
  <conditionalFormatting sqref="C34">
    <cfRule type="cellIs" dxfId="641" priority="640" stopIfTrue="1" operator="equal">
      <formula>"Napkin Hs"</formula>
    </cfRule>
  </conditionalFormatting>
  <conditionalFormatting sqref="C34">
    <cfRule type="cellIs" dxfId="640" priority="639" stopIfTrue="1" operator="equal">
      <formula>"Towel"</formula>
    </cfRule>
  </conditionalFormatting>
  <conditionalFormatting sqref="B31:C32">
    <cfRule type="cellIs" dxfId="639" priority="635" stopIfTrue="1" operator="equal">
      <formula>"Towel"</formula>
    </cfRule>
    <cfRule type="cellIs" dxfId="638" priority="636" stopIfTrue="1" operator="equal">
      <formula>"Napkin Hs"</formula>
    </cfRule>
  </conditionalFormatting>
  <conditionalFormatting sqref="C31:C32">
    <cfRule type="cellIs" dxfId="637" priority="634" stopIfTrue="1" operator="equal">
      <formula>"Napkin Hs"</formula>
    </cfRule>
  </conditionalFormatting>
  <conditionalFormatting sqref="C31:C32">
    <cfRule type="cellIs" dxfId="636" priority="631" stopIfTrue="1" operator="equal">
      <formula>"Towel"</formula>
    </cfRule>
    <cfRule type="cellIs" dxfId="635" priority="632" stopIfTrue="1" operator="equal">
      <formula>"Napkin Hs"</formula>
    </cfRule>
  </conditionalFormatting>
  <conditionalFormatting sqref="C31:C32">
    <cfRule type="cellIs" dxfId="634" priority="633" stopIfTrue="1" operator="equal">
      <formula>"Towel"</formula>
    </cfRule>
  </conditionalFormatting>
  <conditionalFormatting sqref="B38:C38">
    <cfRule type="cellIs" dxfId="633" priority="629" stopIfTrue="1" operator="equal">
      <formula>"Towel"</formula>
    </cfRule>
    <cfRule type="cellIs" dxfId="632" priority="630" stopIfTrue="1" operator="equal">
      <formula>"Napkin Hs"</formula>
    </cfRule>
  </conditionalFormatting>
  <conditionalFormatting sqref="B37:C37">
    <cfRule type="cellIs" dxfId="631" priority="625" stopIfTrue="1" operator="equal">
      <formula>"Towel"</formula>
    </cfRule>
    <cfRule type="cellIs" dxfId="630" priority="626" stopIfTrue="1" operator="equal">
      <formula>"Napkin Hs"</formula>
    </cfRule>
  </conditionalFormatting>
  <conditionalFormatting sqref="C38">
    <cfRule type="cellIs" dxfId="629" priority="628" stopIfTrue="1" operator="equal">
      <formula>"Napkin Hs"</formula>
    </cfRule>
  </conditionalFormatting>
  <conditionalFormatting sqref="C37:C38">
    <cfRule type="cellIs" dxfId="628" priority="623" stopIfTrue="1" operator="equal">
      <formula>"Towel"</formula>
    </cfRule>
    <cfRule type="cellIs" dxfId="627" priority="624" stopIfTrue="1" operator="equal">
      <formula>"Napkin Hs"</formula>
    </cfRule>
  </conditionalFormatting>
  <conditionalFormatting sqref="C37">
    <cfRule type="cellIs" dxfId="626" priority="621" stopIfTrue="1" operator="equal">
      <formula>"Towel"</formula>
    </cfRule>
    <cfRule type="cellIs" dxfId="625" priority="622" stopIfTrue="1" operator="equal">
      <formula>"Napkin Hs"</formula>
    </cfRule>
  </conditionalFormatting>
  <conditionalFormatting sqref="C38">
    <cfRule type="cellIs" dxfId="624" priority="627" stopIfTrue="1" operator="equal">
      <formula>"Towel"</formula>
    </cfRule>
  </conditionalFormatting>
  <conditionalFormatting sqref="B39:C39">
    <cfRule type="cellIs" dxfId="623" priority="619" stopIfTrue="1" operator="equal">
      <formula>"Towel"</formula>
    </cfRule>
    <cfRule type="cellIs" dxfId="622" priority="620" stopIfTrue="1" operator="equal">
      <formula>"Napkin Hs"</formula>
    </cfRule>
  </conditionalFormatting>
  <conditionalFormatting sqref="C39">
    <cfRule type="cellIs" dxfId="621" priority="615" stopIfTrue="1" operator="equal">
      <formula>"Towel"</formula>
    </cfRule>
    <cfRule type="cellIs" dxfId="620" priority="616" stopIfTrue="1" operator="equal">
      <formula>"Napkin Hs"</formula>
    </cfRule>
  </conditionalFormatting>
  <conditionalFormatting sqref="C39">
    <cfRule type="cellIs" dxfId="619" priority="618" stopIfTrue="1" operator="equal">
      <formula>"Napkin Hs"</formula>
    </cfRule>
  </conditionalFormatting>
  <conditionalFormatting sqref="C39">
    <cfRule type="cellIs" dxfId="618" priority="617" stopIfTrue="1" operator="equal">
      <formula>"Towel"</formula>
    </cfRule>
  </conditionalFormatting>
  <conditionalFormatting sqref="B36:C36">
    <cfRule type="cellIs" dxfId="617" priority="613" stopIfTrue="1" operator="equal">
      <formula>"Towel"</formula>
    </cfRule>
    <cfRule type="cellIs" dxfId="616" priority="614" stopIfTrue="1" operator="equal">
      <formula>"Napkin Hs"</formula>
    </cfRule>
  </conditionalFormatting>
  <conditionalFormatting sqref="C36">
    <cfRule type="cellIs" dxfId="615" priority="612" stopIfTrue="1" operator="equal">
      <formula>"Napkin Hs"</formula>
    </cfRule>
  </conditionalFormatting>
  <conditionalFormatting sqref="C36">
    <cfRule type="cellIs" dxfId="614" priority="609" stopIfTrue="1" operator="equal">
      <formula>"Towel"</formula>
    </cfRule>
    <cfRule type="cellIs" dxfId="613" priority="610" stopIfTrue="1" operator="equal">
      <formula>"Napkin Hs"</formula>
    </cfRule>
  </conditionalFormatting>
  <conditionalFormatting sqref="C36">
    <cfRule type="cellIs" dxfId="612" priority="611" stopIfTrue="1" operator="equal">
      <formula>"Towel"</formula>
    </cfRule>
  </conditionalFormatting>
  <conditionalFormatting sqref="B43:C43">
    <cfRule type="cellIs" dxfId="611" priority="607" stopIfTrue="1" operator="equal">
      <formula>"Towel"</formula>
    </cfRule>
    <cfRule type="cellIs" dxfId="610" priority="608" stopIfTrue="1" operator="equal">
      <formula>"Napkin Hs"</formula>
    </cfRule>
  </conditionalFormatting>
  <conditionalFormatting sqref="B42:C42">
    <cfRule type="cellIs" dxfId="609" priority="603" stopIfTrue="1" operator="equal">
      <formula>"Towel"</formula>
    </cfRule>
    <cfRule type="cellIs" dxfId="608" priority="604" stopIfTrue="1" operator="equal">
      <formula>"Napkin Hs"</formula>
    </cfRule>
  </conditionalFormatting>
  <conditionalFormatting sqref="C43">
    <cfRule type="cellIs" dxfId="607" priority="606" stopIfTrue="1" operator="equal">
      <formula>"Napkin Hs"</formula>
    </cfRule>
  </conditionalFormatting>
  <conditionalFormatting sqref="C42:C43">
    <cfRule type="cellIs" dxfId="606" priority="601" stopIfTrue="1" operator="equal">
      <formula>"Towel"</formula>
    </cfRule>
    <cfRule type="cellIs" dxfId="605" priority="602" stopIfTrue="1" operator="equal">
      <formula>"Napkin Hs"</formula>
    </cfRule>
  </conditionalFormatting>
  <conditionalFormatting sqref="C42">
    <cfRule type="cellIs" dxfId="604" priority="599" stopIfTrue="1" operator="equal">
      <formula>"Towel"</formula>
    </cfRule>
    <cfRule type="cellIs" dxfId="603" priority="600" stopIfTrue="1" operator="equal">
      <formula>"Napkin Hs"</formula>
    </cfRule>
  </conditionalFormatting>
  <conditionalFormatting sqref="C43">
    <cfRule type="cellIs" dxfId="602" priority="605" stopIfTrue="1" operator="equal">
      <formula>"Towel"</formula>
    </cfRule>
  </conditionalFormatting>
  <conditionalFormatting sqref="B44:C44">
    <cfRule type="cellIs" dxfId="601" priority="597" stopIfTrue="1" operator="equal">
      <formula>"Towel"</formula>
    </cfRule>
    <cfRule type="cellIs" dxfId="600" priority="598" stopIfTrue="1" operator="equal">
      <formula>"Napkin Hs"</formula>
    </cfRule>
  </conditionalFormatting>
  <conditionalFormatting sqref="C44">
    <cfRule type="cellIs" dxfId="599" priority="593" stopIfTrue="1" operator="equal">
      <formula>"Towel"</formula>
    </cfRule>
    <cfRule type="cellIs" dxfId="598" priority="594" stopIfTrue="1" operator="equal">
      <formula>"Napkin Hs"</formula>
    </cfRule>
  </conditionalFormatting>
  <conditionalFormatting sqref="C44">
    <cfRule type="cellIs" dxfId="597" priority="596" stopIfTrue="1" operator="equal">
      <formula>"Napkin Hs"</formula>
    </cfRule>
  </conditionalFormatting>
  <conditionalFormatting sqref="C44">
    <cfRule type="cellIs" dxfId="596" priority="595" stopIfTrue="1" operator="equal">
      <formula>"Towel"</formula>
    </cfRule>
  </conditionalFormatting>
  <conditionalFormatting sqref="B41:C41">
    <cfRule type="cellIs" dxfId="595" priority="591" stopIfTrue="1" operator="equal">
      <formula>"Towel"</formula>
    </cfRule>
    <cfRule type="cellIs" dxfId="594" priority="592" stopIfTrue="1" operator="equal">
      <formula>"Napkin Hs"</formula>
    </cfRule>
  </conditionalFormatting>
  <conditionalFormatting sqref="C41">
    <cfRule type="cellIs" dxfId="593" priority="590" stopIfTrue="1" operator="equal">
      <formula>"Napkin Hs"</formula>
    </cfRule>
  </conditionalFormatting>
  <conditionalFormatting sqref="C41">
    <cfRule type="cellIs" dxfId="592" priority="587" stopIfTrue="1" operator="equal">
      <formula>"Towel"</formula>
    </cfRule>
    <cfRule type="cellIs" dxfId="591" priority="588" stopIfTrue="1" operator="equal">
      <formula>"Napkin Hs"</formula>
    </cfRule>
  </conditionalFormatting>
  <conditionalFormatting sqref="C41">
    <cfRule type="cellIs" dxfId="590" priority="589" stopIfTrue="1" operator="equal">
      <formula>"Towel"</formula>
    </cfRule>
  </conditionalFormatting>
  <conditionalFormatting sqref="B48:C48">
    <cfRule type="cellIs" dxfId="589" priority="585" stopIfTrue="1" operator="equal">
      <formula>"Towel"</formula>
    </cfRule>
    <cfRule type="cellIs" dxfId="588" priority="586" stopIfTrue="1" operator="equal">
      <formula>"Napkin Hs"</formula>
    </cfRule>
  </conditionalFormatting>
  <conditionalFormatting sqref="C48">
    <cfRule type="cellIs" dxfId="587" priority="584" stopIfTrue="1" operator="equal">
      <formula>"Napkin Hs"</formula>
    </cfRule>
  </conditionalFormatting>
  <conditionalFormatting sqref="C48">
    <cfRule type="cellIs" dxfId="586" priority="581" stopIfTrue="1" operator="equal">
      <formula>"Towel"</formula>
    </cfRule>
    <cfRule type="cellIs" dxfId="585" priority="582" stopIfTrue="1" operator="equal">
      <formula>"Napkin Hs"</formula>
    </cfRule>
  </conditionalFormatting>
  <conditionalFormatting sqref="C48">
    <cfRule type="cellIs" dxfId="584" priority="583" stopIfTrue="1" operator="equal">
      <formula>"Towel"</formula>
    </cfRule>
  </conditionalFormatting>
  <conditionalFormatting sqref="B49:C50">
    <cfRule type="cellIs" dxfId="583" priority="579" stopIfTrue="1" operator="equal">
      <formula>"Towel"</formula>
    </cfRule>
    <cfRule type="cellIs" dxfId="582" priority="580" stopIfTrue="1" operator="equal">
      <formula>"Napkin Hs"</formula>
    </cfRule>
  </conditionalFormatting>
  <conditionalFormatting sqref="C49:C50">
    <cfRule type="cellIs" dxfId="581" priority="575" stopIfTrue="1" operator="equal">
      <formula>"Towel"</formula>
    </cfRule>
    <cfRule type="cellIs" dxfId="580" priority="576" stopIfTrue="1" operator="equal">
      <formula>"Napkin Hs"</formula>
    </cfRule>
  </conditionalFormatting>
  <conditionalFormatting sqref="C49:C50">
    <cfRule type="cellIs" dxfId="579" priority="578" stopIfTrue="1" operator="equal">
      <formula>"Napkin Hs"</formula>
    </cfRule>
  </conditionalFormatting>
  <conditionalFormatting sqref="C49:C50">
    <cfRule type="cellIs" dxfId="578" priority="577" stopIfTrue="1" operator="equal">
      <formula>"Towel"</formula>
    </cfRule>
  </conditionalFormatting>
  <conditionalFormatting sqref="B46:C47">
    <cfRule type="cellIs" dxfId="577" priority="573" stopIfTrue="1" operator="equal">
      <formula>"Towel"</formula>
    </cfRule>
    <cfRule type="cellIs" dxfId="576" priority="574" stopIfTrue="1" operator="equal">
      <formula>"Napkin Hs"</formula>
    </cfRule>
  </conditionalFormatting>
  <conditionalFormatting sqref="C46:C47">
    <cfRule type="cellIs" dxfId="575" priority="572" stopIfTrue="1" operator="equal">
      <formula>"Napkin Hs"</formula>
    </cfRule>
  </conditionalFormatting>
  <conditionalFormatting sqref="C46:C47">
    <cfRule type="cellIs" dxfId="574" priority="569" stopIfTrue="1" operator="equal">
      <formula>"Towel"</formula>
    </cfRule>
    <cfRule type="cellIs" dxfId="573" priority="570" stopIfTrue="1" operator="equal">
      <formula>"Napkin Hs"</formula>
    </cfRule>
  </conditionalFormatting>
  <conditionalFormatting sqref="C46:C47">
    <cfRule type="cellIs" dxfId="572" priority="571" stopIfTrue="1" operator="equal">
      <formula>"Towel"</formula>
    </cfRule>
  </conditionalFormatting>
  <conditionalFormatting sqref="B55:C55">
    <cfRule type="cellIs" dxfId="571" priority="567" stopIfTrue="1" operator="equal">
      <formula>"Towel"</formula>
    </cfRule>
    <cfRule type="cellIs" dxfId="570" priority="568" stopIfTrue="1" operator="equal">
      <formula>"Napkin Hs"</formula>
    </cfRule>
  </conditionalFormatting>
  <conditionalFormatting sqref="C55">
    <cfRule type="cellIs" dxfId="569" priority="566" stopIfTrue="1" operator="equal">
      <formula>"Napkin Hs"</formula>
    </cfRule>
  </conditionalFormatting>
  <conditionalFormatting sqref="C55">
    <cfRule type="cellIs" dxfId="568" priority="563" stopIfTrue="1" operator="equal">
      <formula>"Towel"</formula>
    </cfRule>
    <cfRule type="cellIs" dxfId="567" priority="564" stopIfTrue="1" operator="equal">
      <formula>"Napkin Hs"</formula>
    </cfRule>
  </conditionalFormatting>
  <conditionalFormatting sqref="C55">
    <cfRule type="cellIs" dxfId="566" priority="565" stopIfTrue="1" operator="equal">
      <formula>"Towel"</formula>
    </cfRule>
  </conditionalFormatting>
  <conditionalFormatting sqref="B56:C57">
    <cfRule type="cellIs" dxfId="565" priority="561" stopIfTrue="1" operator="equal">
      <formula>"Towel"</formula>
    </cfRule>
    <cfRule type="cellIs" dxfId="564" priority="562" stopIfTrue="1" operator="equal">
      <formula>"Napkin Hs"</formula>
    </cfRule>
  </conditionalFormatting>
  <conditionalFormatting sqref="C56:C57">
    <cfRule type="cellIs" dxfId="563" priority="557" stopIfTrue="1" operator="equal">
      <formula>"Towel"</formula>
    </cfRule>
    <cfRule type="cellIs" dxfId="562" priority="558" stopIfTrue="1" operator="equal">
      <formula>"Napkin Hs"</formula>
    </cfRule>
  </conditionalFormatting>
  <conditionalFormatting sqref="C56:C57">
    <cfRule type="cellIs" dxfId="561" priority="560" stopIfTrue="1" operator="equal">
      <formula>"Napkin Hs"</formula>
    </cfRule>
  </conditionalFormatting>
  <conditionalFormatting sqref="C56:C57">
    <cfRule type="cellIs" dxfId="560" priority="559" stopIfTrue="1" operator="equal">
      <formula>"Towel"</formula>
    </cfRule>
  </conditionalFormatting>
  <conditionalFormatting sqref="B53:C54">
    <cfRule type="cellIs" dxfId="559" priority="555" stopIfTrue="1" operator="equal">
      <formula>"Towel"</formula>
    </cfRule>
    <cfRule type="cellIs" dxfId="558" priority="556" stopIfTrue="1" operator="equal">
      <formula>"Napkin Hs"</formula>
    </cfRule>
  </conditionalFormatting>
  <conditionalFormatting sqref="C53:C54">
    <cfRule type="cellIs" dxfId="557" priority="554" stopIfTrue="1" operator="equal">
      <formula>"Napkin Hs"</formula>
    </cfRule>
  </conditionalFormatting>
  <conditionalFormatting sqref="C53:C54">
    <cfRule type="cellIs" dxfId="556" priority="551" stopIfTrue="1" operator="equal">
      <formula>"Towel"</formula>
    </cfRule>
    <cfRule type="cellIs" dxfId="555" priority="552" stopIfTrue="1" operator="equal">
      <formula>"Napkin Hs"</formula>
    </cfRule>
  </conditionalFormatting>
  <conditionalFormatting sqref="C53:C54">
    <cfRule type="cellIs" dxfId="554" priority="553" stopIfTrue="1" operator="equal">
      <formula>"Towel"</formula>
    </cfRule>
  </conditionalFormatting>
  <conditionalFormatting sqref="B62:C62">
    <cfRule type="cellIs" dxfId="553" priority="549" stopIfTrue="1" operator="equal">
      <formula>"Towel"</formula>
    </cfRule>
    <cfRule type="cellIs" dxfId="552" priority="550" stopIfTrue="1" operator="equal">
      <formula>"Napkin Hs"</formula>
    </cfRule>
  </conditionalFormatting>
  <conditionalFormatting sqref="B61:C61">
    <cfRule type="cellIs" dxfId="551" priority="545" stopIfTrue="1" operator="equal">
      <formula>"Towel"</formula>
    </cfRule>
    <cfRule type="cellIs" dxfId="550" priority="546" stopIfTrue="1" operator="equal">
      <formula>"Napkin Hs"</formula>
    </cfRule>
  </conditionalFormatting>
  <conditionalFormatting sqref="C62">
    <cfRule type="cellIs" dxfId="549" priority="548" stopIfTrue="1" operator="equal">
      <formula>"Napkin Hs"</formula>
    </cfRule>
  </conditionalFormatting>
  <conditionalFormatting sqref="C61:C62">
    <cfRule type="cellIs" dxfId="548" priority="543" stopIfTrue="1" operator="equal">
      <formula>"Towel"</formula>
    </cfRule>
    <cfRule type="cellIs" dxfId="547" priority="544" stopIfTrue="1" operator="equal">
      <formula>"Napkin Hs"</formula>
    </cfRule>
  </conditionalFormatting>
  <conditionalFormatting sqref="C61">
    <cfRule type="cellIs" dxfId="546" priority="541" stopIfTrue="1" operator="equal">
      <formula>"Towel"</formula>
    </cfRule>
    <cfRule type="cellIs" dxfId="545" priority="542" stopIfTrue="1" operator="equal">
      <formula>"Napkin Hs"</formula>
    </cfRule>
  </conditionalFormatting>
  <conditionalFormatting sqref="C62">
    <cfRule type="cellIs" dxfId="544" priority="547" stopIfTrue="1" operator="equal">
      <formula>"Towel"</formula>
    </cfRule>
  </conditionalFormatting>
  <conditionalFormatting sqref="B63:C63">
    <cfRule type="cellIs" dxfId="543" priority="539" stopIfTrue="1" operator="equal">
      <formula>"Towel"</formula>
    </cfRule>
    <cfRule type="cellIs" dxfId="542" priority="540" stopIfTrue="1" operator="equal">
      <formula>"Napkin Hs"</formula>
    </cfRule>
  </conditionalFormatting>
  <conditionalFormatting sqref="C63">
    <cfRule type="cellIs" dxfId="541" priority="535" stopIfTrue="1" operator="equal">
      <formula>"Towel"</formula>
    </cfRule>
    <cfRule type="cellIs" dxfId="540" priority="536" stopIfTrue="1" operator="equal">
      <formula>"Napkin Hs"</formula>
    </cfRule>
  </conditionalFormatting>
  <conditionalFormatting sqref="C63">
    <cfRule type="cellIs" dxfId="539" priority="538" stopIfTrue="1" operator="equal">
      <formula>"Napkin Hs"</formula>
    </cfRule>
  </conditionalFormatting>
  <conditionalFormatting sqref="C63">
    <cfRule type="cellIs" dxfId="538" priority="537" stopIfTrue="1" operator="equal">
      <formula>"Towel"</formula>
    </cfRule>
  </conditionalFormatting>
  <conditionalFormatting sqref="B60:C60">
    <cfRule type="cellIs" dxfId="537" priority="533" stopIfTrue="1" operator="equal">
      <formula>"Towel"</formula>
    </cfRule>
    <cfRule type="cellIs" dxfId="536" priority="534" stopIfTrue="1" operator="equal">
      <formula>"Napkin Hs"</formula>
    </cfRule>
  </conditionalFormatting>
  <conditionalFormatting sqref="C60">
    <cfRule type="cellIs" dxfId="535" priority="532" stopIfTrue="1" operator="equal">
      <formula>"Napkin Hs"</formula>
    </cfRule>
  </conditionalFormatting>
  <conditionalFormatting sqref="C60">
    <cfRule type="cellIs" dxfId="534" priority="529" stopIfTrue="1" operator="equal">
      <formula>"Towel"</formula>
    </cfRule>
    <cfRule type="cellIs" dxfId="533" priority="530" stopIfTrue="1" operator="equal">
      <formula>"Napkin Hs"</formula>
    </cfRule>
  </conditionalFormatting>
  <conditionalFormatting sqref="C60">
    <cfRule type="cellIs" dxfId="532" priority="531" stopIfTrue="1" operator="equal">
      <formula>"Towel"</formula>
    </cfRule>
  </conditionalFormatting>
  <conditionalFormatting sqref="B51:C51">
    <cfRule type="cellIs" dxfId="531" priority="527" stopIfTrue="1" operator="equal">
      <formula>"Towel"</formula>
    </cfRule>
    <cfRule type="cellIs" dxfId="530" priority="528" stopIfTrue="1" operator="equal">
      <formula>"Napkin Hs"</formula>
    </cfRule>
  </conditionalFormatting>
  <conditionalFormatting sqref="C51">
    <cfRule type="cellIs" dxfId="529" priority="526" stopIfTrue="1" operator="equal">
      <formula>"Napkin Hs"</formula>
    </cfRule>
  </conditionalFormatting>
  <conditionalFormatting sqref="C51">
    <cfRule type="cellIs" dxfId="528" priority="523" stopIfTrue="1" operator="equal">
      <formula>"Towel"</formula>
    </cfRule>
    <cfRule type="cellIs" dxfId="527" priority="524" stopIfTrue="1" operator="equal">
      <formula>"Napkin Hs"</formula>
    </cfRule>
  </conditionalFormatting>
  <conditionalFormatting sqref="C51">
    <cfRule type="cellIs" dxfId="526" priority="525" stopIfTrue="1" operator="equal">
      <formula>"Towel"</formula>
    </cfRule>
  </conditionalFormatting>
  <conditionalFormatting sqref="B67:C67">
    <cfRule type="cellIs" dxfId="525" priority="521" stopIfTrue="1" operator="equal">
      <formula>"Towel"</formula>
    </cfRule>
    <cfRule type="cellIs" dxfId="524" priority="522" stopIfTrue="1" operator="equal">
      <formula>"Napkin Hs"</formula>
    </cfRule>
  </conditionalFormatting>
  <conditionalFormatting sqref="C67">
    <cfRule type="cellIs" dxfId="523" priority="520" stopIfTrue="1" operator="equal">
      <formula>"Napkin Hs"</formula>
    </cfRule>
  </conditionalFormatting>
  <conditionalFormatting sqref="C67">
    <cfRule type="cellIs" dxfId="522" priority="517" stopIfTrue="1" operator="equal">
      <formula>"Towel"</formula>
    </cfRule>
    <cfRule type="cellIs" dxfId="521" priority="518" stopIfTrue="1" operator="equal">
      <formula>"Napkin Hs"</formula>
    </cfRule>
  </conditionalFormatting>
  <conditionalFormatting sqref="C67">
    <cfRule type="cellIs" dxfId="520" priority="519" stopIfTrue="1" operator="equal">
      <formula>"Towel"</formula>
    </cfRule>
  </conditionalFormatting>
  <conditionalFormatting sqref="B68:C68">
    <cfRule type="cellIs" dxfId="519" priority="515" stopIfTrue="1" operator="equal">
      <formula>"Towel"</formula>
    </cfRule>
    <cfRule type="cellIs" dxfId="518" priority="516" stopIfTrue="1" operator="equal">
      <formula>"Napkin Hs"</formula>
    </cfRule>
  </conditionalFormatting>
  <conditionalFormatting sqref="C68">
    <cfRule type="cellIs" dxfId="517" priority="511" stopIfTrue="1" operator="equal">
      <formula>"Towel"</formula>
    </cfRule>
    <cfRule type="cellIs" dxfId="516" priority="512" stopIfTrue="1" operator="equal">
      <formula>"Napkin Hs"</formula>
    </cfRule>
  </conditionalFormatting>
  <conditionalFormatting sqref="C68">
    <cfRule type="cellIs" dxfId="515" priority="514" stopIfTrue="1" operator="equal">
      <formula>"Napkin Hs"</formula>
    </cfRule>
  </conditionalFormatting>
  <conditionalFormatting sqref="C68">
    <cfRule type="cellIs" dxfId="514" priority="513" stopIfTrue="1" operator="equal">
      <formula>"Towel"</formula>
    </cfRule>
  </conditionalFormatting>
  <conditionalFormatting sqref="B65:C66">
    <cfRule type="cellIs" dxfId="513" priority="509" stopIfTrue="1" operator="equal">
      <formula>"Towel"</formula>
    </cfRule>
    <cfRule type="cellIs" dxfId="512" priority="510" stopIfTrue="1" operator="equal">
      <formula>"Napkin Hs"</formula>
    </cfRule>
  </conditionalFormatting>
  <conditionalFormatting sqref="C65:C66">
    <cfRule type="cellIs" dxfId="511" priority="508" stopIfTrue="1" operator="equal">
      <formula>"Napkin Hs"</formula>
    </cfRule>
  </conditionalFormatting>
  <conditionalFormatting sqref="C65:C66">
    <cfRule type="cellIs" dxfId="510" priority="505" stopIfTrue="1" operator="equal">
      <formula>"Towel"</formula>
    </cfRule>
    <cfRule type="cellIs" dxfId="509" priority="506" stopIfTrue="1" operator="equal">
      <formula>"Napkin Hs"</formula>
    </cfRule>
  </conditionalFormatting>
  <conditionalFormatting sqref="C65:C66">
    <cfRule type="cellIs" dxfId="508" priority="507" stopIfTrue="1" operator="equal">
      <formula>"Towel"</formula>
    </cfRule>
  </conditionalFormatting>
  <conditionalFormatting sqref="B72:C72">
    <cfRule type="cellIs" dxfId="507" priority="503" stopIfTrue="1" operator="equal">
      <formula>"Towel"</formula>
    </cfRule>
    <cfRule type="cellIs" dxfId="506" priority="504" stopIfTrue="1" operator="equal">
      <formula>"Napkin Hs"</formula>
    </cfRule>
  </conditionalFormatting>
  <conditionalFormatting sqref="C72">
    <cfRule type="cellIs" dxfId="505" priority="502" stopIfTrue="1" operator="equal">
      <formula>"Napkin Hs"</formula>
    </cfRule>
  </conditionalFormatting>
  <conditionalFormatting sqref="C72">
    <cfRule type="cellIs" dxfId="504" priority="499" stopIfTrue="1" operator="equal">
      <formula>"Towel"</formula>
    </cfRule>
    <cfRule type="cellIs" dxfId="503" priority="500" stopIfTrue="1" operator="equal">
      <formula>"Napkin Hs"</formula>
    </cfRule>
  </conditionalFormatting>
  <conditionalFormatting sqref="C72">
    <cfRule type="cellIs" dxfId="502" priority="501" stopIfTrue="1" operator="equal">
      <formula>"Towel"</formula>
    </cfRule>
  </conditionalFormatting>
  <conditionalFormatting sqref="B73:C73">
    <cfRule type="cellIs" dxfId="501" priority="497" stopIfTrue="1" operator="equal">
      <formula>"Towel"</formula>
    </cfRule>
    <cfRule type="cellIs" dxfId="500" priority="498" stopIfTrue="1" operator="equal">
      <formula>"Napkin Hs"</formula>
    </cfRule>
  </conditionalFormatting>
  <conditionalFormatting sqref="C73">
    <cfRule type="cellIs" dxfId="499" priority="493" stopIfTrue="1" operator="equal">
      <formula>"Towel"</formula>
    </cfRule>
    <cfRule type="cellIs" dxfId="498" priority="494" stopIfTrue="1" operator="equal">
      <formula>"Napkin Hs"</formula>
    </cfRule>
  </conditionalFormatting>
  <conditionalFormatting sqref="C73">
    <cfRule type="cellIs" dxfId="497" priority="496" stopIfTrue="1" operator="equal">
      <formula>"Napkin Hs"</formula>
    </cfRule>
  </conditionalFormatting>
  <conditionalFormatting sqref="C73">
    <cfRule type="cellIs" dxfId="496" priority="495" stopIfTrue="1" operator="equal">
      <formula>"Towel"</formula>
    </cfRule>
  </conditionalFormatting>
  <conditionalFormatting sqref="B71:C71">
    <cfRule type="cellIs" dxfId="495" priority="491" stopIfTrue="1" operator="equal">
      <formula>"Towel"</formula>
    </cfRule>
    <cfRule type="cellIs" dxfId="494" priority="492" stopIfTrue="1" operator="equal">
      <formula>"Napkin Hs"</formula>
    </cfRule>
  </conditionalFormatting>
  <conditionalFormatting sqref="C71">
    <cfRule type="cellIs" dxfId="493" priority="490" stopIfTrue="1" operator="equal">
      <formula>"Napkin Hs"</formula>
    </cfRule>
  </conditionalFormatting>
  <conditionalFormatting sqref="C71">
    <cfRule type="cellIs" dxfId="492" priority="487" stopIfTrue="1" operator="equal">
      <formula>"Towel"</formula>
    </cfRule>
    <cfRule type="cellIs" dxfId="491" priority="488" stopIfTrue="1" operator="equal">
      <formula>"Napkin Hs"</formula>
    </cfRule>
  </conditionalFormatting>
  <conditionalFormatting sqref="C71">
    <cfRule type="cellIs" dxfId="490" priority="489" stopIfTrue="1" operator="equal">
      <formula>"Towel"</formula>
    </cfRule>
  </conditionalFormatting>
  <conditionalFormatting sqref="B70:C70">
    <cfRule type="cellIs" dxfId="489" priority="485" stopIfTrue="1" operator="equal">
      <formula>"Towel"</formula>
    </cfRule>
    <cfRule type="cellIs" dxfId="488" priority="486" stopIfTrue="1" operator="equal">
      <formula>"Napkin Hs"</formula>
    </cfRule>
  </conditionalFormatting>
  <conditionalFormatting sqref="C70">
    <cfRule type="cellIs" dxfId="487" priority="484" stopIfTrue="1" operator="equal">
      <formula>"Napkin Hs"</formula>
    </cfRule>
  </conditionalFormatting>
  <conditionalFormatting sqref="C70">
    <cfRule type="cellIs" dxfId="486" priority="481" stopIfTrue="1" operator="equal">
      <formula>"Towel"</formula>
    </cfRule>
    <cfRule type="cellIs" dxfId="485" priority="482" stopIfTrue="1" operator="equal">
      <formula>"Napkin Hs"</formula>
    </cfRule>
  </conditionalFormatting>
  <conditionalFormatting sqref="C70">
    <cfRule type="cellIs" dxfId="484" priority="483" stopIfTrue="1" operator="equal">
      <formula>"Towel"</formula>
    </cfRule>
  </conditionalFormatting>
  <conditionalFormatting sqref="B77:C77">
    <cfRule type="cellIs" dxfId="483" priority="479" stopIfTrue="1" operator="equal">
      <formula>"Towel"</formula>
    </cfRule>
    <cfRule type="cellIs" dxfId="482" priority="480" stopIfTrue="1" operator="equal">
      <formula>"Napkin Hs"</formula>
    </cfRule>
  </conditionalFormatting>
  <conditionalFormatting sqref="C77">
    <cfRule type="cellIs" dxfId="481" priority="478" stopIfTrue="1" operator="equal">
      <formula>"Napkin Hs"</formula>
    </cfRule>
  </conditionalFormatting>
  <conditionalFormatting sqref="C77">
    <cfRule type="cellIs" dxfId="480" priority="475" stopIfTrue="1" operator="equal">
      <formula>"Towel"</formula>
    </cfRule>
    <cfRule type="cellIs" dxfId="479" priority="476" stopIfTrue="1" operator="equal">
      <formula>"Napkin Hs"</formula>
    </cfRule>
  </conditionalFormatting>
  <conditionalFormatting sqref="C77">
    <cfRule type="cellIs" dxfId="478" priority="477" stopIfTrue="1" operator="equal">
      <formula>"Towel"</formula>
    </cfRule>
  </conditionalFormatting>
  <conditionalFormatting sqref="B78:C78">
    <cfRule type="cellIs" dxfId="477" priority="473" stopIfTrue="1" operator="equal">
      <formula>"Towel"</formula>
    </cfRule>
    <cfRule type="cellIs" dxfId="476" priority="474" stopIfTrue="1" operator="equal">
      <formula>"Napkin Hs"</formula>
    </cfRule>
  </conditionalFormatting>
  <conditionalFormatting sqref="C78">
    <cfRule type="cellIs" dxfId="475" priority="469" stopIfTrue="1" operator="equal">
      <formula>"Towel"</formula>
    </cfRule>
    <cfRule type="cellIs" dxfId="474" priority="470" stopIfTrue="1" operator="equal">
      <formula>"Napkin Hs"</formula>
    </cfRule>
  </conditionalFormatting>
  <conditionalFormatting sqref="C78">
    <cfRule type="cellIs" dxfId="473" priority="472" stopIfTrue="1" operator="equal">
      <formula>"Napkin Hs"</formula>
    </cfRule>
  </conditionalFormatting>
  <conditionalFormatting sqref="C78">
    <cfRule type="cellIs" dxfId="472" priority="471" stopIfTrue="1" operator="equal">
      <formula>"Towel"</formula>
    </cfRule>
  </conditionalFormatting>
  <conditionalFormatting sqref="B76:C76">
    <cfRule type="cellIs" dxfId="471" priority="467" stopIfTrue="1" operator="equal">
      <formula>"Towel"</formula>
    </cfRule>
    <cfRule type="cellIs" dxfId="470" priority="468" stopIfTrue="1" operator="equal">
      <formula>"Napkin Hs"</formula>
    </cfRule>
  </conditionalFormatting>
  <conditionalFormatting sqref="C76">
    <cfRule type="cellIs" dxfId="469" priority="466" stopIfTrue="1" operator="equal">
      <formula>"Napkin Hs"</formula>
    </cfRule>
  </conditionalFormatting>
  <conditionalFormatting sqref="C76">
    <cfRule type="cellIs" dxfId="468" priority="463" stopIfTrue="1" operator="equal">
      <formula>"Towel"</formula>
    </cfRule>
    <cfRule type="cellIs" dxfId="467" priority="464" stopIfTrue="1" operator="equal">
      <formula>"Napkin Hs"</formula>
    </cfRule>
  </conditionalFormatting>
  <conditionalFormatting sqref="C76">
    <cfRule type="cellIs" dxfId="466" priority="465" stopIfTrue="1" operator="equal">
      <formula>"Towel"</formula>
    </cfRule>
  </conditionalFormatting>
  <conditionalFormatting sqref="B75:C75">
    <cfRule type="cellIs" dxfId="465" priority="461" stopIfTrue="1" operator="equal">
      <formula>"Towel"</formula>
    </cfRule>
    <cfRule type="cellIs" dxfId="464" priority="462" stopIfTrue="1" operator="equal">
      <formula>"Napkin Hs"</formula>
    </cfRule>
  </conditionalFormatting>
  <conditionalFormatting sqref="C75">
    <cfRule type="cellIs" dxfId="463" priority="460" stopIfTrue="1" operator="equal">
      <formula>"Napkin Hs"</formula>
    </cfRule>
  </conditionalFormatting>
  <conditionalFormatting sqref="C75">
    <cfRule type="cellIs" dxfId="462" priority="457" stopIfTrue="1" operator="equal">
      <formula>"Towel"</formula>
    </cfRule>
    <cfRule type="cellIs" dxfId="461" priority="458" stopIfTrue="1" operator="equal">
      <formula>"Napkin Hs"</formula>
    </cfRule>
  </conditionalFormatting>
  <conditionalFormatting sqref="C75">
    <cfRule type="cellIs" dxfId="460" priority="459" stopIfTrue="1" operator="equal">
      <formula>"Towel"</formula>
    </cfRule>
  </conditionalFormatting>
  <conditionalFormatting sqref="B83:C83">
    <cfRule type="cellIs" dxfId="459" priority="455" stopIfTrue="1" operator="equal">
      <formula>"Towel"</formula>
    </cfRule>
    <cfRule type="cellIs" dxfId="458" priority="456" stopIfTrue="1" operator="equal">
      <formula>"Napkin Hs"</formula>
    </cfRule>
  </conditionalFormatting>
  <conditionalFormatting sqref="C83">
    <cfRule type="cellIs" dxfId="457" priority="451" stopIfTrue="1" operator="equal">
      <formula>"Towel"</formula>
    </cfRule>
    <cfRule type="cellIs" dxfId="456" priority="452" stopIfTrue="1" operator="equal">
      <formula>"Napkin Hs"</formula>
    </cfRule>
  </conditionalFormatting>
  <conditionalFormatting sqref="C83">
    <cfRule type="cellIs" dxfId="455" priority="454" stopIfTrue="1" operator="equal">
      <formula>"Napkin Hs"</formula>
    </cfRule>
  </conditionalFormatting>
  <conditionalFormatting sqref="C83">
    <cfRule type="cellIs" dxfId="454" priority="453" stopIfTrue="1" operator="equal">
      <formula>"Towel"</formula>
    </cfRule>
  </conditionalFormatting>
  <conditionalFormatting sqref="B81:C82">
    <cfRule type="cellIs" dxfId="453" priority="449" stopIfTrue="1" operator="equal">
      <formula>"Towel"</formula>
    </cfRule>
    <cfRule type="cellIs" dxfId="452" priority="450" stopIfTrue="1" operator="equal">
      <formula>"Napkin Hs"</formula>
    </cfRule>
  </conditionalFormatting>
  <conditionalFormatting sqref="C81:C82">
    <cfRule type="cellIs" dxfId="451" priority="448" stopIfTrue="1" operator="equal">
      <formula>"Napkin Hs"</formula>
    </cfRule>
  </conditionalFormatting>
  <conditionalFormatting sqref="C81:C82">
    <cfRule type="cellIs" dxfId="450" priority="445" stopIfTrue="1" operator="equal">
      <formula>"Towel"</formula>
    </cfRule>
    <cfRule type="cellIs" dxfId="449" priority="446" stopIfTrue="1" operator="equal">
      <formula>"Napkin Hs"</formula>
    </cfRule>
  </conditionalFormatting>
  <conditionalFormatting sqref="C81:C82">
    <cfRule type="cellIs" dxfId="448" priority="447" stopIfTrue="1" operator="equal">
      <formula>"Towel"</formula>
    </cfRule>
  </conditionalFormatting>
  <conditionalFormatting sqref="B80:C80">
    <cfRule type="cellIs" dxfId="447" priority="443" stopIfTrue="1" operator="equal">
      <formula>"Towel"</formula>
    </cfRule>
    <cfRule type="cellIs" dxfId="446" priority="444" stopIfTrue="1" operator="equal">
      <formula>"Napkin Hs"</formula>
    </cfRule>
  </conditionalFormatting>
  <conditionalFormatting sqref="C80">
    <cfRule type="cellIs" dxfId="445" priority="442" stopIfTrue="1" operator="equal">
      <formula>"Napkin Hs"</formula>
    </cfRule>
  </conditionalFormatting>
  <conditionalFormatting sqref="C80">
    <cfRule type="cellIs" dxfId="444" priority="439" stopIfTrue="1" operator="equal">
      <formula>"Towel"</formula>
    </cfRule>
    <cfRule type="cellIs" dxfId="443" priority="440" stopIfTrue="1" operator="equal">
      <formula>"Napkin Hs"</formula>
    </cfRule>
  </conditionalFormatting>
  <conditionalFormatting sqref="C80">
    <cfRule type="cellIs" dxfId="442" priority="441" stopIfTrue="1" operator="equal">
      <formula>"Towel"</formula>
    </cfRule>
  </conditionalFormatting>
  <conditionalFormatting sqref="B87:C87">
    <cfRule type="cellIs" dxfId="441" priority="437" stopIfTrue="1" operator="equal">
      <formula>"Towel"</formula>
    </cfRule>
    <cfRule type="cellIs" dxfId="440" priority="438" stopIfTrue="1" operator="equal">
      <formula>"Napkin Hs"</formula>
    </cfRule>
  </conditionalFormatting>
  <conditionalFormatting sqref="C87">
    <cfRule type="cellIs" dxfId="439" priority="436" stopIfTrue="1" operator="equal">
      <formula>"Napkin Hs"</formula>
    </cfRule>
  </conditionalFormatting>
  <conditionalFormatting sqref="C87">
    <cfRule type="cellIs" dxfId="438" priority="433" stopIfTrue="1" operator="equal">
      <formula>"Towel"</formula>
    </cfRule>
    <cfRule type="cellIs" dxfId="437" priority="434" stopIfTrue="1" operator="equal">
      <formula>"Napkin Hs"</formula>
    </cfRule>
  </conditionalFormatting>
  <conditionalFormatting sqref="C87">
    <cfRule type="cellIs" dxfId="436" priority="435" stopIfTrue="1" operator="equal">
      <formula>"Towel"</formula>
    </cfRule>
  </conditionalFormatting>
  <conditionalFormatting sqref="B88:C88">
    <cfRule type="cellIs" dxfId="435" priority="431" stopIfTrue="1" operator="equal">
      <formula>"Towel"</formula>
    </cfRule>
    <cfRule type="cellIs" dxfId="434" priority="432" stopIfTrue="1" operator="equal">
      <formula>"Napkin Hs"</formula>
    </cfRule>
  </conditionalFormatting>
  <conditionalFormatting sqref="C88">
    <cfRule type="cellIs" dxfId="433" priority="427" stopIfTrue="1" operator="equal">
      <formula>"Towel"</formula>
    </cfRule>
    <cfRule type="cellIs" dxfId="432" priority="428" stopIfTrue="1" operator="equal">
      <formula>"Napkin Hs"</formula>
    </cfRule>
  </conditionalFormatting>
  <conditionalFormatting sqref="C88">
    <cfRule type="cellIs" dxfId="431" priority="430" stopIfTrue="1" operator="equal">
      <formula>"Napkin Hs"</formula>
    </cfRule>
  </conditionalFormatting>
  <conditionalFormatting sqref="C88">
    <cfRule type="cellIs" dxfId="430" priority="429" stopIfTrue="1" operator="equal">
      <formula>"Towel"</formula>
    </cfRule>
  </conditionalFormatting>
  <conditionalFormatting sqref="B86:C86">
    <cfRule type="cellIs" dxfId="429" priority="425" stopIfTrue="1" operator="equal">
      <formula>"Towel"</formula>
    </cfRule>
    <cfRule type="cellIs" dxfId="428" priority="426" stopIfTrue="1" operator="equal">
      <formula>"Napkin Hs"</formula>
    </cfRule>
  </conditionalFormatting>
  <conditionalFormatting sqref="C86">
    <cfRule type="cellIs" dxfId="427" priority="424" stopIfTrue="1" operator="equal">
      <formula>"Napkin Hs"</formula>
    </cfRule>
  </conditionalFormatting>
  <conditionalFormatting sqref="C86">
    <cfRule type="cellIs" dxfId="426" priority="421" stopIfTrue="1" operator="equal">
      <formula>"Towel"</formula>
    </cfRule>
    <cfRule type="cellIs" dxfId="425" priority="422" stopIfTrue="1" operator="equal">
      <formula>"Napkin Hs"</formula>
    </cfRule>
  </conditionalFormatting>
  <conditionalFormatting sqref="C86">
    <cfRule type="cellIs" dxfId="424" priority="423" stopIfTrue="1" operator="equal">
      <formula>"Towel"</formula>
    </cfRule>
  </conditionalFormatting>
  <conditionalFormatting sqref="B85:C85">
    <cfRule type="cellIs" dxfId="423" priority="419" stopIfTrue="1" operator="equal">
      <formula>"Towel"</formula>
    </cfRule>
    <cfRule type="cellIs" dxfId="422" priority="420" stopIfTrue="1" operator="equal">
      <formula>"Napkin Hs"</formula>
    </cfRule>
  </conditionalFormatting>
  <conditionalFormatting sqref="C85">
    <cfRule type="cellIs" dxfId="421" priority="418" stopIfTrue="1" operator="equal">
      <formula>"Napkin Hs"</formula>
    </cfRule>
  </conditionalFormatting>
  <conditionalFormatting sqref="C85">
    <cfRule type="cellIs" dxfId="420" priority="415" stopIfTrue="1" operator="equal">
      <formula>"Towel"</formula>
    </cfRule>
    <cfRule type="cellIs" dxfId="419" priority="416" stopIfTrue="1" operator="equal">
      <formula>"Napkin Hs"</formula>
    </cfRule>
  </conditionalFormatting>
  <conditionalFormatting sqref="C85">
    <cfRule type="cellIs" dxfId="418" priority="417" stopIfTrue="1" operator="equal">
      <formula>"Towel"</formula>
    </cfRule>
  </conditionalFormatting>
  <conditionalFormatting sqref="B92:C92">
    <cfRule type="cellIs" dxfId="417" priority="413" stopIfTrue="1" operator="equal">
      <formula>"Towel"</formula>
    </cfRule>
    <cfRule type="cellIs" dxfId="416" priority="414" stopIfTrue="1" operator="equal">
      <formula>"Napkin Hs"</formula>
    </cfRule>
  </conditionalFormatting>
  <conditionalFormatting sqref="C92">
    <cfRule type="cellIs" dxfId="415" priority="412" stopIfTrue="1" operator="equal">
      <formula>"Napkin Hs"</formula>
    </cfRule>
  </conditionalFormatting>
  <conditionalFormatting sqref="C92">
    <cfRule type="cellIs" dxfId="414" priority="409" stopIfTrue="1" operator="equal">
      <formula>"Towel"</formula>
    </cfRule>
    <cfRule type="cellIs" dxfId="413" priority="410" stopIfTrue="1" operator="equal">
      <formula>"Napkin Hs"</formula>
    </cfRule>
  </conditionalFormatting>
  <conditionalFormatting sqref="C92">
    <cfRule type="cellIs" dxfId="412" priority="411" stopIfTrue="1" operator="equal">
      <formula>"Towel"</formula>
    </cfRule>
  </conditionalFormatting>
  <conditionalFormatting sqref="B93:C93">
    <cfRule type="cellIs" dxfId="411" priority="407" stopIfTrue="1" operator="equal">
      <formula>"Towel"</formula>
    </cfRule>
    <cfRule type="cellIs" dxfId="410" priority="408" stopIfTrue="1" operator="equal">
      <formula>"Napkin Hs"</formula>
    </cfRule>
  </conditionalFormatting>
  <conditionalFormatting sqref="C93">
    <cfRule type="cellIs" dxfId="409" priority="403" stopIfTrue="1" operator="equal">
      <formula>"Towel"</formula>
    </cfRule>
    <cfRule type="cellIs" dxfId="408" priority="404" stopIfTrue="1" operator="equal">
      <formula>"Napkin Hs"</formula>
    </cfRule>
  </conditionalFormatting>
  <conditionalFormatting sqref="C93">
    <cfRule type="cellIs" dxfId="407" priority="406" stopIfTrue="1" operator="equal">
      <formula>"Napkin Hs"</formula>
    </cfRule>
  </conditionalFormatting>
  <conditionalFormatting sqref="C93">
    <cfRule type="cellIs" dxfId="406" priority="405" stopIfTrue="1" operator="equal">
      <formula>"Towel"</formula>
    </cfRule>
  </conditionalFormatting>
  <conditionalFormatting sqref="B91:C91">
    <cfRule type="cellIs" dxfId="405" priority="401" stopIfTrue="1" operator="equal">
      <formula>"Towel"</formula>
    </cfRule>
    <cfRule type="cellIs" dxfId="404" priority="402" stopIfTrue="1" operator="equal">
      <formula>"Napkin Hs"</formula>
    </cfRule>
  </conditionalFormatting>
  <conditionalFormatting sqref="C91">
    <cfRule type="cellIs" dxfId="403" priority="400" stopIfTrue="1" operator="equal">
      <formula>"Napkin Hs"</formula>
    </cfRule>
  </conditionalFormatting>
  <conditionalFormatting sqref="C91">
    <cfRule type="cellIs" dxfId="402" priority="397" stopIfTrue="1" operator="equal">
      <formula>"Towel"</formula>
    </cfRule>
    <cfRule type="cellIs" dxfId="401" priority="398" stopIfTrue="1" operator="equal">
      <formula>"Napkin Hs"</formula>
    </cfRule>
  </conditionalFormatting>
  <conditionalFormatting sqref="C91">
    <cfRule type="cellIs" dxfId="400" priority="399" stopIfTrue="1" operator="equal">
      <formula>"Towel"</formula>
    </cfRule>
  </conditionalFormatting>
  <conditionalFormatting sqref="B90:C90">
    <cfRule type="cellIs" dxfId="399" priority="395" stopIfTrue="1" operator="equal">
      <formula>"Towel"</formula>
    </cfRule>
    <cfRule type="cellIs" dxfId="398" priority="396" stopIfTrue="1" operator="equal">
      <formula>"Napkin Hs"</formula>
    </cfRule>
  </conditionalFormatting>
  <conditionalFormatting sqref="C90">
    <cfRule type="cellIs" dxfId="397" priority="394" stopIfTrue="1" operator="equal">
      <formula>"Napkin Hs"</formula>
    </cfRule>
  </conditionalFormatting>
  <conditionalFormatting sqref="C90">
    <cfRule type="cellIs" dxfId="396" priority="391" stopIfTrue="1" operator="equal">
      <formula>"Towel"</formula>
    </cfRule>
    <cfRule type="cellIs" dxfId="395" priority="392" stopIfTrue="1" operator="equal">
      <formula>"Napkin Hs"</formula>
    </cfRule>
  </conditionalFormatting>
  <conditionalFormatting sqref="C90">
    <cfRule type="cellIs" dxfId="394" priority="393" stopIfTrue="1" operator="equal">
      <formula>"Towel"</formula>
    </cfRule>
  </conditionalFormatting>
  <conditionalFormatting sqref="B97:C97">
    <cfRule type="cellIs" dxfId="393" priority="389" stopIfTrue="1" operator="equal">
      <formula>"Towel"</formula>
    </cfRule>
    <cfRule type="cellIs" dxfId="392" priority="390" stopIfTrue="1" operator="equal">
      <formula>"Napkin Hs"</formula>
    </cfRule>
  </conditionalFormatting>
  <conditionalFormatting sqref="C97">
    <cfRule type="cellIs" dxfId="391" priority="388" stopIfTrue="1" operator="equal">
      <formula>"Napkin Hs"</formula>
    </cfRule>
  </conditionalFormatting>
  <conditionalFormatting sqref="C97">
    <cfRule type="cellIs" dxfId="390" priority="385" stopIfTrue="1" operator="equal">
      <formula>"Towel"</formula>
    </cfRule>
    <cfRule type="cellIs" dxfId="389" priority="386" stopIfTrue="1" operator="equal">
      <formula>"Napkin Hs"</formula>
    </cfRule>
  </conditionalFormatting>
  <conditionalFormatting sqref="C97">
    <cfRule type="cellIs" dxfId="388" priority="387" stopIfTrue="1" operator="equal">
      <formula>"Towel"</formula>
    </cfRule>
  </conditionalFormatting>
  <conditionalFormatting sqref="B98:C98">
    <cfRule type="cellIs" dxfId="387" priority="383" stopIfTrue="1" operator="equal">
      <formula>"Towel"</formula>
    </cfRule>
    <cfRule type="cellIs" dxfId="386" priority="384" stopIfTrue="1" operator="equal">
      <formula>"Napkin Hs"</formula>
    </cfRule>
  </conditionalFormatting>
  <conditionalFormatting sqref="C98">
    <cfRule type="cellIs" dxfId="385" priority="379" stopIfTrue="1" operator="equal">
      <formula>"Towel"</formula>
    </cfRule>
    <cfRule type="cellIs" dxfId="384" priority="380" stopIfTrue="1" operator="equal">
      <formula>"Napkin Hs"</formula>
    </cfRule>
  </conditionalFormatting>
  <conditionalFormatting sqref="C98">
    <cfRule type="cellIs" dxfId="383" priority="382" stopIfTrue="1" operator="equal">
      <formula>"Napkin Hs"</formula>
    </cfRule>
  </conditionalFormatting>
  <conditionalFormatting sqref="C98">
    <cfRule type="cellIs" dxfId="382" priority="381" stopIfTrue="1" operator="equal">
      <formula>"Towel"</formula>
    </cfRule>
  </conditionalFormatting>
  <conditionalFormatting sqref="B95:C96">
    <cfRule type="cellIs" dxfId="381" priority="377" stopIfTrue="1" operator="equal">
      <formula>"Towel"</formula>
    </cfRule>
    <cfRule type="cellIs" dxfId="380" priority="378" stopIfTrue="1" operator="equal">
      <formula>"Napkin Hs"</formula>
    </cfRule>
  </conditionalFormatting>
  <conditionalFormatting sqref="C95:C96">
    <cfRule type="cellIs" dxfId="379" priority="376" stopIfTrue="1" operator="equal">
      <formula>"Napkin Hs"</formula>
    </cfRule>
  </conditionalFormatting>
  <conditionalFormatting sqref="C95:C96">
    <cfRule type="cellIs" dxfId="378" priority="373" stopIfTrue="1" operator="equal">
      <formula>"Towel"</formula>
    </cfRule>
    <cfRule type="cellIs" dxfId="377" priority="374" stopIfTrue="1" operator="equal">
      <formula>"Napkin Hs"</formula>
    </cfRule>
  </conditionalFormatting>
  <conditionalFormatting sqref="C95:C96">
    <cfRule type="cellIs" dxfId="376" priority="375" stopIfTrue="1" operator="equal">
      <formula>"Towel"</formula>
    </cfRule>
  </conditionalFormatting>
  <conditionalFormatting sqref="B102:C102">
    <cfRule type="cellIs" dxfId="375" priority="371" stopIfTrue="1" operator="equal">
      <formula>"Towel"</formula>
    </cfRule>
    <cfRule type="cellIs" dxfId="374" priority="372" stopIfTrue="1" operator="equal">
      <formula>"Napkin Hs"</formula>
    </cfRule>
  </conditionalFormatting>
  <conditionalFormatting sqref="C102">
    <cfRule type="cellIs" dxfId="373" priority="370" stopIfTrue="1" operator="equal">
      <formula>"Napkin Hs"</formula>
    </cfRule>
  </conditionalFormatting>
  <conditionalFormatting sqref="C102">
    <cfRule type="cellIs" dxfId="372" priority="367" stopIfTrue="1" operator="equal">
      <formula>"Towel"</formula>
    </cfRule>
    <cfRule type="cellIs" dxfId="371" priority="368" stopIfTrue="1" operator="equal">
      <formula>"Napkin Hs"</formula>
    </cfRule>
  </conditionalFormatting>
  <conditionalFormatting sqref="C102">
    <cfRule type="cellIs" dxfId="370" priority="369" stopIfTrue="1" operator="equal">
      <formula>"Towel"</formula>
    </cfRule>
  </conditionalFormatting>
  <conditionalFormatting sqref="B103:C103">
    <cfRule type="cellIs" dxfId="369" priority="365" stopIfTrue="1" operator="equal">
      <formula>"Towel"</formula>
    </cfRule>
    <cfRule type="cellIs" dxfId="368" priority="366" stopIfTrue="1" operator="equal">
      <formula>"Napkin Hs"</formula>
    </cfRule>
  </conditionalFormatting>
  <conditionalFormatting sqref="C103">
    <cfRule type="cellIs" dxfId="367" priority="361" stopIfTrue="1" operator="equal">
      <formula>"Towel"</formula>
    </cfRule>
    <cfRule type="cellIs" dxfId="366" priority="362" stopIfTrue="1" operator="equal">
      <formula>"Napkin Hs"</formula>
    </cfRule>
  </conditionalFormatting>
  <conditionalFormatting sqref="C103">
    <cfRule type="cellIs" dxfId="365" priority="364" stopIfTrue="1" operator="equal">
      <formula>"Napkin Hs"</formula>
    </cfRule>
  </conditionalFormatting>
  <conditionalFormatting sqref="C103">
    <cfRule type="cellIs" dxfId="364" priority="363" stopIfTrue="1" operator="equal">
      <formula>"Towel"</formula>
    </cfRule>
  </conditionalFormatting>
  <conditionalFormatting sqref="B101:C101">
    <cfRule type="cellIs" dxfId="363" priority="359" stopIfTrue="1" operator="equal">
      <formula>"Towel"</formula>
    </cfRule>
    <cfRule type="cellIs" dxfId="362" priority="360" stopIfTrue="1" operator="equal">
      <formula>"Napkin Hs"</formula>
    </cfRule>
  </conditionalFormatting>
  <conditionalFormatting sqref="C101">
    <cfRule type="cellIs" dxfId="361" priority="358" stopIfTrue="1" operator="equal">
      <formula>"Napkin Hs"</formula>
    </cfRule>
  </conditionalFormatting>
  <conditionalFormatting sqref="C101">
    <cfRule type="cellIs" dxfId="360" priority="355" stopIfTrue="1" operator="equal">
      <formula>"Towel"</formula>
    </cfRule>
    <cfRule type="cellIs" dxfId="359" priority="356" stopIfTrue="1" operator="equal">
      <formula>"Napkin Hs"</formula>
    </cfRule>
  </conditionalFormatting>
  <conditionalFormatting sqref="C101">
    <cfRule type="cellIs" dxfId="358" priority="357" stopIfTrue="1" operator="equal">
      <formula>"Towel"</formula>
    </cfRule>
  </conditionalFormatting>
  <conditionalFormatting sqref="B100:C100">
    <cfRule type="cellIs" dxfId="357" priority="353" stopIfTrue="1" operator="equal">
      <formula>"Towel"</formula>
    </cfRule>
    <cfRule type="cellIs" dxfId="356" priority="354" stopIfTrue="1" operator="equal">
      <formula>"Napkin Hs"</formula>
    </cfRule>
  </conditionalFormatting>
  <conditionalFormatting sqref="C100">
    <cfRule type="cellIs" dxfId="355" priority="352" stopIfTrue="1" operator="equal">
      <formula>"Napkin Hs"</formula>
    </cfRule>
  </conditionalFormatting>
  <conditionalFormatting sqref="C100">
    <cfRule type="cellIs" dxfId="354" priority="349" stopIfTrue="1" operator="equal">
      <formula>"Towel"</formula>
    </cfRule>
    <cfRule type="cellIs" dxfId="353" priority="350" stopIfTrue="1" operator="equal">
      <formula>"Napkin Hs"</formula>
    </cfRule>
  </conditionalFormatting>
  <conditionalFormatting sqref="C100">
    <cfRule type="cellIs" dxfId="352" priority="351" stopIfTrue="1" operator="equal">
      <formula>"Towel"</formula>
    </cfRule>
  </conditionalFormatting>
  <conditionalFormatting sqref="B113:C113">
    <cfRule type="cellIs" dxfId="351" priority="347" stopIfTrue="1" operator="equal">
      <formula>"Towel"</formula>
    </cfRule>
    <cfRule type="cellIs" dxfId="350" priority="348" stopIfTrue="1" operator="equal">
      <formula>"Napkin Hs"</formula>
    </cfRule>
  </conditionalFormatting>
  <conditionalFormatting sqref="C113">
    <cfRule type="cellIs" dxfId="349" priority="345" stopIfTrue="1" operator="equal">
      <formula>"Towel"</formula>
    </cfRule>
    <cfRule type="cellIs" dxfId="348" priority="346" stopIfTrue="1" operator="equal">
      <formula>"Napkin Hs"</formula>
    </cfRule>
  </conditionalFormatting>
  <conditionalFormatting sqref="C113">
    <cfRule type="cellIs" dxfId="347" priority="343" stopIfTrue="1" operator="equal">
      <formula>"Towel"</formula>
    </cfRule>
    <cfRule type="cellIs" dxfId="346" priority="344" stopIfTrue="1" operator="equal">
      <formula>"Napkin Hs"</formula>
    </cfRule>
  </conditionalFormatting>
  <conditionalFormatting sqref="B109:C109">
    <cfRule type="cellIs" dxfId="345" priority="341" stopIfTrue="1" operator="equal">
      <formula>"Towel"</formula>
    </cfRule>
    <cfRule type="cellIs" dxfId="344" priority="342" stopIfTrue="1" operator="equal">
      <formula>"Napkin Hs"</formula>
    </cfRule>
  </conditionalFormatting>
  <conditionalFormatting sqref="C109">
    <cfRule type="cellIs" dxfId="343" priority="340" stopIfTrue="1" operator="equal">
      <formula>"Napkin Hs"</formula>
    </cfRule>
  </conditionalFormatting>
  <conditionalFormatting sqref="C109">
    <cfRule type="cellIs" dxfId="342" priority="337" stopIfTrue="1" operator="equal">
      <formula>"Towel"</formula>
    </cfRule>
    <cfRule type="cellIs" dxfId="341" priority="338" stopIfTrue="1" operator="equal">
      <formula>"Napkin Hs"</formula>
    </cfRule>
  </conditionalFormatting>
  <conditionalFormatting sqref="C109">
    <cfRule type="cellIs" dxfId="340" priority="339" stopIfTrue="1" operator="equal">
      <formula>"Towel"</formula>
    </cfRule>
  </conditionalFormatting>
  <conditionalFormatting sqref="B107:C107">
    <cfRule type="cellIs" dxfId="339" priority="335" stopIfTrue="1" operator="equal">
      <formula>"Towel"</formula>
    </cfRule>
    <cfRule type="cellIs" dxfId="338" priority="336" stopIfTrue="1" operator="equal">
      <formula>"Napkin Hs"</formula>
    </cfRule>
  </conditionalFormatting>
  <conditionalFormatting sqref="C107">
    <cfRule type="cellIs" dxfId="337" priority="334" stopIfTrue="1" operator="equal">
      <formula>"Napkin Hs"</formula>
    </cfRule>
  </conditionalFormatting>
  <conditionalFormatting sqref="C107">
    <cfRule type="cellIs" dxfId="336" priority="331" stopIfTrue="1" operator="equal">
      <formula>"Towel"</formula>
    </cfRule>
    <cfRule type="cellIs" dxfId="335" priority="332" stopIfTrue="1" operator="equal">
      <formula>"Napkin Hs"</formula>
    </cfRule>
  </conditionalFormatting>
  <conditionalFormatting sqref="C107">
    <cfRule type="cellIs" dxfId="334" priority="333" stopIfTrue="1" operator="equal">
      <formula>"Towel"</formula>
    </cfRule>
  </conditionalFormatting>
  <conditionalFormatting sqref="B108:C108">
    <cfRule type="cellIs" dxfId="333" priority="329" stopIfTrue="1" operator="equal">
      <formula>"Towel"</formula>
    </cfRule>
    <cfRule type="cellIs" dxfId="332" priority="330" stopIfTrue="1" operator="equal">
      <formula>"Napkin Hs"</formula>
    </cfRule>
  </conditionalFormatting>
  <conditionalFormatting sqref="C108">
    <cfRule type="cellIs" dxfId="331" priority="325" stopIfTrue="1" operator="equal">
      <formula>"Towel"</formula>
    </cfRule>
    <cfRule type="cellIs" dxfId="330" priority="326" stopIfTrue="1" operator="equal">
      <formula>"Napkin Hs"</formula>
    </cfRule>
  </conditionalFormatting>
  <conditionalFormatting sqref="C108">
    <cfRule type="cellIs" dxfId="329" priority="328" stopIfTrue="1" operator="equal">
      <formula>"Napkin Hs"</formula>
    </cfRule>
  </conditionalFormatting>
  <conditionalFormatting sqref="C108">
    <cfRule type="cellIs" dxfId="328" priority="327" stopIfTrue="1" operator="equal">
      <formula>"Towel"</formula>
    </cfRule>
  </conditionalFormatting>
  <conditionalFormatting sqref="B105:C106">
    <cfRule type="cellIs" dxfId="327" priority="323" stopIfTrue="1" operator="equal">
      <formula>"Towel"</formula>
    </cfRule>
    <cfRule type="cellIs" dxfId="326" priority="324" stopIfTrue="1" operator="equal">
      <formula>"Napkin Hs"</formula>
    </cfRule>
  </conditionalFormatting>
  <conditionalFormatting sqref="C105:C106">
    <cfRule type="cellIs" dxfId="325" priority="322" stopIfTrue="1" operator="equal">
      <formula>"Napkin Hs"</formula>
    </cfRule>
  </conditionalFormatting>
  <conditionalFormatting sqref="C105:C106">
    <cfRule type="cellIs" dxfId="324" priority="319" stopIfTrue="1" operator="equal">
      <formula>"Towel"</formula>
    </cfRule>
    <cfRule type="cellIs" dxfId="323" priority="320" stopIfTrue="1" operator="equal">
      <formula>"Napkin Hs"</formula>
    </cfRule>
  </conditionalFormatting>
  <conditionalFormatting sqref="C105:C106">
    <cfRule type="cellIs" dxfId="322" priority="321" stopIfTrue="1" operator="equal">
      <formula>"Towel"</formula>
    </cfRule>
  </conditionalFormatting>
  <conditionalFormatting sqref="B110:C112">
    <cfRule type="cellIs" dxfId="321" priority="317" stopIfTrue="1" operator="equal">
      <formula>"Towel"</formula>
    </cfRule>
    <cfRule type="cellIs" dxfId="320" priority="318" stopIfTrue="1" operator="equal">
      <formula>"Napkin Hs"</formula>
    </cfRule>
  </conditionalFormatting>
  <conditionalFormatting sqref="C110:C112">
    <cfRule type="cellIs" dxfId="319" priority="316" stopIfTrue="1" operator="equal">
      <formula>"Napkin Hs"</formula>
    </cfRule>
  </conditionalFormatting>
  <conditionalFormatting sqref="C110:C112">
    <cfRule type="cellIs" dxfId="318" priority="313" stopIfTrue="1" operator="equal">
      <formula>"Towel"</formula>
    </cfRule>
    <cfRule type="cellIs" dxfId="317" priority="314" stopIfTrue="1" operator="equal">
      <formula>"Napkin Hs"</formula>
    </cfRule>
  </conditionalFormatting>
  <conditionalFormatting sqref="C110:C112">
    <cfRule type="cellIs" dxfId="316" priority="315" stopIfTrue="1" operator="equal">
      <formula>"Towel"</formula>
    </cfRule>
  </conditionalFormatting>
  <conditionalFormatting sqref="B110:C112">
    <cfRule type="cellIs" dxfId="315" priority="311" stopIfTrue="1" operator="equal">
      <formula>"Towel"</formula>
    </cfRule>
    <cfRule type="cellIs" dxfId="314" priority="312" stopIfTrue="1" operator="equal">
      <formula>"Napkin Hs"</formula>
    </cfRule>
  </conditionalFormatting>
  <conditionalFormatting sqref="C110:C112">
    <cfRule type="cellIs" dxfId="313" priority="310" stopIfTrue="1" operator="equal">
      <formula>"Napkin Hs"</formula>
    </cfRule>
  </conditionalFormatting>
  <conditionalFormatting sqref="C110:C112">
    <cfRule type="cellIs" dxfId="312" priority="307" stopIfTrue="1" operator="equal">
      <formula>"Towel"</formula>
    </cfRule>
    <cfRule type="cellIs" dxfId="311" priority="308" stopIfTrue="1" operator="equal">
      <formula>"Napkin Hs"</formula>
    </cfRule>
  </conditionalFormatting>
  <conditionalFormatting sqref="C110:C112">
    <cfRule type="cellIs" dxfId="310" priority="309" stopIfTrue="1" operator="equal">
      <formula>"Towel"</formula>
    </cfRule>
  </conditionalFormatting>
  <conditionalFormatting sqref="B117:C117">
    <cfRule type="cellIs" dxfId="309" priority="305" stopIfTrue="1" operator="equal">
      <formula>"Towel"</formula>
    </cfRule>
    <cfRule type="cellIs" dxfId="308" priority="306" stopIfTrue="1" operator="equal">
      <formula>"Napkin Hs"</formula>
    </cfRule>
  </conditionalFormatting>
  <conditionalFormatting sqref="C117">
    <cfRule type="cellIs" dxfId="307" priority="303" stopIfTrue="1" operator="equal">
      <formula>"Towel"</formula>
    </cfRule>
    <cfRule type="cellIs" dxfId="306" priority="304" stopIfTrue="1" operator="equal">
      <formula>"Napkin Hs"</formula>
    </cfRule>
  </conditionalFormatting>
  <conditionalFormatting sqref="C117">
    <cfRule type="cellIs" dxfId="305" priority="301" stopIfTrue="1" operator="equal">
      <formula>"Towel"</formula>
    </cfRule>
    <cfRule type="cellIs" dxfId="304" priority="302" stopIfTrue="1" operator="equal">
      <formula>"Napkin Hs"</formula>
    </cfRule>
  </conditionalFormatting>
  <conditionalFormatting sqref="B117:C117">
    <cfRule type="cellIs" dxfId="303" priority="299" stopIfTrue="1" operator="equal">
      <formula>"Towel"</formula>
    </cfRule>
    <cfRule type="cellIs" dxfId="302" priority="300" stopIfTrue="1" operator="equal">
      <formula>"Napkin Hs"</formula>
    </cfRule>
  </conditionalFormatting>
  <conditionalFormatting sqref="C117">
    <cfRule type="cellIs" dxfId="301" priority="297" stopIfTrue="1" operator="equal">
      <formula>"Towel"</formula>
    </cfRule>
    <cfRule type="cellIs" dxfId="300" priority="298" stopIfTrue="1" operator="equal">
      <formula>"Napkin Hs"</formula>
    </cfRule>
  </conditionalFormatting>
  <conditionalFormatting sqref="C117">
    <cfRule type="cellIs" dxfId="299" priority="295" stopIfTrue="1" operator="equal">
      <formula>"Towel"</formula>
    </cfRule>
    <cfRule type="cellIs" dxfId="298" priority="296" stopIfTrue="1" operator="equal">
      <formula>"Napkin Hs"</formula>
    </cfRule>
  </conditionalFormatting>
  <conditionalFormatting sqref="B115:C116">
    <cfRule type="cellIs" dxfId="297" priority="293" stopIfTrue="1" operator="equal">
      <formula>"Towel"</formula>
    </cfRule>
    <cfRule type="cellIs" dxfId="296" priority="294" stopIfTrue="1" operator="equal">
      <formula>"Napkin Hs"</formula>
    </cfRule>
  </conditionalFormatting>
  <conditionalFormatting sqref="C115:C116">
    <cfRule type="cellIs" dxfId="295" priority="292" stopIfTrue="1" operator="equal">
      <formula>"Napkin Hs"</formula>
    </cfRule>
  </conditionalFormatting>
  <conditionalFormatting sqref="C115:C116">
    <cfRule type="cellIs" dxfId="294" priority="289" stopIfTrue="1" operator="equal">
      <formula>"Towel"</formula>
    </cfRule>
    <cfRule type="cellIs" dxfId="293" priority="290" stopIfTrue="1" operator="equal">
      <formula>"Napkin Hs"</formula>
    </cfRule>
  </conditionalFormatting>
  <conditionalFormatting sqref="C115:C116">
    <cfRule type="cellIs" dxfId="292" priority="291" stopIfTrue="1" operator="equal">
      <formula>"Towel"</formula>
    </cfRule>
  </conditionalFormatting>
  <conditionalFormatting sqref="B115:C116">
    <cfRule type="cellIs" dxfId="291" priority="287" stopIfTrue="1" operator="equal">
      <formula>"Towel"</formula>
    </cfRule>
    <cfRule type="cellIs" dxfId="290" priority="288" stopIfTrue="1" operator="equal">
      <formula>"Napkin Hs"</formula>
    </cfRule>
  </conditionalFormatting>
  <conditionalFormatting sqref="C115:C116">
    <cfRule type="cellIs" dxfId="289" priority="286" stopIfTrue="1" operator="equal">
      <formula>"Napkin Hs"</formula>
    </cfRule>
  </conditionalFormatting>
  <conditionalFormatting sqref="C115:C116">
    <cfRule type="cellIs" dxfId="288" priority="283" stopIfTrue="1" operator="equal">
      <formula>"Towel"</formula>
    </cfRule>
    <cfRule type="cellIs" dxfId="287" priority="284" stopIfTrue="1" operator="equal">
      <formula>"Napkin Hs"</formula>
    </cfRule>
  </conditionalFormatting>
  <conditionalFormatting sqref="C115:C116">
    <cfRule type="cellIs" dxfId="286" priority="285" stopIfTrue="1" operator="equal">
      <formula>"Towel"</formula>
    </cfRule>
  </conditionalFormatting>
  <conditionalFormatting sqref="B114:C114">
    <cfRule type="cellIs" dxfId="285" priority="281" stopIfTrue="1" operator="equal">
      <formula>"Towel"</formula>
    </cfRule>
    <cfRule type="cellIs" dxfId="284" priority="282" stopIfTrue="1" operator="equal">
      <formula>"Napkin Hs"</formula>
    </cfRule>
  </conditionalFormatting>
  <conditionalFormatting sqref="C114">
    <cfRule type="cellIs" dxfId="283" priority="280" stopIfTrue="1" operator="equal">
      <formula>"Napkin Hs"</formula>
    </cfRule>
  </conditionalFormatting>
  <conditionalFormatting sqref="C114">
    <cfRule type="cellIs" dxfId="282" priority="277" stopIfTrue="1" operator="equal">
      <formula>"Towel"</formula>
    </cfRule>
    <cfRule type="cellIs" dxfId="281" priority="278" stopIfTrue="1" operator="equal">
      <formula>"Napkin Hs"</formula>
    </cfRule>
  </conditionalFormatting>
  <conditionalFormatting sqref="C114">
    <cfRule type="cellIs" dxfId="280" priority="279" stopIfTrue="1" operator="equal">
      <formula>"Towel"</formula>
    </cfRule>
  </conditionalFormatting>
  <conditionalFormatting sqref="B114:C114">
    <cfRule type="cellIs" dxfId="279" priority="275" stopIfTrue="1" operator="equal">
      <formula>"Towel"</formula>
    </cfRule>
    <cfRule type="cellIs" dxfId="278" priority="276" stopIfTrue="1" operator="equal">
      <formula>"Napkin Hs"</formula>
    </cfRule>
  </conditionalFormatting>
  <conditionalFormatting sqref="C114">
    <cfRule type="cellIs" dxfId="277" priority="274" stopIfTrue="1" operator="equal">
      <formula>"Napkin Hs"</formula>
    </cfRule>
  </conditionalFormatting>
  <conditionalFormatting sqref="C114">
    <cfRule type="cellIs" dxfId="276" priority="271" stopIfTrue="1" operator="equal">
      <formula>"Towel"</formula>
    </cfRule>
    <cfRule type="cellIs" dxfId="275" priority="272" stopIfTrue="1" operator="equal">
      <formula>"Napkin Hs"</formula>
    </cfRule>
  </conditionalFormatting>
  <conditionalFormatting sqref="C114">
    <cfRule type="cellIs" dxfId="274" priority="273" stopIfTrue="1" operator="equal">
      <formula>"Towel"</formula>
    </cfRule>
  </conditionalFormatting>
  <conditionalFormatting sqref="B120:C120">
    <cfRule type="cellIs" dxfId="273" priority="269" stopIfTrue="1" operator="equal">
      <formula>"Towel"</formula>
    </cfRule>
    <cfRule type="cellIs" dxfId="272" priority="270" stopIfTrue="1" operator="equal">
      <formula>"Napkin Hs"</formula>
    </cfRule>
  </conditionalFormatting>
  <conditionalFormatting sqref="C120">
    <cfRule type="cellIs" dxfId="271" priority="268" stopIfTrue="1" operator="equal">
      <formula>"Napkin Hs"</formula>
    </cfRule>
  </conditionalFormatting>
  <conditionalFormatting sqref="C120">
    <cfRule type="cellIs" dxfId="270" priority="265" stopIfTrue="1" operator="equal">
      <formula>"Towel"</formula>
    </cfRule>
    <cfRule type="cellIs" dxfId="269" priority="266" stopIfTrue="1" operator="equal">
      <formula>"Napkin Hs"</formula>
    </cfRule>
  </conditionalFormatting>
  <conditionalFormatting sqref="C120">
    <cfRule type="cellIs" dxfId="268" priority="267" stopIfTrue="1" operator="equal">
      <formula>"Towel"</formula>
    </cfRule>
  </conditionalFormatting>
  <conditionalFormatting sqref="B119:C119">
    <cfRule type="cellIs" dxfId="267" priority="263" stopIfTrue="1" operator="equal">
      <formula>"Towel"</formula>
    </cfRule>
    <cfRule type="cellIs" dxfId="266" priority="264" stopIfTrue="1" operator="equal">
      <formula>"Napkin Hs"</formula>
    </cfRule>
  </conditionalFormatting>
  <conditionalFormatting sqref="C119">
    <cfRule type="cellIs" dxfId="265" priority="262" stopIfTrue="1" operator="equal">
      <formula>"Napkin Hs"</formula>
    </cfRule>
  </conditionalFormatting>
  <conditionalFormatting sqref="C119">
    <cfRule type="cellIs" dxfId="264" priority="259" stopIfTrue="1" operator="equal">
      <formula>"Towel"</formula>
    </cfRule>
    <cfRule type="cellIs" dxfId="263" priority="260" stopIfTrue="1" operator="equal">
      <formula>"Napkin Hs"</formula>
    </cfRule>
  </conditionalFormatting>
  <conditionalFormatting sqref="C119">
    <cfRule type="cellIs" dxfId="262" priority="261" stopIfTrue="1" operator="equal">
      <formula>"Towel"</formula>
    </cfRule>
  </conditionalFormatting>
  <conditionalFormatting sqref="B118:C118">
    <cfRule type="cellIs" dxfId="261" priority="257" stopIfTrue="1" operator="equal">
      <formula>"Towel"</formula>
    </cfRule>
    <cfRule type="cellIs" dxfId="260" priority="258" stopIfTrue="1" operator="equal">
      <formula>"Napkin Hs"</formula>
    </cfRule>
  </conditionalFormatting>
  <conditionalFormatting sqref="C118">
    <cfRule type="cellIs" dxfId="259" priority="256" stopIfTrue="1" operator="equal">
      <formula>"Napkin Hs"</formula>
    </cfRule>
  </conditionalFormatting>
  <conditionalFormatting sqref="C118">
    <cfRule type="cellIs" dxfId="258" priority="253" stopIfTrue="1" operator="equal">
      <formula>"Towel"</formula>
    </cfRule>
    <cfRule type="cellIs" dxfId="257" priority="254" stopIfTrue="1" operator="equal">
      <formula>"Napkin Hs"</formula>
    </cfRule>
  </conditionalFormatting>
  <conditionalFormatting sqref="C118">
    <cfRule type="cellIs" dxfId="256" priority="255" stopIfTrue="1" operator="equal">
      <formula>"Towel"</formula>
    </cfRule>
  </conditionalFormatting>
  <conditionalFormatting sqref="B118:C118">
    <cfRule type="cellIs" dxfId="255" priority="251" stopIfTrue="1" operator="equal">
      <formula>"Towel"</formula>
    </cfRule>
    <cfRule type="cellIs" dxfId="254" priority="252" stopIfTrue="1" operator="equal">
      <formula>"Napkin Hs"</formula>
    </cfRule>
  </conditionalFormatting>
  <conditionalFormatting sqref="C118">
    <cfRule type="cellIs" dxfId="253" priority="250" stopIfTrue="1" operator="equal">
      <formula>"Napkin Hs"</formula>
    </cfRule>
  </conditionalFormatting>
  <conditionalFormatting sqref="C118">
    <cfRule type="cellIs" dxfId="252" priority="247" stopIfTrue="1" operator="equal">
      <formula>"Towel"</formula>
    </cfRule>
    <cfRule type="cellIs" dxfId="251" priority="248" stopIfTrue="1" operator="equal">
      <formula>"Napkin Hs"</formula>
    </cfRule>
  </conditionalFormatting>
  <conditionalFormatting sqref="C118">
    <cfRule type="cellIs" dxfId="250" priority="249" stopIfTrue="1" operator="equal">
      <formula>"Towel"</formula>
    </cfRule>
  </conditionalFormatting>
  <conditionalFormatting sqref="B121:C121">
    <cfRule type="cellIs" dxfId="249" priority="245" stopIfTrue="1" operator="equal">
      <formula>"Towel"</formula>
    </cfRule>
    <cfRule type="cellIs" dxfId="248" priority="246" stopIfTrue="1" operator="equal">
      <formula>"Napkin Hs"</formula>
    </cfRule>
  </conditionalFormatting>
  <conditionalFormatting sqref="C121">
    <cfRule type="cellIs" dxfId="247" priority="244" stopIfTrue="1" operator="equal">
      <formula>"Napkin Hs"</formula>
    </cfRule>
  </conditionalFormatting>
  <conditionalFormatting sqref="C121">
    <cfRule type="cellIs" dxfId="246" priority="241" stopIfTrue="1" operator="equal">
      <formula>"Towel"</formula>
    </cfRule>
    <cfRule type="cellIs" dxfId="245" priority="242" stopIfTrue="1" operator="equal">
      <formula>"Napkin Hs"</formula>
    </cfRule>
  </conditionalFormatting>
  <conditionalFormatting sqref="C121">
    <cfRule type="cellIs" dxfId="244" priority="243" stopIfTrue="1" operator="equal">
      <formula>"Towel"</formula>
    </cfRule>
  </conditionalFormatting>
  <conditionalFormatting sqref="B125:C125">
    <cfRule type="cellIs" dxfId="243" priority="239" stopIfTrue="1" operator="equal">
      <formula>"Towel"</formula>
    </cfRule>
    <cfRule type="cellIs" dxfId="242" priority="240" stopIfTrue="1" operator="equal">
      <formula>"Napkin Hs"</formula>
    </cfRule>
  </conditionalFormatting>
  <conditionalFormatting sqref="C125">
    <cfRule type="cellIs" dxfId="241" priority="238" stopIfTrue="1" operator="equal">
      <formula>"Napkin Hs"</formula>
    </cfRule>
  </conditionalFormatting>
  <conditionalFormatting sqref="C125">
    <cfRule type="cellIs" dxfId="240" priority="235" stopIfTrue="1" operator="equal">
      <formula>"Towel"</formula>
    </cfRule>
    <cfRule type="cellIs" dxfId="239" priority="236" stopIfTrue="1" operator="equal">
      <formula>"Napkin Hs"</formula>
    </cfRule>
  </conditionalFormatting>
  <conditionalFormatting sqref="C125">
    <cfRule type="cellIs" dxfId="238" priority="237" stopIfTrue="1" operator="equal">
      <formula>"Towel"</formula>
    </cfRule>
  </conditionalFormatting>
  <conditionalFormatting sqref="B124:C124">
    <cfRule type="cellIs" dxfId="237" priority="233" stopIfTrue="1" operator="equal">
      <formula>"Towel"</formula>
    </cfRule>
    <cfRule type="cellIs" dxfId="236" priority="234" stopIfTrue="1" operator="equal">
      <formula>"Napkin Hs"</formula>
    </cfRule>
  </conditionalFormatting>
  <conditionalFormatting sqref="C124">
    <cfRule type="cellIs" dxfId="235" priority="232" stopIfTrue="1" operator="equal">
      <formula>"Napkin Hs"</formula>
    </cfRule>
  </conditionalFormatting>
  <conditionalFormatting sqref="C124">
    <cfRule type="cellIs" dxfId="234" priority="229" stopIfTrue="1" operator="equal">
      <formula>"Towel"</formula>
    </cfRule>
    <cfRule type="cellIs" dxfId="233" priority="230" stopIfTrue="1" operator="equal">
      <formula>"Napkin Hs"</formula>
    </cfRule>
  </conditionalFormatting>
  <conditionalFormatting sqref="C124">
    <cfRule type="cellIs" dxfId="232" priority="231" stopIfTrue="1" operator="equal">
      <formula>"Towel"</formula>
    </cfRule>
  </conditionalFormatting>
  <conditionalFormatting sqref="B123:C123">
    <cfRule type="cellIs" dxfId="231" priority="227" stopIfTrue="1" operator="equal">
      <formula>"Towel"</formula>
    </cfRule>
    <cfRule type="cellIs" dxfId="230" priority="228" stopIfTrue="1" operator="equal">
      <formula>"Napkin Hs"</formula>
    </cfRule>
  </conditionalFormatting>
  <conditionalFormatting sqref="C123">
    <cfRule type="cellIs" dxfId="229" priority="226" stopIfTrue="1" operator="equal">
      <formula>"Napkin Hs"</formula>
    </cfRule>
  </conditionalFormatting>
  <conditionalFormatting sqref="C123">
    <cfRule type="cellIs" dxfId="228" priority="223" stopIfTrue="1" operator="equal">
      <formula>"Towel"</formula>
    </cfRule>
    <cfRule type="cellIs" dxfId="227" priority="224" stopIfTrue="1" operator="equal">
      <formula>"Napkin Hs"</formula>
    </cfRule>
  </conditionalFormatting>
  <conditionalFormatting sqref="C123">
    <cfRule type="cellIs" dxfId="226" priority="225" stopIfTrue="1" operator="equal">
      <formula>"Towel"</formula>
    </cfRule>
  </conditionalFormatting>
  <conditionalFormatting sqref="B123:C123">
    <cfRule type="cellIs" dxfId="225" priority="221" stopIfTrue="1" operator="equal">
      <formula>"Towel"</formula>
    </cfRule>
    <cfRule type="cellIs" dxfId="224" priority="222" stopIfTrue="1" operator="equal">
      <formula>"Napkin Hs"</formula>
    </cfRule>
  </conditionalFormatting>
  <conditionalFormatting sqref="C123">
    <cfRule type="cellIs" dxfId="223" priority="220" stopIfTrue="1" operator="equal">
      <formula>"Napkin Hs"</formula>
    </cfRule>
  </conditionalFormatting>
  <conditionalFormatting sqref="C123">
    <cfRule type="cellIs" dxfId="222" priority="217" stopIfTrue="1" operator="equal">
      <formula>"Towel"</formula>
    </cfRule>
    <cfRule type="cellIs" dxfId="221" priority="218" stopIfTrue="1" operator="equal">
      <formula>"Napkin Hs"</formula>
    </cfRule>
  </conditionalFormatting>
  <conditionalFormatting sqref="C123">
    <cfRule type="cellIs" dxfId="220" priority="219" stopIfTrue="1" operator="equal">
      <formula>"Towel"</formula>
    </cfRule>
  </conditionalFormatting>
  <conditionalFormatting sqref="B130:C130">
    <cfRule type="cellIs" dxfId="219" priority="215" stopIfTrue="1" operator="equal">
      <formula>"Towel"</formula>
    </cfRule>
    <cfRule type="cellIs" dxfId="218" priority="216" stopIfTrue="1" operator="equal">
      <formula>"Napkin Hs"</formula>
    </cfRule>
  </conditionalFormatting>
  <conditionalFormatting sqref="C130">
    <cfRule type="cellIs" dxfId="217" priority="214" stopIfTrue="1" operator="equal">
      <formula>"Napkin Hs"</formula>
    </cfRule>
  </conditionalFormatting>
  <conditionalFormatting sqref="C130">
    <cfRule type="cellIs" dxfId="216" priority="211" stopIfTrue="1" operator="equal">
      <formula>"Towel"</formula>
    </cfRule>
    <cfRule type="cellIs" dxfId="215" priority="212" stopIfTrue="1" operator="equal">
      <formula>"Napkin Hs"</formula>
    </cfRule>
  </conditionalFormatting>
  <conditionalFormatting sqref="C130">
    <cfRule type="cellIs" dxfId="214" priority="213" stopIfTrue="1" operator="equal">
      <formula>"Towel"</formula>
    </cfRule>
  </conditionalFormatting>
  <conditionalFormatting sqref="B129:C129">
    <cfRule type="cellIs" dxfId="213" priority="209" stopIfTrue="1" operator="equal">
      <formula>"Towel"</formula>
    </cfRule>
    <cfRule type="cellIs" dxfId="212" priority="210" stopIfTrue="1" operator="equal">
      <formula>"Napkin Hs"</formula>
    </cfRule>
  </conditionalFormatting>
  <conditionalFormatting sqref="C129">
    <cfRule type="cellIs" dxfId="211" priority="208" stopIfTrue="1" operator="equal">
      <formula>"Napkin Hs"</formula>
    </cfRule>
  </conditionalFormatting>
  <conditionalFormatting sqref="C129">
    <cfRule type="cellIs" dxfId="210" priority="205" stopIfTrue="1" operator="equal">
      <formula>"Towel"</formula>
    </cfRule>
    <cfRule type="cellIs" dxfId="209" priority="206" stopIfTrue="1" operator="equal">
      <formula>"Napkin Hs"</formula>
    </cfRule>
  </conditionalFormatting>
  <conditionalFormatting sqref="C129">
    <cfRule type="cellIs" dxfId="208" priority="207" stopIfTrue="1" operator="equal">
      <formula>"Towel"</formula>
    </cfRule>
  </conditionalFormatting>
  <conditionalFormatting sqref="B128:C128">
    <cfRule type="cellIs" dxfId="207" priority="203" stopIfTrue="1" operator="equal">
      <formula>"Towel"</formula>
    </cfRule>
    <cfRule type="cellIs" dxfId="206" priority="204" stopIfTrue="1" operator="equal">
      <formula>"Napkin Hs"</formula>
    </cfRule>
  </conditionalFormatting>
  <conditionalFormatting sqref="C128">
    <cfRule type="cellIs" dxfId="205" priority="202" stopIfTrue="1" operator="equal">
      <formula>"Napkin Hs"</formula>
    </cfRule>
  </conditionalFormatting>
  <conditionalFormatting sqref="C128">
    <cfRule type="cellIs" dxfId="204" priority="199" stopIfTrue="1" operator="equal">
      <formula>"Towel"</formula>
    </cfRule>
    <cfRule type="cellIs" dxfId="203" priority="200" stopIfTrue="1" operator="equal">
      <formula>"Napkin Hs"</formula>
    </cfRule>
  </conditionalFormatting>
  <conditionalFormatting sqref="C128">
    <cfRule type="cellIs" dxfId="202" priority="201" stopIfTrue="1" operator="equal">
      <formula>"Towel"</formula>
    </cfRule>
  </conditionalFormatting>
  <conditionalFormatting sqref="B128:C128">
    <cfRule type="cellIs" dxfId="201" priority="197" stopIfTrue="1" operator="equal">
      <formula>"Towel"</formula>
    </cfRule>
    <cfRule type="cellIs" dxfId="200" priority="198" stopIfTrue="1" operator="equal">
      <formula>"Napkin Hs"</formula>
    </cfRule>
  </conditionalFormatting>
  <conditionalFormatting sqref="C128">
    <cfRule type="cellIs" dxfId="199" priority="196" stopIfTrue="1" operator="equal">
      <formula>"Napkin Hs"</formula>
    </cfRule>
  </conditionalFormatting>
  <conditionalFormatting sqref="C128">
    <cfRule type="cellIs" dxfId="198" priority="193" stopIfTrue="1" operator="equal">
      <formula>"Towel"</formula>
    </cfRule>
    <cfRule type="cellIs" dxfId="197" priority="194" stopIfTrue="1" operator="equal">
      <formula>"Napkin Hs"</formula>
    </cfRule>
  </conditionalFormatting>
  <conditionalFormatting sqref="C128">
    <cfRule type="cellIs" dxfId="196" priority="195" stopIfTrue="1" operator="equal">
      <formula>"Towel"</formula>
    </cfRule>
  </conditionalFormatting>
  <conditionalFormatting sqref="B132:C132">
    <cfRule type="cellIs" dxfId="195" priority="191" stopIfTrue="1" operator="equal">
      <formula>"Towel"</formula>
    </cfRule>
    <cfRule type="cellIs" dxfId="194" priority="192" stopIfTrue="1" operator="equal">
      <formula>"Napkin Hs"</formula>
    </cfRule>
  </conditionalFormatting>
  <conditionalFormatting sqref="C132">
    <cfRule type="cellIs" dxfId="193" priority="190" stopIfTrue="1" operator="equal">
      <formula>"Napkin Hs"</formula>
    </cfRule>
  </conditionalFormatting>
  <conditionalFormatting sqref="C132">
    <cfRule type="cellIs" dxfId="192" priority="187" stopIfTrue="1" operator="equal">
      <formula>"Towel"</formula>
    </cfRule>
    <cfRule type="cellIs" dxfId="191" priority="188" stopIfTrue="1" operator="equal">
      <formula>"Napkin Hs"</formula>
    </cfRule>
  </conditionalFormatting>
  <conditionalFormatting sqref="C132">
    <cfRule type="cellIs" dxfId="190" priority="189" stopIfTrue="1" operator="equal">
      <formula>"Towel"</formula>
    </cfRule>
  </conditionalFormatting>
  <conditionalFormatting sqref="B126:C126">
    <cfRule type="cellIs" dxfId="189" priority="185" stopIfTrue="1" operator="equal">
      <formula>"Towel"</formula>
    </cfRule>
    <cfRule type="cellIs" dxfId="188" priority="186" stopIfTrue="1" operator="equal">
      <formula>"Napkin Hs"</formula>
    </cfRule>
  </conditionalFormatting>
  <conditionalFormatting sqref="C126">
    <cfRule type="cellIs" dxfId="187" priority="184" stopIfTrue="1" operator="equal">
      <formula>"Napkin Hs"</formula>
    </cfRule>
  </conditionalFormatting>
  <conditionalFormatting sqref="C126">
    <cfRule type="cellIs" dxfId="186" priority="181" stopIfTrue="1" operator="equal">
      <formula>"Towel"</formula>
    </cfRule>
    <cfRule type="cellIs" dxfId="185" priority="182" stopIfTrue="1" operator="equal">
      <formula>"Napkin Hs"</formula>
    </cfRule>
  </conditionalFormatting>
  <conditionalFormatting sqref="C126">
    <cfRule type="cellIs" dxfId="184" priority="183" stopIfTrue="1" operator="equal">
      <formula>"Towel"</formula>
    </cfRule>
  </conditionalFormatting>
  <conditionalFormatting sqref="B131:C131">
    <cfRule type="cellIs" dxfId="183" priority="179" stopIfTrue="1" operator="equal">
      <formula>"Towel"</formula>
    </cfRule>
    <cfRule type="cellIs" dxfId="182" priority="180" stopIfTrue="1" operator="equal">
      <formula>"Napkin Hs"</formula>
    </cfRule>
  </conditionalFormatting>
  <conditionalFormatting sqref="C131">
    <cfRule type="cellIs" dxfId="181" priority="178" stopIfTrue="1" operator="equal">
      <formula>"Napkin Hs"</formula>
    </cfRule>
  </conditionalFormatting>
  <conditionalFormatting sqref="C131">
    <cfRule type="cellIs" dxfId="180" priority="175" stopIfTrue="1" operator="equal">
      <formula>"Towel"</formula>
    </cfRule>
    <cfRule type="cellIs" dxfId="179" priority="176" stopIfTrue="1" operator="equal">
      <formula>"Napkin Hs"</formula>
    </cfRule>
  </conditionalFormatting>
  <conditionalFormatting sqref="C131">
    <cfRule type="cellIs" dxfId="178" priority="177" stopIfTrue="1" operator="equal">
      <formula>"Towel"</formula>
    </cfRule>
  </conditionalFormatting>
  <conditionalFormatting sqref="B136:C136">
    <cfRule type="cellIs" dxfId="177" priority="173" stopIfTrue="1" operator="equal">
      <formula>"Towel"</formula>
    </cfRule>
    <cfRule type="cellIs" dxfId="176" priority="174" stopIfTrue="1" operator="equal">
      <formula>"Napkin Hs"</formula>
    </cfRule>
  </conditionalFormatting>
  <conditionalFormatting sqref="C136">
    <cfRule type="cellIs" dxfId="175" priority="172" stopIfTrue="1" operator="equal">
      <formula>"Napkin Hs"</formula>
    </cfRule>
  </conditionalFormatting>
  <conditionalFormatting sqref="C136">
    <cfRule type="cellIs" dxfId="174" priority="169" stopIfTrue="1" operator="equal">
      <formula>"Towel"</formula>
    </cfRule>
    <cfRule type="cellIs" dxfId="173" priority="170" stopIfTrue="1" operator="equal">
      <formula>"Napkin Hs"</formula>
    </cfRule>
  </conditionalFormatting>
  <conditionalFormatting sqref="C136">
    <cfRule type="cellIs" dxfId="172" priority="171" stopIfTrue="1" operator="equal">
      <formula>"Towel"</formula>
    </cfRule>
  </conditionalFormatting>
  <conditionalFormatting sqref="B135:C135">
    <cfRule type="cellIs" dxfId="171" priority="167" stopIfTrue="1" operator="equal">
      <formula>"Towel"</formula>
    </cfRule>
    <cfRule type="cellIs" dxfId="170" priority="168" stopIfTrue="1" operator="equal">
      <formula>"Napkin Hs"</formula>
    </cfRule>
  </conditionalFormatting>
  <conditionalFormatting sqref="C135">
    <cfRule type="cellIs" dxfId="169" priority="166" stopIfTrue="1" operator="equal">
      <formula>"Napkin Hs"</formula>
    </cfRule>
  </conditionalFormatting>
  <conditionalFormatting sqref="C135">
    <cfRule type="cellIs" dxfId="168" priority="163" stopIfTrue="1" operator="equal">
      <formula>"Towel"</formula>
    </cfRule>
    <cfRule type="cellIs" dxfId="167" priority="164" stopIfTrue="1" operator="equal">
      <formula>"Napkin Hs"</formula>
    </cfRule>
  </conditionalFormatting>
  <conditionalFormatting sqref="C135">
    <cfRule type="cellIs" dxfId="166" priority="165" stopIfTrue="1" operator="equal">
      <formula>"Towel"</formula>
    </cfRule>
  </conditionalFormatting>
  <conditionalFormatting sqref="B134:C134">
    <cfRule type="cellIs" dxfId="165" priority="161" stopIfTrue="1" operator="equal">
      <formula>"Towel"</formula>
    </cfRule>
    <cfRule type="cellIs" dxfId="164" priority="162" stopIfTrue="1" operator="equal">
      <formula>"Napkin Hs"</formula>
    </cfRule>
  </conditionalFormatting>
  <conditionalFormatting sqref="C134">
    <cfRule type="cellIs" dxfId="163" priority="160" stopIfTrue="1" operator="equal">
      <formula>"Napkin Hs"</formula>
    </cfRule>
  </conditionalFormatting>
  <conditionalFormatting sqref="C134">
    <cfRule type="cellIs" dxfId="162" priority="157" stopIfTrue="1" operator="equal">
      <formula>"Towel"</formula>
    </cfRule>
    <cfRule type="cellIs" dxfId="161" priority="158" stopIfTrue="1" operator="equal">
      <formula>"Napkin Hs"</formula>
    </cfRule>
  </conditionalFormatting>
  <conditionalFormatting sqref="C134">
    <cfRule type="cellIs" dxfId="160" priority="159" stopIfTrue="1" operator="equal">
      <formula>"Towel"</formula>
    </cfRule>
  </conditionalFormatting>
  <conditionalFormatting sqref="B134:C134">
    <cfRule type="cellIs" dxfId="159" priority="155" stopIfTrue="1" operator="equal">
      <formula>"Towel"</formula>
    </cfRule>
    <cfRule type="cellIs" dxfId="158" priority="156" stopIfTrue="1" operator="equal">
      <formula>"Napkin Hs"</formula>
    </cfRule>
  </conditionalFormatting>
  <conditionalFormatting sqref="C134">
    <cfRule type="cellIs" dxfId="157" priority="154" stopIfTrue="1" operator="equal">
      <formula>"Napkin Hs"</formula>
    </cfRule>
  </conditionalFormatting>
  <conditionalFormatting sqref="C134">
    <cfRule type="cellIs" dxfId="156" priority="151" stopIfTrue="1" operator="equal">
      <formula>"Towel"</formula>
    </cfRule>
    <cfRule type="cellIs" dxfId="155" priority="152" stopIfTrue="1" operator="equal">
      <formula>"Napkin Hs"</formula>
    </cfRule>
  </conditionalFormatting>
  <conditionalFormatting sqref="C134">
    <cfRule type="cellIs" dxfId="154" priority="153" stopIfTrue="1" operator="equal">
      <formula>"Towel"</formula>
    </cfRule>
  </conditionalFormatting>
  <conditionalFormatting sqref="B137:C138">
    <cfRule type="cellIs" dxfId="153" priority="149" stopIfTrue="1" operator="equal">
      <formula>"Towel"</formula>
    </cfRule>
    <cfRule type="cellIs" dxfId="152" priority="150" stopIfTrue="1" operator="equal">
      <formula>"Napkin Hs"</formula>
    </cfRule>
  </conditionalFormatting>
  <conditionalFormatting sqref="C137:C138">
    <cfRule type="cellIs" dxfId="151" priority="148" stopIfTrue="1" operator="equal">
      <formula>"Napkin Hs"</formula>
    </cfRule>
  </conditionalFormatting>
  <conditionalFormatting sqref="C137:C138">
    <cfRule type="cellIs" dxfId="150" priority="145" stopIfTrue="1" operator="equal">
      <formula>"Towel"</formula>
    </cfRule>
    <cfRule type="cellIs" dxfId="149" priority="146" stopIfTrue="1" operator="equal">
      <formula>"Napkin Hs"</formula>
    </cfRule>
  </conditionalFormatting>
  <conditionalFormatting sqref="C137:C138">
    <cfRule type="cellIs" dxfId="148" priority="147" stopIfTrue="1" operator="equal">
      <formula>"Towel"</formula>
    </cfRule>
  </conditionalFormatting>
  <conditionalFormatting sqref="B142:C142">
    <cfRule type="cellIs" dxfId="147" priority="143" stopIfTrue="1" operator="equal">
      <formula>"Towel"</formula>
    </cfRule>
    <cfRule type="cellIs" dxfId="146" priority="144" stopIfTrue="1" operator="equal">
      <formula>"Napkin Hs"</formula>
    </cfRule>
  </conditionalFormatting>
  <conditionalFormatting sqref="C142">
    <cfRule type="cellIs" dxfId="145" priority="142" stopIfTrue="1" operator="equal">
      <formula>"Napkin Hs"</formula>
    </cfRule>
  </conditionalFormatting>
  <conditionalFormatting sqref="C142">
    <cfRule type="cellIs" dxfId="144" priority="139" stopIfTrue="1" operator="equal">
      <formula>"Towel"</formula>
    </cfRule>
    <cfRule type="cellIs" dxfId="143" priority="140" stopIfTrue="1" operator="equal">
      <formula>"Napkin Hs"</formula>
    </cfRule>
  </conditionalFormatting>
  <conditionalFormatting sqref="C142">
    <cfRule type="cellIs" dxfId="142" priority="141" stopIfTrue="1" operator="equal">
      <formula>"Towel"</formula>
    </cfRule>
  </conditionalFormatting>
  <conditionalFormatting sqref="B141:C141">
    <cfRule type="cellIs" dxfId="141" priority="137" stopIfTrue="1" operator="equal">
      <formula>"Towel"</formula>
    </cfRule>
    <cfRule type="cellIs" dxfId="140" priority="138" stopIfTrue="1" operator="equal">
      <formula>"Napkin Hs"</formula>
    </cfRule>
  </conditionalFormatting>
  <conditionalFormatting sqref="C141">
    <cfRule type="cellIs" dxfId="139" priority="136" stopIfTrue="1" operator="equal">
      <formula>"Napkin Hs"</formula>
    </cfRule>
  </conditionalFormatting>
  <conditionalFormatting sqref="C141">
    <cfRule type="cellIs" dxfId="138" priority="133" stopIfTrue="1" operator="equal">
      <formula>"Towel"</formula>
    </cfRule>
    <cfRule type="cellIs" dxfId="137" priority="134" stopIfTrue="1" operator="equal">
      <formula>"Napkin Hs"</formula>
    </cfRule>
  </conditionalFormatting>
  <conditionalFormatting sqref="C141">
    <cfRule type="cellIs" dxfId="136" priority="135" stopIfTrue="1" operator="equal">
      <formula>"Towel"</formula>
    </cfRule>
  </conditionalFormatting>
  <conditionalFormatting sqref="B140:C140">
    <cfRule type="cellIs" dxfId="135" priority="131" stopIfTrue="1" operator="equal">
      <formula>"Towel"</formula>
    </cfRule>
    <cfRule type="cellIs" dxfId="134" priority="132" stopIfTrue="1" operator="equal">
      <formula>"Napkin Hs"</formula>
    </cfRule>
  </conditionalFormatting>
  <conditionalFormatting sqref="C140">
    <cfRule type="cellIs" dxfId="133" priority="130" stopIfTrue="1" operator="equal">
      <formula>"Napkin Hs"</formula>
    </cfRule>
  </conditionalFormatting>
  <conditionalFormatting sqref="C140">
    <cfRule type="cellIs" dxfId="132" priority="127" stopIfTrue="1" operator="equal">
      <formula>"Towel"</formula>
    </cfRule>
    <cfRule type="cellIs" dxfId="131" priority="128" stopIfTrue="1" operator="equal">
      <formula>"Napkin Hs"</formula>
    </cfRule>
  </conditionalFormatting>
  <conditionalFormatting sqref="C140">
    <cfRule type="cellIs" dxfId="130" priority="129" stopIfTrue="1" operator="equal">
      <formula>"Towel"</formula>
    </cfRule>
  </conditionalFormatting>
  <conditionalFormatting sqref="B140:C140">
    <cfRule type="cellIs" dxfId="129" priority="125" stopIfTrue="1" operator="equal">
      <formula>"Towel"</formula>
    </cfRule>
    <cfRule type="cellIs" dxfId="128" priority="126" stopIfTrue="1" operator="equal">
      <formula>"Napkin Hs"</formula>
    </cfRule>
  </conditionalFormatting>
  <conditionalFormatting sqref="C140">
    <cfRule type="cellIs" dxfId="127" priority="124" stopIfTrue="1" operator="equal">
      <formula>"Napkin Hs"</formula>
    </cfRule>
  </conditionalFormatting>
  <conditionalFormatting sqref="C140">
    <cfRule type="cellIs" dxfId="126" priority="121" stopIfTrue="1" operator="equal">
      <formula>"Towel"</formula>
    </cfRule>
    <cfRule type="cellIs" dxfId="125" priority="122" stopIfTrue="1" operator="equal">
      <formula>"Napkin Hs"</formula>
    </cfRule>
  </conditionalFormatting>
  <conditionalFormatting sqref="C140">
    <cfRule type="cellIs" dxfId="124" priority="123" stopIfTrue="1" operator="equal">
      <formula>"Towel"</formula>
    </cfRule>
  </conditionalFormatting>
  <conditionalFormatting sqref="B143:C143">
    <cfRule type="cellIs" dxfId="123" priority="119" stopIfTrue="1" operator="equal">
      <formula>"Towel"</formula>
    </cfRule>
    <cfRule type="cellIs" dxfId="122" priority="120" stopIfTrue="1" operator="equal">
      <formula>"Napkin Hs"</formula>
    </cfRule>
  </conditionalFormatting>
  <conditionalFormatting sqref="C143">
    <cfRule type="cellIs" dxfId="121" priority="118" stopIfTrue="1" operator="equal">
      <formula>"Napkin Hs"</formula>
    </cfRule>
  </conditionalFormatting>
  <conditionalFormatting sqref="C143">
    <cfRule type="cellIs" dxfId="120" priority="115" stopIfTrue="1" operator="equal">
      <formula>"Towel"</formula>
    </cfRule>
    <cfRule type="cellIs" dxfId="119" priority="116" stopIfTrue="1" operator="equal">
      <formula>"Napkin Hs"</formula>
    </cfRule>
  </conditionalFormatting>
  <conditionalFormatting sqref="C143">
    <cfRule type="cellIs" dxfId="118" priority="117" stopIfTrue="1" operator="equal">
      <formula>"Towel"</formula>
    </cfRule>
  </conditionalFormatting>
  <conditionalFormatting sqref="B147:C147">
    <cfRule type="cellIs" dxfId="117" priority="113" stopIfTrue="1" operator="equal">
      <formula>"Towel"</formula>
    </cfRule>
    <cfRule type="cellIs" dxfId="116" priority="114" stopIfTrue="1" operator="equal">
      <formula>"Napkin Hs"</formula>
    </cfRule>
  </conditionalFormatting>
  <conditionalFormatting sqref="C147">
    <cfRule type="cellIs" dxfId="115" priority="112" stopIfTrue="1" operator="equal">
      <formula>"Napkin Hs"</formula>
    </cfRule>
  </conditionalFormatting>
  <conditionalFormatting sqref="C147">
    <cfRule type="cellIs" dxfId="114" priority="109" stopIfTrue="1" operator="equal">
      <formula>"Towel"</formula>
    </cfRule>
    <cfRule type="cellIs" dxfId="113" priority="110" stopIfTrue="1" operator="equal">
      <formula>"Napkin Hs"</formula>
    </cfRule>
  </conditionalFormatting>
  <conditionalFormatting sqref="C147">
    <cfRule type="cellIs" dxfId="112" priority="111" stopIfTrue="1" operator="equal">
      <formula>"Towel"</formula>
    </cfRule>
  </conditionalFormatting>
  <conditionalFormatting sqref="B146:C146">
    <cfRule type="cellIs" dxfId="111" priority="107" stopIfTrue="1" operator="equal">
      <formula>"Towel"</formula>
    </cfRule>
    <cfRule type="cellIs" dxfId="110" priority="108" stopIfTrue="1" operator="equal">
      <formula>"Napkin Hs"</formula>
    </cfRule>
  </conditionalFormatting>
  <conditionalFormatting sqref="C146">
    <cfRule type="cellIs" dxfId="109" priority="106" stopIfTrue="1" operator="equal">
      <formula>"Napkin Hs"</formula>
    </cfRule>
  </conditionalFormatting>
  <conditionalFormatting sqref="C146">
    <cfRule type="cellIs" dxfId="108" priority="103" stopIfTrue="1" operator="equal">
      <formula>"Towel"</formula>
    </cfRule>
    <cfRule type="cellIs" dxfId="107" priority="104" stopIfTrue="1" operator="equal">
      <formula>"Napkin Hs"</formula>
    </cfRule>
  </conditionalFormatting>
  <conditionalFormatting sqref="C146">
    <cfRule type="cellIs" dxfId="106" priority="105" stopIfTrue="1" operator="equal">
      <formula>"Towel"</formula>
    </cfRule>
  </conditionalFormatting>
  <conditionalFormatting sqref="B145:C145">
    <cfRule type="cellIs" dxfId="105" priority="101" stopIfTrue="1" operator="equal">
      <formula>"Towel"</formula>
    </cfRule>
    <cfRule type="cellIs" dxfId="104" priority="102" stopIfTrue="1" operator="equal">
      <formula>"Napkin Hs"</formula>
    </cfRule>
  </conditionalFormatting>
  <conditionalFormatting sqref="C145">
    <cfRule type="cellIs" dxfId="103" priority="100" stopIfTrue="1" operator="equal">
      <formula>"Napkin Hs"</formula>
    </cfRule>
  </conditionalFormatting>
  <conditionalFormatting sqref="C145">
    <cfRule type="cellIs" dxfId="102" priority="97" stopIfTrue="1" operator="equal">
      <formula>"Towel"</formula>
    </cfRule>
    <cfRule type="cellIs" dxfId="101" priority="98" stopIfTrue="1" operator="equal">
      <formula>"Napkin Hs"</formula>
    </cfRule>
  </conditionalFormatting>
  <conditionalFormatting sqref="C145">
    <cfRule type="cellIs" dxfId="100" priority="99" stopIfTrue="1" operator="equal">
      <formula>"Towel"</formula>
    </cfRule>
  </conditionalFormatting>
  <conditionalFormatting sqref="B145:C145">
    <cfRule type="cellIs" dxfId="99" priority="95" stopIfTrue="1" operator="equal">
      <formula>"Towel"</formula>
    </cfRule>
    <cfRule type="cellIs" dxfId="98" priority="96" stopIfTrue="1" operator="equal">
      <formula>"Napkin Hs"</formula>
    </cfRule>
  </conditionalFormatting>
  <conditionalFormatting sqref="C145">
    <cfRule type="cellIs" dxfId="97" priority="94" stopIfTrue="1" operator="equal">
      <formula>"Napkin Hs"</formula>
    </cfRule>
  </conditionalFormatting>
  <conditionalFormatting sqref="C145">
    <cfRule type="cellIs" dxfId="96" priority="91" stopIfTrue="1" operator="equal">
      <formula>"Towel"</formula>
    </cfRule>
    <cfRule type="cellIs" dxfId="95" priority="92" stopIfTrue="1" operator="equal">
      <formula>"Napkin Hs"</formula>
    </cfRule>
  </conditionalFormatting>
  <conditionalFormatting sqref="C145">
    <cfRule type="cellIs" dxfId="94" priority="93" stopIfTrue="1" operator="equal">
      <formula>"Towel"</formula>
    </cfRule>
  </conditionalFormatting>
  <conditionalFormatting sqref="B148:C148">
    <cfRule type="cellIs" dxfId="93" priority="89" stopIfTrue="1" operator="equal">
      <formula>"Towel"</formula>
    </cfRule>
    <cfRule type="cellIs" dxfId="92" priority="90" stopIfTrue="1" operator="equal">
      <formula>"Napkin Hs"</formula>
    </cfRule>
  </conditionalFormatting>
  <conditionalFormatting sqref="C148">
    <cfRule type="cellIs" dxfId="91" priority="88" stopIfTrue="1" operator="equal">
      <formula>"Napkin Hs"</formula>
    </cfRule>
  </conditionalFormatting>
  <conditionalFormatting sqref="C148">
    <cfRule type="cellIs" dxfId="90" priority="85" stopIfTrue="1" operator="equal">
      <formula>"Towel"</formula>
    </cfRule>
    <cfRule type="cellIs" dxfId="89" priority="86" stopIfTrue="1" operator="equal">
      <formula>"Napkin Hs"</formula>
    </cfRule>
  </conditionalFormatting>
  <conditionalFormatting sqref="C148">
    <cfRule type="cellIs" dxfId="88" priority="87" stopIfTrue="1" operator="equal">
      <formula>"Towel"</formula>
    </cfRule>
  </conditionalFormatting>
  <conditionalFormatting sqref="B152:C152">
    <cfRule type="cellIs" dxfId="87" priority="83" stopIfTrue="1" operator="equal">
      <formula>"Towel"</formula>
    </cfRule>
    <cfRule type="cellIs" dxfId="86" priority="84" stopIfTrue="1" operator="equal">
      <formula>"Napkin Hs"</formula>
    </cfRule>
  </conditionalFormatting>
  <conditionalFormatting sqref="C152">
    <cfRule type="cellIs" dxfId="85" priority="82" stopIfTrue="1" operator="equal">
      <formula>"Napkin Hs"</formula>
    </cfRule>
  </conditionalFormatting>
  <conditionalFormatting sqref="C152">
    <cfRule type="cellIs" dxfId="84" priority="79" stopIfTrue="1" operator="equal">
      <formula>"Towel"</formula>
    </cfRule>
    <cfRule type="cellIs" dxfId="83" priority="80" stopIfTrue="1" operator="equal">
      <formula>"Napkin Hs"</formula>
    </cfRule>
  </conditionalFormatting>
  <conditionalFormatting sqref="C152">
    <cfRule type="cellIs" dxfId="82" priority="81" stopIfTrue="1" operator="equal">
      <formula>"Towel"</formula>
    </cfRule>
  </conditionalFormatting>
  <conditionalFormatting sqref="B150:C151">
    <cfRule type="cellIs" dxfId="81" priority="77" stopIfTrue="1" operator="equal">
      <formula>"Towel"</formula>
    </cfRule>
    <cfRule type="cellIs" dxfId="80" priority="78" stopIfTrue="1" operator="equal">
      <formula>"Napkin Hs"</formula>
    </cfRule>
  </conditionalFormatting>
  <conditionalFormatting sqref="C150:C151">
    <cfRule type="cellIs" dxfId="79" priority="76" stopIfTrue="1" operator="equal">
      <formula>"Napkin Hs"</formula>
    </cfRule>
  </conditionalFormatting>
  <conditionalFormatting sqref="C150:C151">
    <cfRule type="cellIs" dxfId="78" priority="73" stopIfTrue="1" operator="equal">
      <formula>"Towel"</formula>
    </cfRule>
    <cfRule type="cellIs" dxfId="77" priority="74" stopIfTrue="1" operator="equal">
      <formula>"Napkin Hs"</formula>
    </cfRule>
  </conditionalFormatting>
  <conditionalFormatting sqref="C150:C151">
    <cfRule type="cellIs" dxfId="76" priority="75" stopIfTrue="1" operator="equal">
      <formula>"Towel"</formula>
    </cfRule>
  </conditionalFormatting>
  <conditionalFormatting sqref="B150:C151">
    <cfRule type="cellIs" dxfId="75" priority="71" stopIfTrue="1" operator="equal">
      <formula>"Towel"</formula>
    </cfRule>
    <cfRule type="cellIs" dxfId="74" priority="72" stopIfTrue="1" operator="equal">
      <formula>"Napkin Hs"</formula>
    </cfRule>
  </conditionalFormatting>
  <conditionalFormatting sqref="C150:C151">
    <cfRule type="cellIs" dxfId="73" priority="70" stopIfTrue="1" operator="equal">
      <formula>"Napkin Hs"</formula>
    </cfRule>
  </conditionalFormatting>
  <conditionalFormatting sqref="C150:C151">
    <cfRule type="cellIs" dxfId="72" priority="67" stopIfTrue="1" operator="equal">
      <formula>"Towel"</formula>
    </cfRule>
    <cfRule type="cellIs" dxfId="71" priority="68" stopIfTrue="1" operator="equal">
      <formula>"Napkin Hs"</formula>
    </cfRule>
  </conditionalFormatting>
  <conditionalFormatting sqref="C150:C151">
    <cfRule type="cellIs" dxfId="70" priority="69" stopIfTrue="1" operator="equal">
      <formula>"Towel"</formula>
    </cfRule>
  </conditionalFormatting>
  <conditionalFormatting sqref="B153:C153">
    <cfRule type="cellIs" dxfId="69" priority="65" stopIfTrue="1" operator="equal">
      <formula>"Towel"</formula>
    </cfRule>
    <cfRule type="cellIs" dxfId="68" priority="66" stopIfTrue="1" operator="equal">
      <formula>"Napkin Hs"</formula>
    </cfRule>
  </conditionalFormatting>
  <conditionalFormatting sqref="C153">
    <cfRule type="cellIs" dxfId="67" priority="64" stopIfTrue="1" operator="equal">
      <formula>"Napkin Hs"</formula>
    </cfRule>
  </conditionalFormatting>
  <conditionalFormatting sqref="C153">
    <cfRule type="cellIs" dxfId="66" priority="61" stopIfTrue="1" operator="equal">
      <formula>"Towel"</formula>
    </cfRule>
    <cfRule type="cellIs" dxfId="65" priority="62" stopIfTrue="1" operator="equal">
      <formula>"Napkin Hs"</formula>
    </cfRule>
  </conditionalFormatting>
  <conditionalFormatting sqref="C153">
    <cfRule type="cellIs" dxfId="64" priority="63" stopIfTrue="1" operator="equal">
      <formula>"Towel"</formula>
    </cfRule>
  </conditionalFormatting>
  <conditionalFormatting sqref="B157:C158">
    <cfRule type="cellIs" dxfId="63" priority="59" stopIfTrue="1" operator="equal">
      <formula>"Towel"</formula>
    </cfRule>
    <cfRule type="cellIs" dxfId="62" priority="60" stopIfTrue="1" operator="equal">
      <formula>"Napkin Hs"</formula>
    </cfRule>
  </conditionalFormatting>
  <conditionalFormatting sqref="C157:C158">
    <cfRule type="cellIs" dxfId="61" priority="58" stopIfTrue="1" operator="equal">
      <formula>"Napkin Hs"</formula>
    </cfRule>
  </conditionalFormatting>
  <conditionalFormatting sqref="C157:C158">
    <cfRule type="cellIs" dxfId="60" priority="55" stopIfTrue="1" operator="equal">
      <formula>"Towel"</formula>
    </cfRule>
    <cfRule type="cellIs" dxfId="59" priority="56" stopIfTrue="1" operator="equal">
      <formula>"Napkin Hs"</formula>
    </cfRule>
  </conditionalFormatting>
  <conditionalFormatting sqref="C157:C158">
    <cfRule type="cellIs" dxfId="58" priority="57" stopIfTrue="1" operator="equal">
      <formula>"Towel"</formula>
    </cfRule>
  </conditionalFormatting>
  <conditionalFormatting sqref="B156:C156">
    <cfRule type="cellIs" dxfId="57" priority="53" stopIfTrue="1" operator="equal">
      <formula>"Towel"</formula>
    </cfRule>
    <cfRule type="cellIs" dxfId="56" priority="54" stopIfTrue="1" operator="equal">
      <formula>"Napkin Hs"</formula>
    </cfRule>
  </conditionalFormatting>
  <conditionalFormatting sqref="C156">
    <cfRule type="cellIs" dxfId="55" priority="52" stopIfTrue="1" operator="equal">
      <formula>"Napkin Hs"</formula>
    </cfRule>
  </conditionalFormatting>
  <conditionalFormatting sqref="C156">
    <cfRule type="cellIs" dxfId="54" priority="49" stopIfTrue="1" operator="equal">
      <formula>"Towel"</formula>
    </cfRule>
    <cfRule type="cellIs" dxfId="53" priority="50" stopIfTrue="1" operator="equal">
      <formula>"Napkin Hs"</formula>
    </cfRule>
  </conditionalFormatting>
  <conditionalFormatting sqref="C156">
    <cfRule type="cellIs" dxfId="52" priority="51" stopIfTrue="1" operator="equal">
      <formula>"Towel"</formula>
    </cfRule>
  </conditionalFormatting>
  <conditionalFormatting sqref="B156:C156">
    <cfRule type="cellIs" dxfId="51" priority="47" stopIfTrue="1" operator="equal">
      <formula>"Towel"</formula>
    </cfRule>
    <cfRule type="cellIs" dxfId="50" priority="48" stopIfTrue="1" operator="equal">
      <formula>"Napkin Hs"</formula>
    </cfRule>
  </conditionalFormatting>
  <conditionalFormatting sqref="C156">
    <cfRule type="cellIs" dxfId="49" priority="46" stopIfTrue="1" operator="equal">
      <formula>"Napkin Hs"</formula>
    </cfRule>
  </conditionalFormatting>
  <conditionalFormatting sqref="C156">
    <cfRule type="cellIs" dxfId="48" priority="43" stopIfTrue="1" operator="equal">
      <formula>"Towel"</formula>
    </cfRule>
    <cfRule type="cellIs" dxfId="47" priority="44" stopIfTrue="1" operator="equal">
      <formula>"Napkin Hs"</formula>
    </cfRule>
  </conditionalFormatting>
  <conditionalFormatting sqref="C156">
    <cfRule type="cellIs" dxfId="46" priority="45" stopIfTrue="1" operator="equal">
      <formula>"Towel"</formula>
    </cfRule>
  </conditionalFormatting>
  <conditionalFormatting sqref="B159:C159">
    <cfRule type="cellIs" dxfId="45" priority="41" stopIfTrue="1" operator="equal">
      <formula>"Towel"</formula>
    </cfRule>
    <cfRule type="cellIs" dxfId="44" priority="42" stopIfTrue="1" operator="equal">
      <formula>"Napkin Hs"</formula>
    </cfRule>
  </conditionalFormatting>
  <conditionalFormatting sqref="C159">
    <cfRule type="cellIs" dxfId="43" priority="40" stopIfTrue="1" operator="equal">
      <formula>"Napkin Hs"</formula>
    </cfRule>
  </conditionalFormatting>
  <conditionalFormatting sqref="C159">
    <cfRule type="cellIs" dxfId="42" priority="37" stopIfTrue="1" operator="equal">
      <formula>"Towel"</formula>
    </cfRule>
    <cfRule type="cellIs" dxfId="41" priority="38" stopIfTrue="1" operator="equal">
      <formula>"Napkin Hs"</formula>
    </cfRule>
  </conditionalFormatting>
  <conditionalFormatting sqref="C159">
    <cfRule type="cellIs" dxfId="40" priority="39" stopIfTrue="1" operator="equal">
      <formula>"Towel"</formula>
    </cfRule>
  </conditionalFormatting>
  <conditionalFormatting sqref="B155:C155">
    <cfRule type="cellIs" dxfId="39" priority="35" stopIfTrue="1" operator="equal">
      <formula>"Towel"</formula>
    </cfRule>
    <cfRule type="cellIs" dxfId="38" priority="36" stopIfTrue="1" operator="equal">
      <formula>"Napkin Hs"</formula>
    </cfRule>
  </conditionalFormatting>
  <conditionalFormatting sqref="C155">
    <cfRule type="cellIs" dxfId="37" priority="34" stopIfTrue="1" operator="equal">
      <formula>"Napkin Hs"</formula>
    </cfRule>
  </conditionalFormatting>
  <conditionalFormatting sqref="C155">
    <cfRule type="cellIs" dxfId="36" priority="31" stopIfTrue="1" operator="equal">
      <formula>"Towel"</formula>
    </cfRule>
    <cfRule type="cellIs" dxfId="35" priority="32" stopIfTrue="1" operator="equal">
      <formula>"Napkin Hs"</formula>
    </cfRule>
  </conditionalFormatting>
  <conditionalFormatting sqref="C155">
    <cfRule type="cellIs" dxfId="34" priority="33" stopIfTrue="1" operator="equal">
      <formula>"Towel"</formula>
    </cfRule>
  </conditionalFormatting>
  <conditionalFormatting sqref="B155:C155">
    <cfRule type="cellIs" dxfId="33" priority="29" stopIfTrue="1" operator="equal">
      <formula>"Towel"</formula>
    </cfRule>
    <cfRule type="cellIs" dxfId="32" priority="30" stopIfTrue="1" operator="equal">
      <formula>"Napkin Hs"</formula>
    </cfRule>
  </conditionalFormatting>
  <conditionalFormatting sqref="C155">
    <cfRule type="cellIs" dxfId="31" priority="28" stopIfTrue="1" operator="equal">
      <formula>"Napkin Hs"</formula>
    </cfRule>
  </conditionalFormatting>
  <conditionalFormatting sqref="C155">
    <cfRule type="cellIs" dxfId="30" priority="25" stopIfTrue="1" operator="equal">
      <formula>"Towel"</formula>
    </cfRule>
    <cfRule type="cellIs" dxfId="29" priority="26" stopIfTrue="1" operator="equal">
      <formula>"Napkin Hs"</formula>
    </cfRule>
  </conditionalFormatting>
  <conditionalFormatting sqref="C155">
    <cfRule type="cellIs" dxfId="28" priority="27" stopIfTrue="1" operator="equal">
      <formula>"Towel"</formula>
    </cfRule>
  </conditionalFormatting>
  <conditionalFormatting sqref="B163:C163">
    <cfRule type="cellIs" dxfId="27" priority="23" stopIfTrue="1" operator="equal">
      <formula>"Towel"</formula>
    </cfRule>
    <cfRule type="cellIs" dxfId="26" priority="24" stopIfTrue="1" operator="equal">
      <formula>"Napkin Hs"</formula>
    </cfRule>
  </conditionalFormatting>
  <conditionalFormatting sqref="C163">
    <cfRule type="cellIs" dxfId="25" priority="22" stopIfTrue="1" operator="equal">
      <formula>"Napkin Hs"</formula>
    </cfRule>
  </conditionalFormatting>
  <conditionalFormatting sqref="C163">
    <cfRule type="cellIs" dxfId="24" priority="19" stopIfTrue="1" operator="equal">
      <formula>"Towel"</formula>
    </cfRule>
    <cfRule type="cellIs" dxfId="23" priority="20" stopIfTrue="1" operator="equal">
      <formula>"Napkin Hs"</formula>
    </cfRule>
  </conditionalFormatting>
  <conditionalFormatting sqref="C163">
    <cfRule type="cellIs" dxfId="22" priority="21" stopIfTrue="1" operator="equal">
      <formula>"Towel"</formula>
    </cfRule>
  </conditionalFormatting>
  <conditionalFormatting sqref="B161:C162">
    <cfRule type="cellIs" dxfId="21" priority="17" stopIfTrue="1" operator="equal">
      <formula>"Towel"</formula>
    </cfRule>
    <cfRule type="cellIs" dxfId="20" priority="18" stopIfTrue="1" operator="equal">
      <formula>"Napkin Hs"</formula>
    </cfRule>
  </conditionalFormatting>
  <conditionalFormatting sqref="C161:C162">
    <cfRule type="cellIs" dxfId="19" priority="16" stopIfTrue="1" operator="equal">
      <formula>"Napkin Hs"</formula>
    </cfRule>
  </conditionalFormatting>
  <conditionalFormatting sqref="C161:C162">
    <cfRule type="cellIs" dxfId="18" priority="13" stopIfTrue="1" operator="equal">
      <formula>"Towel"</formula>
    </cfRule>
    <cfRule type="cellIs" dxfId="17" priority="14" stopIfTrue="1" operator="equal">
      <formula>"Napkin Hs"</formula>
    </cfRule>
  </conditionalFormatting>
  <conditionalFormatting sqref="C161:C162">
    <cfRule type="cellIs" dxfId="16" priority="15" stopIfTrue="1" operator="equal">
      <formula>"Towel"</formula>
    </cfRule>
  </conditionalFormatting>
  <conditionalFormatting sqref="B161:C162">
    <cfRule type="cellIs" dxfId="15" priority="11" stopIfTrue="1" operator="equal">
      <formula>"Towel"</formula>
    </cfRule>
    <cfRule type="cellIs" dxfId="14" priority="12" stopIfTrue="1" operator="equal">
      <formula>"Napkin Hs"</formula>
    </cfRule>
  </conditionalFormatting>
  <conditionalFormatting sqref="C161:C162">
    <cfRule type="cellIs" dxfId="13" priority="10" stopIfTrue="1" operator="equal">
      <formula>"Napkin Hs"</formula>
    </cfRule>
  </conditionalFormatting>
  <conditionalFormatting sqref="C161:C162">
    <cfRule type="cellIs" dxfId="12" priority="7" stopIfTrue="1" operator="equal">
      <formula>"Towel"</formula>
    </cfRule>
    <cfRule type="cellIs" dxfId="11" priority="8" stopIfTrue="1" operator="equal">
      <formula>"Napkin Hs"</formula>
    </cfRule>
  </conditionalFormatting>
  <conditionalFormatting sqref="C161:C162">
    <cfRule type="cellIs" dxfId="10" priority="9" stopIfTrue="1" operator="equal">
      <formula>"Towel"</formula>
    </cfRule>
  </conditionalFormatting>
  <conditionalFormatting sqref="B164:C164">
    <cfRule type="cellIs" dxfId="9" priority="5" stopIfTrue="1" operator="equal">
      <formula>"Towel"</formula>
    </cfRule>
    <cfRule type="cellIs" dxfId="8" priority="6" stopIfTrue="1" operator="equal">
      <formula>"Napkin Hs"</formula>
    </cfRule>
  </conditionalFormatting>
  <conditionalFormatting sqref="C164">
    <cfRule type="cellIs" dxfId="7" priority="4" stopIfTrue="1" operator="equal">
      <formula>"Napkin Hs"</formula>
    </cfRule>
  </conditionalFormatting>
  <conditionalFormatting sqref="C164">
    <cfRule type="cellIs" dxfId="6" priority="1" stopIfTrue="1" operator="equal">
      <formula>"Towel"</formula>
    </cfRule>
    <cfRule type="cellIs" dxfId="5" priority="2" stopIfTrue="1" operator="equal">
      <formula>"Napkin Hs"</formula>
    </cfRule>
  </conditionalFormatting>
  <conditionalFormatting sqref="C164">
    <cfRule type="cellIs" dxfId="4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5"/>
  <sheetViews>
    <sheetView zoomScale="85" zoomScaleNormal="85" zoomScaleSheetLayoutView="78" workbookViewId="0">
      <pane xSplit="4" ySplit="8" topLeftCell="EJ9" activePane="bottomRight" state="frozen"/>
      <selection pane="topRight" activeCell="E1" sqref="E1"/>
      <selection pane="bottomLeft" activeCell="A9" sqref="A9"/>
      <selection pane="bottomRight" activeCell="EO18" sqref="EO18"/>
    </sheetView>
  </sheetViews>
  <sheetFormatPr defaultColWidth="10.42578125" defaultRowHeight="12.75"/>
  <cols>
    <col min="1" max="1" width="8.140625" style="257" customWidth="1"/>
    <col min="2" max="2" width="13.5703125" style="257" customWidth="1"/>
    <col min="3" max="3" width="12.5703125" style="258" customWidth="1"/>
    <col min="4" max="4" width="11.140625" style="258" customWidth="1"/>
    <col min="5" max="5" width="11" style="259" customWidth="1"/>
    <col min="6" max="269" width="12.42578125" style="518" customWidth="1"/>
    <col min="270" max="272" width="9.28515625" style="518" customWidth="1"/>
    <col min="273" max="303" width="5.5703125" style="518" customWidth="1"/>
    <col min="304" max="304" width="8.7109375" style="518" bestFit="1" customWidth="1"/>
    <col min="305" max="305" width="7.7109375" style="518" customWidth="1"/>
    <col min="306" max="306" width="21" style="518" bestFit="1" customWidth="1"/>
    <col min="307" max="307" width="19.85546875" style="518" bestFit="1" customWidth="1"/>
    <col min="308" max="16384" width="10.42578125" style="257"/>
  </cols>
  <sheetData>
    <row r="1" spans="1:308" ht="15.75">
      <c r="A1" s="552"/>
      <c r="B1" s="254"/>
      <c r="C1" s="255"/>
      <c r="D1" s="255"/>
      <c r="E1" s="256"/>
    </row>
    <row r="2" spans="1:308" ht="15.75">
      <c r="A2" s="552"/>
    </row>
    <row r="3" spans="1:308" ht="15">
      <c r="A3" s="553"/>
    </row>
    <row r="4" spans="1:308" ht="15.75">
      <c r="A4" s="490" t="s">
        <v>289</v>
      </c>
    </row>
    <row r="5" spans="1:308" ht="13.5" thickBot="1">
      <c r="F5" s="694" t="s">
        <v>309</v>
      </c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695"/>
      <c r="R5" s="695"/>
      <c r="S5" s="695"/>
      <c r="T5" s="695"/>
      <c r="U5" s="695"/>
      <c r="V5" s="695"/>
      <c r="W5" s="695"/>
      <c r="X5" s="695"/>
      <c r="Y5" s="695"/>
      <c r="Z5" s="695"/>
      <c r="AA5" s="695"/>
      <c r="AB5" s="695"/>
      <c r="AC5" s="695"/>
      <c r="AD5" s="695"/>
      <c r="AE5" s="695"/>
      <c r="AF5" s="695"/>
      <c r="AG5" s="695"/>
      <c r="AH5" s="695"/>
      <c r="AI5" s="695"/>
      <c r="AJ5" s="695"/>
      <c r="AK5" s="695"/>
      <c r="AL5" s="695"/>
      <c r="AM5" s="695"/>
      <c r="AN5" s="695"/>
      <c r="AO5" s="695"/>
      <c r="AP5" s="695"/>
      <c r="AQ5" s="695"/>
      <c r="AR5" s="695"/>
      <c r="AS5" s="695"/>
      <c r="AT5" s="695"/>
      <c r="AU5" s="695"/>
      <c r="AV5" s="695"/>
      <c r="AW5" s="695"/>
      <c r="AX5" s="695"/>
      <c r="AY5" s="695"/>
      <c r="AZ5" s="695"/>
      <c r="BA5" s="695"/>
      <c r="BB5" s="695"/>
      <c r="BC5" s="695"/>
      <c r="BD5" s="695"/>
      <c r="BE5" s="695"/>
      <c r="BF5" s="695"/>
      <c r="BG5" s="695"/>
      <c r="BH5" s="695"/>
      <c r="BI5" s="695"/>
      <c r="BJ5" s="695"/>
      <c r="BK5" s="695"/>
      <c r="BL5" s="695"/>
      <c r="BM5" s="695"/>
      <c r="BN5" s="695"/>
      <c r="BO5" s="695"/>
      <c r="BP5" s="695"/>
      <c r="BQ5" s="695"/>
      <c r="BR5" s="695"/>
      <c r="BS5" s="695"/>
      <c r="BT5" s="695"/>
      <c r="BU5" s="695"/>
      <c r="BV5" s="695"/>
      <c r="BW5" s="695"/>
      <c r="BX5" s="695"/>
      <c r="BY5" s="695"/>
      <c r="BZ5" s="695"/>
      <c r="CA5" s="695"/>
      <c r="CB5" s="695"/>
      <c r="CC5" s="695"/>
      <c r="CD5" s="695"/>
      <c r="CE5" s="695"/>
      <c r="CF5" s="695"/>
      <c r="CG5" s="695"/>
      <c r="CH5" s="695"/>
      <c r="CI5" s="695"/>
      <c r="CJ5" s="695"/>
      <c r="CK5" s="695"/>
      <c r="CL5" s="695"/>
      <c r="CM5" s="695"/>
      <c r="CN5" s="695"/>
      <c r="CO5" s="695"/>
      <c r="CP5" s="695"/>
      <c r="CQ5" s="695"/>
      <c r="CR5" s="695"/>
      <c r="CS5" s="695"/>
      <c r="CT5" s="695"/>
      <c r="CU5" s="695"/>
      <c r="CV5" s="695"/>
      <c r="CW5" s="695"/>
      <c r="CX5" s="695"/>
      <c r="CY5" s="695"/>
      <c r="CZ5" s="695"/>
      <c r="DA5" s="695"/>
      <c r="DB5" s="695"/>
      <c r="DC5" s="695"/>
      <c r="DD5" s="695"/>
      <c r="DE5" s="695"/>
      <c r="DF5" s="695"/>
      <c r="DG5" s="695"/>
      <c r="DH5" s="695"/>
      <c r="DI5" s="695"/>
      <c r="DJ5" s="695"/>
      <c r="DK5" s="695"/>
      <c r="DL5" s="695"/>
      <c r="DM5" s="695"/>
      <c r="DN5" s="695"/>
      <c r="DO5" s="695"/>
      <c r="DP5" s="695"/>
      <c r="DQ5" s="695"/>
      <c r="DR5" s="695"/>
      <c r="DS5" s="695"/>
      <c r="DT5" s="695"/>
      <c r="DU5" s="695"/>
      <c r="DV5" s="695"/>
      <c r="DW5" s="695"/>
      <c r="DX5" s="695"/>
      <c r="DY5" s="695"/>
      <c r="DZ5" s="695"/>
      <c r="EA5" s="695"/>
      <c r="EB5" s="695"/>
      <c r="EC5" s="695"/>
      <c r="ED5" s="695"/>
      <c r="EE5" s="695"/>
      <c r="EF5" s="695"/>
      <c r="EG5" s="695"/>
      <c r="EH5" s="695"/>
      <c r="EI5" s="695"/>
      <c r="EJ5" s="695"/>
      <c r="EK5" s="695"/>
      <c r="EL5" s="695"/>
      <c r="EM5" s="695"/>
      <c r="EN5" s="695"/>
      <c r="EO5" s="695"/>
      <c r="EP5" s="695"/>
      <c r="EQ5" s="695"/>
      <c r="ER5" s="695"/>
      <c r="ES5" s="695"/>
      <c r="ET5" s="695"/>
      <c r="EU5" s="695"/>
      <c r="EV5" s="695"/>
      <c r="EW5" s="695"/>
      <c r="EX5" s="695"/>
      <c r="EY5" s="695"/>
      <c r="EZ5" s="695"/>
      <c r="FA5" s="695"/>
      <c r="FB5" s="695"/>
      <c r="FC5" s="695"/>
      <c r="FD5" s="695"/>
      <c r="FE5" s="695"/>
      <c r="FF5" s="695"/>
      <c r="FG5" s="695"/>
      <c r="FH5" s="695"/>
      <c r="FI5" s="695"/>
      <c r="FJ5" s="695"/>
      <c r="FK5" s="695"/>
      <c r="FL5" s="695"/>
      <c r="FM5" s="695"/>
      <c r="FN5" s="695"/>
      <c r="FO5" s="695"/>
      <c r="FP5" s="695"/>
      <c r="FQ5" s="695"/>
      <c r="FR5" s="695"/>
      <c r="FS5" s="695"/>
      <c r="FT5" s="695"/>
      <c r="FU5" s="695"/>
      <c r="FV5" s="695"/>
      <c r="FW5" s="695"/>
      <c r="FX5" s="695"/>
      <c r="FY5" s="695"/>
      <c r="FZ5" s="695"/>
      <c r="GA5" s="695"/>
      <c r="GB5" s="695"/>
      <c r="GC5" s="696"/>
      <c r="GD5" s="694" t="s">
        <v>310</v>
      </c>
      <c r="GE5" s="695"/>
      <c r="GF5" s="695"/>
      <c r="GG5" s="695"/>
      <c r="GH5" s="695"/>
      <c r="GI5" s="695"/>
      <c r="GJ5" s="695"/>
      <c r="GK5" s="695"/>
      <c r="GL5" s="695"/>
      <c r="GM5" s="695"/>
      <c r="GN5" s="695"/>
      <c r="GO5" s="695"/>
      <c r="GP5" s="695"/>
      <c r="GQ5" s="695"/>
      <c r="GR5" s="695"/>
      <c r="GS5" s="695"/>
      <c r="GT5" s="695"/>
      <c r="GU5" s="695"/>
      <c r="GV5" s="695"/>
      <c r="GW5" s="695"/>
      <c r="GX5" s="695"/>
      <c r="GY5" s="695"/>
      <c r="GZ5" s="695"/>
      <c r="HA5" s="695"/>
      <c r="HB5" s="695"/>
      <c r="HC5" s="695"/>
      <c r="HD5" s="695"/>
      <c r="HE5" s="695"/>
      <c r="HF5" s="695"/>
      <c r="HG5" s="695"/>
      <c r="HH5" s="695"/>
      <c r="HI5" s="695"/>
      <c r="HJ5" s="695"/>
      <c r="HK5" s="695"/>
      <c r="HL5" s="695"/>
      <c r="HM5" s="695"/>
      <c r="HN5" s="695"/>
      <c r="HO5" s="695"/>
      <c r="HP5" s="695"/>
      <c r="HQ5" s="695"/>
      <c r="HR5" s="695"/>
      <c r="HS5" s="695"/>
      <c r="HT5" s="695"/>
      <c r="HU5" s="695"/>
      <c r="HV5" s="695"/>
      <c r="HW5" s="695"/>
      <c r="HX5" s="695"/>
      <c r="HY5" s="695"/>
      <c r="HZ5" s="695"/>
      <c r="IA5" s="695"/>
      <c r="IB5" s="695"/>
      <c r="IC5" s="695"/>
      <c r="ID5" s="695"/>
      <c r="IE5" s="695"/>
      <c r="IF5" s="695"/>
      <c r="IG5" s="695"/>
      <c r="IH5" s="695"/>
      <c r="II5" s="695"/>
      <c r="IJ5" s="695"/>
      <c r="IK5" s="695"/>
      <c r="IL5" s="695"/>
      <c r="IM5" s="695"/>
      <c r="IN5" s="695"/>
      <c r="IO5" s="695"/>
      <c r="IP5" s="695"/>
      <c r="IQ5" s="695"/>
      <c r="IR5" s="695"/>
      <c r="IS5" s="695"/>
      <c r="IT5" s="695"/>
      <c r="IU5" s="695"/>
      <c r="IV5" s="695"/>
      <c r="IW5" s="695"/>
      <c r="IX5" s="695"/>
      <c r="IY5" s="695"/>
      <c r="IZ5" s="695"/>
      <c r="JA5" s="695"/>
      <c r="JB5" s="695"/>
      <c r="JC5" s="695"/>
      <c r="JD5" s="695"/>
      <c r="JE5" s="695"/>
      <c r="JF5" s="695"/>
      <c r="JG5" s="695"/>
      <c r="JH5" s="695"/>
      <c r="JI5" s="695"/>
      <c r="JJ5" s="695"/>
      <c r="JK5" s="695"/>
      <c r="JL5" s="695"/>
      <c r="JM5" s="695"/>
      <c r="JN5" s="695"/>
      <c r="JO5" s="695"/>
      <c r="JP5" s="695"/>
      <c r="JQ5" s="695"/>
      <c r="JR5" s="695"/>
      <c r="JS5" s="695"/>
      <c r="JT5" s="695"/>
      <c r="JU5" s="695"/>
      <c r="JV5" s="695"/>
      <c r="JW5" s="695"/>
      <c r="JX5" s="695"/>
      <c r="JY5" s="695"/>
      <c r="JZ5" s="695"/>
      <c r="KA5" s="695"/>
      <c r="KB5" s="695"/>
      <c r="KC5" s="695"/>
      <c r="KD5" s="695"/>
      <c r="KE5" s="695"/>
      <c r="KF5" s="695"/>
      <c r="KG5" s="695"/>
      <c r="KH5" s="695"/>
      <c r="KI5" s="695"/>
      <c r="KJ5" s="695"/>
      <c r="KK5" s="695"/>
      <c r="KL5" s="695"/>
      <c r="KM5" s="695"/>
      <c r="KN5" s="695"/>
      <c r="KO5" s="695"/>
      <c r="KP5" s="695"/>
      <c r="KQ5" s="695"/>
      <c r="KR5" s="695"/>
      <c r="KS5" s="696"/>
      <c r="KT5" s="697" t="s">
        <v>311</v>
      </c>
      <c r="KU5" s="697" t="s">
        <v>310</v>
      </c>
    </row>
    <row r="6" spans="1:308">
      <c r="A6" s="698" t="s">
        <v>28</v>
      </c>
      <c r="B6" s="701" t="s">
        <v>4</v>
      </c>
      <c r="C6" s="701" t="s">
        <v>5</v>
      </c>
      <c r="D6" s="704" t="s">
        <v>40</v>
      </c>
      <c r="E6" s="707" t="s">
        <v>38</v>
      </c>
      <c r="F6" s="710" t="s">
        <v>312</v>
      </c>
      <c r="G6" s="711"/>
      <c r="H6" s="712"/>
      <c r="I6" s="710" t="s">
        <v>313</v>
      </c>
      <c r="J6" s="711"/>
      <c r="K6" s="712"/>
      <c r="L6" s="710" t="s">
        <v>314</v>
      </c>
      <c r="M6" s="711"/>
      <c r="N6" s="712"/>
      <c r="O6" s="710" t="s">
        <v>315</v>
      </c>
      <c r="P6" s="711"/>
      <c r="Q6" s="712"/>
      <c r="R6" s="710" t="s">
        <v>316</v>
      </c>
      <c r="S6" s="711"/>
      <c r="T6" s="712"/>
      <c r="U6" s="710" t="s">
        <v>317</v>
      </c>
      <c r="V6" s="711"/>
      <c r="W6" s="712"/>
      <c r="X6" s="710" t="s">
        <v>318</v>
      </c>
      <c r="Y6" s="711"/>
      <c r="Z6" s="712"/>
      <c r="AA6" s="710" t="s">
        <v>319</v>
      </c>
      <c r="AB6" s="711"/>
      <c r="AC6" s="712"/>
      <c r="AD6" s="710" t="s">
        <v>320</v>
      </c>
      <c r="AE6" s="711"/>
      <c r="AF6" s="712"/>
      <c r="AG6" s="710" t="s">
        <v>321</v>
      </c>
      <c r="AH6" s="711"/>
      <c r="AI6" s="712"/>
      <c r="AJ6" s="710" t="s">
        <v>322</v>
      </c>
      <c r="AK6" s="711"/>
      <c r="AL6" s="712"/>
      <c r="AM6" s="710" t="s">
        <v>323</v>
      </c>
      <c r="AN6" s="711"/>
      <c r="AO6" s="712"/>
      <c r="AP6" s="710" t="s">
        <v>324</v>
      </c>
      <c r="AQ6" s="711"/>
      <c r="AR6" s="712"/>
      <c r="AS6" s="710" t="s">
        <v>325</v>
      </c>
      <c r="AT6" s="711"/>
      <c r="AU6" s="712"/>
      <c r="AV6" s="710" t="s">
        <v>326</v>
      </c>
      <c r="AW6" s="711"/>
      <c r="AX6" s="712"/>
      <c r="AY6" s="713" t="s">
        <v>327</v>
      </c>
      <c r="AZ6" s="714"/>
      <c r="BA6" s="714"/>
      <c r="BB6" s="713" t="s">
        <v>328</v>
      </c>
      <c r="BC6" s="714"/>
      <c r="BD6" s="715"/>
      <c r="BE6" s="713" t="s">
        <v>329</v>
      </c>
      <c r="BF6" s="714"/>
      <c r="BG6" s="714"/>
      <c r="BH6" s="713" t="s">
        <v>330</v>
      </c>
      <c r="BI6" s="714"/>
      <c r="BJ6" s="715"/>
      <c r="BK6" s="713" t="s">
        <v>331</v>
      </c>
      <c r="BL6" s="714"/>
      <c r="BM6" s="714"/>
      <c r="BN6" s="713" t="s">
        <v>332</v>
      </c>
      <c r="BO6" s="714"/>
      <c r="BP6" s="715"/>
      <c r="BQ6" s="713" t="s">
        <v>333</v>
      </c>
      <c r="BR6" s="714"/>
      <c r="BS6" s="714"/>
      <c r="BT6" s="713" t="s">
        <v>334</v>
      </c>
      <c r="BU6" s="714"/>
      <c r="BV6" s="715"/>
      <c r="BW6" s="713" t="s">
        <v>335</v>
      </c>
      <c r="BX6" s="714"/>
      <c r="BY6" s="714"/>
      <c r="BZ6" s="713" t="s">
        <v>336</v>
      </c>
      <c r="CA6" s="714"/>
      <c r="CB6" s="715"/>
      <c r="CC6" s="713" t="s">
        <v>337</v>
      </c>
      <c r="CD6" s="714"/>
      <c r="CE6" s="714"/>
      <c r="CF6" s="713" t="s">
        <v>338</v>
      </c>
      <c r="CG6" s="714"/>
      <c r="CH6" s="715"/>
      <c r="CI6" s="713" t="s">
        <v>339</v>
      </c>
      <c r="CJ6" s="714"/>
      <c r="CK6" s="714"/>
      <c r="CL6" s="713" t="s">
        <v>340</v>
      </c>
      <c r="CM6" s="714"/>
      <c r="CN6" s="715"/>
      <c r="CO6" s="713" t="s">
        <v>341</v>
      </c>
      <c r="CP6" s="714"/>
      <c r="CQ6" s="714"/>
      <c r="CR6" s="713" t="s">
        <v>342</v>
      </c>
      <c r="CS6" s="714"/>
      <c r="CT6" s="715"/>
      <c r="CU6" s="713" t="s">
        <v>225</v>
      </c>
      <c r="CV6" s="714"/>
      <c r="CW6" s="714"/>
      <c r="CX6" s="713" t="s">
        <v>343</v>
      </c>
      <c r="CY6" s="714"/>
      <c r="CZ6" s="715"/>
      <c r="DA6" s="713" t="s">
        <v>344</v>
      </c>
      <c r="DB6" s="714"/>
      <c r="DC6" s="714"/>
      <c r="DD6" s="713" t="s">
        <v>345</v>
      </c>
      <c r="DE6" s="714"/>
      <c r="DF6" s="715"/>
      <c r="DG6" s="713" t="s">
        <v>346</v>
      </c>
      <c r="DH6" s="714"/>
      <c r="DI6" s="714"/>
      <c r="DJ6" s="713" t="s">
        <v>347</v>
      </c>
      <c r="DK6" s="714"/>
      <c r="DL6" s="715"/>
      <c r="DM6" s="713" t="s">
        <v>348</v>
      </c>
      <c r="DN6" s="714"/>
      <c r="DO6" s="714"/>
      <c r="DP6" s="713" t="s">
        <v>349</v>
      </c>
      <c r="DQ6" s="714"/>
      <c r="DR6" s="715"/>
      <c r="DS6" s="713" t="s">
        <v>350</v>
      </c>
      <c r="DT6" s="714"/>
      <c r="DU6" s="714"/>
      <c r="DV6" s="713" t="s">
        <v>351</v>
      </c>
      <c r="DW6" s="714"/>
      <c r="DX6" s="715"/>
      <c r="DY6" s="713" t="s">
        <v>352</v>
      </c>
      <c r="DZ6" s="714"/>
      <c r="EA6" s="714"/>
      <c r="EB6" s="713" t="s">
        <v>382</v>
      </c>
      <c r="EC6" s="714"/>
      <c r="ED6" s="715"/>
      <c r="EE6" s="713" t="s">
        <v>432</v>
      </c>
      <c r="EF6" s="714"/>
      <c r="EG6" s="714"/>
      <c r="EH6" s="713" t="s">
        <v>433</v>
      </c>
      <c r="EI6" s="714"/>
      <c r="EJ6" s="715"/>
      <c r="EK6" s="713" t="s">
        <v>589</v>
      </c>
      <c r="EL6" s="714"/>
      <c r="EM6" s="714"/>
      <c r="EN6" s="713" t="s">
        <v>590</v>
      </c>
      <c r="EO6" s="714"/>
      <c r="EP6" s="715"/>
      <c r="EQ6" s="713"/>
      <c r="ER6" s="714"/>
      <c r="ES6" s="714"/>
      <c r="ET6" s="713"/>
      <c r="EU6" s="714"/>
      <c r="EV6" s="715"/>
      <c r="EW6" s="713"/>
      <c r="EX6" s="714"/>
      <c r="EY6" s="714"/>
      <c r="EZ6" s="713"/>
      <c r="FA6" s="714"/>
      <c r="FB6" s="715"/>
      <c r="FC6" s="713"/>
      <c r="FD6" s="714"/>
      <c r="FE6" s="714"/>
      <c r="FF6" s="713"/>
      <c r="FG6" s="714"/>
      <c r="FH6" s="715"/>
      <c r="FI6" s="713"/>
      <c r="FJ6" s="714"/>
      <c r="FK6" s="714"/>
      <c r="FL6" s="713"/>
      <c r="FM6" s="714"/>
      <c r="FN6" s="715"/>
      <c r="FO6" s="713"/>
      <c r="FP6" s="714"/>
      <c r="FQ6" s="714"/>
      <c r="FR6" s="713"/>
      <c r="FS6" s="714"/>
      <c r="FT6" s="715"/>
      <c r="FU6" s="713"/>
      <c r="FV6" s="714"/>
      <c r="FW6" s="714"/>
      <c r="FX6" s="713"/>
      <c r="FY6" s="714"/>
      <c r="FZ6" s="715"/>
      <c r="GA6" s="713"/>
      <c r="GB6" s="714"/>
      <c r="GC6" s="714"/>
      <c r="GD6" s="713" t="s">
        <v>353</v>
      </c>
      <c r="GE6" s="714"/>
      <c r="GF6" s="715"/>
      <c r="GG6" s="713" t="s">
        <v>354</v>
      </c>
      <c r="GH6" s="714"/>
      <c r="GI6" s="714"/>
      <c r="GJ6" s="713" t="s">
        <v>355</v>
      </c>
      <c r="GK6" s="714"/>
      <c r="GL6" s="715"/>
      <c r="GM6" s="713" t="s">
        <v>356</v>
      </c>
      <c r="GN6" s="714"/>
      <c r="GO6" s="714"/>
      <c r="GP6" s="713" t="s">
        <v>357</v>
      </c>
      <c r="GQ6" s="714"/>
      <c r="GR6" s="715"/>
      <c r="GS6" s="713" t="s">
        <v>358</v>
      </c>
      <c r="GT6" s="714"/>
      <c r="GU6" s="714"/>
      <c r="GV6" s="713" t="s">
        <v>359</v>
      </c>
      <c r="GW6" s="714"/>
      <c r="GX6" s="715"/>
      <c r="GY6" s="713" t="s">
        <v>360</v>
      </c>
      <c r="GZ6" s="714"/>
      <c r="HA6" s="714"/>
      <c r="HB6" s="713" t="s">
        <v>336</v>
      </c>
      <c r="HC6" s="714"/>
      <c r="HD6" s="715"/>
      <c r="HE6" s="713" t="s">
        <v>351</v>
      </c>
      <c r="HF6" s="714"/>
      <c r="HG6" s="714"/>
      <c r="HH6" s="713" t="s">
        <v>350</v>
      </c>
      <c r="HI6" s="714"/>
      <c r="HJ6" s="715"/>
      <c r="HK6" s="713" t="s">
        <v>332</v>
      </c>
      <c r="HL6" s="714"/>
      <c r="HM6" s="714"/>
      <c r="HN6" s="713" t="s">
        <v>361</v>
      </c>
      <c r="HO6" s="714"/>
      <c r="HP6" s="715"/>
      <c r="HQ6" s="713" t="s">
        <v>225</v>
      </c>
      <c r="HR6" s="714"/>
      <c r="HS6" s="714"/>
      <c r="HT6" s="713" t="s">
        <v>362</v>
      </c>
      <c r="HU6" s="714"/>
      <c r="HV6" s="715"/>
      <c r="HW6" s="713" t="s">
        <v>363</v>
      </c>
      <c r="HX6" s="714"/>
      <c r="HY6" s="714"/>
      <c r="HZ6" s="713" t="s">
        <v>364</v>
      </c>
      <c r="IA6" s="714"/>
      <c r="IB6" s="715"/>
      <c r="IC6" s="713" t="s">
        <v>365</v>
      </c>
      <c r="ID6" s="714"/>
      <c r="IE6" s="714"/>
      <c r="IF6" s="713" t="s">
        <v>366</v>
      </c>
      <c r="IG6" s="714"/>
      <c r="IH6" s="715"/>
      <c r="II6" s="716" t="s">
        <v>338</v>
      </c>
      <c r="IJ6" s="716"/>
      <c r="IK6" s="716"/>
      <c r="IL6" s="713" t="s">
        <v>341</v>
      </c>
      <c r="IM6" s="714"/>
      <c r="IN6" s="715"/>
      <c r="IO6" s="713" t="s">
        <v>342</v>
      </c>
      <c r="IP6" s="714"/>
      <c r="IQ6" s="714"/>
      <c r="IR6" s="713" t="s">
        <v>337</v>
      </c>
      <c r="IS6" s="714"/>
      <c r="IT6" s="715"/>
      <c r="IU6" s="713" t="s">
        <v>367</v>
      </c>
      <c r="IV6" s="714"/>
      <c r="IW6" s="714"/>
      <c r="IX6" s="713" t="s">
        <v>344</v>
      </c>
      <c r="IY6" s="714"/>
      <c r="IZ6" s="715"/>
      <c r="JA6" s="713" t="s">
        <v>368</v>
      </c>
      <c r="JB6" s="714"/>
      <c r="JC6" s="714"/>
      <c r="JD6" s="713" t="s">
        <v>369</v>
      </c>
      <c r="JE6" s="714"/>
      <c r="JF6" s="715"/>
      <c r="JG6" s="713" t="s">
        <v>370</v>
      </c>
      <c r="JH6" s="714"/>
      <c r="JI6" s="714"/>
      <c r="JJ6" s="713" t="s">
        <v>383</v>
      </c>
      <c r="JK6" s="714"/>
      <c r="JL6" s="715"/>
      <c r="JM6" s="713"/>
      <c r="JN6" s="714"/>
      <c r="JO6" s="714"/>
      <c r="JP6" s="713"/>
      <c r="JQ6" s="714"/>
      <c r="JR6" s="715"/>
      <c r="JS6" s="713"/>
      <c r="JT6" s="714"/>
      <c r="JU6" s="714"/>
      <c r="JV6" s="713"/>
      <c r="JW6" s="714"/>
      <c r="JX6" s="715"/>
      <c r="JY6" s="713"/>
      <c r="JZ6" s="714"/>
      <c r="KA6" s="714"/>
      <c r="KB6" s="713"/>
      <c r="KC6" s="714"/>
      <c r="KD6" s="715"/>
      <c r="KE6" s="713"/>
      <c r="KF6" s="714"/>
      <c r="KG6" s="714"/>
      <c r="KH6" s="713"/>
      <c r="KI6" s="714"/>
      <c r="KJ6" s="715"/>
      <c r="KK6" s="713"/>
      <c r="KL6" s="714"/>
      <c r="KM6" s="714"/>
      <c r="KN6" s="713"/>
      <c r="KO6" s="714"/>
      <c r="KP6" s="715"/>
      <c r="KQ6" s="716"/>
      <c r="KR6" s="716"/>
      <c r="KS6" s="716"/>
      <c r="KT6" s="697"/>
      <c r="KU6" s="697"/>
    </row>
    <row r="7" spans="1:308">
      <c r="A7" s="699"/>
      <c r="B7" s="702"/>
      <c r="C7" s="702"/>
      <c r="D7" s="705"/>
      <c r="E7" s="708"/>
      <c r="F7" s="710" t="s">
        <v>133</v>
      </c>
      <c r="G7" s="712"/>
      <c r="H7" s="519" t="s">
        <v>371</v>
      </c>
      <c r="I7" s="710" t="s">
        <v>133</v>
      </c>
      <c r="J7" s="712"/>
      <c r="K7" s="519" t="s">
        <v>371</v>
      </c>
      <c r="L7" s="710" t="s">
        <v>133</v>
      </c>
      <c r="M7" s="712"/>
      <c r="N7" s="519" t="s">
        <v>371</v>
      </c>
      <c r="O7" s="710" t="s">
        <v>133</v>
      </c>
      <c r="P7" s="712"/>
      <c r="Q7" s="519" t="s">
        <v>371</v>
      </c>
      <c r="R7" s="710" t="s">
        <v>133</v>
      </c>
      <c r="S7" s="712"/>
      <c r="T7" s="519" t="s">
        <v>371</v>
      </c>
      <c r="U7" s="710" t="s">
        <v>133</v>
      </c>
      <c r="V7" s="712"/>
      <c r="W7" s="519" t="s">
        <v>371</v>
      </c>
      <c r="X7" s="710" t="s">
        <v>133</v>
      </c>
      <c r="Y7" s="712"/>
      <c r="Z7" s="519" t="s">
        <v>371</v>
      </c>
      <c r="AA7" s="710" t="s">
        <v>133</v>
      </c>
      <c r="AB7" s="712"/>
      <c r="AC7" s="519" t="s">
        <v>371</v>
      </c>
      <c r="AD7" s="710" t="s">
        <v>133</v>
      </c>
      <c r="AE7" s="712"/>
      <c r="AF7" s="519" t="s">
        <v>371</v>
      </c>
      <c r="AG7" s="710" t="s">
        <v>133</v>
      </c>
      <c r="AH7" s="712"/>
      <c r="AI7" s="519" t="s">
        <v>371</v>
      </c>
      <c r="AJ7" s="710" t="s">
        <v>133</v>
      </c>
      <c r="AK7" s="712"/>
      <c r="AL7" s="519" t="s">
        <v>371</v>
      </c>
      <c r="AM7" s="710" t="s">
        <v>133</v>
      </c>
      <c r="AN7" s="712"/>
      <c r="AO7" s="519" t="s">
        <v>371</v>
      </c>
      <c r="AP7" s="710" t="s">
        <v>133</v>
      </c>
      <c r="AQ7" s="712"/>
      <c r="AR7" s="519" t="s">
        <v>371</v>
      </c>
      <c r="AS7" s="710" t="s">
        <v>133</v>
      </c>
      <c r="AT7" s="712"/>
      <c r="AU7" s="519" t="s">
        <v>371</v>
      </c>
      <c r="AV7" s="710" t="s">
        <v>133</v>
      </c>
      <c r="AW7" s="712"/>
      <c r="AX7" s="519" t="s">
        <v>371</v>
      </c>
      <c r="AY7" s="710" t="s">
        <v>133</v>
      </c>
      <c r="AZ7" s="712"/>
      <c r="BA7" s="519" t="s">
        <v>371</v>
      </c>
      <c r="BB7" s="710" t="s">
        <v>133</v>
      </c>
      <c r="BC7" s="712"/>
      <c r="BD7" s="519" t="s">
        <v>371</v>
      </c>
      <c r="BE7" s="710" t="s">
        <v>133</v>
      </c>
      <c r="BF7" s="712"/>
      <c r="BG7" s="519" t="s">
        <v>371</v>
      </c>
      <c r="BH7" s="710" t="s">
        <v>133</v>
      </c>
      <c r="BI7" s="712"/>
      <c r="BJ7" s="519" t="s">
        <v>371</v>
      </c>
      <c r="BK7" s="710" t="s">
        <v>133</v>
      </c>
      <c r="BL7" s="712"/>
      <c r="BM7" s="519" t="s">
        <v>371</v>
      </c>
      <c r="BN7" s="710" t="s">
        <v>133</v>
      </c>
      <c r="BO7" s="712"/>
      <c r="BP7" s="519" t="s">
        <v>371</v>
      </c>
      <c r="BQ7" s="710" t="s">
        <v>133</v>
      </c>
      <c r="BR7" s="712"/>
      <c r="BS7" s="519" t="s">
        <v>371</v>
      </c>
      <c r="BT7" s="710" t="s">
        <v>133</v>
      </c>
      <c r="BU7" s="712"/>
      <c r="BV7" s="519" t="s">
        <v>371</v>
      </c>
      <c r="BW7" s="710" t="s">
        <v>133</v>
      </c>
      <c r="BX7" s="712"/>
      <c r="BY7" s="519" t="s">
        <v>371</v>
      </c>
      <c r="BZ7" s="710" t="s">
        <v>133</v>
      </c>
      <c r="CA7" s="712"/>
      <c r="CB7" s="519" t="s">
        <v>371</v>
      </c>
      <c r="CC7" s="710" t="s">
        <v>133</v>
      </c>
      <c r="CD7" s="712"/>
      <c r="CE7" s="519" t="s">
        <v>371</v>
      </c>
      <c r="CF7" s="710" t="s">
        <v>133</v>
      </c>
      <c r="CG7" s="712"/>
      <c r="CH7" s="519" t="s">
        <v>371</v>
      </c>
      <c r="CI7" s="710" t="s">
        <v>133</v>
      </c>
      <c r="CJ7" s="712"/>
      <c r="CK7" s="519" t="s">
        <v>371</v>
      </c>
      <c r="CL7" s="710" t="s">
        <v>133</v>
      </c>
      <c r="CM7" s="712"/>
      <c r="CN7" s="519" t="s">
        <v>371</v>
      </c>
      <c r="CO7" s="710" t="s">
        <v>133</v>
      </c>
      <c r="CP7" s="712"/>
      <c r="CQ7" s="519" t="s">
        <v>371</v>
      </c>
      <c r="CR7" s="710" t="s">
        <v>133</v>
      </c>
      <c r="CS7" s="712"/>
      <c r="CT7" s="519" t="s">
        <v>371</v>
      </c>
      <c r="CU7" s="710" t="s">
        <v>133</v>
      </c>
      <c r="CV7" s="712"/>
      <c r="CW7" s="519" t="s">
        <v>371</v>
      </c>
      <c r="CX7" s="710" t="s">
        <v>133</v>
      </c>
      <c r="CY7" s="712"/>
      <c r="CZ7" s="519" t="s">
        <v>371</v>
      </c>
      <c r="DA7" s="710" t="s">
        <v>133</v>
      </c>
      <c r="DB7" s="712"/>
      <c r="DC7" s="519" t="s">
        <v>371</v>
      </c>
      <c r="DD7" s="710" t="s">
        <v>133</v>
      </c>
      <c r="DE7" s="712"/>
      <c r="DF7" s="519" t="s">
        <v>371</v>
      </c>
      <c r="DG7" s="710" t="s">
        <v>133</v>
      </c>
      <c r="DH7" s="712"/>
      <c r="DI7" s="519" t="s">
        <v>371</v>
      </c>
      <c r="DJ7" s="710" t="s">
        <v>133</v>
      </c>
      <c r="DK7" s="712"/>
      <c r="DL7" s="519" t="s">
        <v>371</v>
      </c>
      <c r="DM7" s="710" t="s">
        <v>133</v>
      </c>
      <c r="DN7" s="712"/>
      <c r="DO7" s="519" t="s">
        <v>371</v>
      </c>
      <c r="DP7" s="710" t="s">
        <v>133</v>
      </c>
      <c r="DQ7" s="712"/>
      <c r="DR7" s="519" t="s">
        <v>371</v>
      </c>
      <c r="DS7" s="710" t="s">
        <v>133</v>
      </c>
      <c r="DT7" s="712"/>
      <c r="DU7" s="519" t="s">
        <v>371</v>
      </c>
      <c r="DV7" s="710" t="s">
        <v>133</v>
      </c>
      <c r="DW7" s="712"/>
      <c r="DX7" s="519" t="s">
        <v>371</v>
      </c>
      <c r="DY7" s="710" t="s">
        <v>133</v>
      </c>
      <c r="DZ7" s="712"/>
      <c r="EA7" s="519" t="s">
        <v>371</v>
      </c>
      <c r="EB7" s="710" t="s">
        <v>133</v>
      </c>
      <c r="EC7" s="712"/>
      <c r="ED7" s="519" t="s">
        <v>371</v>
      </c>
      <c r="EE7" s="710" t="s">
        <v>133</v>
      </c>
      <c r="EF7" s="712"/>
      <c r="EG7" s="519" t="s">
        <v>371</v>
      </c>
      <c r="EH7" s="710" t="s">
        <v>133</v>
      </c>
      <c r="EI7" s="712"/>
      <c r="EJ7" s="519" t="s">
        <v>371</v>
      </c>
      <c r="EK7" s="710" t="s">
        <v>133</v>
      </c>
      <c r="EL7" s="712"/>
      <c r="EM7" s="519" t="s">
        <v>371</v>
      </c>
      <c r="EN7" s="710" t="s">
        <v>133</v>
      </c>
      <c r="EO7" s="712"/>
      <c r="EP7" s="519" t="s">
        <v>371</v>
      </c>
      <c r="EQ7" s="710" t="s">
        <v>133</v>
      </c>
      <c r="ER7" s="712"/>
      <c r="ES7" s="519" t="s">
        <v>371</v>
      </c>
      <c r="ET7" s="710" t="s">
        <v>133</v>
      </c>
      <c r="EU7" s="712"/>
      <c r="EV7" s="519" t="s">
        <v>371</v>
      </c>
      <c r="EW7" s="710" t="s">
        <v>133</v>
      </c>
      <c r="EX7" s="712"/>
      <c r="EY7" s="519" t="s">
        <v>371</v>
      </c>
      <c r="EZ7" s="710" t="s">
        <v>133</v>
      </c>
      <c r="FA7" s="712"/>
      <c r="FB7" s="519" t="s">
        <v>371</v>
      </c>
      <c r="FC7" s="710" t="s">
        <v>133</v>
      </c>
      <c r="FD7" s="712"/>
      <c r="FE7" s="519" t="s">
        <v>371</v>
      </c>
      <c r="FF7" s="710" t="s">
        <v>133</v>
      </c>
      <c r="FG7" s="712"/>
      <c r="FH7" s="519" t="s">
        <v>371</v>
      </c>
      <c r="FI7" s="710" t="s">
        <v>133</v>
      </c>
      <c r="FJ7" s="712"/>
      <c r="FK7" s="519" t="s">
        <v>371</v>
      </c>
      <c r="FL7" s="710" t="s">
        <v>133</v>
      </c>
      <c r="FM7" s="712"/>
      <c r="FN7" s="519" t="s">
        <v>371</v>
      </c>
      <c r="FO7" s="710" t="s">
        <v>133</v>
      </c>
      <c r="FP7" s="712"/>
      <c r="FQ7" s="519" t="s">
        <v>371</v>
      </c>
      <c r="FR7" s="710" t="s">
        <v>133</v>
      </c>
      <c r="FS7" s="712"/>
      <c r="FT7" s="519" t="s">
        <v>371</v>
      </c>
      <c r="FU7" s="710" t="s">
        <v>133</v>
      </c>
      <c r="FV7" s="712"/>
      <c r="FW7" s="519" t="s">
        <v>371</v>
      </c>
      <c r="FX7" s="710" t="s">
        <v>133</v>
      </c>
      <c r="FY7" s="712"/>
      <c r="FZ7" s="519" t="s">
        <v>371</v>
      </c>
      <c r="GA7" s="710" t="s">
        <v>133</v>
      </c>
      <c r="GB7" s="712"/>
      <c r="GC7" s="519" t="s">
        <v>371</v>
      </c>
      <c r="GD7" s="710" t="s">
        <v>133</v>
      </c>
      <c r="GE7" s="712"/>
      <c r="GF7" s="519" t="s">
        <v>371</v>
      </c>
      <c r="GG7" s="710" t="s">
        <v>133</v>
      </c>
      <c r="GH7" s="712"/>
      <c r="GI7" s="519" t="s">
        <v>371</v>
      </c>
      <c r="GJ7" s="710" t="s">
        <v>133</v>
      </c>
      <c r="GK7" s="712"/>
      <c r="GL7" s="519" t="s">
        <v>371</v>
      </c>
      <c r="GM7" s="710" t="s">
        <v>133</v>
      </c>
      <c r="GN7" s="712"/>
      <c r="GO7" s="519" t="s">
        <v>371</v>
      </c>
      <c r="GP7" s="710" t="s">
        <v>133</v>
      </c>
      <c r="GQ7" s="712"/>
      <c r="GR7" s="519" t="s">
        <v>371</v>
      </c>
      <c r="GS7" s="710" t="s">
        <v>133</v>
      </c>
      <c r="GT7" s="712"/>
      <c r="GU7" s="519" t="s">
        <v>371</v>
      </c>
      <c r="GV7" s="710" t="s">
        <v>133</v>
      </c>
      <c r="GW7" s="712"/>
      <c r="GX7" s="519" t="s">
        <v>371</v>
      </c>
      <c r="GY7" s="710" t="s">
        <v>133</v>
      </c>
      <c r="GZ7" s="712"/>
      <c r="HA7" s="519" t="s">
        <v>371</v>
      </c>
      <c r="HB7" s="710" t="s">
        <v>133</v>
      </c>
      <c r="HC7" s="712"/>
      <c r="HD7" s="519" t="s">
        <v>371</v>
      </c>
      <c r="HE7" s="710" t="s">
        <v>133</v>
      </c>
      <c r="HF7" s="712"/>
      <c r="HG7" s="519" t="s">
        <v>371</v>
      </c>
      <c r="HH7" s="710" t="s">
        <v>133</v>
      </c>
      <c r="HI7" s="712"/>
      <c r="HJ7" s="519" t="s">
        <v>371</v>
      </c>
      <c r="HK7" s="710" t="s">
        <v>133</v>
      </c>
      <c r="HL7" s="712"/>
      <c r="HM7" s="519" t="s">
        <v>371</v>
      </c>
      <c r="HN7" s="710" t="s">
        <v>133</v>
      </c>
      <c r="HO7" s="712"/>
      <c r="HP7" s="519" t="s">
        <v>371</v>
      </c>
      <c r="HQ7" s="710" t="s">
        <v>133</v>
      </c>
      <c r="HR7" s="712"/>
      <c r="HS7" s="519" t="s">
        <v>371</v>
      </c>
      <c r="HT7" s="710" t="s">
        <v>133</v>
      </c>
      <c r="HU7" s="712"/>
      <c r="HV7" s="519" t="s">
        <v>371</v>
      </c>
      <c r="HW7" s="710" t="s">
        <v>133</v>
      </c>
      <c r="HX7" s="712"/>
      <c r="HY7" s="519" t="s">
        <v>371</v>
      </c>
      <c r="HZ7" s="710" t="s">
        <v>133</v>
      </c>
      <c r="IA7" s="712"/>
      <c r="IB7" s="519" t="s">
        <v>371</v>
      </c>
      <c r="IC7" s="710" t="s">
        <v>133</v>
      </c>
      <c r="ID7" s="712"/>
      <c r="IE7" s="519" t="s">
        <v>371</v>
      </c>
      <c r="IF7" s="710" t="s">
        <v>133</v>
      </c>
      <c r="IG7" s="712"/>
      <c r="IH7" s="519" t="s">
        <v>371</v>
      </c>
      <c r="II7" s="716" t="s">
        <v>133</v>
      </c>
      <c r="IJ7" s="716"/>
      <c r="IK7" s="520" t="s">
        <v>371</v>
      </c>
      <c r="IL7" s="710" t="s">
        <v>133</v>
      </c>
      <c r="IM7" s="712"/>
      <c r="IN7" s="519" t="s">
        <v>371</v>
      </c>
      <c r="IO7" s="710" t="s">
        <v>133</v>
      </c>
      <c r="IP7" s="712"/>
      <c r="IQ7" s="519" t="s">
        <v>371</v>
      </c>
      <c r="IR7" s="710" t="s">
        <v>133</v>
      </c>
      <c r="IS7" s="712"/>
      <c r="IT7" s="519" t="s">
        <v>371</v>
      </c>
      <c r="IU7" s="710" t="s">
        <v>133</v>
      </c>
      <c r="IV7" s="712"/>
      <c r="IW7" s="519" t="s">
        <v>371</v>
      </c>
      <c r="IX7" s="710" t="s">
        <v>133</v>
      </c>
      <c r="IY7" s="712"/>
      <c r="IZ7" s="519" t="s">
        <v>371</v>
      </c>
      <c r="JA7" s="710" t="s">
        <v>133</v>
      </c>
      <c r="JB7" s="712"/>
      <c r="JC7" s="519" t="s">
        <v>371</v>
      </c>
      <c r="JD7" s="710" t="s">
        <v>133</v>
      </c>
      <c r="JE7" s="712"/>
      <c r="JF7" s="519" t="s">
        <v>371</v>
      </c>
      <c r="JG7" s="710" t="s">
        <v>133</v>
      </c>
      <c r="JH7" s="712"/>
      <c r="JI7" s="519" t="s">
        <v>371</v>
      </c>
      <c r="JJ7" s="710" t="s">
        <v>133</v>
      </c>
      <c r="JK7" s="712"/>
      <c r="JL7" s="519" t="s">
        <v>371</v>
      </c>
      <c r="JM7" s="710" t="s">
        <v>133</v>
      </c>
      <c r="JN7" s="712"/>
      <c r="JO7" s="519" t="s">
        <v>371</v>
      </c>
      <c r="JP7" s="710" t="s">
        <v>133</v>
      </c>
      <c r="JQ7" s="712"/>
      <c r="JR7" s="519" t="s">
        <v>371</v>
      </c>
      <c r="JS7" s="710" t="s">
        <v>133</v>
      </c>
      <c r="JT7" s="712"/>
      <c r="JU7" s="519" t="s">
        <v>371</v>
      </c>
      <c r="JV7" s="710" t="s">
        <v>133</v>
      </c>
      <c r="JW7" s="712"/>
      <c r="JX7" s="519" t="s">
        <v>371</v>
      </c>
      <c r="JY7" s="710" t="s">
        <v>133</v>
      </c>
      <c r="JZ7" s="712"/>
      <c r="KA7" s="519" t="s">
        <v>371</v>
      </c>
      <c r="KB7" s="710" t="s">
        <v>133</v>
      </c>
      <c r="KC7" s="712"/>
      <c r="KD7" s="519" t="s">
        <v>371</v>
      </c>
      <c r="KE7" s="710" t="s">
        <v>133</v>
      </c>
      <c r="KF7" s="712"/>
      <c r="KG7" s="519" t="s">
        <v>371</v>
      </c>
      <c r="KH7" s="710" t="s">
        <v>133</v>
      </c>
      <c r="KI7" s="712"/>
      <c r="KJ7" s="519" t="s">
        <v>371</v>
      </c>
      <c r="KK7" s="710" t="s">
        <v>133</v>
      </c>
      <c r="KL7" s="712"/>
      <c r="KM7" s="519" t="s">
        <v>371</v>
      </c>
      <c r="KN7" s="710" t="s">
        <v>133</v>
      </c>
      <c r="KO7" s="712"/>
      <c r="KP7" s="519" t="s">
        <v>371</v>
      </c>
      <c r="KQ7" s="716" t="s">
        <v>133</v>
      </c>
      <c r="KR7" s="716"/>
      <c r="KS7" s="520" t="s">
        <v>371</v>
      </c>
      <c r="KT7" s="697"/>
      <c r="KU7" s="697"/>
    </row>
    <row r="8" spans="1:308" ht="13.5" thickBot="1">
      <c r="A8" s="700"/>
      <c r="B8" s="703"/>
      <c r="C8" s="703"/>
      <c r="D8" s="706"/>
      <c r="E8" s="709"/>
      <c r="F8" s="530" t="s">
        <v>135</v>
      </c>
      <c r="G8" s="530" t="s">
        <v>39</v>
      </c>
      <c r="H8" s="531"/>
      <c r="I8" s="530" t="s">
        <v>135</v>
      </c>
      <c r="J8" s="530" t="s">
        <v>39</v>
      </c>
      <c r="K8" s="531"/>
      <c r="L8" s="530" t="s">
        <v>135</v>
      </c>
      <c r="M8" s="530" t="s">
        <v>39</v>
      </c>
      <c r="N8" s="531"/>
      <c r="O8" s="530" t="s">
        <v>135</v>
      </c>
      <c r="P8" s="530" t="s">
        <v>39</v>
      </c>
      <c r="Q8" s="531"/>
      <c r="R8" s="530" t="s">
        <v>135</v>
      </c>
      <c r="S8" s="530" t="s">
        <v>39</v>
      </c>
      <c r="T8" s="531"/>
      <c r="U8" s="530" t="s">
        <v>135</v>
      </c>
      <c r="V8" s="530" t="s">
        <v>39</v>
      </c>
      <c r="W8" s="531"/>
      <c r="X8" s="530" t="s">
        <v>135</v>
      </c>
      <c r="Y8" s="530" t="s">
        <v>39</v>
      </c>
      <c r="Z8" s="531"/>
      <c r="AA8" s="530" t="s">
        <v>135</v>
      </c>
      <c r="AB8" s="530" t="s">
        <v>39</v>
      </c>
      <c r="AC8" s="531"/>
      <c r="AD8" s="530" t="s">
        <v>135</v>
      </c>
      <c r="AE8" s="530" t="s">
        <v>39</v>
      </c>
      <c r="AF8" s="531"/>
      <c r="AG8" s="530" t="s">
        <v>135</v>
      </c>
      <c r="AH8" s="530" t="s">
        <v>39</v>
      </c>
      <c r="AI8" s="531"/>
      <c r="AJ8" s="530" t="s">
        <v>135</v>
      </c>
      <c r="AK8" s="530" t="s">
        <v>39</v>
      </c>
      <c r="AL8" s="531"/>
      <c r="AM8" s="530" t="s">
        <v>135</v>
      </c>
      <c r="AN8" s="530" t="s">
        <v>39</v>
      </c>
      <c r="AO8" s="531"/>
      <c r="AP8" s="530" t="s">
        <v>135</v>
      </c>
      <c r="AQ8" s="530" t="s">
        <v>39</v>
      </c>
      <c r="AR8" s="531"/>
      <c r="AS8" s="530" t="s">
        <v>135</v>
      </c>
      <c r="AT8" s="530" t="s">
        <v>39</v>
      </c>
      <c r="AU8" s="531"/>
      <c r="AV8" s="530" t="s">
        <v>135</v>
      </c>
      <c r="AW8" s="530" t="s">
        <v>39</v>
      </c>
      <c r="AX8" s="531"/>
      <c r="AY8" s="530" t="s">
        <v>135</v>
      </c>
      <c r="AZ8" s="530" t="s">
        <v>39</v>
      </c>
      <c r="BA8" s="531"/>
      <c r="BB8" s="530" t="s">
        <v>135</v>
      </c>
      <c r="BC8" s="530" t="s">
        <v>39</v>
      </c>
      <c r="BD8" s="531"/>
      <c r="BE8" s="530" t="s">
        <v>135</v>
      </c>
      <c r="BF8" s="530" t="s">
        <v>39</v>
      </c>
      <c r="BG8" s="531"/>
      <c r="BH8" s="530" t="s">
        <v>135</v>
      </c>
      <c r="BI8" s="530" t="s">
        <v>39</v>
      </c>
      <c r="BJ8" s="531"/>
      <c r="BK8" s="530" t="s">
        <v>135</v>
      </c>
      <c r="BL8" s="530" t="s">
        <v>39</v>
      </c>
      <c r="BM8" s="531"/>
      <c r="BN8" s="530" t="s">
        <v>135</v>
      </c>
      <c r="BO8" s="530" t="s">
        <v>39</v>
      </c>
      <c r="BP8" s="531"/>
      <c r="BQ8" s="530" t="s">
        <v>135</v>
      </c>
      <c r="BR8" s="530" t="s">
        <v>39</v>
      </c>
      <c r="BS8" s="531"/>
      <c r="BT8" s="530" t="s">
        <v>135</v>
      </c>
      <c r="BU8" s="530" t="s">
        <v>39</v>
      </c>
      <c r="BV8" s="531"/>
      <c r="BW8" s="530" t="s">
        <v>135</v>
      </c>
      <c r="BX8" s="530" t="s">
        <v>39</v>
      </c>
      <c r="BY8" s="531"/>
      <c r="BZ8" s="530" t="s">
        <v>135</v>
      </c>
      <c r="CA8" s="530" t="s">
        <v>39</v>
      </c>
      <c r="CB8" s="531"/>
      <c r="CC8" s="530" t="s">
        <v>135</v>
      </c>
      <c r="CD8" s="530" t="s">
        <v>39</v>
      </c>
      <c r="CE8" s="531"/>
      <c r="CF8" s="530" t="s">
        <v>135</v>
      </c>
      <c r="CG8" s="530" t="s">
        <v>39</v>
      </c>
      <c r="CH8" s="531"/>
      <c r="CI8" s="530" t="s">
        <v>135</v>
      </c>
      <c r="CJ8" s="530" t="s">
        <v>39</v>
      </c>
      <c r="CK8" s="531"/>
      <c r="CL8" s="530" t="s">
        <v>135</v>
      </c>
      <c r="CM8" s="530" t="s">
        <v>39</v>
      </c>
      <c r="CN8" s="531"/>
      <c r="CO8" s="530" t="s">
        <v>135</v>
      </c>
      <c r="CP8" s="530" t="s">
        <v>39</v>
      </c>
      <c r="CQ8" s="531"/>
      <c r="CR8" s="530" t="s">
        <v>135</v>
      </c>
      <c r="CS8" s="530" t="s">
        <v>39</v>
      </c>
      <c r="CT8" s="531"/>
      <c r="CU8" s="530" t="s">
        <v>135</v>
      </c>
      <c r="CV8" s="530" t="s">
        <v>39</v>
      </c>
      <c r="CW8" s="531"/>
      <c r="CX8" s="530" t="s">
        <v>135</v>
      </c>
      <c r="CY8" s="530" t="s">
        <v>39</v>
      </c>
      <c r="CZ8" s="531"/>
      <c r="DA8" s="530" t="s">
        <v>135</v>
      </c>
      <c r="DB8" s="530" t="s">
        <v>39</v>
      </c>
      <c r="DC8" s="531"/>
      <c r="DD8" s="530" t="s">
        <v>135</v>
      </c>
      <c r="DE8" s="530" t="s">
        <v>39</v>
      </c>
      <c r="DF8" s="531"/>
      <c r="DG8" s="530" t="s">
        <v>135</v>
      </c>
      <c r="DH8" s="530" t="s">
        <v>39</v>
      </c>
      <c r="DI8" s="531"/>
      <c r="DJ8" s="530" t="s">
        <v>135</v>
      </c>
      <c r="DK8" s="530" t="s">
        <v>39</v>
      </c>
      <c r="DL8" s="531"/>
      <c r="DM8" s="530" t="s">
        <v>135</v>
      </c>
      <c r="DN8" s="530" t="s">
        <v>39</v>
      </c>
      <c r="DO8" s="531"/>
      <c r="DP8" s="530" t="s">
        <v>135</v>
      </c>
      <c r="DQ8" s="530" t="s">
        <v>39</v>
      </c>
      <c r="DR8" s="531"/>
      <c r="DS8" s="530" t="s">
        <v>135</v>
      </c>
      <c r="DT8" s="530" t="s">
        <v>39</v>
      </c>
      <c r="DU8" s="531"/>
      <c r="DV8" s="530" t="s">
        <v>135</v>
      </c>
      <c r="DW8" s="530" t="s">
        <v>39</v>
      </c>
      <c r="DX8" s="531"/>
      <c r="DY8" s="530" t="s">
        <v>135</v>
      </c>
      <c r="DZ8" s="530" t="s">
        <v>39</v>
      </c>
      <c r="EA8" s="531"/>
      <c r="EB8" s="530" t="s">
        <v>135</v>
      </c>
      <c r="EC8" s="530" t="s">
        <v>39</v>
      </c>
      <c r="ED8" s="519"/>
      <c r="EE8" s="530" t="s">
        <v>135</v>
      </c>
      <c r="EF8" s="530" t="s">
        <v>39</v>
      </c>
      <c r="EG8" s="531"/>
      <c r="EH8" s="530" t="s">
        <v>135</v>
      </c>
      <c r="EI8" s="530" t="s">
        <v>39</v>
      </c>
      <c r="EJ8" s="531"/>
      <c r="EK8" s="530" t="s">
        <v>135</v>
      </c>
      <c r="EL8" s="530" t="s">
        <v>39</v>
      </c>
      <c r="EM8" s="531"/>
      <c r="EN8" s="530" t="s">
        <v>135</v>
      </c>
      <c r="EO8" s="530" t="s">
        <v>39</v>
      </c>
      <c r="EP8" s="531"/>
      <c r="EQ8" s="530" t="s">
        <v>135</v>
      </c>
      <c r="ER8" s="530" t="s">
        <v>39</v>
      </c>
      <c r="ES8" s="531"/>
      <c r="ET8" s="530" t="s">
        <v>135</v>
      </c>
      <c r="EU8" s="530" t="s">
        <v>39</v>
      </c>
      <c r="EV8" s="531"/>
      <c r="EW8" s="530" t="s">
        <v>135</v>
      </c>
      <c r="EX8" s="530" t="s">
        <v>39</v>
      </c>
      <c r="EY8" s="531"/>
      <c r="EZ8" s="530" t="s">
        <v>135</v>
      </c>
      <c r="FA8" s="530" t="s">
        <v>39</v>
      </c>
      <c r="FB8" s="531"/>
      <c r="FC8" s="530" t="s">
        <v>135</v>
      </c>
      <c r="FD8" s="530" t="s">
        <v>39</v>
      </c>
      <c r="FE8" s="531"/>
      <c r="FF8" s="530" t="s">
        <v>135</v>
      </c>
      <c r="FG8" s="530" t="s">
        <v>39</v>
      </c>
      <c r="FH8" s="531"/>
      <c r="FI8" s="530" t="s">
        <v>135</v>
      </c>
      <c r="FJ8" s="530" t="s">
        <v>39</v>
      </c>
      <c r="FK8" s="531"/>
      <c r="FL8" s="530" t="s">
        <v>135</v>
      </c>
      <c r="FM8" s="530" t="s">
        <v>39</v>
      </c>
      <c r="FN8" s="531"/>
      <c r="FO8" s="530" t="s">
        <v>135</v>
      </c>
      <c r="FP8" s="530" t="s">
        <v>39</v>
      </c>
      <c r="FQ8" s="531"/>
      <c r="FR8" s="530" t="s">
        <v>135</v>
      </c>
      <c r="FS8" s="530" t="s">
        <v>39</v>
      </c>
      <c r="FT8" s="531"/>
      <c r="FU8" s="530" t="s">
        <v>135</v>
      </c>
      <c r="FV8" s="530" t="s">
        <v>39</v>
      </c>
      <c r="FW8" s="531"/>
      <c r="FX8" s="530" t="s">
        <v>135</v>
      </c>
      <c r="FY8" s="530" t="s">
        <v>39</v>
      </c>
      <c r="FZ8" s="531"/>
      <c r="GA8" s="530" t="s">
        <v>135</v>
      </c>
      <c r="GB8" s="530" t="s">
        <v>39</v>
      </c>
      <c r="GC8" s="531"/>
      <c r="GD8" s="530" t="s">
        <v>135</v>
      </c>
      <c r="GE8" s="530" t="s">
        <v>39</v>
      </c>
      <c r="GF8" s="531"/>
      <c r="GG8" s="530" t="s">
        <v>135</v>
      </c>
      <c r="GH8" s="530" t="s">
        <v>39</v>
      </c>
      <c r="GI8" s="531"/>
      <c r="GJ8" s="530" t="s">
        <v>135</v>
      </c>
      <c r="GK8" s="530" t="s">
        <v>39</v>
      </c>
      <c r="GL8" s="531"/>
      <c r="GM8" s="530" t="s">
        <v>135</v>
      </c>
      <c r="GN8" s="530" t="s">
        <v>39</v>
      </c>
      <c r="GO8" s="531"/>
      <c r="GP8" s="530" t="s">
        <v>135</v>
      </c>
      <c r="GQ8" s="530" t="s">
        <v>39</v>
      </c>
      <c r="GR8" s="531"/>
      <c r="GS8" s="530" t="s">
        <v>135</v>
      </c>
      <c r="GT8" s="530" t="s">
        <v>39</v>
      </c>
      <c r="GU8" s="531"/>
      <c r="GV8" s="530" t="s">
        <v>135</v>
      </c>
      <c r="GW8" s="530" t="s">
        <v>39</v>
      </c>
      <c r="GX8" s="531"/>
      <c r="GY8" s="530" t="s">
        <v>135</v>
      </c>
      <c r="GZ8" s="530" t="s">
        <v>39</v>
      </c>
      <c r="HA8" s="531"/>
      <c r="HB8" s="530" t="s">
        <v>135</v>
      </c>
      <c r="HC8" s="530" t="s">
        <v>39</v>
      </c>
      <c r="HD8" s="531"/>
      <c r="HE8" s="530" t="s">
        <v>135</v>
      </c>
      <c r="HF8" s="530" t="s">
        <v>39</v>
      </c>
      <c r="HG8" s="531"/>
      <c r="HH8" s="530" t="s">
        <v>135</v>
      </c>
      <c r="HI8" s="530" t="s">
        <v>39</v>
      </c>
      <c r="HJ8" s="531"/>
      <c r="HK8" s="530" t="s">
        <v>135</v>
      </c>
      <c r="HL8" s="530" t="s">
        <v>39</v>
      </c>
      <c r="HM8" s="531"/>
      <c r="HN8" s="530" t="s">
        <v>135</v>
      </c>
      <c r="HO8" s="530" t="s">
        <v>39</v>
      </c>
      <c r="HP8" s="531"/>
      <c r="HQ8" s="530" t="s">
        <v>135</v>
      </c>
      <c r="HR8" s="530" t="s">
        <v>39</v>
      </c>
      <c r="HS8" s="531"/>
      <c r="HT8" s="530" t="s">
        <v>135</v>
      </c>
      <c r="HU8" s="530" t="s">
        <v>39</v>
      </c>
      <c r="HV8" s="531"/>
      <c r="HW8" s="530" t="s">
        <v>135</v>
      </c>
      <c r="HX8" s="530" t="s">
        <v>39</v>
      </c>
      <c r="HY8" s="531"/>
      <c r="HZ8" s="530" t="s">
        <v>135</v>
      </c>
      <c r="IA8" s="530" t="s">
        <v>39</v>
      </c>
      <c r="IB8" s="531"/>
      <c r="IC8" s="530" t="s">
        <v>135</v>
      </c>
      <c r="ID8" s="530" t="s">
        <v>39</v>
      </c>
      <c r="IE8" s="531"/>
      <c r="IF8" s="530" t="s">
        <v>135</v>
      </c>
      <c r="IG8" s="530" t="s">
        <v>39</v>
      </c>
      <c r="IH8" s="531"/>
      <c r="II8" s="530" t="s">
        <v>135</v>
      </c>
      <c r="IJ8" s="530" t="s">
        <v>39</v>
      </c>
      <c r="IK8" s="531"/>
      <c r="IL8" s="530" t="s">
        <v>135</v>
      </c>
      <c r="IM8" s="530" t="s">
        <v>39</v>
      </c>
      <c r="IN8" s="531"/>
      <c r="IO8" s="530" t="s">
        <v>135</v>
      </c>
      <c r="IP8" s="530" t="s">
        <v>39</v>
      </c>
      <c r="IQ8" s="531"/>
      <c r="IR8" s="530" t="s">
        <v>135</v>
      </c>
      <c r="IS8" s="530" t="s">
        <v>39</v>
      </c>
      <c r="IT8" s="531"/>
      <c r="IU8" s="530" t="s">
        <v>135</v>
      </c>
      <c r="IV8" s="530" t="s">
        <v>39</v>
      </c>
      <c r="IW8" s="531"/>
      <c r="IX8" s="530" t="s">
        <v>135</v>
      </c>
      <c r="IY8" s="530" t="s">
        <v>39</v>
      </c>
      <c r="IZ8" s="531"/>
      <c r="JA8" s="530" t="s">
        <v>135</v>
      </c>
      <c r="JB8" s="530" t="s">
        <v>39</v>
      </c>
      <c r="JC8" s="531"/>
      <c r="JD8" s="530" t="s">
        <v>135</v>
      </c>
      <c r="JE8" s="530" t="s">
        <v>39</v>
      </c>
      <c r="JF8" s="531"/>
      <c r="JG8" s="530" t="s">
        <v>135</v>
      </c>
      <c r="JH8" s="530" t="s">
        <v>39</v>
      </c>
      <c r="JI8" s="531"/>
      <c r="JJ8" s="530" t="s">
        <v>135</v>
      </c>
      <c r="JK8" s="530" t="s">
        <v>39</v>
      </c>
      <c r="JL8" s="531" t="s">
        <v>384</v>
      </c>
      <c r="JM8" s="530" t="s">
        <v>135</v>
      </c>
      <c r="JN8" s="530" t="s">
        <v>39</v>
      </c>
      <c r="JO8" s="531" t="s">
        <v>384</v>
      </c>
      <c r="JP8" s="530" t="s">
        <v>135</v>
      </c>
      <c r="JQ8" s="530" t="s">
        <v>39</v>
      </c>
      <c r="JR8" s="531" t="s">
        <v>384</v>
      </c>
      <c r="JS8" s="530" t="s">
        <v>135</v>
      </c>
      <c r="JT8" s="530" t="s">
        <v>39</v>
      </c>
      <c r="JU8" s="531" t="s">
        <v>384</v>
      </c>
      <c r="JV8" s="530" t="s">
        <v>135</v>
      </c>
      <c r="JW8" s="530" t="s">
        <v>39</v>
      </c>
      <c r="JX8" s="531" t="s">
        <v>384</v>
      </c>
      <c r="JY8" s="530" t="s">
        <v>135</v>
      </c>
      <c r="JZ8" s="530" t="s">
        <v>39</v>
      </c>
      <c r="KA8" s="531" t="s">
        <v>384</v>
      </c>
      <c r="KB8" s="530" t="s">
        <v>135</v>
      </c>
      <c r="KC8" s="530" t="s">
        <v>39</v>
      </c>
      <c r="KD8" s="531" t="s">
        <v>384</v>
      </c>
      <c r="KE8" s="530" t="s">
        <v>135</v>
      </c>
      <c r="KF8" s="530" t="s">
        <v>39</v>
      </c>
      <c r="KG8" s="531" t="s">
        <v>384</v>
      </c>
      <c r="KH8" s="530" t="s">
        <v>135</v>
      </c>
      <c r="KI8" s="530" t="s">
        <v>39</v>
      </c>
      <c r="KJ8" s="531" t="s">
        <v>384</v>
      </c>
      <c r="KK8" s="530" t="s">
        <v>135</v>
      </c>
      <c r="KL8" s="530" t="s">
        <v>39</v>
      </c>
      <c r="KM8" s="531" t="s">
        <v>384</v>
      </c>
      <c r="KN8" s="530" t="s">
        <v>135</v>
      </c>
      <c r="KO8" s="530" t="s">
        <v>39</v>
      </c>
      <c r="KP8" s="531" t="s">
        <v>384</v>
      </c>
      <c r="KQ8" s="530" t="s">
        <v>135</v>
      </c>
      <c r="KR8" s="530" t="s">
        <v>39</v>
      </c>
      <c r="KS8" s="531" t="s">
        <v>384</v>
      </c>
      <c r="KT8" s="697"/>
      <c r="KU8" s="697"/>
    </row>
    <row r="9" spans="1:308">
      <c r="A9" s="261">
        <f>+Report1!A9</f>
        <v>46023</v>
      </c>
      <c r="B9" s="262" t="str">
        <f>+Report1!B9</f>
        <v>Toilet</v>
      </c>
      <c r="C9" s="262" t="str">
        <f>+Report1!C9</f>
        <v>13</v>
      </c>
      <c r="D9" s="263">
        <f>+Report1!P9</f>
        <v>39.061999999999998</v>
      </c>
      <c r="E9" s="554">
        <f>+Report1!R9</f>
        <v>39.265999999999998</v>
      </c>
      <c r="F9" s="521"/>
      <c r="G9" s="522">
        <f t="shared" ref="G9:G39" si="0">+F9/$E9</f>
        <v>0</v>
      </c>
      <c r="H9" s="523">
        <f>+F9*$H$8</f>
        <v>0</v>
      </c>
      <c r="I9" s="521"/>
      <c r="J9" s="522">
        <f t="shared" ref="J9:J39" si="1">+I9/$E9</f>
        <v>0</v>
      </c>
      <c r="K9" s="523">
        <f>+I9*$H$8</f>
        <v>0</v>
      </c>
      <c r="L9" s="521"/>
      <c r="M9" s="522">
        <f t="shared" ref="M9:M39" si="2">+L9/$E9</f>
        <v>0</v>
      </c>
      <c r="N9" s="523">
        <f>+L9*$H$8</f>
        <v>0</v>
      </c>
      <c r="O9" s="521">
        <v>3.0000000000000568</v>
      </c>
      <c r="P9" s="522">
        <f t="shared" ref="P9:P39" si="3">+O9/$E9</f>
        <v>7.6401976264454163E-2</v>
      </c>
      <c r="Q9" s="523">
        <f>+O9*$H$8</f>
        <v>0</v>
      </c>
      <c r="R9" s="521"/>
      <c r="S9" s="522">
        <f t="shared" ref="S9:S39" si="4">+R9/$E9</f>
        <v>0</v>
      </c>
      <c r="T9" s="523">
        <f>+R9*$H$8</f>
        <v>0</v>
      </c>
      <c r="U9" s="521">
        <v>5.1250000000000284</v>
      </c>
      <c r="V9" s="522">
        <f t="shared" ref="V9:V39" si="5">+U9/$E9</f>
        <v>0.13052004278510743</v>
      </c>
      <c r="W9" s="523">
        <f>+U9*$H$8</f>
        <v>0</v>
      </c>
      <c r="X9" s="521"/>
      <c r="Y9" s="522">
        <f t="shared" ref="Y9:Y39" si="6">+X9/$E9</f>
        <v>0</v>
      </c>
      <c r="Z9" s="523">
        <f>+X9*$H$8</f>
        <v>0</v>
      </c>
      <c r="AA9" s="521">
        <v>15.624999999999972</v>
      </c>
      <c r="AB9" s="522">
        <f t="shared" ref="AB9:AB39" si="7">+AA9/$E9</f>
        <v>0.39792695971069048</v>
      </c>
      <c r="AC9" s="523">
        <f>+AA9*$H$8</f>
        <v>0</v>
      </c>
      <c r="AD9" s="521"/>
      <c r="AE9" s="522">
        <f t="shared" ref="AE9:AE39" si="8">+AD9/$E9</f>
        <v>0</v>
      </c>
      <c r="AF9" s="523">
        <f>+AD9*$H$8</f>
        <v>0</v>
      </c>
      <c r="AG9" s="521"/>
      <c r="AH9" s="522">
        <f t="shared" ref="AH9:AH39" si="9">+AG9/$E9</f>
        <v>0</v>
      </c>
      <c r="AI9" s="523">
        <f>+AG9*$H$8</f>
        <v>0</v>
      </c>
      <c r="AJ9" s="521"/>
      <c r="AK9" s="522">
        <f t="shared" ref="AK9:AK39" si="10">+AJ9/$E9</f>
        <v>0</v>
      </c>
      <c r="AL9" s="523">
        <f>+AJ9*$H$8</f>
        <v>0</v>
      </c>
      <c r="AM9" s="521"/>
      <c r="AN9" s="522">
        <f t="shared" ref="AN9:AN39" si="11">+AM9/$E9</f>
        <v>0</v>
      </c>
      <c r="AO9" s="523">
        <f>+AM9*$H$8</f>
        <v>0</v>
      </c>
      <c r="AP9" s="521">
        <v>48.417721518987321</v>
      </c>
      <c r="AQ9" s="522">
        <f t="shared" ref="AQ9:AQ39" si="12">+AP9/$E9</f>
        <v>1.2330698700908502</v>
      </c>
      <c r="AR9" s="523">
        <f>+AP9*$H$8</f>
        <v>0</v>
      </c>
      <c r="AS9" s="521"/>
      <c r="AT9" s="522">
        <f t="shared" ref="AT9:AT39" si="13">+AS9/$E9</f>
        <v>0</v>
      </c>
      <c r="AU9" s="523">
        <f>+AS9*$H$8</f>
        <v>0</v>
      </c>
      <c r="AV9" s="521"/>
      <c r="AW9" s="522">
        <f t="shared" ref="AW9:AW39" si="14">+AV9/$E9</f>
        <v>0</v>
      </c>
      <c r="AX9" s="523">
        <f>+AV9*$H$8</f>
        <v>0</v>
      </c>
      <c r="AY9" s="521">
        <v>51.333333333333314</v>
      </c>
      <c r="AZ9" s="522">
        <f t="shared" ref="AZ9:AZ39" si="15">+AY9/$E9</f>
        <v>1.3073227049695237</v>
      </c>
      <c r="BA9" s="523">
        <f>+AY9*$H$8</f>
        <v>0</v>
      </c>
      <c r="BB9" s="521"/>
      <c r="BC9" s="522">
        <f t="shared" ref="BC9:BC39" si="16">+BB9/$E9</f>
        <v>0</v>
      </c>
      <c r="BD9" s="523">
        <f>+BB9*$H$8</f>
        <v>0</v>
      </c>
      <c r="BE9" s="521"/>
      <c r="BF9" s="522">
        <f t="shared" ref="BF9:BF39" si="17">+BE9/$E9</f>
        <v>0</v>
      </c>
      <c r="BG9" s="523">
        <f>+BE9*$H$8</f>
        <v>0</v>
      </c>
      <c r="BH9" s="521"/>
      <c r="BI9" s="522">
        <f t="shared" ref="BI9:BI39" si="18">+BH9/$E9</f>
        <v>0</v>
      </c>
      <c r="BJ9" s="523">
        <f>+BH9*$H$8</f>
        <v>0</v>
      </c>
      <c r="BK9" s="521"/>
      <c r="BL9" s="522">
        <f t="shared" ref="BL9:BL39" si="19">+BK9/$E9</f>
        <v>0</v>
      </c>
      <c r="BM9" s="523">
        <f>+BK9*$H$8</f>
        <v>0</v>
      </c>
      <c r="BN9" s="521"/>
      <c r="BO9" s="522">
        <f t="shared" ref="BO9:BO39" si="20">+BN9/$E9</f>
        <v>0</v>
      </c>
      <c r="BP9" s="523">
        <f>+BN9*$H$8</f>
        <v>0</v>
      </c>
      <c r="BQ9" s="521"/>
      <c r="BR9" s="522">
        <f t="shared" ref="BR9:BR39" si="21">+BQ9/$E9</f>
        <v>0</v>
      </c>
      <c r="BS9" s="523">
        <f>+BQ9*$H$8</f>
        <v>0</v>
      </c>
      <c r="BT9" s="521"/>
      <c r="BU9" s="522">
        <f t="shared" ref="BU9:BU39" si="22">+BT9/$E9</f>
        <v>0</v>
      </c>
      <c r="BV9" s="523">
        <f>+BT9*$H$8</f>
        <v>0</v>
      </c>
      <c r="BW9" s="521"/>
      <c r="BX9" s="522">
        <f t="shared" ref="BX9:BX39" si="23">+BW9/$E9</f>
        <v>0</v>
      </c>
      <c r="BY9" s="523">
        <f>+BW9*$H$8</f>
        <v>0</v>
      </c>
      <c r="BZ9" s="521"/>
      <c r="CA9" s="522">
        <f t="shared" ref="CA9:CA39" si="24">+BZ9/$E9</f>
        <v>0</v>
      </c>
      <c r="CB9" s="523">
        <f>+BZ9*$H$8</f>
        <v>0</v>
      </c>
      <c r="CC9" s="521"/>
      <c r="CD9" s="522">
        <f t="shared" ref="CD9:CD39" si="25">+CC9/$E9</f>
        <v>0</v>
      </c>
      <c r="CE9" s="523">
        <f>+CC9*$H$8</f>
        <v>0</v>
      </c>
      <c r="CF9" s="521">
        <v>2.5</v>
      </c>
      <c r="CG9" s="522">
        <f t="shared" ref="CG9:CG39" si="26">+CF9/$E9</f>
        <v>6.3668313553710595E-2</v>
      </c>
      <c r="CH9" s="523">
        <f>+CF9*$H$8</f>
        <v>0</v>
      </c>
      <c r="CI9" s="521"/>
      <c r="CJ9" s="522">
        <f t="shared" ref="CJ9:CJ39" si="27">+CI9/$E9</f>
        <v>0</v>
      </c>
      <c r="CK9" s="523">
        <f>+CI9*$H$8</f>
        <v>0</v>
      </c>
      <c r="CL9" s="521"/>
      <c r="CM9" s="522">
        <f t="shared" ref="CM9:CM39" si="28">+CL9/$E9</f>
        <v>0</v>
      </c>
      <c r="CN9" s="523">
        <f>+CL9*$H$8</f>
        <v>0</v>
      </c>
      <c r="CO9" s="521"/>
      <c r="CP9" s="522">
        <f t="shared" ref="CP9:CP39" si="29">+CO9/$E9</f>
        <v>0</v>
      </c>
      <c r="CQ9" s="523">
        <f>+CO9*$H$8</f>
        <v>0</v>
      </c>
      <c r="CR9" s="521"/>
      <c r="CS9" s="522">
        <f t="shared" ref="CS9:CS39" si="30">+CR9/$E9</f>
        <v>0</v>
      </c>
      <c r="CT9" s="523">
        <f>+CR9*$H$8</f>
        <v>0</v>
      </c>
      <c r="CU9" s="521"/>
      <c r="CV9" s="522">
        <f t="shared" ref="CV9:CV39" si="31">+CU9/$E9</f>
        <v>0</v>
      </c>
      <c r="CW9" s="523">
        <f>+CU9*$H$8</f>
        <v>0</v>
      </c>
      <c r="CX9" s="521"/>
      <c r="CY9" s="522">
        <f t="shared" ref="CY9:CY39" si="32">+CX9/$E9</f>
        <v>0</v>
      </c>
      <c r="CZ9" s="523">
        <f>+CX9*$H$8</f>
        <v>0</v>
      </c>
      <c r="DA9" s="521">
        <v>58.139534883720899</v>
      </c>
      <c r="DB9" s="522">
        <f t="shared" ref="DB9:DB39" si="33">+DA9/$E9</f>
        <v>1.4806584547374548</v>
      </c>
      <c r="DC9" s="523">
        <f>+DA9*$H$8</f>
        <v>0</v>
      </c>
      <c r="DD9" s="521"/>
      <c r="DE9" s="522">
        <f t="shared" ref="DE9:DE39" si="34">+DD9/$E9</f>
        <v>0</v>
      </c>
      <c r="DF9" s="523">
        <f>+DD9*$H$8</f>
        <v>0</v>
      </c>
      <c r="DG9" s="521"/>
      <c r="DH9" s="522">
        <f t="shared" ref="DH9:DH39" si="35">+DG9/$E9</f>
        <v>0</v>
      </c>
      <c r="DI9" s="523">
        <v>0</v>
      </c>
      <c r="DJ9" s="521"/>
      <c r="DK9" s="522">
        <f t="shared" ref="DK9:DK39" si="36">+DJ9/$E9</f>
        <v>0</v>
      </c>
      <c r="DL9" s="523">
        <f>+DJ9*$H$8</f>
        <v>0</v>
      </c>
      <c r="DM9" s="521"/>
      <c r="DN9" s="522">
        <f t="shared" ref="DN9:DN39" si="37">+DM9/$E9</f>
        <v>0</v>
      </c>
      <c r="DO9" s="523">
        <f>+DM9*$H$8</f>
        <v>0</v>
      </c>
      <c r="DP9" s="521"/>
      <c r="DQ9" s="522">
        <f t="shared" ref="DQ9:DQ39" si="38">+DP9/$E9</f>
        <v>0</v>
      </c>
      <c r="DR9" s="523">
        <f>+DP9*$H$8</f>
        <v>0</v>
      </c>
      <c r="DS9" s="521"/>
      <c r="DT9" s="522">
        <f t="shared" ref="DT9:DT39" si="39">+DS9/$E9</f>
        <v>0</v>
      </c>
      <c r="DU9" s="523">
        <f>+DS9*$H$8</f>
        <v>0</v>
      </c>
      <c r="DV9" s="521"/>
      <c r="DW9" s="522">
        <f t="shared" ref="DW9:DW39" si="40">+DV9/$E9</f>
        <v>0</v>
      </c>
      <c r="DX9" s="523">
        <f>+DV9*$H$8</f>
        <v>0</v>
      </c>
      <c r="DY9" s="521"/>
      <c r="DZ9" s="522">
        <f t="shared" ref="DZ9:DZ39" si="41">+DY9/$E9</f>
        <v>0</v>
      </c>
      <c r="EA9" s="523">
        <f>+DY9*$H$8</f>
        <v>0</v>
      </c>
      <c r="EB9" s="521"/>
      <c r="EC9" s="522">
        <f t="shared" ref="EC9:EC39" si="42">+EB9/$E9</f>
        <v>0</v>
      </c>
      <c r="ED9" s="523">
        <f>+EB9*$H$8</f>
        <v>0</v>
      </c>
      <c r="EE9" s="521">
        <v>29.069767441860449</v>
      </c>
      <c r="EF9" s="522">
        <f t="shared" ref="EF9:EF39" si="43">+EE9/$E9</f>
        <v>0.74032922736872742</v>
      </c>
      <c r="EG9" s="523">
        <f>+EE9*$H$8</f>
        <v>0</v>
      </c>
      <c r="EH9" s="521">
        <v>58.70588235294116</v>
      </c>
      <c r="EI9" s="522">
        <f t="shared" ref="EI9:EI39" si="44">+EH9/$E9</f>
        <v>1.4950818100377212</v>
      </c>
      <c r="EJ9" s="523">
        <f>+EH9*$H$8</f>
        <v>0</v>
      </c>
      <c r="EK9" s="521"/>
      <c r="EL9" s="522">
        <f t="shared" ref="EL9:EL39" si="45">+EK9/$E9</f>
        <v>0</v>
      </c>
      <c r="EM9" s="523">
        <f>+EK9*$H$8</f>
        <v>0</v>
      </c>
      <c r="EN9" s="521"/>
      <c r="EO9" s="522">
        <f t="shared" ref="EO9:EO39" si="46">+EN9/$E9</f>
        <v>0</v>
      </c>
      <c r="EP9" s="523">
        <f>+EN9*$H$8</f>
        <v>0</v>
      </c>
      <c r="EQ9" s="521"/>
      <c r="ER9" s="522">
        <f t="shared" ref="ER9:ER39" si="47">+EQ9/$E9</f>
        <v>0</v>
      </c>
      <c r="ES9" s="523">
        <f>+EQ9*$H$8</f>
        <v>0</v>
      </c>
      <c r="ET9" s="521"/>
      <c r="EU9" s="522">
        <f t="shared" ref="EU9:EU39" si="48">+ET9/$E9</f>
        <v>0</v>
      </c>
      <c r="EV9" s="523">
        <f>+ET9*$H$8</f>
        <v>0</v>
      </c>
      <c r="EW9" s="521"/>
      <c r="EX9" s="522">
        <f t="shared" ref="EX9:EX39" si="49">+EW9/$E9</f>
        <v>0</v>
      </c>
      <c r="EY9" s="523">
        <f>+EW9*$H$8</f>
        <v>0</v>
      </c>
      <c r="EZ9" s="521"/>
      <c r="FA9" s="522">
        <f t="shared" ref="FA9:FA39" si="50">+EZ9/$E9</f>
        <v>0</v>
      </c>
      <c r="FB9" s="523">
        <f>+EZ9*$H$8</f>
        <v>0</v>
      </c>
      <c r="FC9" s="521"/>
      <c r="FD9" s="522">
        <f t="shared" ref="FD9:FD39" si="51">+FC9/$E9</f>
        <v>0</v>
      </c>
      <c r="FE9" s="523">
        <f>+FC9*$H$8</f>
        <v>0</v>
      </c>
      <c r="FF9" s="521"/>
      <c r="FG9" s="522">
        <f t="shared" ref="FG9:FG39" si="52">+FF9/$E9</f>
        <v>0</v>
      </c>
      <c r="FH9" s="523">
        <f>+FF9*$H$8</f>
        <v>0</v>
      </c>
      <c r="FI9" s="521"/>
      <c r="FJ9" s="522">
        <f t="shared" ref="FJ9:FJ39" si="53">+FI9/$E9</f>
        <v>0</v>
      </c>
      <c r="FK9" s="523">
        <f>+FI9*$H$8</f>
        <v>0</v>
      </c>
      <c r="FL9" s="521"/>
      <c r="FM9" s="522">
        <f t="shared" ref="FM9:FM39" si="54">+FL9/$E9</f>
        <v>0</v>
      </c>
      <c r="FN9" s="523">
        <f>+FL9*$H$8</f>
        <v>0</v>
      </c>
      <c r="FO9" s="521"/>
      <c r="FP9" s="522">
        <f t="shared" ref="FP9:FP39" si="55">+FO9/$E9</f>
        <v>0</v>
      </c>
      <c r="FQ9" s="523">
        <f>+FO9*$H$8</f>
        <v>0</v>
      </c>
      <c r="FR9" s="521"/>
      <c r="FS9" s="522">
        <f t="shared" ref="FS9:FS39" si="56">+FR9/$E9</f>
        <v>0</v>
      </c>
      <c r="FT9" s="523">
        <f>+FR9*$H$8</f>
        <v>0</v>
      </c>
      <c r="FU9" s="521"/>
      <c r="FV9" s="522">
        <f t="shared" ref="FV9:FV39" si="57">+FU9/$E9</f>
        <v>0</v>
      </c>
      <c r="FW9" s="523">
        <f>+FU9*$H$8</f>
        <v>0</v>
      </c>
      <c r="FX9" s="521"/>
      <c r="FY9" s="522">
        <f t="shared" ref="FY9:FY39" si="58">+FX9/$E9</f>
        <v>0</v>
      </c>
      <c r="FZ9" s="523">
        <f>+FX9*$H$8</f>
        <v>0</v>
      </c>
      <c r="GA9" s="521"/>
      <c r="GB9" s="522">
        <f t="shared" ref="GB9:GB39" si="59">+GA9/$E9</f>
        <v>0</v>
      </c>
      <c r="GC9" s="523">
        <f>+GA9*$H$8</f>
        <v>0</v>
      </c>
      <c r="GD9" s="521"/>
      <c r="GE9" s="522">
        <f t="shared" ref="GE9:GE39" si="60">+GD9/$E9</f>
        <v>0</v>
      </c>
      <c r="GF9" s="523">
        <f>+GD9*$H$8</f>
        <v>0</v>
      </c>
      <c r="GG9" s="521"/>
      <c r="GH9" s="522">
        <f t="shared" ref="GH9:GH39" si="61">+GG9/$E9</f>
        <v>0</v>
      </c>
      <c r="GI9" s="523">
        <f>+GG9*$H$8</f>
        <v>0</v>
      </c>
      <c r="GJ9" s="521"/>
      <c r="GK9" s="522">
        <f t="shared" ref="GK9:GK39" si="62">+GJ9/$E9</f>
        <v>0</v>
      </c>
      <c r="GL9" s="523">
        <f>+GJ9*$H$8</f>
        <v>0</v>
      </c>
      <c r="GM9" s="521"/>
      <c r="GN9" s="522">
        <f t="shared" ref="GN9:GN39" si="63">+GM9/$E9</f>
        <v>0</v>
      </c>
      <c r="GO9" s="523">
        <f>+GM9*$H$8</f>
        <v>0</v>
      </c>
      <c r="GP9" s="521"/>
      <c r="GQ9" s="522">
        <f t="shared" ref="GQ9:GQ39" si="64">+GP9/$E9</f>
        <v>0</v>
      </c>
      <c r="GR9" s="523">
        <f>+GP9*$H$8</f>
        <v>0</v>
      </c>
      <c r="GS9" s="521"/>
      <c r="GT9" s="522">
        <f t="shared" ref="GT9:GT39" si="65">+GS9/$E9</f>
        <v>0</v>
      </c>
      <c r="GU9" s="523">
        <f>+GS9*$H$8</f>
        <v>0</v>
      </c>
      <c r="GV9" s="521"/>
      <c r="GW9" s="522">
        <f t="shared" ref="GW9:GW39" si="66">+GV9/$E9</f>
        <v>0</v>
      </c>
      <c r="GX9" s="523">
        <f>+GV9*$H$8</f>
        <v>0</v>
      </c>
      <c r="GY9" s="521"/>
      <c r="GZ9" s="522">
        <f t="shared" ref="GZ9:GZ39" si="67">+GY9/$E9</f>
        <v>0</v>
      </c>
      <c r="HA9" s="523">
        <f>+GY9*$H$8</f>
        <v>0</v>
      </c>
      <c r="HB9" s="521"/>
      <c r="HC9" s="522">
        <f t="shared" ref="HC9:HC39" si="68">+HB9/$E9</f>
        <v>0</v>
      </c>
      <c r="HD9" s="523">
        <f>+HB9*$H$8</f>
        <v>0</v>
      </c>
      <c r="HE9" s="521"/>
      <c r="HF9" s="522">
        <f t="shared" ref="HF9:HF39" si="69">+HE9/$E9</f>
        <v>0</v>
      </c>
      <c r="HG9" s="523">
        <f>+HE9*$H$8</f>
        <v>0</v>
      </c>
      <c r="HH9" s="521"/>
      <c r="HI9" s="522">
        <f t="shared" ref="HI9:HI39" si="70">+HH9/$E9</f>
        <v>0</v>
      </c>
      <c r="HJ9" s="523">
        <f>+HH9*$H$8</f>
        <v>0</v>
      </c>
      <c r="HK9" s="521"/>
      <c r="HL9" s="522">
        <f t="shared" ref="HL9:HL39" si="71">+HK9/$E9</f>
        <v>0</v>
      </c>
      <c r="HM9" s="523">
        <f>+HK9*$H$8</f>
        <v>0</v>
      </c>
      <c r="HN9" s="521"/>
      <c r="HO9" s="522">
        <f t="shared" ref="HO9:HO39" si="72">+HN9/$E9</f>
        <v>0</v>
      </c>
      <c r="HP9" s="523">
        <f>+HN9*$H$8</f>
        <v>0</v>
      </c>
      <c r="HQ9" s="521"/>
      <c r="HR9" s="522">
        <f t="shared" ref="HR9:HR39" si="73">+HQ9/$E9</f>
        <v>0</v>
      </c>
      <c r="HS9" s="523">
        <f>+HQ9*$H$8</f>
        <v>0</v>
      </c>
      <c r="HT9" s="521"/>
      <c r="HU9" s="522">
        <f t="shared" ref="HU9:HU39" si="74">+HT9/$E9</f>
        <v>0</v>
      </c>
      <c r="HV9" s="523">
        <f>+HT9*$H$8</f>
        <v>0</v>
      </c>
      <c r="HW9" s="521"/>
      <c r="HX9" s="522">
        <f t="shared" ref="HX9:HX39" si="75">+HW9/$E9</f>
        <v>0</v>
      </c>
      <c r="HY9" s="523">
        <f>+HW9*$H$8</f>
        <v>0</v>
      </c>
      <c r="HZ9" s="521"/>
      <c r="IA9" s="522">
        <f t="shared" ref="IA9:IA39" si="76">+HZ9/$E9</f>
        <v>0</v>
      </c>
      <c r="IB9" s="523">
        <f>+HZ9*$H$8</f>
        <v>0</v>
      </c>
      <c r="IC9" s="521"/>
      <c r="ID9" s="522">
        <f t="shared" ref="ID9:ID39" si="77">+IC9/$E9</f>
        <v>0</v>
      </c>
      <c r="IE9" s="523">
        <f>+IC9*$H$8</f>
        <v>0</v>
      </c>
      <c r="IF9" s="521"/>
      <c r="IG9" s="522">
        <f t="shared" ref="IG9:IG39" si="78">+IF9/$E9</f>
        <v>0</v>
      </c>
      <c r="IH9" s="523">
        <f>+IF9*$H$8</f>
        <v>0</v>
      </c>
      <c r="II9" s="521"/>
      <c r="IJ9" s="522">
        <f t="shared" ref="IJ9:IJ39" si="79">+II9/$E9</f>
        <v>0</v>
      </c>
      <c r="IK9" s="523">
        <f>+II9*$H$8</f>
        <v>0</v>
      </c>
      <c r="IL9" s="521"/>
      <c r="IM9" s="522">
        <f t="shared" ref="IM9:IM39" si="80">+IL9/$E9</f>
        <v>0</v>
      </c>
      <c r="IN9" s="523">
        <f>+IL9*$H$8</f>
        <v>0</v>
      </c>
      <c r="IO9" s="521"/>
      <c r="IP9" s="522">
        <f t="shared" ref="IP9:IP39" si="81">+IO9/$E9</f>
        <v>0</v>
      </c>
      <c r="IQ9" s="523">
        <f>+IO9*$H$8</f>
        <v>0</v>
      </c>
      <c r="IR9" s="521"/>
      <c r="IS9" s="522">
        <f t="shared" ref="IS9:IS39" si="82">+IR9/$E9</f>
        <v>0</v>
      </c>
      <c r="IT9" s="523">
        <f>+IR9*$H$8</f>
        <v>0</v>
      </c>
      <c r="IU9" s="521"/>
      <c r="IV9" s="522">
        <f t="shared" ref="IV9:IV39" si="83">+IU9/$E9</f>
        <v>0</v>
      </c>
      <c r="IW9" s="523">
        <f>+IU9*$H$8</f>
        <v>0</v>
      </c>
      <c r="IX9" s="521"/>
      <c r="IY9" s="522">
        <f t="shared" ref="IY9:IY39" si="84">+IX9/$E9</f>
        <v>0</v>
      </c>
      <c r="IZ9" s="523">
        <f>+IX9*$H$8</f>
        <v>0</v>
      </c>
      <c r="JA9" s="521"/>
      <c r="JB9" s="522">
        <f t="shared" ref="JB9:JB39" si="85">+JA9/$E9</f>
        <v>0</v>
      </c>
      <c r="JC9" s="523">
        <f>+JA9*$H$8</f>
        <v>0</v>
      </c>
      <c r="JD9" s="521"/>
      <c r="JE9" s="522">
        <f t="shared" ref="JE9:JE39" si="86">+JD9/$E9</f>
        <v>0</v>
      </c>
      <c r="JF9" s="523">
        <f>+JD9*$H$8</f>
        <v>0</v>
      </c>
      <c r="JG9" s="521"/>
      <c r="JH9" s="522">
        <f t="shared" ref="JH9:JH39" si="87">+JG9/$E9</f>
        <v>0</v>
      </c>
      <c r="JI9" s="523">
        <f>+JG9*$H$8</f>
        <v>0</v>
      </c>
      <c r="JJ9" s="521"/>
      <c r="JK9" s="523" t="str">
        <f t="shared" ref="JK9:JK39" si="88">IFERROR((JJ9/$L9),"0")</f>
        <v>0</v>
      </c>
      <c r="JL9" s="523" t="str">
        <f t="shared" ref="JL9:JL39" si="89">IFERROR(((JJ9*JL$8)/$L9),"0")</f>
        <v>0</v>
      </c>
      <c r="JM9" s="521"/>
      <c r="JN9" s="523" t="str">
        <f t="shared" ref="JN9:JN39" si="90">IFERROR((JM9/$L9),"0")</f>
        <v>0</v>
      </c>
      <c r="JO9" s="523" t="str">
        <f t="shared" ref="JO9:JO39" si="91">IFERROR(((JM9*JO$8)/$L9),"0")</f>
        <v>0</v>
      </c>
      <c r="JP9" s="521"/>
      <c r="JQ9" s="523" t="str">
        <f t="shared" ref="JQ9:JQ39" si="92">IFERROR((JP9/$L9),"0")</f>
        <v>0</v>
      </c>
      <c r="JR9" s="523" t="str">
        <f t="shared" ref="JR9:JR39" si="93">IFERROR(((JP9*JR$8)/$L9),"0")</f>
        <v>0</v>
      </c>
      <c r="JS9" s="521"/>
      <c r="JT9" s="523" t="str">
        <f t="shared" ref="JT9:JT39" si="94">IFERROR((JS9/$L9),"0")</f>
        <v>0</v>
      </c>
      <c r="JU9" s="523" t="str">
        <f t="shared" ref="JU9:JU39" si="95">IFERROR(((JS9*JU$8)/$L9),"0")</f>
        <v>0</v>
      </c>
      <c r="JV9" s="521"/>
      <c r="JW9" s="523" t="str">
        <f t="shared" ref="JW9:JW39" si="96">IFERROR((JV9/$L9),"0")</f>
        <v>0</v>
      </c>
      <c r="JX9" s="523" t="str">
        <f t="shared" ref="JX9:JX39" si="97">IFERROR(((JV9*JX$8)/$L9),"0")</f>
        <v>0</v>
      </c>
      <c r="JY9" s="521"/>
      <c r="JZ9" s="523" t="str">
        <f t="shared" ref="JZ9:JZ39" si="98">IFERROR((JY9/$L9),"0")</f>
        <v>0</v>
      </c>
      <c r="KA9" s="523" t="str">
        <f t="shared" ref="KA9:KA39" si="99">IFERROR(((JY9*KA$8)/$L9),"0")</f>
        <v>0</v>
      </c>
      <c r="KB9" s="521"/>
      <c r="KC9" s="523" t="str">
        <f t="shared" ref="KC9:KC39" si="100">IFERROR((KB9/$L9),"0")</f>
        <v>0</v>
      </c>
      <c r="KD9" s="523" t="str">
        <f t="shared" ref="KD9:KD39" si="101">IFERROR(((KB9*KD$8)/$L9),"0")</f>
        <v>0</v>
      </c>
      <c r="KE9" s="521"/>
      <c r="KF9" s="523" t="str">
        <f t="shared" ref="KF9:KF39" si="102">IFERROR((KE9/$L9),"0")</f>
        <v>0</v>
      </c>
      <c r="KG9" s="523" t="str">
        <f t="shared" ref="KG9:KG39" si="103">IFERROR(((KE9*KG$8)/$L9),"0")</f>
        <v>0</v>
      </c>
      <c r="KH9" s="521"/>
      <c r="KI9" s="523" t="str">
        <f t="shared" ref="KI9:KI39" si="104">IFERROR((KH9/$L9),"0")</f>
        <v>0</v>
      </c>
      <c r="KJ9" s="523" t="str">
        <f t="shared" ref="KJ9:KJ39" si="105">IFERROR(((KH9*KJ$8)/$L9),"0")</f>
        <v>0</v>
      </c>
      <c r="KK9" s="521"/>
      <c r="KL9" s="523" t="str">
        <f t="shared" ref="KL9:KL39" si="106">IFERROR((KK9/$L9),"0")</f>
        <v>0</v>
      </c>
      <c r="KM9" s="523" t="str">
        <f t="shared" ref="KM9:KM39" si="107">IFERROR(((KK9*KM$8)/$L9),"0")</f>
        <v>0</v>
      </c>
      <c r="KN9" s="521"/>
      <c r="KO9" s="523" t="str">
        <f t="shared" ref="KO9:KO39" si="108">IFERROR((KN9/$L9),"0")</f>
        <v>0</v>
      </c>
      <c r="KP9" s="523" t="str">
        <f t="shared" ref="KP9:KP39" si="109">IFERROR(((KN9*KP$8)/$L9),"0")</f>
        <v>0</v>
      </c>
      <c r="KQ9" s="521"/>
      <c r="KR9" s="523" t="str">
        <f t="shared" ref="KR9:KR39" si="110">IFERROR((KQ9/$L9),"0")</f>
        <v>0</v>
      </c>
      <c r="KS9" s="523" t="str">
        <f t="shared" ref="KS9:KS39" si="111">IFERROR(((KQ9*KS$8)/$L9),"0")</f>
        <v>0</v>
      </c>
      <c r="KT9" s="523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23">
        <f>GF9+GI9+GL9+GO9+GR9+GU9+GX9+HA9+HD9+HG9+HJ9+HM9+HP9+HS9+HV9+HY9+IB9+IE9+IH9+IK9+IN9+IQ9+IT9+IW9+IZ9+JC9+JF9+JI9+JL9+JO9+JR9+JU9+JX9++KA9+KD9+KG9+KJ9++KM9+KP9+KS9</f>
        <v>0</v>
      </c>
      <c r="KV9" s="260">
        <f t="shared" ref="KV9:KV29" si="112">+F9+I9+L9+O9+R9+U9+X9+AA9+AD9+AG9+AJ9+AM9+AP9+AS9+AV9+AY9+BB9+BE9+BH9+BK9+BN9+BQ9+BT9+BW9+BZ9+CC9+CF9+CI9+CL9+CO9+CR9+CU9+CX9+DA9+DD9+DJ9+DM9+DP9+DS9+DV9+DY9+EB9+GG9+GJ9+GM9+GP9+GS9+HN9+II9+IR9+GV9+IU9++HT9+HW9+HZ9+IC9+JA9+JJ9+JM9+HB9+EE9+GD9+EH9+EN9</f>
        <v>271.9162395308432</v>
      </c>
    </row>
    <row r="10" spans="1:308">
      <c r="A10" s="261">
        <f>+A9+1</f>
        <v>46024</v>
      </c>
      <c r="B10" s="262" t="str">
        <f>+Report1!B10</f>
        <v>Toilet</v>
      </c>
      <c r="C10" s="262" t="str">
        <f>+Report1!C10</f>
        <v>13</v>
      </c>
      <c r="D10" s="263">
        <f>+Report1!P10</f>
        <v>38.975999999999999</v>
      </c>
      <c r="E10" s="554">
        <f>+Report1!R10</f>
        <v>36.225000000000001</v>
      </c>
      <c r="F10" s="521"/>
      <c r="G10" s="522">
        <f t="shared" si="0"/>
        <v>0</v>
      </c>
      <c r="H10" s="523">
        <f t="shared" ref="H10:H39" si="113">+F10*$H$8</f>
        <v>0</v>
      </c>
      <c r="I10" s="521"/>
      <c r="J10" s="522">
        <f t="shared" si="1"/>
        <v>0</v>
      </c>
      <c r="K10" s="523">
        <f t="shared" ref="K10:K39" si="114">+I10*$H$8</f>
        <v>0</v>
      </c>
      <c r="L10" s="521"/>
      <c r="M10" s="522">
        <f t="shared" si="2"/>
        <v>0</v>
      </c>
      <c r="N10" s="523">
        <f t="shared" ref="N10:N39" si="115">+L10*$H$8</f>
        <v>0</v>
      </c>
      <c r="O10" s="521">
        <v>2.9999999999999432</v>
      </c>
      <c r="P10" s="522">
        <f t="shared" si="3"/>
        <v>8.2815734989646464E-2</v>
      </c>
      <c r="Q10" s="523">
        <f t="shared" ref="Q10:Q39" si="116">+O10*$H$8</f>
        <v>0</v>
      </c>
      <c r="R10" s="521"/>
      <c r="S10" s="522">
        <f t="shared" si="4"/>
        <v>0</v>
      </c>
      <c r="T10" s="523">
        <f t="shared" ref="T10:T39" si="117">+R10*$H$8</f>
        <v>0</v>
      </c>
      <c r="U10" s="521">
        <v>5.1249999999999716</v>
      </c>
      <c r="V10" s="522">
        <f t="shared" si="5"/>
        <v>0.14147688060731459</v>
      </c>
      <c r="W10" s="523">
        <f t="shared" ref="W10:W39" si="118">+U10*$H$8</f>
        <v>0</v>
      </c>
      <c r="X10" s="521"/>
      <c r="Y10" s="522">
        <f t="shared" si="6"/>
        <v>0</v>
      </c>
      <c r="Z10" s="523">
        <f t="shared" ref="Z10:Z39" si="119">+X10*$H$8</f>
        <v>0</v>
      </c>
      <c r="AA10" s="521">
        <v>15.625</v>
      </c>
      <c r="AB10" s="522">
        <f t="shared" si="7"/>
        <v>0.43133195307108346</v>
      </c>
      <c r="AC10" s="523">
        <f t="shared" ref="AC10:AC39" si="120">+AA10*$H$8</f>
        <v>0</v>
      </c>
      <c r="AD10" s="521"/>
      <c r="AE10" s="522">
        <f t="shared" si="8"/>
        <v>0</v>
      </c>
      <c r="AF10" s="523">
        <f t="shared" ref="AF10:AF39" si="121">+AD10*$H$8</f>
        <v>0</v>
      </c>
      <c r="AG10" s="521"/>
      <c r="AH10" s="522">
        <f t="shared" si="9"/>
        <v>0</v>
      </c>
      <c r="AI10" s="523">
        <f t="shared" ref="AI10:AI39" si="122">+AG10*$H$8</f>
        <v>0</v>
      </c>
      <c r="AJ10" s="521"/>
      <c r="AK10" s="522">
        <f t="shared" si="10"/>
        <v>0</v>
      </c>
      <c r="AL10" s="523">
        <f t="shared" ref="AL10:AL39" si="123">+AJ10*$H$8</f>
        <v>0</v>
      </c>
      <c r="AM10" s="521"/>
      <c r="AN10" s="522">
        <f t="shared" si="11"/>
        <v>0</v>
      </c>
      <c r="AO10" s="523">
        <f t="shared" ref="AO10:AO39" si="124">+AM10*$H$8</f>
        <v>0</v>
      </c>
      <c r="AP10" s="521">
        <v>45.569620253164487</v>
      </c>
      <c r="AQ10" s="522">
        <f t="shared" si="12"/>
        <v>1.2579605314883227</v>
      </c>
      <c r="AR10" s="523">
        <f t="shared" ref="AR10:AR39" si="125">+AP10*$H$8</f>
        <v>0</v>
      </c>
      <c r="AS10" s="521"/>
      <c r="AT10" s="522">
        <f t="shared" si="13"/>
        <v>0</v>
      </c>
      <c r="AU10" s="523">
        <f t="shared" ref="AU10:AU39" si="126">+AS10*$H$8</f>
        <v>0</v>
      </c>
      <c r="AV10" s="521"/>
      <c r="AW10" s="522">
        <f t="shared" si="14"/>
        <v>0</v>
      </c>
      <c r="AX10" s="523">
        <f t="shared" ref="AX10:AX39" si="127">+AV10*$H$8</f>
        <v>0</v>
      </c>
      <c r="AY10" s="521">
        <v>88.666666666666686</v>
      </c>
      <c r="AZ10" s="522">
        <f t="shared" si="15"/>
        <v>2.4476650563607087</v>
      </c>
      <c r="BA10" s="523">
        <f t="shared" ref="BA10:BA39" si="128">+AY10*$H$8</f>
        <v>0</v>
      </c>
      <c r="BB10" s="521"/>
      <c r="BC10" s="522">
        <f t="shared" si="16"/>
        <v>0</v>
      </c>
      <c r="BD10" s="523">
        <f t="shared" ref="BD10:BD39" si="129">+BB10*$H$8</f>
        <v>0</v>
      </c>
      <c r="BE10" s="521"/>
      <c r="BF10" s="522">
        <f t="shared" si="17"/>
        <v>0</v>
      </c>
      <c r="BG10" s="523">
        <f t="shared" ref="BG10:BG39" si="130">+BE10*$H$8</f>
        <v>0</v>
      </c>
      <c r="BH10" s="521"/>
      <c r="BI10" s="522">
        <f t="shared" si="18"/>
        <v>0</v>
      </c>
      <c r="BJ10" s="523">
        <f t="shared" ref="BJ10:BJ39" si="131">+BH10*$H$8</f>
        <v>0</v>
      </c>
      <c r="BK10" s="521"/>
      <c r="BL10" s="522">
        <f t="shared" si="19"/>
        <v>0</v>
      </c>
      <c r="BM10" s="523">
        <f t="shared" ref="BM10:BM39" si="132">+BK10*$H$8</f>
        <v>0</v>
      </c>
      <c r="BN10" s="521"/>
      <c r="BO10" s="522">
        <f t="shared" si="20"/>
        <v>0</v>
      </c>
      <c r="BP10" s="523">
        <f t="shared" ref="BP10:BP39" si="133">+BN10*$H$8</f>
        <v>0</v>
      </c>
      <c r="BQ10" s="521"/>
      <c r="BR10" s="522">
        <f t="shared" si="21"/>
        <v>0</v>
      </c>
      <c r="BS10" s="523">
        <f t="shared" ref="BS10:BS39" si="134">+BQ10*$H$8</f>
        <v>0</v>
      </c>
      <c r="BT10" s="521"/>
      <c r="BU10" s="522">
        <f t="shared" si="22"/>
        <v>0</v>
      </c>
      <c r="BV10" s="523">
        <f t="shared" ref="BV10:BV39" si="135">+BT10*$H$8</f>
        <v>0</v>
      </c>
      <c r="BW10" s="521"/>
      <c r="BX10" s="522">
        <f t="shared" si="23"/>
        <v>0</v>
      </c>
      <c r="BY10" s="523">
        <f t="shared" ref="BY10:BY39" si="136">+BW10*$H$8</f>
        <v>0</v>
      </c>
      <c r="BZ10" s="521"/>
      <c r="CA10" s="522">
        <f t="shared" si="24"/>
        <v>0</v>
      </c>
      <c r="CB10" s="523">
        <f t="shared" ref="CB10:CB39" si="137">+BZ10*$H$8</f>
        <v>0</v>
      </c>
      <c r="CC10" s="521"/>
      <c r="CD10" s="522">
        <f t="shared" si="25"/>
        <v>0</v>
      </c>
      <c r="CE10" s="523">
        <f t="shared" ref="CE10:CE39" si="138">+CC10*$H$8</f>
        <v>0</v>
      </c>
      <c r="CF10" s="521">
        <v>2.5</v>
      </c>
      <c r="CG10" s="522">
        <f t="shared" si="26"/>
        <v>6.901311249137336E-2</v>
      </c>
      <c r="CH10" s="523">
        <f t="shared" ref="CH10:CH39" si="139">+CF10*$H$8</f>
        <v>0</v>
      </c>
      <c r="CI10" s="521"/>
      <c r="CJ10" s="522">
        <f t="shared" si="27"/>
        <v>0</v>
      </c>
      <c r="CK10" s="523">
        <f t="shared" ref="CK10:CK39" si="140">+CI10*$H$8</f>
        <v>0</v>
      </c>
      <c r="CL10" s="521"/>
      <c r="CM10" s="522">
        <f t="shared" si="28"/>
        <v>0</v>
      </c>
      <c r="CN10" s="523">
        <f t="shared" ref="CN10:CN39" si="141">+CL10*$H$8</f>
        <v>0</v>
      </c>
      <c r="CO10" s="521"/>
      <c r="CP10" s="522">
        <f t="shared" si="29"/>
        <v>0</v>
      </c>
      <c r="CQ10" s="523">
        <f t="shared" ref="CQ10:CQ39" si="142">+CO10*$H$8</f>
        <v>0</v>
      </c>
      <c r="CR10" s="521"/>
      <c r="CS10" s="522">
        <f t="shared" si="30"/>
        <v>0</v>
      </c>
      <c r="CT10" s="523">
        <f t="shared" ref="CT10:CT39" si="143">+CR10*$H$8</f>
        <v>0</v>
      </c>
      <c r="CU10" s="521"/>
      <c r="CV10" s="522">
        <f t="shared" si="31"/>
        <v>0</v>
      </c>
      <c r="CW10" s="523">
        <f t="shared" ref="CW10:CW39" si="144">+CU10*$H$8</f>
        <v>0</v>
      </c>
      <c r="CX10" s="521"/>
      <c r="CY10" s="522">
        <f t="shared" si="32"/>
        <v>0</v>
      </c>
      <c r="CZ10" s="523">
        <f t="shared" ref="CZ10:CZ39" si="145">+CX10*$H$8</f>
        <v>0</v>
      </c>
      <c r="DA10" s="521">
        <v>43.604651162790674</v>
      </c>
      <c r="DB10" s="522">
        <f t="shared" si="33"/>
        <v>1.2037170783379068</v>
      </c>
      <c r="DC10" s="523">
        <f t="shared" ref="DC10:DC39" si="146">+DA10*$H$8</f>
        <v>0</v>
      </c>
      <c r="DD10" s="521"/>
      <c r="DE10" s="522">
        <f t="shared" si="34"/>
        <v>0</v>
      </c>
      <c r="DF10" s="523">
        <f t="shared" ref="DF10:DF39" si="147">+DD10*$H$8</f>
        <v>0</v>
      </c>
      <c r="DG10" s="521"/>
      <c r="DH10" s="522">
        <f t="shared" si="35"/>
        <v>0</v>
      </c>
      <c r="DI10" s="523">
        <v>0</v>
      </c>
      <c r="DJ10" s="521"/>
      <c r="DK10" s="522">
        <f t="shared" si="36"/>
        <v>0</v>
      </c>
      <c r="DL10" s="523">
        <f t="shared" ref="DL10:DL39" si="148">+DJ10*$H$8</f>
        <v>0</v>
      </c>
      <c r="DM10" s="521"/>
      <c r="DN10" s="522">
        <f t="shared" si="37"/>
        <v>0</v>
      </c>
      <c r="DO10" s="523">
        <f t="shared" ref="DO10:DO39" si="149">+DM10*$H$8</f>
        <v>0</v>
      </c>
      <c r="DP10" s="521"/>
      <c r="DQ10" s="522">
        <f t="shared" si="38"/>
        <v>0</v>
      </c>
      <c r="DR10" s="523">
        <f t="shared" ref="DR10:DR39" si="150">+DP10*$H$8</f>
        <v>0</v>
      </c>
      <c r="DS10" s="521"/>
      <c r="DT10" s="522">
        <f t="shared" si="39"/>
        <v>0</v>
      </c>
      <c r="DU10" s="523">
        <f t="shared" ref="DU10:DU39" si="151">+DS10*$H$8</f>
        <v>0</v>
      </c>
      <c r="DV10" s="521"/>
      <c r="DW10" s="522">
        <f t="shared" si="40"/>
        <v>0</v>
      </c>
      <c r="DX10" s="523">
        <f t="shared" ref="DX10:DX39" si="152">+DV10*$H$8</f>
        <v>0</v>
      </c>
      <c r="DY10" s="521"/>
      <c r="DZ10" s="522">
        <f t="shared" si="41"/>
        <v>0</v>
      </c>
      <c r="EA10" s="523">
        <f t="shared" ref="EA10:EA39" si="153">+DY10*$H$8</f>
        <v>0</v>
      </c>
      <c r="EB10" s="521"/>
      <c r="EC10" s="522">
        <f t="shared" si="42"/>
        <v>0</v>
      </c>
      <c r="ED10" s="523">
        <f t="shared" ref="ED10:ED39" si="154">+EB10*$H$8</f>
        <v>0</v>
      </c>
      <c r="EE10" s="521">
        <v>29.069767441860449</v>
      </c>
      <c r="EF10" s="522">
        <f t="shared" si="43"/>
        <v>0.80247805222527113</v>
      </c>
      <c r="EG10" s="523">
        <f t="shared" ref="EG10:EG39" si="155">+EE10*$H$8</f>
        <v>0</v>
      </c>
      <c r="EH10" s="521">
        <v>82.188235294117646</v>
      </c>
      <c r="EI10" s="522">
        <f t="shared" si="44"/>
        <v>2.2688263711281613</v>
      </c>
      <c r="EJ10" s="523">
        <f t="shared" ref="EJ10:EJ39" si="156">+EH10*$H$8</f>
        <v>0</v>
      </c>
      <c r="EK10" s="521"/>
      <c r="EL10" s="522">
        <f t="shared" si="45"/>
        <v>0</v>
      </c>
      <c r="EM10" s="523">
        <f t="shared" ref="EM10:EM39" si="157">+EK10*$H$8</f>
        <v>0</v>
      </c>
      <c r="EN10" s="521"/>
      <c r="EO10" s="522">
        <f t="shared" si="46"/>
        <v>0</v>
      </c>
      <c r="EP10" s="523">
        <f t="shared" ref="EP10:EP39" si="158">+EN10*$H$8</f>
        <v>0</v>
      </c>
      <c r="EQ10" s="521"/>
      <c r="ER10" s="522">
        <f t="shared" si="47"/>
        <v>0</v>
      </c>
      <c r="ES10" s="523">
        <f t="shared" ref="ES10:ES39" si="159">+EQ10*$H$8</f>
        <v>0</v>
      </c>
      <c r="ET10" s="521"/>
      <c r="EU10" s="522">
        <f t="shared" si="48"/>
        <v>0</v>
      </c>
      <c r="EV10" s="523">
        <f t="shared" ref="EV10:EV39" si="160">+ET10*$H$8</f>
        <v>0</v>
      </c>
      <c r="EW10" s="521"/>
      <c r="EX10" s="522">
        <f t="shared" si="49"/>
        <v>0</v>
      </c>
      <c r="EY10" s="523">
        <f t="shared" ref="EY10:EY39" si="161">+EW10*$H$8</f>
        <v>0</v>
      </c>
      <c r="EZ10" s="521"/>
      <c r="FA10" s="522">
        <f t="shared" si="50"/>
        <v>0</v>
      </c>
      <c r="FB10" s="523">
        <f t="shared" ref="FB10:FB39" si="162">+EZ10*$H$8</f>
        <v>0</v>
      </c>
      <c r="FC10" s="521"/>
      <c r="FD10" s="522">
        <f t="shared" si="51"/>
        <v>0</v>
      </c>
      <c r="FE10" s="523">
        <f t="shared" ref="FE10:FE39" si="163">+FC10*$H$8</f>
        <v>0</v>
      </c>
      <c r="FF10" s="521"/>
      <c r="FG10" s="522">
        <f t="shared" si="52"/>
        <v>0</v>
      </c>
      <c r="FH10" s="523">
        <f t="shared" ref="FH10:FH39" si="164">+FF10*$H$8</f>
        <v>0</v>
      </c>
      <c r="FI10" s="521"/>
      <c r="FJ10" s="522">
        <f t="shared" si="53"/>
        <v>0</v>
      </c>
      <c r="FK10" s="523">
        <f t="shared" ref="FK10:FK39" si="165">+FI10*$H$8</f>
        <v>0</v>
      </c>
      <c r="FL10" s="521"/>
      <c r="FM10" s="522">
        <f t="shared" si="54"/>
        <v>0</v>
      </c>
      <c r="FN10" s="523">
        <f t="shared" ref="FN10:FN39" si="166">+FL10*$H$8</f>
        <v>0</v>
      </c>
      <c r="FO10" s="521"/>
      <c r="FP10" s="522">
        <f t="shared" si="55"/>
        <v>0</v>
      </c>
      <c r="FQ10" s="523">
        <f t="shared" ref="FQ10:FQ39" si="167">+FO10*$H$8</f>
        <v>0</v>
      </c>
      <c r="FR10" s="521"/>
      <c r="FS10" s="522">
        <f t="shared" si="56"/>
        <v>0</v>
      </c>
      <c r="FT10" s="523">
        <f t="shared" ref="FT10:FT39" si="168">+FR10*$H$8</f>
        <v>0</v>
      </c>
      <c r="FU10" s="521"/>
      <c r="FV10" s="522">
        <f t="shared" si="57"/>
        <v>0</v>
      </c>
      <c r="FW10" s="523">
        <f t="shared" ref="FW10:FW39" si="169">+FU10*$H$8</f>
        <v>0</v>
      </c>
      <c r="FX10" s="521"/>
      <c r="FY10" s="522">
        <f t="shared" si="58"/>
        <v>0</v>
      </c>
      <c r="FZ10" s="523">
        <f t="shared" ref="FZ10:FZ39" si="170">+FX10*$H$8</f>
        <v>0</v>
      </c>
      <c r="GA10" s="521"/>
      <c r="GB10" s="522">
        <f t="shared" si="59"/>
        <v>0</v>
      </c>
      <c r="GC10" s="523">
        <f t="shared" ref="GC10:GC39" si="171">+GA10*$H$8</f>
        <v>0</v>
      </c>
      <c r="GD10" s="521"/>
      <c r="GE10" s="522">
        <f t="shared" si="60"/>
        <v>0</v>
      </c>
      <c r="GF10" s="523">
        <f t="shared" ref="GF10:GF39" si="172">+GD10*$H$8</f>
        <v>0</v>
      </c>
      <c r="GG10" s="521"/>
      <c r="GH10" s="522">
        <f t="shared" si="61"/>
        <v>0</v>
      </c>
      <c r="GI10" s="523">
        <f t="shared" ref="GI10:GI39" si="173">+GG10*$H$8</f>
        <v>0</v>
      </c>
      <c r="GJ10" s="521"/>
      <c r="GK10" s="522">
        <f t="shared" si="62"/>
        <v>0</v>
      </c>
      <c r="GL10" s="523">
        <f t="shared" ref="GL10:GL39" si="174">+GJ10*$H$8</f>
        <v>0</v>
      </c>
      <c r="GM10" s="521"/>
      <c r="GN10" s="522">
        <f t="shared" si="63"/>
        <v>0</v>
      </c>
      <c r="GO10" s="523">
        <f t="shared" ref="GO10:GO39" si="175">+GM10*$H$8</f>
        <v>0</v>
      </c>
      <c r="GP10" s="521"/>
      <c r="GQ10" s="522">
        <f t="shared" si="64"/>
        <v>0</v>
      </c>
      <c r="GR10" s="523">
        <f t="shared" ref="GR10:GR39" si="176">+GP10*$H$8</f>
        <v>0</v>
      </c>
      <c r="GS10" s="521"/>
      <c r="GT10" s="522">
        <f t="shared" si="65"/>
        <v>0</v>
      </c>
      <c r="GU10" s="523">
        <f t="shared" ref="GU10:GU39" si="177">+GS10*$H$8</f>
        <v>0</v>
      </c>
      <c r="GV10" s="521"/>
      <c r="GW10" s="522">
        <f t="shared" si="66"/>
        <v>0</v>
      </c>
      <c r="GX10" s="523">
        <f t="shared" ref="GX10:GX39" si="178">+GV10*$H$8</f>
        <v>0</v>
      </c>
      <c r="GY10" s="521"/>
      <c r="GZ10" s="522">
        <f t="shared" si="67"/>
        <v>0</v>
      </c>
      <c r="HA10" s="523">
        <f t="shared" ref="HA10:HA39" si="179">+GY10*$H$8</f>
        <v>0</v>
      </c>
      <c r="HB10" s="521"/>
      <c r="HC10" s="522">
        <f t="shared" si="68"/>
        <v>0</v>
      </c>
      <c r="HD10" s="523">
        <f t="shared" ref="HD10:HD39" si="180">+HB10*$H$8</f>
        <v>0</v>
      </c>
      <c r="HE10" s="521"/>
      <c r="HF10" s="522">
        <f t="shared" si="69"/>
        <v>0</v>
      </c>
      <c r="HG10" s="523">
        <f t="shared" ref="HG10:HG39" si="181">+HE10*$H$8</f>
        <v>0</v>
      </c>
      <c r="HH10" s="521"/>
      <c r="HI10" s="522">
        <f t="shared" si="70"/>
        <v>0</v>
      </c>
      <c r="HJ10" s="523">
        <f t="shared" ref="HJ10:HJ39" si="182">+HH10*$H$8</f>
        <v>0</v>
      </c>
      <c r="HK10" s="521"/>
      <c r="HL10" s="522">
        <f t="shared" si="71"/>
        <v>0</v>
      </c>
      <c r="HM10" s="523">
        <f t="shared" ref="HM10:HM39" si="183">+HK10*$H$8</f>
        <v>0</v>
      </c>
      <c r="HN10" s="521"/>
      <c r="HO10" s="522">
        <f t="shared" si="72"/>
        <v>0</v>
      </c>
      <c r="HP10" s="523">
        <f t="shared" ref="HP10:HP39" si="184">+HN10*$H$8</f>
        <v>0</v>
      </c>
      <c r="HQ10" s="521"/>
      <c r="HR10" s="522">
        <f t="shared" si="73"/>
        <v>0</v>
      </c>
      <c r="HS10" s="523">
        <f t="shared" ref="HS10:HS39" si="185">+HQ10*$H$8</f>
        <v>0</v>
      </c>
      <c r="HT10" s="521"/>
      <c r="HU10" s="522">
        <f t="shared" si="74"/>
        <v>0</v>
      </c>
      <c r="HV10" s="523">
        <f t="shared" ref="HV10:HV39" si="186">+HT10*$H$8</f>
        <v>0</v>
      </c>
      <c r="HW10" s="521"/>
      <c r="HX10" s="522">
        <f t="shared" si="75"/>
        <v>0</v>
      </c>
      <c r="HY10" s="523">
        <f t="shared" ref="HY10:HY39" si="187">+HW10*$H$8</f>
        <v>0</v>
      </c>
      <c r="HZ10" s="521"/>
      <c r="IA10" s="522">
        <f t="shared" si="76"/>
        <v>0</v>
      </c>
      <c r="IB10" s="523">
        <f t="shared" ref="IB10:IB39" si="188">+HZ10*$H$8</f>
        <v>0</v>
      </c>
      <c r="IC10" s="521"/>
      <c r="ID10" s="522">
        <f t="shared" si="77"/>
        <v>0</v>
      </c>
      <c r="IE10" s="523">
        <f t="shared" ref="IE10:IE39" si="189">+IC10*$H$8</f>
        <v>0</v>
      </c>
      <c r="IF10" s="521"/>
      <c r="IG10" s="522">
        <f t="shared" si="78"/>
        <v>0</v>
      </c>
      <c r="IH10" s="523">
        <f t="shared" ref="IH10:IH39" si="190">+IF10*$H$8</f>
        <v>0</v>
      </c>
      <c r="II10" s="521"/>
      <c r="IJ10" s="522">
        <f t="shared" si="79"/>
        <v>0</v>
      </c>
      <c r="IK10" s="523">
        <f t="shared" ref="IK10:IK39" si="191">+II10*$H$8</f>
        <v>0</v>
      </c>
      <c r="IL10" s="521"/>
      <c r="IM10" s="522">
        <f t="shared" si="80"/>
        <v>0</v>
      </c>
      <c r="IN10" s="523">
        <f t="shared" ref="IN10:IN39" si="192">+IL10*$H$8</f>
        <v>0</v>
      </c>
      <c r="IO10" s="521"/>
      <c r="IP10" s="522">
        <f t="shared" si="81"/>
        <v>0</v>
      </c>
      <c r="IQ10" s="523">
        <f t="shared" ref="IQ10:IQ39" si="193">+IO10*$H$8</f>
        <v>0</v>
      </c>
      <c r="IR10" s="521"/>
      <c r="IS10" s="522">
        <f t="shared" si="82"/>
        <v>0</v>
      </c>
      <c r="IT10" s="523">
        <f t="shared" ref="IT10:IT39" si="194">+IR10*$H$8</f>
        <v>0</v>
      </c>
      <c r="IU10" s="521"/>
      <c r="IV10" s="522">
        <f t="shared" si="83"/>
        <v>0</v>
      </c>
      <c r="IW10" s="523">
        <f t="shared" ref="IW10:IW39" si="195">+IU10*$H$8</f>
        <v>0</v>
      </c>
      <c r="IX10" s="521"/>
      <c r="IY10" s="522">
        <f t="shared" si="84"/>
        <v>0</v>
      </c>
      <c r="IZ10" s="523">
        <f t="shared" ref="IZ10:IZ39" si="196">+IX10*$H$8</f>
        <v>0</v>
      </c>
      <c r="JA10" s="521"/>
      <c r="JB10" s="522">
        <f t="shared" si="85"/>
        <v>0</v>
      </c>
      <c r="JC10" s="523">
        <f t="shared" ref="JC10:JC39" si="197">+JA10*$H$8</f>
        <v>0</v>
      </c>
      <c r="JD10" s="521"/>
      <c r="JE10" s="522">
        <f t="shared" si="86"/>
        <v>0</v>
      </c>
      <c r="JF10" s="523">
        <f t="shared" ref="JF10:JF39" si="198">+JD10*$H$8</f>
        <v>0</v>
      </c>
      <c r="JG10" s="521"/>
      <c r="JH10" s="522">
        <f t="shared" si="87"/>
        <v>0</v>
      </c>
      <c r="JI10" s="523">
        <f t="shared" ref="JI10:JI39" si="199">+JG10*$H$8</f>
        <v>0</v>
      </c>
      <c r="JJ10" s="521"/>
      <c r="JK10" s="523" t="str">
        <f t="shared" si="88"/>
        <v>0</v>
      </c>
      <c r="JL10" s="523" t="str">
        <f t="shared" si="89"/>
        <v>0</v>
      </c>
      <c r="JM10" s="521"/>
      <c r="JN10" s="523" t="str">
        <f t="shared" si="90"/>
        <v>0</v>
      </c>
      <c r="JO10" s="523" t="str">
        <f t="shared" si="91"/>
        <v>0</v>
      </c>
      <c r="JP10" s="521"/>
      <c r="JQ10" s="523" t="str">
        <f t="shared" si="92"/>
        <v>0</v>
      </c>
      <c r="JR10" s="523" t="str">
        <f t="shared" si="93"/>
        <v>0</v>
      </c>
      <c r="JS10" s="521"/>
      <c r="JT10" s="523" t="str">
        <f t="shared" si="94"/>
        <v>0</v>
      </c>
      <c r="JU10" s="523" t="str">
        <f t="shared" si="95"/>
        <v>0</v>
      </c>
      <c r="JV10" s="521"/>
      <c r="JW10" s="523" t="str">
        <f t="shared" si="96"/>
        <v>0</v>
      </c>
      <c r="JX10" s="523" t="str">
        <f t="shared" si="97"/>
        <v>0</v>
      </c>
      <c r="JY10" s="521"/>
      <c r="JZ10" s="523" t="str">
        <f t="shared" si="98"/>
        <v>0</v>
      </c>
      <c r="KA10" s="523" t="str">
        <f t="shared" si="99"/>
        <v>0</v>
      </c>
      <c r="KB10" s="521"/>
      <c r="KC10" s="523" t="str">
        <f t="shared" si="100"/>
        <v>0</v>
      </c>
      <c r="KD10" s="523" t="str">
        <f t="shared" si="101"/>
        <v>0</v>
      </c>
      <c r="KE10" s="521"/>
      <c r="KF10" s="523" t="str">
        <f t="shared" si="102"/>
        <v>0</v>
      </c>
      <c r="KG10" s="523" t="str">
        <f t="shared" si="103"/>
        <v>0</v>
      </c>
      <c r="KH10" s="521"/>
      <c r="KI10" s="523" t="str">
        <f t="shared" si="104"/>
        <v>0</v>
      </c>
      <c r="KJ10" s="523" t="str">
        <f t="shared" si="105"/>
        <v>0</v>
      </c>
      <c r="KK10" s="521"/>
      <c r="KL10" s="523" t="str">
        <f t="shared" si="106"/>
        <v>0</v>
      </c>
      <c r="KM10" s="523" t="str">
        <f t="shared" si="107"/>
        <v>0</v>
      </c>
      <c r="KN10" s="521"/>
      <c r="KO10" s="523" t="str">
        <f t="shared" si="108"/>
        <v>0</v>
      </c>
      <c r="KP10" s="523" t="str">
        <f t="shared" si="109"/>
        <v>0</v>
      </c>
      <c r="KQ10" s="521"/>
      <c r="KR10" s="523" t="str">
        <f t="shared" si="110"/>
        <v>0</v>
      </c>
      <c r="KS10" s="523" t="str">
        <f t="shared" si="111"/>
        <v>0</v>
      </c>
      <c r="KT10" s="523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23">
        <f>GF10+GI10+GL10+GO10+GR10+GU10+GX10+HA10+HD10+HG10+HJ10+HM10+HP10+HS10+HV10+HY10+IB10+IE10+IH10+IK10+IN10+IQ10+IT10+IW10+IZ10+JC10+JF10+JI10+JL10+JO10+JR10+JU10+JX10++KA10+KD10+KG10+KJ10++KM10+KP10+KS10</f>
        <v>0</v>
      </c>
      <c r="KV10" s="260">
        <f t="shared" si="112"/>
        <v>315.34894081859989</v>
      </c>
    </row>
    <row r="11" spans="1:308">
      <c r="A11" s="261">
        <f t="shared" ref="A11:A39" si="200">+A10+1</f>
        <v>46025</v>
      </c>
      <c r="B11" s="262" t="str">
        <f>+Report1!B11</f>
        <v>Toilet/Facial</v>
      </c>
      <c r="C11" s="262" t="str">
        <f>+Report1!C11</f>
        <v>13/12</v>
      </c>
      <c r="D11" s="263">
        <f>+Report1!P11</f>
        <v>38.978999999999999</v>
      </c>
      <c r="E11" s="554">
        <f>+Report1!R11</f>
        <v>38.095999999999997</v>
      </c>
      <c r="F11" s="521"/>
      <c r="G11" s="522">
        <f t="shared" si="0"/>
        <v>0</v>
      </c>
      <c r="H11" s="523">
        <f t="shared" si="113"/>
        <v>0</v>
      </c>
      <c r="I11" s="521">
        <v>209.30232558139537</v>
      </c>
      <c r="J11" s="522">
        <f t="shared" si="1"/>
        <v>5.4940761649883294</v>
      </c>
      <c r="K11" s="523">
        <f t="shared" si="114"/>
        <v>0</v>
      </c>
      <c r="L11" s="521"/>
      <c r="M11" s="522">
        <f t="shared" si="2"/>
        <v>0</v>
      </c>
      <c r="N11" s="523">
        <f t="shared" si="115"/>
        <v>0</v>
      </c>
      <c r="O11" s="521">
        <v>3</v>
      </c>
      <c r="P11" s="522">
        <f t="shared" si="3"/>
        <v>7.8748425031499383E-2</v>
      </c>
      <c r="Q11" s="523">
        <f t="shared" si="116"/>
        <v>0</v>
      </c>
      <c r="R11" s="521"/>
      <c r="S11" s="522">
        <f t="shared" si="4"/>
        <v>0</v>
      </c>
      <c r="T11" s="523">
        <f t="shared" si="117"/>
        <v>0</v>
      </c>
      <c r="U11" s="521">
        <v>5.125</v>
      </c>
      <c r="V11" s="522">
        <f t="shared" si="5"/>
        <v>0.13452855942881142</v>
      </c>
      <c r="W11" s="523">
        <f t="shared" si="118"/>
        <v>0</v>
      </c>
      <c r="X11" s="521"/>
      <c r="Y11" s="522">
        <f t="shared" si="6"/>
        <v>0</v>
      </c>
      <c r="Z11" s="523">
        <f t="shared" si="119"/>
        <v>0</v>
      </c>
      <c r="AA11" s="521">
        <v>15.625000000000007</v>
      </c>
      <c r="AB11" s="522">
        <f t="shared" si="7"/>
        <v>0.41014804703905944</v>
      </c>
      <c r="AC11" s="523">
        <f t="shared" si="120"/>
        <v>0</v>
      </c>
      <c r="AD11" s="521"/>
      <c r="AE11" s="522">
        <f t="shared" si="8"/>
        <v>0</v>
      </c>
      <c r="AF11" s="523">
        <f t="shared" si="121"/>
        <v>0</v>
      </c>
      <c r="AG11" s="521"/>
      <c r="AH11" s="522">
        <f t="shared" si="9"/>
        <v>0</v>
      </c>
      <c r="AI11" s="523">
        <f t="shared" si="122"/>
        <v>0</v>
      </c>
      <c r="AJ11" s="521"/>
      <c r="AK11" s="522">
        <f t="shared" si="10"/>
        <v>0</v>
      </c>
      <c r="AL11" s="523">
        <f t="shared" si="123"/>
        <v>0</v>
      </c>
      <c r="AM11" s="521"/>
      <c r="AN11" s="522">
        <f t="shared" si="11"/>
        <v>0</v>
      </c>
      <c r="AO11" s="523">
        <f t="shared" si="124"/>
        <v>0</v>
      </c>
      <c r="AP11" s="521">
        <v>45.569620253164572</v>
      </c>
      <c r="AQ11" s="522">
        <f t="shared" si="12"/>
        <v>1.1961786080734087</v>
      </c>
      <c r="AR11" s="523">
        <f t="shared" si="125"/>
        <v>0</v>
      </c>
      <c r="AS11" s="521"/>
      <c r="AT11" s="522">
        <f t="shared" si="13"/>
        <v>0</v>
      </c>
      <c r="AU11" s="523">
        <f t="shared" si="126"/>
        <v>0</v>
      </c>
      <c r="AV11" s="521"/>
      <c r="AW11" s="522">
        <f t="shared" si="14"/>
        <v>0</v>
      </c>
      <c r="AX11" s="523">
        <f t="shared" si="127"/>
        <v>0</v>
      </c>
      <c r="AY11" s="521">
        <v>46.666666666666657</v>
      </c>
      <c r="AZ11" s="522">
        <f t="shared" si="15"/>
        <v>1.22497550048999</v>
      </c>
      <c r="BA11" s="523">
        <f t="shared" si="128"/>
        <v>0</v>
      </c>
      <c r="BB11" s="521"/>
      <c r="BC11" s="522">
        <f t="shared" si="16"/>
        <v>0</v>
      </c>
      <c r="BD11" s="523">
        <f t="shared" si="129"/>
        <v>0</v>
      </c>
      <c r="BE11" s="521"/>
      <c r="BF11" s="522">
        <f t="shared" si="17"/>
        <v>0</v>
      </c>
      <c r="BG11" s="523">
        <f t="shared" si="130"/>
        <v>0</v>
      </c>
      <c r="BH11" s="521"/>
      <c r="BI11" s="522">
        <f t="shared" si="18"/>
        <v>0</v>
      </c>
      <c r="BJ11" s="523">
        <f t="shared" si="131"/>
        <v>0</v>
      </c>
      <c r="BK11" s="521"/>
      <c r="BL11" s="522">
        <f t="shared" si="19"/>
        <v>0</v>
      </c>
      <c r="BM11" s="523">
        <f t="shared" si="132"/>
        <v>0</v>
      </c>
      <c r="BN11" s="521"/>
      <c r="BO11" s="522">
        <f t="shared" si="20"/>
        <v>0</v>
      </c>
      <c r="BP11" s="523">
        <f t="shared" si="133"/>
        <v>0</v>
      </c>
      <c r="BQ11" s="521"/>
      <c r="BR11" s="522">
        <f t="shared" si="21"/>
        <v>0</v>
      </c>
      <c r="BS11" s="523">
        <f t="shared" si="134"/>
        <v>0</v>
      </c>
      <c r="BT11" s="521"/>
      <c r="BU11" s="522">
        <f t="shared" si="22"/>
        <v>0</v>
      </c>
      <c r="BV11" s="523">
        <f t="shared" si="135"/>
        <v>0</v>
      </c>
      <c r="BW11" s="521"/>
      <c r="BX11" s="522">
        <f t="shared" si="23"/>
        <v>0</v>
      </c>
      <c r="BY11" s="523">
        <f t="shared" si="136"/>
        <v>0</v>
      </c>
      <c r="BZ11" s="521"/>
      <c r="CA11" s="522">
        <f t="shared" si="24"/>
        <v>0</v>
      </c>
      <c r="CB11" s="523">
        <f t="shared" si="137"/>
        <v>0</v>
      </c>
      <c r="CC11" s="521"/>
      <c r="CD11" s="522">
        <f t="shared" si="25"/>
        <v>0</v>
      </c>
      <c r="CE11" s="523">
        <f t="shared" si="138"/>
        <v>0</v>
      </c>
      <c r="CF11" s="521">
        <v>2.6</v>
      </c>
      <c r="CG11" s="522">
        <f t="shared" si="26"/>
        <v>6.8248635027299456E-2</v>
      </c>
      <c r="CH11" s="523">
        <f t="shared" si="139"/>
        <v>0</v>
      </c>
      <c r="CI11" s="521"/>
      <c r="CJ11" s="522">
        <f t="shared" si="27"/>
        <v>0</v>
      </c>
      <c r="CK11" s="523">
        <f t="shared" si="140"/>
        <v>0</v>
      </c>
      <c r="CL11" s="521"/>
      <c r="CM11" s="522">
        <f t="shared" si="28"/>
        <v>0</v>
      </c>
      <c r="CN11" s="523">
        <f t="shared" si="141"/>
        <v>0</v>
      </c>
      <c r="CO11" s="521"/>
      <c r="CP11" s="522">
        <f t="shared" si="29"/>
        <v>0</v>
      </c>
      <c r="CQ11" s="523">
        <f t="shared" si="142"/>
        <v>0</v>
      </c>
      <c r="CR11" s="521"/>
      <c r="CS11" s="522">
        <f t="shared" si="30"/>
        <v>0</v>
      </c>
      <c r="CT11" s="523">
        <f t="shared" si="143"/>
        <v>0</v>
      </c>
      <c r="CU11" s="521"/>
      <c r="CV11" s="522">
        <f t="shared" si="31"/>
        <v>0</v>
      </c>
      <c r="CW11" s="523">
        <f t="shared" si="144"/>
        <v>0</v>
      </c>
      <c r="CX11" s="521"/>
      <c r="CY11" s="522">
        <f t="shared" si="32"/>
        <v>0</v>
      </c>
      <c r="CZ11" s="523">
        <f t="shared" si="145"/>
        <v>0</v>
      </c>
      <c r="DA11" s="521"/>
      <c r="DB11" s="522">
        <f t="shared" si="33"/>
        <v>0</v>
      </c>
      <c r="DC11" s="523">
        <f t="shared" si="146"/>
        <v>0</v>
      </c>
      <c r="DD11" s="521"/>
      <c r="DE11" s="522">
        <f t="shared" si="34"/>
        <v>0</v>
      </c>
      <c r="DF11" s="523">
        <f t="shared" si="147"/>
        <v>0</v>
      </c>
      <c r="DG11" s="521"/>
      <c r="DH11" s="522">
        <f t="shared" si="35"/>
        <v>0</v>
      </c>
      <c r="DI11" s="523">
        <v>0</v>
      </c>
      <c r="DJ11" s="521"/>
      <c r="DK11" s="522">
        <f t="shared" si="36"/>
        <v>0</v>
      </c>
      <c r="DL11" s="523">
        <f t="shared" si="148"/>
        <v>0</v>
      </c>
      <c r="DM11" s="521"/>
      <c r="DN11" s="522">
        <f t="shared" si="37"/>
        <v>0</v>
      </c>
      <c r="DO11" s="523">
        <f t="shared" si="149"/>
        <v>0</v>
      </c>
      <c r="DP11" s="521"/>
      <c r="DQ11" s="522">
        <f t="shared" si="38"/>
        <v>0</v>
      </c>
      <c r="DR11" s="523">
        <f t="shared" si="150"/>
        <v>0</v>
      </c>
      <c r="DS11" s="521"/>
      <c r="DT11" s="522">
        <f t="shared" si="39"/>
        <v>0</v>
      </c>
      <c r="DU11" s="523">
        <f t="shared" si="151"/>
        <v>0</v>
      </c>
      <c r="DV11" s="521"/>
      <c r="DW11" s="522">
        <f t="shared" si="40"/>
        <v>0</v>
      </c>
      <c r="DX11" s="523">
        <f t="shared" si="152"/>
        <v>0</v>
      </c>
      <c r="DY11" s="521"/>
      <c r="DZ11" s="522">
        <f t="shared" si="41"/>
        <v>0</v>
      </c>
      <c r="EA11" s="523">
        <f t="shared" si="153"/>
        <v>0</v>
      </c>
      <c r="EB11" s="521"/>
      <c r="EC11" s="522">
        <f t="shared" si="42"/>
        <v>0</v>
      </c>
      <c r="ED11" s="523">
        <f t="shared" si="154"/>
        <v>0</v>
      </c>
      <c r="EE11" s="521">
        <v>29.069767441860478</v>
      </c>
      <c r="EF11" s="522">
        <f t="shared" si="43"/>
        <v>0.76306613402615708</v>
      </c>
      <c r="EG11" s="523">
        <f t="shared" si="155"/>
        <v>0</v>
      </c>
      <c r="EH11" s="521">
        <v>58.705882352941103</v>
      </c>
      <c r="EI11" s="522">
        <f t="shared" si="44"/>
        <v>1.5409985917928681</v>
      </c>
      <c r="EJ11" s="523">
        <f t="shared" si="156"/>
        <v>0</v>
      </c>
      <c r="EK11" s="521"/>
      <c r="EL11" s="522">
        <f t="shared" si="45"/>
        <v>0</v>
      </c>
      <c r="EM11" s="523">
        <f t="shared" si="157"/>
        <v>0</v>
      </c>
      <c r="EN11" s="521"/>
      <c r="EO11" s="522">
        <f t="shared" si="46"/>
        <v>0</v>
      </c>
      <c r="EP11" s="523">
        <f t="shared" si="158"/>
        <v>0</v>
      </c>
      <c r="EQ11" s="521"/>
      <c r="ER11" s="522">
        <f t="shared" si="47"/>
        <v>0</v>
      </c>
      <c r="ES11" s="523">
        <f t="shared" si="159"/>
        <v>0</v>
      </c>
      <c r="ET11" s="521"/>
      <c r="EU11" s="522">
        <f t="shared" si="48"/>
        <v>0</v>
      </c>
      <c r="EV11" s="523">
        <f t="shared" si="160"/>
        <v>0</v>
      </c>
      <c r="EW11" s="521"/>
      <c r="EX11" s="522">
        <f t="shared" si="49"/>
        <v>0</v>
      </c>
      <c r="EY11" s="523">
        <f t="shared" si="161"/>
        <v>0</v>
      </c>
      <c r="EZ11" s="521"/>
      <c r="FA11" s="522">
        <f t="shared" si="50"/>
        <v>0</v>
      </c>
      <c r="FB11" s="523">
        <f t="shared" si="162"/>
        <v>0</v>
      </c>
      <c r="FC11" s="521"/>
      <c r="FD11" s="522">
        <f t="shared" si="51"/>
        <v>0</v>
      </c>
      <c r="FE11" s="523">
        <f t="shared" si="163"/>
        <v>0</v>
      </c>
      <c r="FF11" s="521"/>
      <c r="FG11" s="522">
        <f t="shared" si="52"/>
        <v>0</v>
      </c>
      <c r="FH11" s="523">
        <f t="shared" si="164"/>
        <v>0</v>
      </c>
      <c r="FI11" s="521"/>
      <c r="FJ11" s="522">
        <f t="shared" si="53"/>
        <v>0</v>
      </c>
      <c r="FK11" s="523">
        <f t="shared" si="165"/>
        <v>0</v>
      </c>
      <c r="FL11" s="521"/>
      <c r="FM11" s="522">
        <f t="shared" si="54"/>
        <v>0</v>
      </c>
      <c r="FN11" s="523">
        <f t="shared" si="166"/>
        <v>0</v>
      </c>
      <c r="FO11" s="521"/>
      <c r="FP11" s="522">
        <f t="shared" si="55"/>
        <v>0</v>
      </c>
      <c r="FQ11" s="523">
        <f t="shared" si="167"/>
        <v>0</v>
      </c>
      <c r="FR11" s="521"/>
      <c r="FS11" s="522">
        <f t="shared" si="56"/>
        <v>0</v>
      </c>
      <c r="FT11" s="523">
        <f t="shared" si="168"/>
        <v>0</v>
      </c>
      <c r="FU11" s="521"/>
      <c r="FV11" s="522">
        <f t="shared" si="57"/>
        <v>0</v>
      </c>
      <c r="FW11" s="523">
        <f t="shared" si="169"/>
        <v>0</v>
      </c>
      <c r="FX11" s="521"/>
      <c r="FY11" s="522">
        <f t="shared" si="58"/>
        <v>0</v>
      </c>
      <c r="FZ11" s="523">
        <f t="shared" si="170"/>
        <v>0</v>
      </c>
      <c r="GA11" s="521"/>
      <c r="GB11" s="522">
        <f t="shared" si="59"/>
        <v>0</v>
      </c>
      <c r="GC11" s="523">
        <f t="shared" si="171"/>
        <v>0</v>
      </c>
      <c r="GD11" s="521"/>
      <c r="GE11" s="522">
        <f t="shared" si="60"/>
        <v>0</v>
      </c>
      <c r="GF11" s="523">
        <f t="shared" si="172"/>
        <v>0</v>
      </c>
      <c r="GG11" s="521"/>
      <c r="GH11" s="522">
        <f t="shared" si="61"/>
        <v>0</v>
      </c>
      <c r="GI11" s="523">
        <f t="shared" si="173"/>
        <v>0</v>
      </c>
      <c r="GJ11" s="521"/>
      <c r="GK11" s="522">
        <f t="shared" si="62"/>
        <v>0</v>
      </c>
      <c r="GL11" s="523">
        <f t="shared" si="174"/>
        <v>0</v>
      </c>
      <c r="GM11" s="521"/>
      <c r="GN11" s="522">
        <f t="shared" si="63"/>
        <v>0</v>
      </c>
      <c r="GO11" s="523">
        <f t="shared" si="175"/>
        <v>0</v>
      </c>
      <c r="GP11" s="521"/>
      <c r="GQ11" s="522">
        <f t="shared" si="64"/>
        <v>0</v>
      </c>
      <c r="GR11" s="523">
        <f t="shared" si="176"/>
        <v>0</v>
      </c>
      <c r="GS11" s="521"/>
      <c r="GT11" s="522">
        <f t="shared" si="65"/>
        <v>0</v>
      </c>
      <c r="GU11" s="523">
        <f t="shared" si="177"/>
        <v>0</v>
      </c>
      <c r="GV11" s="521"/>
      <c r="GW11" s="522">
        <f t="shared" si="66"/>
        <v>0</v>
      </c>
      <c r="GX11" s="523">
        <f t="shared" si="178"/>
        <v>0</v>
      </c>
      <c r="GY11" s="521"/>
      <c r="GZ11" s="522">
        <f t="shared" si="67"/>
        <v>0</v>
      </c>
      <c r="HA11" s="523">
        <f t="shared" si="179"/>
        <v>0</v>
      </c>
      <c r="HB11" s="521"/>
      <c r="HC11" s="522">
        <f t="shared" si="68"/>
        <v>0</v>
      </c>
      <c r="HD11" s="523">
        <f t="shared" si="180"/>
        <v>0</v>
      </c>
      <c r="HE11" s="521"/>
      <c r="HF11" s="522">
        <f t="shared" si="69"/>
        <v>0</v>
      </c>
      <c r="HG11" s="523">
        <f t="shared" si="181"/>
        <v>0</v>
      </c>
      <c r="HH11" s="521"/>
      <c r="HI11" s="522">
        <f t="shared" si="70"/>
        <v>0</v>
      </c>
      <c r="HJ11" s="523">
        <f t="shared" si="182"/>
        <v>0</v>
      </c>
      <c r="HK11" s="521"/>
      <c r="HL11" s="522">
        <f t="shared" si="71"/>
        <v>0</v>
      </c>
      <c r="HM11" s="523">
        <f t="shared" si="183"/>
        <v>0</v>
      </c>
      <c r="HN11" s="521"/>
      <c r="HO11" s="522">
        <f t="shared" si="72"/>
        <v>0</v>
      </c>
      <c r="HP11" s="523">
        <f t="shared" si="184"/>
        <v>0</v>
      </c>
      <c r="HQ11" s="521"/>
      <c r="HR11" s="522">
        <f t="shared" si="73"/>
        <v>0</v>
      </c>
      <c r="HS11" s="523">
        <f t="shared" si="185"/>
        <v>0</v>
      </c>
      <c r="HT11" s="521"/>
      <c r="HU11" s="522">
        <f t="shared" si="74"/>
        <v>0</v>
      </c>
      <c r="HV11" s="523">
        <f t="shared" si="186"/>
        <v>0</v>
      </c>
      <c r="HW11" s="521"/>
      <c r="HX11" s="522">
        <f t="shared" si="75"/>
        <v>0</v>
      </c>
      <c r="HY11" s="523">
        <f t="shared" si="187"/>
        <v>0</v>
      </c>
      <c r="HZ11" s="521"/>
      <c r="IA11" s="522">
        <f t="shared" si="76"/>
        <v>0</v>
      </c>
      <c r="IB11" s="523">
        <f t="shared" si="188"/>
        <v>0</v>
      </c>
      <c r="IC11" s="521"/>
      <c r="ID11" s="522">
        <f t="shared" si="77"/>
        <v>0</v>
      </c>
      <c r="IE11" s="523">
        <f t="shared" si="189"/>
        <v>0</v>
      </c>
      <c r="IF11" s="521"/>
      <c r="IG11" s="522">
        <f t="shared" si="78"/>
        <v>0</v>
      </c>
      <c r="IH11" s="523">
        <f t="shared" si="190"/>
        <v>0</v>
      </c>
      <c r="II11" s="521"/>
      <c r="IJ11" s="522">
        <f t="shared" si="79"/>
        <v>0</v>
      </c>
      <c r="IK11" s="523">
        <f t="shared" si="191"/>
        <v>0</v>
      </c>
      <c r="IL11" s="521"/>
      <c r="IM11" s="522">
        <f t="shared" si="80"/>
        <v>0</v>
      </c>
      <c r="IN11" s="523">
        <f t="shared" si="192"/>
        <v>0</v>
      </c>
      <c r="IO11" s="521"/>
      <c r="IP11" s="522">
        <f t="shared" si="81"/>
        <v>0</v>
      </c>
      <c r="IQ11" s="523">
        <f t="shared" si="193"/>
        <v>0</v>
      </c>
      <c r="IR11" s="521"/>
      <c r="IS11" s="522">
        <f t="shared" si="82"/>
        <v>0</v>
      </c>
      <c r="IT11" s="523">
        <f t="shared" si="194"/>
        <v>0</v>
      </c>
      <c r="IU11" s="521"/>
      <c r="IV11" s="522">
        <f t="shared" si="83"/>
        <v>0</v>
      </c>
      <c r="IW11" s="523">
        <f t="shared" si="195"/>
        <v>0</v>
      </c>
      <c r="IX11" s="521"/>
      <c r="IY11" s="522">
        <f t="shared" si="84"/>
        <v>0</v>
      </c>
      <c r="IZ11" s="523">
        <f t="shared" si="196"/>
        <v>0</v>
      </c>
      <c r="JA11" s="521"/>
      <c r="JB11" s="522">
        <f t="shared" si="85"/>
        <v>0</v>
      </c>
      <c r="JC11" s="523">
        <f t="shared" si="197"/>
        <v>0</v>
      </c>
      <c r="JD11" s="521"/>
      <c r="JE11" s="522">
        <f t="shared" si="86"/>
        <v>0</v>
      </c>
      <c r="JF11" s="523">
        <f t="shared" si="198"/>
        <v>0</v>
      </c>
      <c r="JG11" s="521"/>
      <c r="JH11" s="522">
        <f t="shared" si="87"/>
        <v>0</v>
      </c>
      <c r="JI11" s="523">
        <f t="shared" si="199"/>
        <v>0</v>
      </c>
      <c r="JJ11" s="521"/>
      <c r="JK11" s="523" t="str">
        <f t="shared" si="88"/>
        <v>0</v>
      </c>
      <c r="JL11" s="523" t="str">
        <f t="shared" si="89"/>
        <v>0</v>
      </c>
      <c r="JM11" s="521"/>
      <c r="JN11" s="523" t="str">
        <f t="shared" si="90"/>
        <v>0</v>
      </c>
      <c r="JO11" s="523" t="str">
        <f t="shared" si="91"/>
        <v>0</v>
      </c>
      <c r="JP11" s="521"/>
      <c r="JQ11" s="523" t="str">
        <f t="shared" si="92"/>
        <v>0</v>
      </c>
      <c r="JR11" s="523" t="str">
        <f t="shared" si="93"/>
        <v>0</v>
      </c>
      <c r="JS11" s="521"/>
      <c r="JT11" s="523" t="str">
        <f t="shared" si="94"/>
        <v>0</v>
      </c>
      <c r="JU11" s="523" t="str">
        <f t="shared" si="95"/>
        <v>0</v>
      </c>
      <c r="JV11" s="521"/>
      <c r="JW11" s="523" t="str">
        <f t="shared" si="96"/>
        <v>0</v>
      </c>
      <c r="JX11" s="523" t="str">
        <f t="shared" si="97"/>
        <v>0</v>
      </c>
      <c r="JY11" s="521"/>
      <c r="JZ11" s="523" t="str">
        <f t="shared" si="98"/>
        <v>0</v>
      </c>
      <c r="KA11" s="523" t="str">
        <f t="shared" si="99"/>
        <v>0</v>
      </c>
      <c r="KB11" s="521"/>
      <c r="KC11" s="523" t="str">
        <f t="shared" si="100"/>
        <v>0</v>
      </c>
      <c r="KD11" s="523" t="str">
        <f t="shared" si="101"/>
        <v>0</v>
      </c>
      <c r="KE11" s="521"/>
      <c r="KF11" s="523" t="str">
        <f t="shared" si="102"/>
        <v>0</v>
      </c>
      <c r="KG11" s="523" t="str">
        <f t="shared" si="103"/>
        <v>0</v>
      </c>
      <c r="KH11" s="521"/>
      <c r="KI11" s="523" t="str">
        <f t="shared" si="104"/>
        <v>0</v>
      </c>
      <c r="KJ11" s="523" t="str">
        <f t="shared" si="105"/>
        <v>0</v>
      </c>
      <c r="KK11" s="521"/>
      <c r="KL11" s="523" t="str">
        <f t="shared" si="106"/>
        <v>0</v>
      </c>
      <c r="KM11" s="523" t="str">
        <f t="shared" si="107"/>
        <v>0</v>
      </c>
      <c r="KN11" s="521"/>
      <c r="KO11" s="523" t="str">
        <f t="shared" si="108"/>
        <v>0</v>
      </c>
      <c r="KP11" s="523" t="str">
        <f t="shared" si="109"/>
        <v>0</v>
      </c>
      <c r="KQ11" s="521"/>
      <c r="KR11" s="523" t="str">
        <f t="shared" si="110"/>
        <v>0</v>
      </c>
      <c r="KS11" s="523" t="str">
        <f t="shared" si="111"/>
        <v>0</v>
      </c>
      <c r="KT11" s="523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23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0">
        <f t="shared" si="112"/>
        <v>415.66426229602814</v>
      </c>
    </row>
    <row r="12" spans="1:308">
      <c r="A12" s="261">
        <f t="shared" si="200"/>
        <v>46026</v>
      </c>
      <c r="B12" s="262" t="str">
        <f>+Report1!B12</f>
        <v>Facial</v>
      </c>
      <c r="C12" s="262" t="str">
        <f>+Report1!C12</f>
        <v>12</v>
      </c>
      <c r="D12" s="263">
        <f>+Report1!P12</f>
        <v>39.433999999999997</v>
      </c>
      <c r="E12" s="554">
        <f>+Report1!R12</f>
        <v>37.954000000000001</v>
      </c>
      <c r="F12" s="521"/>
      <c r="G12" s="522">
        <f t="shared" si="0"/>
        <v>0</v>
      </c>
      <c r="H12" s="523">
        <f t="shared" si="113"/>
        <v>0</v>
      </c>
      <c r="I12" s="521">
        <v>209.30232558139537</v>
      </c>
      <c r="J12" s="522">
        <f t="shared" si="1"/>
        <v>5.514631542957142</v>
      </c>
      <c r="K12" s="523">
        <f t="shared" si="114"/>
        <v>0</v>
      </c>
      <c r="L12" s="521"/>
      <c r="M12" s="522">
        <f t="shared" si="2"/>
        <v>0</v>
      </c>
      <c r="N12" s="523">
        <f t="shared" si="115"/>
        <v>0</v>
      </c>
      <c r="O12" s="521">
        <v>3</v>
      </c>
      <c r="P12" s="522">
        <f t="shared" si="3"/>
        <v>7.904305211571902E-2</v>
      </c>
      <c r="Q12" s="523">
        <f t="shared" si="116"/>
        <v>0</v>
      </c>
      <c r="R12" s="521"/>
      <c r="S12" s="522">
        <f t="shared" si="4"/>
        <v>0</v>
      </c>
      <c r="T12" s="523">
        <f t="shared" si="117"/>
        <v>0</v>
      </c>
      <c r="U12" s="521">
        <v>5.125</v>
      </c>
      <c r="V12" s="522">
        <f t="shared" si="5"/>
        <v>0.13503188069768668</v>
      </c>
      <c r="W12" s="523">
        <f t="shared" si="118"/>
        <v>0</v>
      </c>
      <c r="X12" s="521"/>
      <c r="Y12" s="522">
        <f t="shared" si="6"/>
        <v>0</v>
      </c>
      <c r="Z12" s="523">
        <f t="shared" si="119"/>
        <v>0</v>
      </c>
      <c r="AA12" s="521">
        <v>15.625000000000007</v>
      </c>
      <c r="AB12" s="522">
        <f t="shared" si="7"/>
        <v>0.41168256310270346</v>
      </c>
      <c r="AC12" s="523">
        <f t="shared" si="120"/>
        <v>0</v>
      </c>
      <c r="AD12" s="521"/>
      <c r="AE12" s="522">
        <f t="shared" si="8"/>
        <v>0</v>
      </c>
      <c r="AF12" s="523">
        <f t="shared" si="121"/>
        <v>0</v>
      </c>
      <c r="AG12" s="521"/>
      <c r="AH12" s="522">
        <f t="shared" si="9"/>
        <v>0</v>
      </c>
      <c r="AI12" s="523">
        <f t="shared" si="122"/>
        <v>0</v>
      </c>
      <c r="AJ12" s="521"/>
      <c r="AK12" s="522">
        <f t="shared" si="10"/>
        <v>0</v>
      </c>
      <c r="AL12" s="523">
        <f t="shared" si="123"/>
        <v>0</v>
      </c>
      <c r="AM12" s="521"/>
      <c r="AN12" s="522">
        <f t="shared" si="11"/>
        <v>0</v>
      </c>
      <c r="AO12" s="523">
        <f t="shared" si="124"/>
        <v>0</v>
      </c>
      <c r="AP12" s="521">
        <v>45.569620253164572</v>
      </c>
      <c r="AQ12" s="522">
        <f t="shared" si="12"/>
        <v>1.2006539561881375</v>
      </c>
      <c r="AR12" s="523">
        <f t="shared" si="125"/>
        <v>0</v>
      </c>
      <c r="AS12" s="521"/>
      <c r="AT12" s="522">
        <f t="shared" si="13"/>
        <v>0</v>
      </c>
      <c r="AU12" s="523">
        <f t="shared" si="126"/>
        <v>0</v>
      </c>
      <c r="AV12" s="521"/>
      <c r="AW12" s="522">
        <f t="shared" si="14"/>
        <v>0</v>
      </c>
      <c r="AX12" s="523">
        <f t="shared" si="127"/>
        <v>0</v>
      </c>
      <c r="AY12" s="521">
        <v>46.666666666666657</v>
      </c>
      <c r="AZ12" s="522">
        <f t="shared" si="15"/>
        <v>1.2295585884667402</v>
      </c>
      <c r="BA12" s="523">
        <f t="shared" si="128"/>
        <v>0</v>
      </c>
      <c r="BB12" s="521"/>
      <c r="BC12" s="522">
        <f t="shared" si="16"/>
        <v>0</v>
      </c>
      <c r="BD12" s="523">
        <f t="shared" si="129"/>
        <v>0</v>
      </c>
      <c r="BE12" s="521"/>
      <c r="BF12" s="522">
        <f t="shared" si="17"/>
        <v>0</v>
      </c>
      <c r="BG12" s="523">
        <f t="shared" si="130"/>
        <v>0</v>
      </c>
      <c r="BH12" s="521"/>
      <c r="BI12" s="522">
        <f t="shared" si="18"/>
        <v>0</v>
      </c>
      <c r="BJ12" s="523">
        <f t="shared" si="131"/>
        <v>0</v>
      </c>
      <c r="BK12" s="521"/>
      <c r="BL12" s="522">
        <f t="shared" si="19"/>
        <v>0</v>
      </c>
      <c r="BM12" s="523">
        <f t="shared" si="132"/>
        <v>0</v>
      </c>
      <c r="BN12" s="521"/>
      <c r="BO12" s="522">
        <f t="shared" si="20"/>
        <v>0</v>
      </c>
      <c r="BP12" s="523">
        <f t="shared" si="133"/>
        <v>0</v>
      </c>
      <c r="BQ12" s="521"/>
      <c r="BR12" s="522">
        <f t="shared" si="21"/>
        <v>0</v>
      </c>
      <c r="BS12" s="523">
        <f t="shared" si="134"/>
        <v>0</v>
      </c>
      <c r="BT12" s="521"/>
      <c r="BU12" s="522">
        <f t="shared" si="22"/>
        <v>0</v>
      </c>
      <c r="BV12" s="523">
        <f t="shared" si="135"/>
        <v>0</v>
      </c>
      <c r="BW12" s="521"/>
      <c r="BX12" s="522">
        <f t="shared" si="23"/>
        <v>0</v>
      </c>
      <c r="BY12" s="523">
        <f t="shared" si="136"/>
        <v>0</v>
      </c>
      <c r="BZ12" s="521"/>
      <c r="CA12" s="522">
        <f t="shared" si="24"/>
        <v>0</v>
      </c>
      <c r="CB12" s="523">
        <f t="shared" si="137"/>
        <v>0</v>
      </c>
      <c r="CC12" s="521"/>
      <c r="CD12" s="522">
        <f t="shared" si="25"/>
        <v>0</v>
      </c>
      <c r="CE12" s="523">
        <f t="shared" si="138"/>
        <v>0</v>
      </c>
      <c r="CF12" s="521">
        <v>2.6</v>
      </c>
      <c r="CG12" s="522">
        <f t="shared" si="26"/>
        <v>6.850397850028983E-2</v>
      </c>
      <c r="CH12" s="523">
        <f t="shared" si="139"/>
        <v>0</v>
      </c>
      <c r="CI12" s="521"/>
      <c r="CJ12" s="522">
        <f t="shared" si="27"/>
        <v>0</v>
      </c>
      <c r="CK12" s="523">
        <f t="shared" si="140"/>
        <v>0</v>
      </c>
      <c r="CL12" s="521"/>
      <c r="CM12" s="522">
        <f t="shared" si="28"/>
        <v>0</v>
      </c>
      <c r="CN12" s="523">
        <f t="shared" si="141"/>
        <v>0</v>
      </c>
      <c r="CO12" s="521"/>
      <c r="CP12" s="522">
        <f t="shared" si="29"/>
        <v>0</v>
      </c>
      <c r="CQ12" s="523">
        <f t="shared" si="142"/>
        <v>0</v>
      </c>
      <c r="CR12" s="521"/>
      <c r="CS12" s="522">
        <f t="shared" si="30"/>
        <v>0</v>
      </c>
      <c r="CT12" s="523">
        <f t="shared" si="143"/>
        <v>0</v>
      </c>
      <c r="CU12" s="521"/>
      <c r="CV12" s="522">
        <f t="shared" si="31"/>
        <v>0</v>
      </c>
      <c r="CW12" s="523">
        <f t="shared" si="144"/>
        <v>0</v>
      </c>
      <c r="CX12" s="521"/>
      <c r="CY12" s="522">
        <f t="shared" si="32"/>
        <v>0</v>
      </c>
      <c r="CZ12" s="523">
        <f t="shared" si="145"/>
        <v>0</v>
      </c>
      <c r="DA12" s="521"/>
      <c r="DB12" s="522">
        <f t="shared" si="33"/>
        <v>0</v>
      </c>
      <c r="DC12" s="523">
        <f t="shared" si="146"/>
        <v>0</v>
      </c>
      <c r="DD12" s="521"/>
      <c r="DE12" s="522">
        <f t="shared" si="34"/>
        <v>0</v>
      </c>
      <c r="DF12" s="523">
        <f t="shared" si="147"/>
        <v>0</v>
      </c>
      <c r="DG12" s="521"/>
      <c r="DH12" s="522">
        <f t="shared" si="35"/>
        <v>0</v>
      </c>
      <c r="DI12" s="523">
        <v>0</v>
      </c>
      <c r="DJ12" s="521"/>
      <c r="DK12" s="522">
        <f t="shared" si="36"/>
        <v>0</v>
      </c>
      <c r="DL12" s="523">
        <f t="shared" si="148"/>
        <v>0</v>
      </c>
      <c r="DM12" s="521"/>
      <c r="DN12" s="522">
        <f t="shared" si="37"/>
        <v>0</v>
      </c>
      <c r="DO12" s="523">
        <f t="shared" si="149"/>
        <v>0</v>
      </c>
      <c r="DP12" s="521"/>
      <c r="DQ12" s="522">
        <f t="shared" si="38"/>
        <v>0</v>
      </c>
      <c r="DR12" s="523">
        <f t="shared" si="150"/>
        <v>0</v>
      </c>
      <c r="DS12" s="521"/>
      <c r="DT12" s="522">
        <f t="shared" si="39"/>
        <v>0</v>
      </c>
      <c r="DU12" s="523">
        <f t="shared" si="151"/>
        <v>0</v>
      </c>
      <c r="DV12" s="521"/>
      <c r="DW12" s="522">
        <f t="shared" si="40"/>
        <v>0</v>
      </c>
      <c r="DX12" s="523">
        <f t="shared" si="152"/>
        <v>0</v>
      </c>
      <c r="DY12" s="521"/>
      <c r="DZ12" s="522">
        <f t="shared" si="41"/>
        <v>0</v>
      </c>
      <c r="EA12" s="523">
        <f t="shared" si="153"/>
        <v>0</v>
      </c>
      <c r="EB12" s="521"/>
      <c r="EC12" s="522">
        <f t="shared" si="42"/>
        <v>0</v>
      </c>
      <c r="ED12" s="523">
        <f t="shared" si="154"/>
        <v>0</v>
      </c>
      <c r="EE12" s="521">
        <v>29.069767441860478</v>
      </c>
      <c r="EF12" s="522">
        <f t="shared" si="43"/>
        <v>0.76592104763293667</v>
      </c>
      <c r="EG12" s="523">
        <f t="shared" si="155"/>
        <v>0</v>
      </c>
      <c r="EH12" s="521">
        <v>58.705882352941103</v>
      </c>
      <c r="EI12" s="522">
        <f t="shared" si="44"/>
        <v>1.5467640394409312</v>
      </c>
      <c r="EJ12" s="523">
        <f t="shared" si="156"/>
        <v>0</v>
      </c>
      <c r="EK12" s="521"/>
      <c r="EL12" s="522">
        <f t="shared" si="45"/>
        <v>0</v>
      </c>
      <c r="EM12" s="523">
        <f t="shared" si="157"/>
        <v>0</v>
      </c>
      <c r="EN12" s="521"/>
      <c r="EO12" s="522">
        <f t="shared" si="46"/>
        <v>0</v>
      </c>
      <c r="EP12" s="523">
        <f t="shared" si="158"/>
        <v>0</v>
      </c>
      <c r="EQ12" s="521"/>
      <c r="ER12" s="522">
        <f t="shared" si="47"/>
        <v>0</v>
      </c>
      <c r="ES12" s="523">
        <f t="shared" si="159"/>
        <v>0</v>
      </c>
      <c r="ET12" s="521"/>
      <c r="EU12" s="522">
        <f t="shared" si="48"/>
        <v>0</v>
      </c>
      <c r="EV12" s="523">
        <f t="shared" si="160"/>
        <v>0</v>
      </c>
      <c r="EW12" s="521"/>
      <c r="EX12" s="522">
        <f t="shared" si="49"/>
        <v>0</v>
      </c>
      <c r="EY12" s="523">
        <f t="shared" si="161"/>
        <v>0</v>
      </c>
      <c r="EZ12" s="521"/>
      <c r="FA12" s="522">
        <f t="shared" si="50"/>
        <v>0</v>
      </c>
      <c r="FB12" s="523">
        <f t="shared" si="162"/>
        <v>0</v>
      </c>
      <c r="FC12" s="521"/>
      <c r="FD12" s="522">
        <f t="shared" si="51"/>
        <v>0</v>
      </c>
      <c r="FE12" s="523">
        <f t="shared" si="163"/>
        <v>0</v>
      </c>
      <c r="FF12" s="521"/>
      <c r="FG12" s="522">
        <f t="shared" si="52"/>
        <v>0</v>
      </c>
      <c r="FH12" s="523">
        <f t="shared" si="164"/>
        <v>0</v>
      </c>
      <c r="FI12" s="521"/>
      <c r="FJ12" s="522">
        <f t="shared" si="53"/>
        <v>0</v>
      </c>
      <c r="FK12" s="523">
        <f t="shared" si="165"/>
        <v>0</v>
      </c>
      <c r="FL12" s="521"/>
      <c r="FM12" s="522">
        <f t="shared" si="54"/>
        <v>0</v>
      </c>
      <c r="FN12" s="523">
        <f t="shared" si="166"/>
        <v>0</v>
      </c>
      <c r="FO12" s="521"/>
      <c r="FP12" s="522">
        <f t="shared" si="55"/>
        <v>0</v>
      </c>
      <c r="FQ12" s="523">
        <f t="shared" si="167"/>
        <v>0</v>
      </c>
      <c r="FR12" s="521"/>
      <c r="FS12" s="522">
        <f t="shared" si="56"/>
        <v>0</v>
      </c>
      <c r="FT12" s="523">
        <f t="shared" si="168"/>
        <v>0</v>
      </c>
      <c r="FU12" s="521"/>
      <c r="FV12" s="522">
        <f t="shared" si="57"/>
        <v>0</v>
      </c>
      <c r="FW12" s="523">
        <f t="shared" si="169"/>
        <v>0</v>
      </c>
      <c r="FX12" s="521"/>
      <c r="FY12" s="522">
        <f t="shared" si="58"/>
        <v>0</v>
      </c>
      <c r="FZ12" s="523">
        <f t="shared" si="170"/>
        <v>0</v>
      </c>
      <c r="GA12" s="521"/>
      <c r="GB12" s="522">
        <f t="shared" si="59"/>
        <v>0</v>
      </c>
      <c r="GC12" s="523">
        <f t="shared" si="171"/>
        <v>0</v>
      </c>
      <c r="GD12" s="521"/>
      <c r="GE12" s="522">
        <f t="shared" si="60"/>
        <v>0</v>
      </c>
      <c r="GF12" s="523">
        <f t="shared" si="172"/>
        <v>0</v>
      </c>
      <c r="GG12" s="521"/>
      <c r="GH12" s="522">
        <f t="shared" si="61"/>
        <v>0</v>
      </c>
      <c r="GI12" s="523">
        <f t="shared" si="173"/>
        <v>0</v>
      </c>
      <c r="GJ12" s="521"/>
      <c r="GK12" s="522">
        <f t="shared" si="62"/>
        <v>0</v>
      </c>
      <c r="GL12" s="523">
        <f t="shared" si="174"/>
        <v>0</v>
      </c>
      <c r="GM12" s="521"/>
      <c r="GN12" s="522">
        <f t="shared" si="63"/>
        <v>0</v>
      </c>
      <c r="GO12" s="523">
        <f t="shared" si="175"/>
        <v>0</v>
      </c>
      <c r="GP12" s="521"/>
      <c r="GQ12" s="522">
        <f t="shared" si="64"/>
        <v>0</v>
      </c>
      <c r="GR12" s="523">
        <f t="shared" si="176"/>
        <v>0</v>
      </c>
      <c r="GS12" s="521"/>
      <c r="GT12" s="522">
        <f t="shared" si="65"/>
        <v>0</v>
      </c>
      <c r="GU12" s="523">
        <f t="shared" si="177"/>
        <v>0</v>
      </c>
      <c r="GV12" s="521"/>
      <c r="GW12" s="522">
        <f t="shared" si="66"/>
        <v>0</v>
      </c>
      <c r="GX12" s="523">
        <f t="shared" si="178"/>
        <v>0</v>
      </c>
      <c r="GY12" s="521"/>
      <c r="GZ12" s="522">
        <f t="shared" si="67"/>
        <v>0</v>
      </c>
      <c r="HA12" s="523">
        <f t="shared" si="179"/>
        <v>0</v>
      </c>
      <c r="HB12" s="521"/>
      <c r="HC12" s="522">
        <f t="shared" si="68"/>
        <v>0</v>
      </c>
      <c r="HD12" s="523">
        <f t="shared" si="180"/>
        <v>0</v>
      </c>
      <c r="HE12" s="521"/>
      <c r="HF12" s="522">
        <f t="shared" si="69"/>
        <v>0</v>
      </c>
      <c r="HG12" s="523">
        <f t="shared" si="181"/>
        <v>0</v>
      </c>
      <c r="HH12" s="521"/>
      <c r="HI12" s="522">
        <f t="shared" si="70"/>
        <v>0</v>
      </c>
      <c r="HJ12" s="523">
        <f t="shared" si="182"/>
        <v>0</v>
      </c>
      <c r="HK12" s="521"/>
      <c r="HL12" s="522">
        <f t="shared" si="71"/>
        <v>0</v>
      </c>
      <c r="HM12" s="523">
        <f t="shared" si="183"/>
        <v>0</v>
      </c>
      <c r="HN12" s="521"/>
      <c r="HO12" s="522">
        <f t="shared" si="72"/>
        <v>0</v>
      </c>
      <c r="HP12" s="523">
        <f t="shared" si="184"/>
        <v>0</v>
      </c>
      <c r="HQ12" s="521"/>
      <c r="HR12" s="522">
        <f t="shared" si="73"/>
        <v>0</v>
      </c>
      <c r="HS12" s="523">
        <f t="shared" si="185"/>
        <v>0</v>
      </c>
      <c r="HT12" s="521"/>
      <c r="HU12" s="522">
        <f t="shared" si="74"/>
        <v>0</v>
      </c>
      <c r="HV12" s="523">
        <f t="shared" si="186"/>
        <v>0</v>
      </c>
      <c r="HW12" s="521"/>
      <c r="HX12" s="522">
        <f t="shared" si="75"/>
        <v>0</v>
      </c>
      <c r="HY12" s="523">
        <f t="shared" si="187"/>
        <v>0</v>
      </c>
      <c r="HZ12" s="521"/>
      <c r="IA12" s="522">
        <f t="shared" si="76"/>
        <v>0</v>
      </c>
      <c r="IB12" s="523">
        <f t="shared" si="188"/>
        <v>0</v>
      </c>
      <c r="IC12" s="521"/>
      <c r="ID12" s="522">
        <f t="shared" si="77"/>
        <v>0</v>
      </c>
      <c r="IE12" s="523">
        <f t="shared" si="189"/>
        <v>0</v>
      </c>
      <c r="IF12" s="521"/>
      <c r="IG12" s="522">
        <f t="shared" si="78"/>
        <v>0</v>
      </c>
      <c r="IH12" s="523">
        <f t="shared" si="190"/>
        <v>0</v>
      </c>
      <c r="II12" s="521"/>
      <c r="IJ12" s="522">
        <f t="shared" si="79"/>
        <v>0</v>
      </c>
      <c r="IK12" s="523">
        <f t="shared" si="191"/>
        <v>0</v>
      </c>
      <c r="IL12" s="521"/>
      <c r="IM12" s="522">
        <f t="shared" si="80"/>
        <v>0</v>
      </c>
      <c r="IN12" s="523">
        <f t="shared" si="192"/>
        <v>0</v>
      </c>
      <c r="IO12" s="521"/>
      <c r="IP12" s="522">
        <f t="shared" si="81"/>
        <v>0</v>
      </c>
      <c r="IQ12" s="523">
        <f t="shared" si="193"/>
        <v>0</v>
      </c>
      <c r="IR12" s="521"/>
      <c r="IS12" s="522">
        <f t="shared" si="82"/>
        <v>0</v>
      </c>
      <c r="IT12" s="523">
        <f t="shared" si="194"/>
        <v>0</v>
      </c>
      <c r="IU12" s="521"/>
      <c r="IV12" s="522">
        <f t="shared" si="83"/>
        <v>0</v>
      </c>
      <c r="IW12" s="523">
        <f t="shared" si="195"/>
        <v>0</v>
      </c>
      <c r="IX12" s="521"/>
      <c r="IY12" s="522">
        <f t="shared" si="84"/>
        <v>0</v>
      </c>
      <c r="IZ12" s="523">
        <f t="shared" si="196"/>
        <v>0</v>
      </c>
      <c r="JA12" s="521"/>
      <c r="JB12" s="522">
        <f t="shared" si="85"/>
        <v>0</v>
      </c>
      <c r="JC12" s="523">
        <f t="shared" si="197"/>
        <v>0</v>
      </c>
      <c r="JD12" s="521"/>
      <c r="JE12" s="522">
        <f t="shared" si="86"/>
        <v>0</v>
      </c>
      <c r="JF12" s="523">
        <f t="shared" si="198"/>
        <v>0</v>
      </c>
      <c r="JG12" s="521"/>
      <c r="JH12" s="522">
        <f t="shared" si="87"/>
        <v>0</v>
      </c>
      <c r="JI12" s="523">
        <f t="shared" si="199"/>
        <v>0</v>
      </c>
      <c r="JJ12" s="521"/>
      <c r="JK12" s="523" t="str">
        <f t="shared" si="88"/>
        <v>0</v>
      </c>
      <c r="JL12" s="523" t="str">
        <f t="shared" si="89"/>
        <v>0</v>
      </c>
      <c r="JM12" s="521"/>
      <c r="JN12" s="523" t="str">
        <f t="shared" si="90"/>
        <v>0</v>
      </c>
      <c r="JO12" s="523" t="str">
        <f t="shared" si="91"/>
        <v>0</v>
      </c>
      <c r="JP12" s="521"/>
      <c r="JQ12" s="523" t="str">
        <f t="shared" si="92"/>
        <v>0</v>
      </c>
      <c r="JR12" s="523" t="str">
        <f t="shared" si="93"/>
        <v>0</v>
      </c>
      <c r="JS12" s="521"/>
      <c r="JT12" s="523" t="str">
        <f t="shared" si="94"/>
        <v>0</v>
      </c>
      <c r="JU12" s="523" t="str">
        <f t="shared" si="95"/>
        <v>0</v>
      </c>
      <c r="JV12" s="521"/>
      <c r="JW12" s="523" t="str">
        <f t="shared" si="96"/>
        <v>0</v>
      </c>
      <c r="JX12" s="523" t="str">
        <f t="shared" si="97"/>
        <v>0</v>
      </c>
      <c r="JY12" s="521"/>
      <c r="JZ12" s="523" t="str">
        <f t="shared" si="98"/>
        <v>0</v>
      </c>
      <c r="KA12" s="523" t="str">
        <f t="shared" si="99"/>
        <v>0</v>
      </c>
      <c r="KB12" s="521"/>
      <c r="KC12" s="523" t="str">
        <f t="shared" si="100"/>
        <v>0</v>
      </c>
      <c r="KD12" s="523" t="str">
        <f t="shared" si="101"/>
        <v>0</v>
      </c>
      <c r="KE12" s="521"/>
      <c r="KF12" s="523" t="str">
        <f t="shared" si="102"/>
        <v>0</v>
      </c>
      <c r="KG12" s="523" t="str">
        <f t="shared" si="103"/>
        <v>0</v>
      </c>
      <c r="KH12" s="521"/>
      <c r="KI12" s="523" t="str">
        <f t="shared" si="104"/>
        <v>0</v>
      </c>
      <c r="KJ12" s="523" t="str">
        <f t="shared" si="105"/>
        <v>0</v>
      </c>
      <c r="KK12" s="521"/>
      <c r="KL12" s="523" t="str">
        <f t="shared" si="106"/>
        <v>0</v>
      </c>
      <c r="KM12" s="523" t="str">
        <f t="shared" si="107"/>
        <v>0</v>
      </c>
      <c r="KN12" s="521"/>
      <c r="KO12" s="523" t="str">
        <f t="shared" si="108"/>
        <v>0</v>
      </c>
      <c r="KP12" s="523" t="str">
        <f t="shared" si="109"/>
        <v>0</v>
      </c>
      <c r="KQ12" s="521"/>
      <c r="KR12" s="523" t="str">
        <f t="shared" si="110"/>
        <v>0</v>
      </c>
      <c r="KS12" s="523" t="str">
        <f t="shared" si="111"/>
        <v>0</v>
      </c>
      <c r="KT12" s="523">
        <f t="shared" si="201"/>
        <v>0</v>
      </c>
      <c r="KU12" s="523">
        <f t="shared" si="202"/>
        <v>0</v>
      </c>
      <c r="KV12" s="260">
        <f t="shared" si="112"/>
        <v>415.66426229602814</v>
      </c>
    </row>
    <row r="13" spans="1:308">
      <c r="A13" s="261">
        <f t="shared" si="200"/>
        <v>46027</v>
      </c>
      <c r="B13" s="262" t="str">
        <f>+Report1!B13</f>
        <v>Facial</v>
      </c>
      <c r="C13" s="262" t="str">
        <f>+Report1!C13</f>
        <v>12/13,5/12,5</v>
      </c>
      <c r="D13" s="263">
        <f>+Report1!P13</f>
        <v>41.802999999999997</v>
      </c>
      <c r="E13" s="554">
        <f>+Report1!R13</f>
        <v>40.939</v>
      </c>
      <c r="F13" s="521"/>
      <c r="G13" s="522">
        <f t="shared" si="0"/>
        <v>0</v>
      </c>
      <c r="H13" s="523">
        <f t="shared" si="113"/>
        <v>0</v>
      </c>
      <c r="I13" s="521">
        <v>255.81395348837191</v>
      </c>
      <c r="J13" s="522">
        <f t="shared" si="1"/>
        <v>6.2486615083019101</v>
      </c>
      <c r="K13" s="523">
        <f t="shared" si="114"/>
        <v>0</v>
      </c>
      <c r="L13" s="521"/>
      <c r="M13" s="522">
        <f t="shared" si="2"/>
        <v>0</v>
      </c>
      <c r="N13" s="523">
        <f t="shared" si="115"/>
        <v>0</v>
      </c>
      <c r="O13" s="521">
        <v>3</v>
      </c>
      <c r="P13" s="522">
        <f t="shared" si="3"/>
        <v>7.3279757688267916E-2</v>
      </c>
      <c r="Q13" s="523">
        <f t="shared" si="116"/>
        <v>0</v>
      </c>
      <c r="R13" s="521"/>
      <c r="S13" s="522">
        <f t="shared" si="4"/>
        <v>0</v>
      </c>
      <c r="T13" s="523">
        <f t="shared" si="117"/>
        <v>0</v>
      </c>
      <c r="U13" s="521">
        <v>5.125</v>
      </c>
      <c r="V13" s="522">
        <f t="shared" si="5"/>
        <v>0.12518625271745767</v>
      </c>
      <c r="W13" s="523">
        <f t="shared" si="118"/>
        <v>0</v>
      </c>
      <c r="X13" s="521"/>
      <c r="Y13" s="522">
        <f t="shared" si="6"/>
        <v>0</v>
      </c>
      <c r="Z13" s="523">
        <f t="shared" si="119"/>
        <v>0</v>
      </c>
      <c r="AA13" s="521">
        <v>15.624999999999986</v>
      </c>
      <c r="AB13" s="522">
        <f t="shared" si="7"/>
        <v>0.38166540462639503</v>
      </c>
      <c r="AC13" s="523">
        <f t="shared" si="120"/>
        <v>0</v>
      </c>
      <c r="AD13" s="521"/>
      <c r="AE13" s="522">
        <f t="shared" si="8"/>
        <v>0</v>
      </c>
      <c r="AF13" s="523">
        <f t="shared" si="121"/>
        <v>0</v>
      </c>
      <c r="AG13" s="521"/>
      <c r="AH13" s="522">
        <f t="shared" si="9"/>
        <v>0</v>
      </c>
      <c r="AI13" s="523">
        <f t="shared" si="122"/>
        <v>0</v>
      </c>
      <c r="AJ13" s="521"/>
      <c r="AK13" s="522">
        <f t="shared" si="10"/>
        <v>0</v>
      </c>
      <c r="AL13" s="523">
        <f t="shared" si="123"/>
        <v>0</v>
      </c>
      <c r="AM13" s="521"/>
      <c r="AN13" s="522">
        <f t="shared" si="11"/>
        <v>0</v>
      </c>
      <c r="AO13" s="523">
        <f t="shared" si="124"/>
        <v>0</v>
      </c>
      <c r="AP13" s="521">
        <v>51.265822784810155</v>
      </c>
      <c r="AQ13" s="522">
        <f t="shared" si="12"/>
        <v>1.2522490237868573</v>
      </c>
      <c r="AR13" s="523">
        <f t="shared" si="125"/>
        <v>0</v>
      </c>
      <c r="AS13" s="521"/>
      <c r="AT13" s="522">
        <f t="shared" si="13"/>
        <v>0</v>
      </c>
      <c r="AU13" s="523">
        <f t="shared" si="126"/>
        <v>0</v>
      </c>
      <c r="AV13" s="521"/>
      <c r="AW13" s="522">
        <f t="shared" si="14"/>
        <v>0</v>
      </c>
      <c r="AX13" s="523">
        <f t="shared" si="127"/>
        <v>0</v>
      </c>
      <c r="AY13" s="521">
        <v>70.000000000000028</v>
      </c>
      <c r="AZ13" s="522">
        <f t="shared" si="15"/>
        <v>1.7098610127262519</v>
      </c>
      <c r="BA13" s="523">
        <f t="shared" si="128"/>
        <v>0</v>
      </c>
      <c r="BB13" s="521"/>
      <c r="BC13" s="522">
        <f t="shared" si="16"/>
        <v>0</v>
      </c>
      <c r="BD13" s="523">
        <f t="shared" si="129"/>
        <v>0</v>
      </c>
      <c r="BE13" s="521"/>
      <c r="BF13" s="522">
        <f t="shared" si="17"/>
        <v>0</v>
      </c>
      <c r="BG13" s="523">
        <f t="shared" si="130"/>
        <v>0</v>
      </c>
      <c r="BH13" s="521"/>
      <c r="BI13" s="522">
        <f t="shared" si="18"/>
        <v>0</v>
      </c>
      <c r="BJ13" s="523">
        <f t="shared" si="131"/>
        <v>0</v>
      </c>
      <c r="BK13" s="521"/>
      <c r="BL13" s="522">
        <f t="shared" si="19"/>
        <v>0</v>
      </c>
      <c r="BM13" s="523">
        <f t="shared" si="132"/>
        <v>0</v>
      </c>
      <c r="BN13" s="521"/>
      <c r="BO13" s="522">
        <f t="shared" si="20"/>
        <v>0</v>
      </c>
      <c r="BP13" s="523">
        <f t="shared" si="133"/>
        <v>0</v>
      </c>
      <c r="BQ13" s="521">
        <v>260.75949367088617</v>
      </c>
      <c r="BR13" s="522">
        <f t="shared" si="21"/>
        <v>6.3694641703726562</v>
      </c>
      <c r="BS13" s="523">
        <f t="shared" si="134"/>
        <v>0</v>
      </c>
      <c r="BT13" s="521"/>
      <c r="BU13" s="522">
        <f t="shared" si="22"/>
        <v>0</v>
      </c>
      <c r="BV13" s="523">
        <f t="shared" si="135"/>
        <v>0</v>
      </c>
      <c r="BW13" s="521"/>
      <c r="BX13" s="522">
        <f t="shared" si="23"/>
        <v>0</v>
      </c>
      <c r="BY13" s="523">
        <f t="shared" si="136"/>
        <v>0</v>
      </c>
      <c r="BZ13" s="521"/>
      <c r="CA13" s="522">
        <f t="shared" si="24"/>
        <v>0</v>
      </c>
      <c r="CB13" s="523">
        <f t="shared" si="137"/>
        <v>0</v>
      </c>
      <c r="CC13" s="521"/>
      <c r="CD13" s="522">
        <f t="shared" si="25"/>
        <v>0</v>
      </c>
      <c r="CE13" s="523">
        <f t="shared" si="138"/>
        <v>0</v>
      </c>
      <c r="CF13" s="521">
        <v>1.3</v>
      </c>
      <c r="CG13" s="522">
        <f t="shared" si="26"/>
        <v>3.1754561664916095E-2</v>
      </c>
      <c r="CH13" s="523">
        <f t="shared" si="139"/>
        <v>0</v>
      </c>
      <c r="CI13" s="521"/>
      <c r="CJ13" s="522">
        <f t="shared" si="27"/>
        <v>0</v>
      </c>
      <c r="CK13" s="523">
        <f t="shared" si="140"/>
        <v>0</v>
      </c>
      <c r="CL13" s="521"/>
      <c r="CM13" s="522">
        <f t="shared" si="28"/>
        <v>0</v>
      </c>
      <c r="CN13" s="523">
        <f t="shared" si="141"/>
        <v>0</v>
      </c>
      <c r="CO13" s="521"/>
      <c r="CP13" s="522">
        <f t="shared" si="29"/>
        <v>0</v>
      </c>
      <c r="CQ13" s="523">
        <f t="shared" si="142"/>
        <v>0</v>
      </c>
      <c r="CR13" s="521"/>
      <c r="CS13" s="522">
        <f t="shared" si="30"/>
        <v>0</v>
      </c>
      <c r="CT13" s="523">
        <f t="shared" si="143"/>
        <v>0</v>
      </c>
      <c r="CU13" s="521"/>
      <c r="CV13" s="522">
        <f t="shared" si="31"/>
        <v>0</v>
      </c>
      <c r="CW13" s="523">
        <f t="shared" si="144"/>
        <v>0</v>
      </c>
      <c r="CX13" s="521"/>
      <c r="CY13" s="522">
        <f t="shared" si="32"/>
        <v>0</v>
      </c>
      <c r="CZ13" s="523">
        <f t="shared" si="145"/>
        <v>0</v>
      </c>
      <c r="DA13" s="521"/>
      <c r="DB13" s="522">
        <f t="shared" si="33"/>
        <v>0</v>
      </c>
      <c r="DC13" s="523">
        <f t="shared" si="146"/>
        <v>0</v>
      </c>
      <c r="DD13" s="521"/>
      <c r="DE13" s="522">
        <f t="shared" si="34"/>
        <v>0</v>
      </c>
      <c r="DF13" s="523">
        <f t="shared" si="147"/>
        <v>0</v>
      </c>
      <c r="DG13" s="521"/>
      <c r="DH13" s="522">
        <f t="shared" si="35"/>
        <v>0</v>
      </c>
      <c r="DI13" s="523">
        <v>0</v>
      </c>
      <c r="DJ13" s="521"/>
      <c r="DK13" s="522">
        <f t="shared" si="36"/>
        <v>0</v>
      </c>
      <c r="DL13" s="523">
        <f t="shared" si="148"/>
        <v>0</v>
      </c>
      <c r="DM13" s="521"/>
      <c r="DN13" s="522">
        <f t="shared" si="37"/>
        <v>0</v>
      </c>
      <c r="DO13" s="523">
        <f t="shared" si="149"/>
        <v>0</v>
      </c>
      <c r="DP13" s="521"/>
      <c r="DQ13" s="522">
        <f t="shared" si="38"/>
        <v>0</v>
      </c>
      <c r="DR13" s="523">
        <f t="shared" si="150"/>
        <v>0</v>
      </c>
      <c r="DS13" s="521"/>
      <c r="DT13" s="522">
        <f t="shared" si="39"/>
        <v>0</v>
      </c>
      <c r="DU13" s="523">
        <f t="shared" si="151"/>
        <v>0</v>
      </c>
      <c r="DV13" s="521"/>
      <c r="DW13" s="522">
        <f t="shared" si="40"/>
        <v>0</v>
      </c>
      <c r="DX13" s="523">
        <f t="shared" si="152"/>
        <v>0</v>
      </c>
      <c r="DY13" s="521"/>
      <c r="DZ13" s="522">
        <f t="shared" si="41"/>
        <v>0</v>
      </c>
      <c r="EA13" s="523">
        <f t="shared" si="153"/>
        <v>0</v>
      </c>
      <c r="EB13" s="521"/>
      <c r="EC13" s="522">
        <f t="shared" si="42"/>
        <v>0</v>
      </c>
      <c r="ED13" s="523">
        <f t="shared" si="154"/>
        <v>0</v>
      </c>
      <c r="EE13" s="521">
        <v>29.069767441860478</v>
      </c>
      <c r="EF13" s="522">
        <f t="shared" si="43"/>
        <v>0.71007517139794518</v>
      </c>
      <c r="EG13" s="523">
        <f t="shared" si="155"/>
        <v>0</v>
      </c>
      <c r="EH13" s="521">
        <v>70.44705882352946</v>
      </c>
      <c r="EI13" s="522">
        <f t="shared" si="44"/>
        <v>1.7207811334797982</v>
      </c>
      <c r="EJ13" s="523">
        <f t="shared" si="156"/>
        <v>0</v>
      </c>
      <c r="EK13" s="521"/>
      <c r="EL13" s="522">
        <f t="shared" si="45"/>
        <v>0</v>
      </c>
      <c r="EM13" s="523">
        <f t="shared" si="157"/>
        <v>0</v>
      </c>
      <c r="EN13" s="521"/>
      <c r="EO13" s="522">
        <f t="shared" si="46"/>
        <v>0</v>
      </c>
      <c r="EP13" s="523">
        <f t="shared" si="158"/>
        <v>0</v>
      </c>
      <c r="EQ13" s="521"/>
      <c r="ER13" s="522">
        <f t="shared" si="47"/>
        <v>0</v>
      </c>
      <c r="ES13" s="523">
        <f t="shared" si="159"/>
        <v>0</v>
      </c>
      <c r="ET13" s="521"/>
      <c r="EU13" s="522">
        <f t="shared" si="48"/>
        <v>0</v>
      </c>
      <c r="EV13" s="523">
        <f t="shared" si="160"/>
        <v>0</v>
      </c>
      <c r="EW13" s="521"/>
      <c r="EX13" s="522">
        <f t="shared" si="49"/>
        <v>0</v>
      </c>
      <c r="EY13" s="523">
        <f t="shared" si="161"/>
        <v>0</v>
      </c>
      <c r="EZ13" s="521"/>
      <c r="FA13" s="522">
        <f t="shared" si="50"/>
        <v>0</v>
      </c>
      <c r="FB13" s="523">
        <f t="shared" si="162"/>
        <v>0</v>
      </c>
      <c r="FC13" s="521"/>
      <c r="FD13" s="522">
        <f t="shared" si="51"/>
        <v>0</v>
      </c>
      <c r="FE13" s="523">
        <f t="shared" si="163"/>
        <v>0</v>
      </c>
      <c r="FF13" s="521"/>
      <c r="FG13" s="522">
        <f t="shared" si="52"/>
        <v>0</v>
      </c>
      <c r="FH13" s="523">
        <f t="shared" si="164"/>
        <v>0</v>
      </c>
      <c r="FI13" s="521"/>
      <c r="FJ13" s="522">
        <f t="shared" si="53"/>
        <v>0</v>
      </c>
      <c r="FK13" s="523">
        <f t="shared" si="165"/>
        <v>0</v>
      </c>
      <c r="FL13" s="521"/>
      <c r="FM13" s="522">
        <f t="shared" si="54"/>
        <v>0</v>
      </c>
      <c r="FN13" s="523">
        <f t="shared" si="166"/>
        <v>0</v>
      </c>
      <c r="FO13" s="521"/>
      <c r="FP13" s="522">
        <f t="shared" si="55"/>
        <v>0</v>
      </c>
      <c r="FQ13" s="523">
        <f t="shared" si="167"/>
        <v>0</v>
      </c>
      <c r="FR13" s="521"/>
      <c r="FS13" s="522">
        <f t="shared" si="56"/>
        <v>0</v>
      </c>
      <c r="FT13" s="523">
        <f t="shared" si="168"/>
        <v>0</v>
      </c>
      <c r="FU13" s="521"/>
      <c r="FV13" s="522">
        <f t="shared" si="57"/>
        <v>0</v>
      </c>
      <c r="FW13" s="523">
        <f t="shared" si="169"/>
        <v>0</v>
      </c>
      <c r="FX13" s="521"/>
      <c r="FY13" s="522">
        <f t="shared" si="58"/>
        <v>0</v>
      </c>
      <c r="FZ13" s="523">
        <f t="shared" si="170"/>
        <v>0</v>
      </c>
      <c r="GA13" s="521"/>
      <c r="GB13" s="522">
        <f t="shared" si="59"/>
        <v>0</v>
      </c>
      <c r="GC13" s="523">
        <f t="shared" si="171"/>
        <v>0</v>
      </c>
      <c r="GD13" s="521"/>
      <c r="GE13" s="522">
        <f t="shared" si="60"/>
        <v>0</v>
      </c>
      <c r="GF13" s="523">
        <f t="shared" si="172"/>
        <v>0</v>
      </c>
      <c r="GG13" s="521"/>
      <c r="GH13" s="522">
        <f t="shared" si="61"/>
        <v>0</v>
      </c>
      <c r="GI13" s="523">
        <f t="shared" si="173"/>
        <v>0</v>
      </c>
      <c r="GJ13" s="521"/>
      <c r="GK13" s="522">
        <f t="shared" si="62"/>
        <v>0</v>
      </c>
      <c r="GL13" s="523">
        <f t="shared" si="174"/>
        <v>0</v>
      </c>
      <c r="GM13" s="521"/>
      <c r="GN13" s="522">
        <f t="shared" si="63"/>
        <v>0</v>
      </c>
      <c r="GO13" s="523">
        <f t="shared" si="175"/>
        <v>0</v>
      </c>
      <c r="GP13" s="521"/>
      <c r="GQ13" s="522">
        <f t="shared" si="64"/>
        <v>0</v>
      </c>
      <c r="GR13" s="523">
        <f t="shared" si="176"/>
        <v>0</v>
      </c>
      <c r="GS13" s="521"/>
      <c r="GT13" s="522">
        <f t="shared" si="65"/>
        <v>0</v>
      </c>
      <c r="GU13" s="523">
        <f t="shared" si="177"/>
        <v>0</v>
      </c>
      <c r="GV13" s="521"/>
      <c r="GW13" s="522">
        <f t="shared" si="66"/>
        <v>0</v>
      </c>
      <c r="GX13" s="523">
        <f t="shared" si="178"/>
        <v>0</v>
      </c>
      <c r="GY13" s="521"/>
      <c r="GZ13" s="522">
        <f t="shared" si="67"/>
        <v>0</v>
      </c>
      <c r="HA13" s="523">
        <f t="shared" si="179"/>
        <v>0</v>
      </c>
      <c r="HB13" s="521"/>
      <c r="HC13" s="522">
        <f t="shared" si="68"/>
        <v>0</v>
      </c>
      <c r="HD13" s="523">
        <f t="shared" si="180"/>
        <v>0</v>
      </c>
      <c r="HE13" s="521"/>
      <c r="HF13" s="522">
        <f t="shared" si="69"/>
        <v>0</v>
      </c>
      <c r="HG13" s="523">
        <f t="shared" si="181"/>
        <v>0</v>
      </c>
      <c r="HH13" s="521"/>
      <c r="HI13" s="522">
        <f t="shared" si="70"/>
        <v>0</v>
      </c>
      <c r="HJ13" s="523">
        <f t="shared" si="182"/>
        <v>0</v>
      </c>
      <c r="HK13" s="521"/>
      <c r="HL13" s="522">
        <f t="shared" si="71"/>
        <v>0</v>
      </c>
      <c r="HM13" s="523">
        <f t="shared" si="183"/>
        <v>0</v>
      </c>
      <c r="HN13" s="521"/>
      <c r="HO13" s="522">
        <f t="shared" si="72"/>
        <v>0</v>
      </c>
      <c r="HP13" s="523">
        <f t="shared" si="184"/>
        <v>0</v>
      </c>
      <c r="HQ13" s="521"/>
      <c r="HR13" s="522">
        <f t="shared" si="73"/>
        <v>0</v>
      </c>
      <c r="HS13" s="523">
        <f t="shared" si="185"/>
        <v>0</v>
      </c>
      <c r="HT13" s="521"/>
      <c r="HU13" s="522">
        <f t="shared" si="74"/>
        <v>0</v>
      </c>
      <c r="HV13" s="523">
        <f t="shared" si="186"/>
        <v>0</v>
      </c>
      <c r="HW13" s="521"/>
      <c r="HX13" s="522">
        <f t="shared" si="75"/>
        <v>0</v>
      </c>
      <c r="HY13" s="523">
        <f t="shared" si="187"/>
        <v>0</v>
      </c>
      <c r="HZ13" s="521"/>
      <c r="IA13" s="522">
        <f t="shared" si="76"/>
        <v>0</v>
      </c>
      <c r="IB13" s="523">
        <f t="shared" si="188"/>
        <v>0</v>
      </c>
      <c r="IC13" s="521"/>
      <c r="ID13" s="522">
        <f t="shared" si="77"/>
        <v>0</v>
      </c>
      <c r="IE13" s="523">
        <f t="shared" si="189"/>
        <v>0</v>
      </c>
      <c r="IF13" s="521"/>
      <c r="IG13" s="522">
        <f t="shared" si="78"/>
        <v>0</v>
      </c>
      <c r="IH13" s="523">
        <f t="shared" si="190"/>
        <v>0</v>
      </c>
      <c r="II13" s="521"/>
      <c r="IJ13" s="522">
        <f t="shared" si="79"/>
        <v>0</v>
      </c>
      <c r="IK13" s="523">
        <f t="shared" si="191"/>
        <v>0</v>
      </c>
      <c r="IL13" s="521"/>
      <c r="IM13" s="522">
        <f t="shared" si="80"/>
        <v>0</v>
      </c>
      <c r="IN13" s="523">
        <f t="shared" si="192"/>
        <v>0</v>
      </c>
      <c r="IO13" s="521"/>
      <c r="IP13" s="522">
        <f t="shared" si="81"/>
        <v>0</v>
      </c>
      <c r="IQ13" s="523">
        <f t="shared" si="193"/>
        <v>0</v>
      </c>
      <c r="IR13" s="521"/>
      <c r="IS13" s="522">
        <f t="shared" si="82"/>
        <v>0</v>
      </c>
      <c r="IT13" s="523">
        <f t="shared" si="194"/>
        <v>0</v>
      </c>
      <c r="IU13" s="521"/>
      <c r="IV13" s="522">
        <f t="shared" si="83"/>
        <v>0</v>
      </c>
      <c r="IW13" s="523">
        <f t="shared" si="195"/>
        <v>0</v>
      </c>
      <c r="IX13" s="521"/>
      <c r="IY13" s="522">
        <f t="shared" si="84"/>
        <v>0</v>
      </c>
      <c r="IZ13" s="523">
        <f t="shared" si="196"/>
        <v>0</v>
      </c>
      <c r="JA13" s="521"/>
      <c r="JB13" s="522">
        <f t="shared" si="85"/>
        <v>0</v>
      </c>
      <c r="JC13" s="523">
        <f t="shared" si="197"/>
        <v>0</v>
      </c>
      <c r="JD13" s="521"/>
      <c r="JE13" s="522">
        <f t="shared" si="86"/>
        <v>0</v>
      </c>
      <c r="JF13" s="523">
        <f t="shared" si="198"/>
        <v>0</v>
      </c>
      <c r="JG13" s="521"/>
      <c r="JH13" s="522">
        <f t="shared" si="87"/>
        <v>0</v>
      </c>
      <c r="JI13" s="523">
        <f t="shared" si="199"/>
        <v>0</v>
      </c>
      <c r="JJ13" s="521"/>
      <c r="JK13" s="523" t="str">
        <f t="shared" si="88"/>
        <v>0</v>
      </c>
      <c r="JL13" s="523" t="str">
        <f t="shared" si="89"/>
        <v>0</v>
      </c>
      <c r="JM13" s="521"/>
      <c r="JN13" s="523" t="str">
        <f t="shared" si="90"/>
        <v>0</v>
      </c>
      <c r="JO13" s="523" t="str">
        <f t="shared" si="91"/>
        <v>0</v>
      </c>
      <c r="JP13" s="521"/>
      <c r="JQ13" s="523" t="str">
        <f t="shared" si="92"/>
        <v>0</v>
      </c>
      <c r="JR13" s="523" t="str">
        <f t="shared" si="93"/>
        <v>0</v>
      </c>
      <c r="JS13" s="521"/>
      <c r="JT13" s="523" t="str">
        <f t="shared" si="94"/>
        <v>0</v>
      </c>
      <c r="JU13" s="523" t="str">
        <f t="shared" si="95"/>
        <v>0</v>
      </c>
      <c r="JV13" s="521"/>
      <c r="JW13" s="523" t="str">
        <f t="shared" si="96"/>
        <v>0</v>
      </c>
      <c r="JX13" s="523" t="str">
        <f t="shared" si="97"/>
        <v>0</v>
      </c>
      <c r="JY13" s="521"/>
      <c r="JZ13" s="523" t="str">
        <f t="shared" si="98"/>
        <v>0</v>
      </c>
      <c r="KA13" s="523" t="str">
        <f t="shared" si="99"/>
        <v>0</v>
      </c>
      <c r="KB13" s="521"/>
      <c r="KC13" s="523" t="str">
        <f t="shared" si="100"/>
        <v>0</v>
      </c>
      <c r="KD13" s="523" t="str">
        <f t="shared" si="101"/>
        <v>0</v>
      </c>
      <c r="KE13" s="521"/>
      <c r="KF13" s="523" t="str">
        <f t="shared" si="102"/>
        <v>0</v>
      </c>
      <c r="KG13" s="523" t="str">
        <f t="shared" si="103"/>
        <v>0</v>
      </c>
      <c r="KH13" s="521"/>
      <c r="KI13" s="523" t="str">
        <f t="shared" si="104"/>
        <v>0</v>
      </c>
      <c r="KJ13" s="523" t="str">
        <f t="shared" si="105"/>
        <v>0</v>
      </c>
      <c r="KK13" s="521"/>
      <c r="KL13" s="523" t="str">
        <f t="shared" si="106"/>
        <v>0</v>
      </c>
      <c r="KM13" s="523" t="str">
        <f t="shared" si="107"/>
        <v>0</v>
      </c>
      <c r="KN13" s="521"/>
      <c r="KO13" s="523" t="str">
        <f t="shared" si="108"/>
        <v>0</v>
      </c>
      <c r="KP13" s="523" t="str">
        <f t="shared" si="109"/>
        <v>0</v>
      </c>
      <c r="KQ13" s="521"/>
      <c r="KR13" s="523" t="str">
        <f t="shared" si="110"/>
        <v>0</v>
      </c>
      <c r="KS13" s="523" t="str">
        <f t="shared" si="111"/>
        <v>0</v>
      </c>
      <c r="KT13" s="523">
        <f t="shared" si="201"/>
        <v>0</v>
      </c>
      <c r="KU13" s="523">
        <f t="shared" si="202"/>
        <v>0</v>
      </c>
      <c r="KV13" s="260">
        <f t="shared" si="112"/>
        <v>762.40609620945816</v>
      </c>
    </row>
    <row r="14" spans="1:308">
      <c r="A14" s="261">
        <f t="shared" si="200"/>
        <v>46028</v>
      </c>
      <c r="B14" s="262" t="str">
        <f>+Report1!B14</f>
        <v>Facial</v>
      </c>
      <c r="C14" s="262" t="str">
        <f>+Report1!C14</f>
        <v>12,5/12</v>
      </c>
      <c r="D14" s="263">
        <f>+Report1!P14</f>
        <v>40.860999999999997</v>
      </c>
      <c r="E14" s="554">
        <f>+Report1!R14</f>
        <v>36.616999999999997</v>
      </c>
      <c r="F14" s="521"/>
      <c r="G14" s="522">
        <f t="shared" si="0"/>
        <v>0</v>
      </c>
      <c r="H14" s="523">
        <f t="shared" si="113"/>
        <v>0</v>
      </c>
      <c r="I14" s="521">
        <v>313.95348837209281</v>
      </c>
      <c r="J14" s="522">
        <f t="shared" si="1"/>
        <v>8.5739817126496671</v>
      </c>
      <c r="K14" s="523">
        <f t="shared" si="114"/>
        <v>0</v>
      </c>
      <c r="L14" s="521"/>
      <c r="M14" s="522">
        <f t="shared" si="2"/>
        <v>0</v>
      </c>
      <c r="N14" s="523">
        <f t="shared" si="115"/>
        <v>0</v>
      </c>
      <c r="O14" s="521">
        <v>3</v>
      </c>
      <c r="P14" s="522">
        <f t="shared" si="3"/>
        <v>8.1929158587541309E-2</v>
      </c>
      <c r="Q14" s="523">
        <f t="shared" si="116"/>
        <v>0</v>
      </c>
      <c r="R14" s="521"/>
      <c r="S14" s="522">
        <f t="shared" si="4"/>
        <v>0</v>
      </c>
      <c r="T14" s="523">
        <f t="shared" si="117"/>
        <v>0</v>
      </c>
      <c r="U14" s="521">
        <v>5.1250000000000284</v>
      </c>
      <c r="V14" s="522">
        <f t="shared" si="5"/>
        <v>0.13996231258705052</v>
      </c>
      <c r="W14" s="523">
        <f t="shared" si="118"/>
        <v>0</v>
      </c>
      <c r="X14" s="521"/>
      <c r="Y14" s="522">
        <f t="shared" si="6"/>
        <v>0</v>
      </c>
      <c r="Z14" s="523">
        <f t="shared" si="119"/>
        <v>0</v>
      </c>
      <c r="AA14" s="521">
        <v>15.625</v>
      </c>
      <c r="AB14" s="522">
        <f t="shared" si="7"/>
        <v>0.42671436764344434</v>
      </c>
      <c r="AC14" s="523">
        <f t="shared" si="120"/>
        <v>0</v>
      </c>
      <c r="AD14" s="521"/>
      <c r="AE14" s="522">
        <f t="shared" si="8"/>
        <v>0</v>
      </c>
      <c r="AF14" s="523">
        <f t="shared" si="121"/>
        <v>0</v>
      </c>
      <c r="AG14" s="521"/>
      <c r="AH14" s="522">
        <f t="shared" si="9"/>
        <v>0</v>
      </c>
      <c r="AI14" s="523">
        <f t="shared" si="122"/>
        <v>0</v>
      </c>
      <c r="AJ14" s="521"/>
      <c r="AK14" s="522">
        <f t="shared" si="10"/>
        <v>0</v>
      </c>
      <c r="AL14" s="523">
        <f t="shared" si="123"/>
        <v>0</v>
      </c>
      <c r="AM14" s="521"/>
      <c r="AN14" s="522">
        <f t="shared" si="11"/>
        <v>0</v>
      </c>
      <c r="AO14" s="523">
        <f t="shared" si="124"/>
        <v>0</v>
      </c>
      <c r="AP14" s="521">
        <v>48.417721518987321</v>
      </c>
      <c r="AQ14" s="522">
        <f t="shared" si="12"/>
        <v>1.322274394925508</v>
      </c>
      <c r="AR14" s="523">
        <f t="shared" si="125"/>
        <v>0</v>
      </c>
      <c r="AS14" s="521"/>
      <c r="AT14" s="522">
        <f t="shared" si="13"/>
        <v>0</v>
      </c>
      <c r="AU14" s="523">
        <f t="shared" si="126"/>
        <v>0</v>
      </c>
      <c r="AV14" s="521"/>
      <c r="AW14" s="522">
        <f t="shared" si="14"/>
        <v>0</v>
      </c>
      <c r="AX14" s="523">
        <f t="shared" si="127"/>
        <v>0</v>
      </c>
      <c r="AY14" s="521">
        <v>65.333333333333314</v>
      </c>
      <c r="AZ14" s="522">
        <f t="shared" si="15"/>
        <v>1.7842350092397881</v>
      </c>
      <c r="BA14" s="523">
        <f t="shared" si="128"/>
        <v>0</v>
      </c>
      <c r="BB14" s="521"/>
      <c r="BC14" s="522">
        <f t="shared" si="16"/>
        <v>0</v>
      </c>
      <c r="BD14" s="523">
        <f t="shared" si="129"/>
        <v>0</v>
      </c>
      <c r="BE14" s="521"/>
      <c r="BF14" s="522">
        <f t="shared" si="17"/>
        <v>0</v>
      </c>
      <c r="BG14" s="523">
        <f t="shared" si="130"/>
        <v>0</v>
      </c>
      <c r="BH14" s="521"/>
      <c r="BI14" s="522">
        <f t="shared" si="18"/>
        <v>0</v>
      </c>
      <c r="BJ14" s="523">
        <f t="shared" si="131"/>
        <v>0</v>
      </c>
      <c r="BK14" s="521"/>
      <c r="BL14" s="522">
        <f t="shared" si="19"/>
        <v>0</v>
      </c>
      <c r="BM14" s="523">
        <f t="shared" si="132"/>
        <v>0</v>
      </c>
      <c r="BN14" s="521"/>
      <c r="BO14" s="522">
        <f t="shared" si="20"/>
        <v>0</v>
      </c>
      <c r="BP14" s="523">
        <f t="shared" si="133"/>
        <v>0</v>
      </c>
      <c r="BQ14" s="521">
        <v>45.569620253164544</v>
      </c>
      <c r="BR14" s="522">
        <f t="shared" si="21"/>
        <v>1.2444935481651842</v>
      </c>
      <c r="BS14" s="523">
        <f t="shared" si="134"/>
        <v>0</v>
      </c>
      <c r="BT14" s="521"/>
      <c r="BU14" s="522">
        <f t="shared" si="22"/>
        <v>0</v>
      </c>
      <c r="BV14" s="523">
        <f t="shared" si="135"/>
        <v>0</v>
      </c>
      <c r="BW14" s="521"/>
      <c r="BX14" s="522">
        <f t="shared" si="23"/>
        <v>0</v>
      </c>
      <c r="BY14" s="523">
        <f t="shared" si="136"/>
        <v>0</v>
      </c>
      <c r="BZ14" s="521"/>
      <c r="CA14" s="522">
        <f t="shared" si="24"/>
        <v>0</v>
      </c>
      <c r="CB14" s="523">
        <f t="shared" si="137"/>
        <v>0</v>
      </c>
      <c r="CC14" s="521"/>
      <c r="CD14" s="522">
        <f t="shared" si="25"/>
        <v>0</v>
      </c>
      <c r="CE14" s="523">
        <f t="shared" si="138"/>
        <v>0</v>
      </c>
      <c r="CF14" s="521">
        <v>1.3</v>
      </c>
      <c r="CG14" s="522">
        <f t="shared" si="26"/>
        <v>3.5502635387934571E-2</v>
      </c>
      <c r="CH14" s="523">
        <f t="shared" si="139"/>
        <v>0</v>
      </c>
      <c r="CI14" s="521"/>
      <c r="CJ14" s="522">
        <f t="shared" si="27"/>
        <v>0</v>
      </c>
      <c r="CK14" s="523">
        <f t="shared" si="140"/>
        <v>0</v>
      </c>
      <c r="CL14" s="521"/>
      <c r="CM14" s="522">
        <f t="shared" si="28"/>
        <v>0</v>
      </c>
      <c r="CN14" s="523">
        <f t="shared" si="141"/>
        <v>0</v>
      </c>
      <c r="CO14" s="521"/>
      <c r="CP14" s="522">
        <f t="shared" si="29"/>
        <v>0</v>
      </c>
      <c r="CQ14" s="523">
        <f t="shared" si="142"/>
        <v>0</v>
      </c>
      <c r="CR14" s="521"/>
      <c r="CS14" s="522">
        <f t="shared" si="30"/>
        <v>0</v>
      </c>
      <c r="CT14" s="523">
        <f t="shared" si="143"/>
        <v>0</v>
      </c>
      <c r="CU14" s="521"/>
      <c r="CV14" s="522">
        <f t="shared" si="31"/>
        <v>0</v>
      </c>
      <c r="CW14" s="523">
        <f t="shared" si="144"/>
        <v>0</v>
      </c>
      <c r="CX14" s="521"/>
      <c r="CY14" s="522">
        <f t="shared" si="32"/>
        <v>0</v>
      </c>
      <c r="CZ14" s="523">
        <f t="shared" si="145"/>
        <v>0</v>
      </c>
      <c r="DA14" s="521"/>
      <c r="DB14" s="522">
        <f t="shared" si="33"/>
        <v>0</v>
      </c>
      <c r="DC14" s="523">
        <f t="shared" si="146"/>
        <v>0</v>
      </c>
      <c r="DD14" s="521"/>
      <c r="DE14" s="522">
        <f t="shared" si="34"/>
        <v>0</v>
      </c>
      <c r="DF14" s="523">
        <f t="shared" si="147"/>
        <v>0</v>
      </c>
      <c r="DG14" s="521"/>
      <c r="DH14" s="522">
        <f t="shared" si="35"/>
        <v>0</v>
      </c>
      <c r="DI14" s="523">
        <f t="shared" ref="DI14:DI39" si="203">+DG14*$H$8</f>
        <v>0</v>
      </c>
      <c r="DJ14" s="521"/>
      <c r="DK14" s="522">
        <f t="shared" si="36"/>
        <v>0</v>
      </c>
      <c r="DL14" s="523">
        <f t="shared" si="148"/>
        <v>0</v>
      </c>
      <c r="DM14" s="521"/>
      <c r="DN14" s="522">
        <f t="shared" si="37"/>
        <v>0</v>
      </c>
      <c r="DO14" s="523">
        <f t="shared" si="149"/>
        <v>0</v>
      </c>
      <c r="DP14" s="521"/>
      <c r="DQ14" s="522">
        <f t="shared" si="38"/>
        <v>0</v>
      </c>
      <c r="DR14" s="523">
        <f t="shared" si="150"/>
        <v>0</v>
      </c>
      <c r="DS14" s="521"/>
      <c r="DT14" s="522">
        <f t="shared" si="39"/>
        <v>0</v>
      </c>
      <c r="DU14" s="523">
        <f t="shared" si="151"/>
        <v>0</v>
      </c>
      <c r="DV14" s="521"/>
      <c r="DW14" s="522">
        <f t="shared" si="40"/>
        <v>0</v>
      </c>
      <c r="DX14" s="523">
        <f t="shared" si="152"/>
        <v>0</v>
      </c>
      <c r="DY14" s="521"/>
      <c r="DZ14" s="522">
        <f t="shared" si="41"/>
        <v>0</v>
      </c>
      <c r="EA14" s="523">
        <f t="shared" si="153"/>
        <v>0</v>
      </c>
      <c r="EB14" s="521"/>
      <c r="EC14" s="522">
        <f t="shared" si="42"/>
        <v>0</v>
      </c>
      <c r="ED14" s="523">
        <f t="shared" si="154"/>
        <v>0</v>
      </c>
      <c r="EE14" s="521">
        <v>29.069767441860478</v>
      </c>
      <c r="EF14" s="522">
        <f t="shared" si="43"/>
        <v>0.79388719561571075</v>
      </c>
      <c r="EG14" s="523">
        <f t="shared" si="155"/>
        <v>0</v>
      </c>
      <c r="EH14" s="521">
        <v>46.964705882352973</v>
      </c>
      <c r="EI14" s="522">
        <f t="shared" si="44"/>
        <v>1.2825929454175105</v>
      </c>
      <c r="EJ14" s="523">
        <f t="shared" si="156"/>
        <v>0</v>
      </c>
      <c r="EK14" s="521"/>
      <c r="EL14" s="522">
        <f t="shared" si="45"/>
        <v>0</v>
      </c>
      <c r="EM14" s="523">
        <f t="shared" si="157"/>
        <v>0</v>
      </c>
      <c r="EN14" s="521"/>
      <c r="EO14" s="522">
        <f t="shared" si="46"/>
        <v>0</v>
      </c>
      <c r="EP14" s="523">
        <f t="shared" si="158"/>
        <v>0</v>
      </c>
      <c r="EQ14" s="521"/>
      <c r="ER14" s="522">
        <f t="shared" si="47"/>
        <v>0</v>
      </c>
      <c r="ES14" s="523">
        <f t="shared" si="159"/>
        <v>0</v>
      </c>
      <c r="ET14" s="521"/>
      <c r="EU14" s="522">
        <f t="shared" si="48"/>
        <v>0</v>
      </c>
      <c r="EV14" s="523">
        <f t="shared" si="160"/>
        <v>0</v>
      </c>
      <c r="EW14" s="521"/>
      <c r="EX14" s="522">
        <f t="shared" si="49"/>
        <v>0</v>
      </c>
      <c r="EY14" s="523">
        <f t="shared" si="161"/>
        <v>0</v>
      </c>
      <c r="EZ14" s="521"/>
      <c r="FA14" s="522">
        <f t="shared" si="50"/>
        <v>0</v>
      </c>
      <c r="FB14" s="523">
        <f t="shared" si="162"/>
        <v>0</v>
      </c>
      <c r="FC14" s="521"/>
      <c r="FD14" s="522">
        <f t="shared" si="51"/>
        <v>0</v>
      </c>
      <c r="FE14" s="523">
        <f t="shared" si="163"/>
        <v>0</v>
      </c>
      <c r="FF14" s="521"/>
      <c r="FG14" s="522">
        <f t="shared" si="52"/>
        <v>0</v>
      </c>
      <c r="FH14" s="523">
        <f t="shared" si="164"/>
        <v>0</v>
      </c>
      <c r="FI14" s="521"/>
      <c r="FJ14" s="522">
        <f t="shared" si="53"/>
        <v>0</v>
      </c>
      <c r="FK14" s="523">
        <f t="shared" si="165"/>
        <v>0</v>
      </c>
      <c r="FL14" s="521"/>
      <c r="FM14" s="522">
        <f t="shared" si="54"/>
        <v>0</v>
      </c>
      <c r="FN14" s="523">
        <f t="shared" si="166"/>
        <v>0</v>
      </c>
      <c r="FO14" s="521"/>
      <c r="FP14" s="522">
        <f t="shared" si="55"/>
        <v>0</v>
      </c>
      <c r="FQ14" s="523">
        <f t="shared" si="167"/>
        <v>0</v>
      </c>
      <c r="FR14" s="521"/>
      <c r="FS14" s="522">
        <f t="shared" si="56"/>
        <v>0</v>
      </c>
      <c r="FT14" s="523">
        <f t="shared" si="168"/>
        <v>0</v>
      </c>
      <c r="FU14" s="521"/>
      <c r="FV14" s="522">
        <f t="shared" si="57"/>
        <v>0</v>
      </c>
      <c r="FW14" s="523">
        <f t="shared" si="169"/>
        <v>0</v>
      </c>
      <c r="FX14" s="521"/>
      <c r="FY14" s="522">
        <f t="shared" si="58"/>
        <v>0</v>
      </c>
      <c r="FZ14" s="523">
        <f t="shared" si="170"/>
        <v>0</v>
      </c>
      <c r="GA14" s="521"/>
      <c r="GB14" s="522">
        <f t="shared" si="59"/>
        <v>0</v>
      </c>
      <c r="GC14" s="523">
        <f t="shared" si="171"/>
        <v>0</v>
      </c>
      <c r="GD14" s="521"/>
      <c r="GE14" s="522">
        <f t="shared" si="60"/>
        <v>0</v>
      </c>
      <c r="GF14" s="523">
        <f t="shared" si="172"/>
        <v>0</v>
      </c>
      <c r="GG14" s="521"/>
      <c r="GH14" s="522">
        <f t="shared" si="61"/>
        <v>0</v>
      </c>
      <c r="GI14" s="523">
        <f t="shared" si="173"/>
        <v>0</v>
      </c>
      <c r="GJ14" s="521"/>
      <c r="GK14" s="522">
        <f t="shared" si="62"/>
        <v>0</v>
      </c>
      <c r="GL14" s="523">
        <f t="shared" si="174"/>
        <v>0</v>
      </c>
      <c r="GM14" s="521"/>
      <c r="GN14" s="522">
        <f t="shared" si="63"/>
        <v>0</v>
      </c>
      <c r="GO14" s="523">
        <f t="shared" si="175"/>
        <v>0</v>
      </c>
      <c r="GP14" s="521"/>
      <c r="GQ14" s="522">
        <f t="shared" si="64"/>
        <v>0</v>
      </c>
      <c r="GR14" s="523">
        <f t="shared" si="176"/>
        <v>0</v>
      </c>
      <c r="GS14" s="521"/>
      <c r="GT14" s="522">
        <f t="shared" si="65"/>
        <v>0</v>
      </c>
      <c r="GU14" s="523">
        <f t="shared" si="177"/>
        <v>0</v>
      </c>
      <c r="GV14" s="521"/>
      <c r="GW14" s="522">
        <f t="shared" si="66"/>
        <v>0</v>
      </c>
      <c r="GX14" s="523">
        <f t="shared" si="178"/>
        <v>0</v>
      </c>
      <c r="GY14" s="521"/>
      <c r="GZ14" s="522">
        <f t="shared" si="67"/>
        <v>0</v>
      </c>
      <c r="HA14" s="523">
        <f t="shared" si="179"/>
        <v>0</v>
      </c>
      <c r="HB14" s="521"/>
      <c r="HC14" s="522">
        <f t="shared" si="68"/>
        <v>0</v>
      </c>
      <c r="HD14" s="523">
        <f t="shared" si="180"/>
        <v>0</v>
      </c>
      <c r="HE14" s="521"/>
      <c r="HF14" s="522">
        <f t="shared" si="69"/>
        <v>0</v>
      </c>
      <c r="HG14" s="523">
        <f t="shared" si="181"/>
        <v>0</v>
      </c>
      <c r="HH14" s="521"/>
      <c r="HI14" s="522">
        <f t="shared" si="70"/>
        <v>0</v>
      </c>
      <c r="HJ14" s="523">
        <f t="shared" si="182"/>
        <v>0</v>
      </c>
      <c r="HK14" s="521"/>
      <c r="HL14" s="522">
        <f t="shared" si="71"/>
        <v>0</v>
      </c>
      <c r="HM14" s="523">
        <f t="shared" si="183"/>
        <v>0</v>
      </c>
      <c r="HN14" s="521"/>
      <c r="HO14" s="522">
        <f t="shared" si="72"/>
        <v>0</v>
      </c>
      <c r="HP14" s="523">
        <f t="shared" si="184"/>
        <v>0</v>
      </c>
      <c r="HQ14" s="521"/>
      <c r="HR14" s="522">
        <f t="shared" si="73"/>
        <v>0</v>
      </c>
      <c r="HS14" s="523">
        <f t="shared" si="185"/>
        <v>0</v>
      </c>
      <c r="HT14" s="521"/>
      <c r="HU14" s="522">
        <f t="shared" si="74"/>
        <v>0</v>
      </c>
      <c r="HV14" s="523">
        <f t="shared" si="186"/>
        <v>0</v>
      </c>
      <c r="HW14" s="521"/>
      <c r="HX14" s="522">
        <f t="shared" si="75"/>
        <v>0</v>
      </c>
      <c r="HY14" s="523">
        <f t="shared" si="187"/>
        <v>0</v>
      </c>
      <c r="HZ14" s="521"/>
      <c r="IA14" s="522">
        <f t="shared" si="76"/>
        <v>0</v>
      </c>
      <c r="IB14" s="523">
        <f t="shared" si="188"/>
        <v>0</v>
      </c>
      <c r="IC14" s="521"/>
      <c r="ID14" s="522">
        <f t="shared" si="77"/>
        <v>0</v>
      </c>
      <c r="IE14" s="523">
        <f t="shared" si="189"/>
        <v>0</v>
      </c>
      <c r="IF14" s="521"/>
      <c r="IG14" s="522">
        <f t="shared" si="78"/>
        <v>0</v>
      </c>
      <c r="IH14" s="523">
        <f t="shared" si="190"/>
        <v>0</v>
      </c>
      <c r="II14" s="521"/>
      <c r="IJ14" s="522">
        <f t="shared" si="79"/>
        <v>0</v>
      </c>
      <c r="IK14" s="523">
        <f t="shared" si="191"/>
        <v>0</v>
      </c>
      <c r="IL14" s="521"/>
      <c r="IM14" s="522">
        <f t="shared" si="80"/>
        <v>0</v>
      </c>
      <c r="IN14" s="523">
        <f t="shared" si="192"/>
        <v>0</v>
      </c>
      <c r="IO14" s="521"/>
      <c r="IP14" s="522">
        <f t="shared" si="81"/>
        <v>0</v>
      </c>
      <c r="IQ14" s="523">
        <f t="shared" si="193"/>
        <v>0</v>
      </c>
      <c r="IR14" s="521"/>
      <c r="IS14" s="522">
        <f t="shared" si="82"/>
        <v>0</v>
      </c>
      <c r="IT14" s="523">
        <f t="shared" si="194"/>
        <v>0</v>
      </c>
      <c r="IU14" s="521"/>
      <c r="IV14" s="522">
        <f t="shared" si="83"/>
        <v>0</v>
      </c>
      <c r="IW14" s="523">
        <f t="shared" si="195"/>
        <v>0</v>
      </c>
      <c r="IX14" s="521"/>
      <c r="IY14" s="522">
        <f t="shared" si="84"/>
        <v>0</v>
      </c>
      <c r="IZ14" s="523">
        <f t="shared" si="196"/>
        <v>0</v>
      </c>
      <c r="JA14" s="521"/>
      <c r="JB14" s="522">
        <f t="shared" si="85"/>
        <v>0</v>
      </c>
      <c r="JC14" s="523">
        <f t="shared" si="197"/>
        <v>0</v>
      </c>
      <c r="JD14" s="521"/>
      <c r="JE14" s="522">
        <f t="shared" si="86"/>
        <v>0</v>
      </c>
      <c r="JF14" s="523">
        <f t="shared" si="198"/>
        <v>0</v>
      </c>
      <c r="JG14" s="521"/>
      <c r="JH14" s="522">
        <f t="shared" si="87"/>
        <v>0</v>
      </c>
      <c r="JI14" s="523">
        <f t="shared" si="199"/>
        <v>0</v>
      </c>
      <c r="JJ14" s="521"/>
      <c r="JK14" s="523" t="str">
        <f t="shared" si="88"/>
        <v>0</v>
      </c>
      <c r="JL14" s="523" t="str">
        <f t="shared" si="89"/>
        <v>0</v>
      </c>
      <c r="JM14" s="521"/>
      <c r="JN14" s="523" t="str">
        <f t="shared" si="90"/>
        <v>0</v>
      </c>
      <c r="JO14" s="523" t="str">
        <f t="shared" si="91"/>
        <v>0</v>
      </c>
      <c r="JP14" s="521"/>
      <c r="JQ14" s="523" t="str">
        <f t="shared" si="92"/>
        <v>0</v>
      </c>
      <c r="JR14" s="523" t="str">
        <f t="shared" si="93"/>
        <v>0</v>
      </c>
      <c r="JS14" s="521"/>
      <c r="JT14" s="523" t="str">
        <f t="shared" si="94"/>
        <v>0</v>
      </c>
      <c r="JU14" s="523" t="str">
        <f t="shared" si="95"/>
        <v>0</v>
      </c>
      <c r="JV14" s="521"/>
      <c r="JW14" s="523" t="str">
        <f t="shared" si="96"/>
        <v>0</v>
      </c>
      <c r="JX14" s="523" t="str">
        <f t="shared" si="97"/>
        <v>0</v>
      </c>
      <c r="JY14" s="521"/>
      <c r="JZ14" s="523" t="str">
        <f t="shared" si="98"/>
        <v>0</v>
      </c>
      <c r="KA14" s="523" t="str">
        <f t="shared" si="99"/>
        <v>0</v>
      </c>
      <c r="KB14" s="521"/>
      <c r="KC14" s="523" t="str">
        <f t="shared" si="100"/>
        <v>0</v>
      </c>
      <c r="KD14" s="523" t="str">
        <f t="shared" si="101"/>
        <v>0</v>
      </c>
      <c r="KE14" s="521"/>
      <c r="KF14" s="523" t="str">
        <f t="shared" si="102"/>
        <v>0</v>
      </c>
      <c r="KG14" s="523" t="str">
        <f t="shared" si="103"/>
        <v>0</v>
      </c>
      <c r="KH14" s="521"/>
      <c r="KI14" s="523" t="str">
        <f t="shared" si="104"/>
        <v>0</v>
      </c>
      <c r="KJ14" s="523" t="str">
        <f t="shared" si="105"/>
        <v>0</v>
      </c>
      <c r="KK14" s="521"/>
      <c r="KL14" s="523" t="str">
        <f t="shared" si="106"/>
        <v>0</v>
      </c>
      <c r="KM14" s="523" t="str">
        <f t="shared" si="107"/>
        <v>0</v>
      </c>
      <c r="KN14" s="521"/>
      <c r="KO14" s="523" t="str">
        <f t="shared" si="108"/>
        <v>0</v>
      </c>
      <c r="KP14" s="523" t="str">
        <f t="shared" si="109"/>
        <v>0</v>
      </c>
      <c r="KQ14" s="521"/>
      <c r="KR14" s="523" t="str">
        <f t="shared" si="110"/>
        <v>0</v>
      </c>
      <c r="KS14" s="523" t="str">
        <f t="shared" si="111"/>
        <v>0</v>
      </c>
      <c r="KT14" s="523">
        <f t="shared" si="201"/>
        <v>0</v>
      </c>
      <c r="KU14" s="523">
        <f t="shared" si="202"/>
        <v>0</v>
      </c>
      <c r="KV14" s="260">
        <f t="shared" si="112"/>
        <v>574.35863680179148</v>
      </c>
    </row>
    <row r="15" spans="1:308">
      <c r="A15" s="261">
        <f t="shared" si="200"/>
        <v>46029</v>
      </c>
      <c r="B15" s="262" t="str">
        <f>+Report1!B15</f>
        <v>Facial</v>
      </c>
      <c r="C15" s="262" t="str">
        <f>+Report1!C15</f>
        <v>12</v>
      </c>
      <c r="D15" s="263">
        <f>+Report1!P15</f>
        <v>39.362000000000002</v>
      </c>
      <c r="E15" s="554">
        <f>+Report1!R15</f>
        <v>37.741</v>
      </c>
      <c r="F15" s="521"/>
      <c r="G15" s="522">
        <f t="shared" si="0"/>
        <v>0</v>
      </c>
      <c r="H15" s="523">
        <f t="shared" si="113"/>
        <v>0</v>
      </c>
      <c r="I15" s="521">
        <v>313.95348837209326</v>
      </c>
      <c r="J15" s="522">
        <f t="shared" si="1"/>
        <v>8.3186319485994868</v>
      </c>
      <c r="K15" s="523">
        <f t="shared" si="114"/>
        <v>0</v>
      </c>
      <c r="L15" s="521"/>
      <c r="M15" s="522">
        <f t="shared" si="2"/>
        <v>0</v>
      </c>
      <c r="N15" s="523">
        <f t="shared" si="115"/>
        <v>0</v>
      </c>
      <c r="O15" s="521">
        <v>9</v>
      </c>
      <c r="P15" s="522">
        <f t="shared" si="3"/>
        <v>0.23846744919318513</v>
      </c>
      <c r="Q15" s="523">
        <f t="shared" si="116"/>
        <v>0</v>
      </c>
      <c r="R15" s="521"/>
      <c r="S15" s="522">
        <f t="shared" si="4"/>
        <v>0</v>
      </c>
      <c r="T15" s="523">
        <f t="shared" si="117"/>
        <v>0</v>
      </c>
      <c r="U15" s="521">
        <v>7.6875</v>
      </c>
      <c r="V15" s="522">
        <f t="shared" si="5"/>
        <v>0.20369094618584563</v>
      </c>
      <c r="W15" s="523">
        <f t="shared" si="118"/>
        <v>0</v>
      </c>
      <c r="X15" s="521"/>
      <c r="Y15" s="522">
        <f t="shared" si="6"/>
        <v>0</v>
      </c>
      <c r="Z15" s="523">
        <f t="shared" si="119"/>
        <v>0</v>
      </c>
      <c r="AA15" s="521">
        <v>15.625000000000014</v>
      </c>
      <c r="AB15" s="522">
        <f t="shared" si="7"/>
        <v>0.41400598818261347</v>
      </c>
      <c r="AC15" s="523">
        <f t="shared" si="120"/>
        <v>0</v>
      </c>
      <c r="AD15" s="521"/>
      <c r="AE15" s="522">
        <f t="shared" si="8"/>
        <v>0</v>
      </c>
      <c r="AF15" s="523">
        <f t="shared" si="121"/>
        <v>0</v>
      </c>
      <c r="AG15" s="521"/>
      <c r="AH15" s="522">
        <f t="shared" si="9"/>
        <v>0</v>
      </c>
      <c r="AI15" s="523">
        <f t="shared" si="122"/>
        <v>0</v>
      </c>
      <c r="AJ15" s="521"/>
      <c r="AK15" s="522">
        <f t="shared" si="10"/>
        <v>0</v>
      </c>
      <c r="AL15" s="523">
        <f t="shared" si="123"/>
        <v>0</v>
      </c>
      <c r="AM15" s="521"/>
      <c r="AN15" s="522">
        <f t="shared" si="11"/>
        <v>0</v>
      </c>
      <c r="AO15" s="523">
        <f t="shared" si="124"/>
        <v>0</v>
      </c>
      <c r="AP15" s="521">
        <v>39.873417721518997</v>
      </c>
      <c r="AQ15" s="522">
        <f t="shared" si="12"/>
        <v>1.0565013571849977</v>
      </c>
      <c r="AR15" s="523">
        <f t="shared" si="125"/>
        <v>0</v>
      </c>
      <c r="AS15" s="521"/>
      <c r="AT15" s="522">
        <f t="shared" si="13"/>
        <v>0</v>
      </c>
      <c r="AU15" s="523">
        <f t="shared" si="126"/>
        <v>0</v>
      </c>
      <c r="AV15" s="521"/>
      <c r="AW15" s="522">
        <f t="shared" si="14"/>
        <v>0</v>
      </c>
      <c r="AX15" s="523">
        <f t="shared" si="127"/>
        <v>0</v>
      </c>
      <c r="AY15" s="521">
        <v>56</v>
      </c>
      <c r="AZ15" s="522">
        <f t="shared" si="15"/>
        <v>1.4837974616464853</v>
      </c>
      <c r="BA15" s="523">
        <f t="shared" si="128"/>
        <v>0</v>
      </c>
      <c r="BB15" s="521"/>
      <c r="BC15" s="522">
        <f t="shared" si="16"/>
        <v>0</v>
      </c>
      <c r="BD15" s="523">
        <f t="shared" si="129"/>
        <v>0</v>
      </c>
      <c r="BE15" s="521"/>
      <c r="BF15" s="522">
        <f t="shared" si="17"/>
        <v>0</v>
      </c>
      <c r="BG15" s="523">
        <f t="shared" si="130"/>
        <v>0</v>
      </c>
      <c r="BH15" s="521"/>
      <c r="BI15" s="522">
        <f t="shared" si="18"/>
        <v>0</v>
      </c>
      <c r="BJ15" s="523">
        <f t="shared" si="131"/>
        <v>0</v>
      </c>
      <c r="BK15" s="521"/>
      <c r="BL15" s="522">
        <f t="shared" si="19"/>
        <v>0</v>
      </c>
      <c r="BM15" s="523">
        <f t="shared" si="132"/>
        <v>0</v>
      </c>
      <c r="BN15" s="521"/>
      <c r="BO15" s="522">
        <f t="shared" si="20"/>
        <v>0</v>
      </c>
      <c r="BP15" s="523">
        <f t="shared" si="133"/>
        <v>0</v>
      </c>
      <c r="BQ15" s="521"/>
      <c r="BR15" s="522">
        <f t="shared" si="21"/>
        <v>0</v>
      </c>
      <c r="BS15" s="523">
        <f t="shared" si="134"/>
        <v>0</v>
      </c>
      <c r="BT15" s="521"/>
      <c r="BU15" s="522">
        <f t="shared" si="22"/>
        <v>0</v>
      </c>
      <c r="BV15" s="523">
        <f t="shared" si="135"/>
        <v>0</v>
      </c>
      <c r="BW15" s="521"/>
      <c r="BX15" s="522">
        <f t="shared" si="23"/>
        <v>0</v>
      </c>
      <c r="BY15" s="523">
        <f t="shared" si="136"/>
        <v>0</v>
      </c>
      <c r="BZ15" s="521"/>
      <c r="CA15" s="522">
        <f t="shared" si="24"/>
        <v>0</v>
      </c>
      <c r="CB15" s="523">
        <f t="shared" si="137"/>
        <v>0</v>
      </c>
      <c r="CC15" s="521"/>
      <c r="CD15" s="522">
        <f t="shared" si="25"/>
        <v>0</v>
      </c>
      <c r="CE15" s="523">
        <f t="shared" si="138"/>
        <v>0</v>
      </c>
      <c r="CF15" s="521">
        <v>1.3</v>
      </c>
      <c r="CG15" s="522">
        <f t="shared" si="26"/>
        <v>3.4445298216793409E-2</v>
      </c>
      <c r="CH15" s="523">
        <f t="shared" si="139"/>
        <v>0</v>
      </c>
      <c r="CI15" s="521"/>
      <c r="CJ15" s="522">
        <f t="shared" si="27"/>
        <v>0</v>
      </c>
      <c r="CK15" s="523">
        <f t="shared" si="140"/>
        <v>0</v>
      </c>
      <c r="CL15" s="521"/>
      <c r="CM15" s="522">
        <f t="shared" si="28"/>
        <v>0</v>
      </c>
      <c r="CN15" s="523">
        <f t="shared" si="141"/>
        <v>0</v>
      </c>
      <c r="CO15" s="521"/>
      <c r="CP15" s="522">
        <f t="shared" si="29"/>
        <v>0</v>
      </c>
      <c r="CQ15" s="523">
        <f t="shared" si="142"/>
        <v>0</v>
      </c>
      <c r="CR15" s="521"/>
      <c r="CS15" s="522">
        <f t="shared" si="30"/>
        <v>0</v>
      </c>
      <c r="CT15" s="523">
        <f t="shared" si="143"/>
        <v>0</v>
      </c>
      <c r="CU15" s="521"/>
      <c r="CV15" s="522">
        <f t="shared" si="31"/>
        <v>0</v>
      </c>
      <c r="CW15" s="523">
        <f t="shared" si="144"/>
        <v>0</v>
      </c>
      <c r="CX15" s="521"/>
      <c r="CY15" s="522">
        <f t="shared" si="32"/>
        <v>0</v>
      </c>
      <c r="CZ15" s="523">
        <f t="shared" si="145"/>
        <v>0</v>
      </c>
      <c r="DA15" s="521"/>
      <c r="DB15" s="522">
        <f t="shared" si="33"/>
        <v>0</v>
      </c>
      <c r="DC15" s="523">
        <f t="shared" si="146"/>
        <v>0</v>
      </c>
      <c r="DD15" s="521"/>
      <c r="DE15" s="522">
        <f t="shared" si="34"/>
        <v>0</v>
      </c>
      <c r="DF15" s="523">
        <f t="shared" si="147"/>
        <v>0</v>
      </c>
      <c r="DG15" s="521"/>
      <c r="DH15" s="522">
        <f t="shared" si="35"/>
        <v>0</v>
      </c>
      <c r="DI15" s="523">
        <f t="shared" si="203"/>
        <v>0</v>
      </c>
      <c r="DJ15" s="521"/>
      <c r="DK15" s="522">
        <f t="shared" si="36"/>
        <v>0</v>
      </c>
      <c r="DL15" s="523">
        <f t="shared" si="148"/>
        <v>0</v>
      </c>
      <c r="DM15" s="521"/>
      <c r="DN15" s="522">
        <f t="shared" si="37"/>
        <v>0</v>
      </c>
      <c r="DO15" s="523">
        <f t="shared" si="149"/>
        <v>0</v>
      </c>
      <c r="DP15" s="521"/>
      <c r="DQ15" s="522">
        <f t="shared" si="38"/>
        <v>0</v>
      </c>
      <c r="DR15" s="523">
        <f t="shared" si="150"/>
        <v>0</v>
      </c>
      <c r="DS15" s="521"/>
      <c r="DT15" s="522">
        <f t="shared" si="39"/>
        <v>0</v>
      </c>
      <c r="DU15" s="523">
        <f t="shared" si="151"/>
        <v>0</v>
      </c>
      <c r="DV15" s="521"/>
      <c r="DW15" s="522">
        <f t="shared" si="40"/>
        <v>0</v>
      </c>
      <c r="DX15" s="523">
        <f t="shared" si="152"/>
        <v>0</v>
      </c>
      <c r="DY15" s="521"/>
      <c r="DZ15" s="522">
        <f t="shared" si="41"/>
        <v>0</v>
      </c>
      <c r="EA15" s="523">
        <f t="shared" si="153"/>
        <v>0</v>
      </c>
      <c r="EB15" s="521"/>
      <c r="EC15" s="522">
        <f t="shared" si="42"/>
        <v>0</v>
      </c>
      <c r="ED15" s="523">
        <f t="shared" si="154"/>
        <v>0</v>
      </c>
      <c r="EE15" s="521">
        <v>43.604651162790717</v>
      </c>
      <c r="EF15" s="522">
        <f t="shared" si="43"/>
        <v>1.1553655484165952</v>
      </c>
      <c r="EG15" s="523">
        <f t="shared" si="155"/>
        <v>0</v>
      </c>
      <c r="EH15" s="521">
        <v>70.44705882352946</v>
      </c>
      <c r="EI15" s="522">
        <f t="shared" si="44"/>
        <v>1.866592268978815</v>
      </c>
      <c r="EJ15" s="523">
        <f t="shared" si="156"/>
        <v>0</v>
      </c>
      <c r="EK15" s="521"/>
      <c r="EL15" s="522">
        <f t="shared" si="45"/>
        <v>0</v>
      </c>
      <c r="EM15" s="523">
        <f t="shared" si="157"/>
        <v>0</v>
      </c>
      <c r="EN15" s="521"/>
      <c r="EO15" s="522">
        <f t="shared" si="46"/>
        <v>0</v>
      </c>
      <c r="EP15" s="523">
        <f t="shared" si="158"/>
        <v>0</v>
      </c>
      <c r="EQ15" s="521"/>
      <c r="ER15" s="522">
        <f t="shared" si="47"/>
        <v>0</v>
      </c>
      <c r="ES15" s="523">
        <f t="shared" si="159"/>
        <v>0</v>
      </c>
      <c r="ET15" s="521"/>
      <c r="EU15" s="522">
        <f t="shared" si="48"/>
        <v>0</v>
      </c>
      <c r="EV15" s="523">
        <f t="shared" si="160"/>
        <v>0</v>
      </c>
      <c r="EW15" s="521"/>
      <c r="EX15" s="522">
        <f t="shared" si="49"/>
        <v>0</v>
      </c>
      <c r="EY15" s="523">
        <f t="shared" si="161"/>
        <v>0</v>
      </c>
      <c r="EZ15" s="521"/>
      <c r="FA15" s="522">
        <f t="shared" si="50"/>
        <v>0</v>
      </c>
      <c r="FB15" s="523">
        <f t="shared" si="162"/>
        <v>0</v>
      </c>
      <c r="FC15" s="521"/>
      <c r="FD15" s="522">
        <f t="shared" si="51"/>
        <v>0</v>
      </c>
      <c r="FE15" s="523">
        <f t="shared" si="163"/>
        <v>0</v>
      </c>
      <c r="FF15" s="521"/>
      <c r="FG15" s="522">
        <f t="shared" si="52"/>
        <v>0</v>
      </c>
      <c r="FH15" s="523">
        <f t="shared" si="164"/>
        <v>0</v>
      </c>
      <c r="FI15" s="521"/>
      <c r="FJ15" s="522">
        <f t="shared" si="53"/>
        <v>0</v>
      </c>
      <c r="FK15" s="523">
        <f t="shared" si="165"/>
        <v>0</v>
      </c>
      <c r="FL15" s="521"/>
      <c r="FM15" s="522">
        <f t="shared" si="54"/>
        <v>0</v>
      </c>
      <c r="FN15" s="523">
        <f t="shared" si="166"/>
        <v>0</v>
      </c>
      <c r="FO15" s="521"/>
      <c r="FP15" s="522">
        <f t="shared" si="55"/>
        <v>0</v>
      </c>
      <c r="FQ15" s="523">
        <f t="shared" si="167"/>
        <v>0</v>
      </c>
      <c r="FR15" s="521"/>
      <c r="FS15" s="522">
        <f t="shared" si="56"/>
        <v>0</v>
      </c>
      <c r="FT15" s="523">
        <f t="shared" si="168"/>
        <v>0</v>
      </c>
      <c r="FU15" s="521"/>
      <c r="FV15" s="522">
        <f t="shared" si="57"/>
        <v>0</v>
      </c>
      <c r="FW15" s="523">
        <f t="shared" si="169"/>
        <v>0</v>
      </c>
      <c r="FX15" s="521"/>
      <c r="FY15" s="522">
        <f t="shared" si="58"/>
        <v>0</v>
      </c>
      <c r="FZ15" s="523">
        <f t="shared" si="170"/>
        <v>0</v>
      </c>
      <c r="GA15" s="521"/>
      <c r="GB15" s="522">
        <f t="shared" si="59"/>
        <v>0</v>
      </c>
      <c r="GC15" s="523">
        <f t="shared" si="171"/>
        <v>0</v>
      </c>
      <c r="GD15" s="521"/>
      <c r="GE15" s="522">
        <f t="shared" si="60"/>
        <v>0</v>
      </c>
      <c r="GF15" s="523">
        <f t="shared" si="172"/>
        <v>0</v>
      </c>
      <c r="GG15" s="521"/>
      <c r="GH15" s="522">
        <f t="shared" si="61"/>
        <v>0</v>
      </c>
      <c r="GI15" s="523">
        <f t="shared" si="173"/>
        <v>0</v>
      </c>
      <c r="GJ15" s="521"/>
      <c r="GK15" s="522">
        <f t="shared" si="62"/>
        <v>0</v>
      </c>
      <c r="GL15" s="523">
        <f t="shared" si="174"/>
        <v>0</v>
      </c>
      <c r="GM15" s="521"/>
      <c r="GN15" s="522">
        <f t="shared" si="63"/>
        <v>0</v>
      </c>
      <c r="GO15" s="523">
        <f t="shared" si="175"/>
        <v>0</v>
      </c>
      <c r="GP15" s="521"/>
      <c r="GQ15" s="522">
        <f t="shared" si="64"/>
        <v>0</v>
      </c>
      <c r="GR15" s="523">
        <f t="shared" si="176"/>
        <v>0</v>
      </c>
      <c r="GS15" s="521"/>
      <c r="GT15" s="522">
        <f t="shared" si="65"/>
        <v>0</v>
      </c>
      <c r="GU15" s="523">
        <f t="shared" si="177"/>
        <v>0</v>
      </c>
      <c r="GV15" s="521"/>
      <c r="GW15" s="522">
        <f t="shared" si="66"/>
        <v>0</v>
      </c>
      <c r="GX15" s="523">
        <f t="shared" si="178"/>
        <v>0</v>
      </c>
      <c r="GY15" s="521"/>
      <c r="GZ15" s="522">
        <f t="shared" si="67"/>
        <v>0</v>
      </c>
      <c r="HA15" s="523">
        <f t="shared" si="179"/>
        <v>0</v>
      </c>
      <c r="HB15" s="521"/>
      <c r="HC15" s="522">
        <f t="shared" si="68"/>
        <v>0</v>
      </c>
      <c r="HD15" s="523">
        <f t="shared" si="180"/>
        <v>0</v>
      </c>
      <c r="HE15" s="521"/>
      <c r="HF15" s="522">
        <f t="shared" si="69"/>
        <v>0</v>
      </c>
      <c r="HG15" s="523">
        <f t="shared" si="181"/>
        <v>0</v>
      </c>
      <c r="HH15" s="521"/>
      <c r="HI15" s="522">
        <f t="shared" si="70"/>
        <v>0</v>
      </c>
      <c r="HJ15" s="523">
        <f t="shared" si="182"/>
        <v>0</v>
      </c>
      <c r="HK15" s="521"/>
      <c r="HL15" s="522">
        <f t="shared" si="71"/>
        <v>0</v>
      </c>
      <c r="HM15" s="523">
        <f t="shared" si="183"/>
        <v>0</v>
      </c>
      <c r="HN15" s="521"/>
      <c r="HO15" s="522">
        <f t="shared" si="72"/>
        <v>0</v>
      </c>
      <c r="HP15" s="523">
        <f t="shared" si="184"/>
        <v>0</v>
      </c>
      <c r="HQ15" s="521"/>
      <c r="HR15" s="522">
        <f t="shared" si="73"/>
        <v>0</v>
      </c>
      <c r="HS15" s="523">
        <f t="shared" si="185"/>
        <v>0</v>
      </c>
      <c r="HT15" s="521"/>
      <c r="HU15" s="522">
        <f t="shared" si="74"/>
        <v>0</v>
      </c>
      <c r="HV15" s="523">
        <f t="shared" si="186"/>
        <v>0</v>
      </c>
      <c r="HW15" s="521"/>
      <c r="HX15" s="522">
        <f t="shared" si="75"/>
        <v>0</v>
      </c>
      <c r="HY15" s="523">
        <f t="shared" si="187"/>
        <v>0</v>
      </c>
      <c r="HZ15" s="521"/>
      <c r="IA15" s="522">
        <f t="shared" si="76"/>
        <v>0</v>
      </c>
      <c r="IB15" s="523">
        <f t="shared" si="188"/>
        <v>0</v>
      </c>
      <c r="IC15" s="521"/>
      <c r="ID15" s="522">
        <f t="shared" si="77"/>
        <v>0</v>
      </c>
      <c r="IE15" s="523">
        <f t="shared" si="189"/>
        <v>0</v>
      </c>
      <c r="IF15" s="521"/>
      <c r="IG15" s="522">
        <f t="shared" si="78"/>
        <v>0</v>
      </c>
      <c r="IH15" s="523">
        <f t="shared" si="190"/>
        <v>0</v>
      </c>
      <c r="II15" s="521"/>
      <c r="IJ15" s="522">
        <f t="shared" si="79"/>
        <v>0</v>
      </c>
      <c r="IK15" s="523">
        <f t="shared" si="191"/>
        <v>0</v>
      </c>
      <c r="IL15" s="521"/>
      <c r="IM15" s="522">
        <f t="shared" si="80"/>
        <v>0</v>
      </c>
      <c r="IN15" s="523">
        <f t="shared" si="192"/>
        <v>0</v>
      </c>
      <c r="IO15" s="521"/>
      <c r="IP15" s="522">
        <f t="shared" si="81"/>
        <v>0</v>
      </c>
      <c r="IQ15" s="523">
        <f t="shared" si="193"/>
        <v>0</v>
      </c>
      <c r="IR15" s="521"/>
      <c r="IS15" s="522">
        <f t="shared" si="82"/>
        <v>0</v>
      </c>
      <c r="IT15" s="523">
        <f t="shared" si="194"/>
        <v>0</v>
      </c>
      <c r="IU15" s="521"/>
      <c r="IV15" s="522">
        <f t="shared" si="83"/>
        <v>0</v>
      </c>
      <c r="IW15" s="523">
        <f t="shared" si="195"/>
        <v>0</v>
      </c>
      <c r="IX15" s="521"/>
      <c r="IY15" s="522">
        <f t="shared" si="84"/>
        <v>0</v>
      </c>
      <c r="IZ15" s="523">
        <f t="shared" si="196"/>
        <v>0</v>
      </c>
      <c r="JA15" s="521"/>
      <c r="JB15" s="522">
        <f t="shared" si="85"/>
        <v>0</v>
      </c>
      <c r="JC15" s="523">
        <f t="shared" si="197"/>
        <v>0</v>
      </c>
      <c r="JD15" s="521"/>
      <c r="JE15" s="522">
        <f t="shared" si="86"/>
        <v>0</v>
      </c>
      <c r="JF15" s="523">
        <f t="shared" si="198"/>
        <v>0</v>
      </c>
      <c r="JG15" s="521"/>
      <c r="JH15" s="522">
        <f t="shared" si="87"/>
        <v>0</v>
      </c>
      <c r="JI15" s="523">
        <f t="shared" si="199"/>
        <v>0</v>
      </c>
      <c r="JJ15" s="521"/>
      <c r="JK15" s="523" t="str">
        <f t="shared" si="88"/>
        <v>0</v>
      </c>
      <c r="JL15" s="523" t="str">
        <f t="shared" si="89"/>
        <v>0</v>
      </c>
      <c r="JM15" s="521"/>
      <c r="JN15" s="523" t="str">
        <f t="shared" si="90"/>
        <v>0</v>
      </c>
      <c r="JO15" s="523" t="str">
        <f t="shared" si="91"/>
        <v>0</v>
      </c>
      <c r="JP15" s="521"/>
      <c r="JQ15" s="523" t="str">
        <f t="shared" si="92"/>
        <v>0</v>
      </c>
      <c r="JR15" s="523" t="str">
        <f t="shared" si="93"/>
        <v>0</v>
      </c>
      <c r="JS15" s="521"/>
      <c r="JT15" s="523" t="str">
        <f t="shared" si="94"/>
        <v>0</v>
      </c>
      <c r="JU15" s="523" t="str">
        <f t="shared" si="95"/>
        <v>0</v>
      </c>
      <c r="JV15" s="521"/>
      <c r="JW15" s="523" t="str">
        <f t="shared" si="96"/>
        <v>0</v>
      </c>
      <c r="JX15" s="523" t="str">
        <f t="shared" si="97"/>
        <v>0</v>
      </c>
      <c r="JY15" s="521"/>
      <c r="JZ15" s="523" t="str">
        <f t="shared" si="98"/>
        <v>0</v>
      </c>
      <c r="KA15" s="523" t="str">
        <f t="shared" si="99"/>
        <v>0</v>
      </c>
      <c r="KB15" s="521"/>
      <c r="KC15" s="523" t="str">
        <f t="shared" si="100"/>
        <v>0</v>
      </c>
      <c r="KD15" s="523" t="str">
        <f t="shared" si="101"/>
        <v>0</v>
      </c>
      <c r="KE15" s="521"/>
      <c r="KF15" s="523" t="str">
        <f t="shared" si="102"/>
        <v>0</v>
      </c>
      <c r="KG15" s="523" t="str">
        <f t="shared" si="103"/>
        <v>0</v>
      </c>
      <c r="KH15" s="521"/>
      <c r="KI15" s="523" t="str">
        <f t="shared" si="104"/>
        <v>0</v>
      </c>
      <c r="KJ15" s="523" t="str">
        <f t="shared" si="105"/>
        <v>0</v>
      </c>
      <c r="KK15" s="521"/>
      <c r="KL15" s="523" t="str">
        <f t="shared" si="106"/>
        <v>0</v>
      </c>
      <c r="KM15" s="523" t="str">
        <f t="shared" si="107"/>
        <v>0</v>
      </c>
      <c r="KN15" s="521"/>
      <c r="KO15" s="523" t="str">
        <f t="shared" si="108"/>
        <v>0</v>
      </c>
      <c r="KP15" s="523" t="str">
        <f t="shared" si="109"/>
        <v>0</v>
      </c>
      <c r="KQ15" s="521"/>
      <c r="KR15" s="523" t="str">
        <f t="shared" si="110"/>
        <v>0</v>
      </c>
      <c r="KS15" s="523" t="str">
        <f t="shared" si="111"/>
        <v>0</v>
      </c>
      <c r="KT15" s="523">
        <f t="shared" si="201"/>
        <v>0</v>
      </c>
      <c r="KU15" s="523">
        <f t="shared" si="202"/>
        <v>0</v>
      </c>
      <c r="KV15" s="260">
        <f t="shared" si="112"/>
        <v>557.49111607993245</v>
      </c>
    </row>
    <row r="16" spans="1:308">
      <c r="A16" s="261">
        <f t="shared" si="200"/>
        <v>46030</v>
      </c>
      <c r="B16" s="262" t="str">
        <f>+Report1!B16</f>
        <v>Facial</v>
      </c>
      <c r="C16" s="262" t="str">
        <f>+Report1!C16</f>
        <v>12</v>
      </c>
      <c r="D16" s="263">
        <f>+Report1!P16</f>
        <v>37.32</v>
      </c>
      <c r="E16" s="554">
        <f>+Report1!R16</f>
        <v>36.515000000000001</v>
      </c>
      <c r="F16" s="521"/>
      <c r="G16" s="522">
        <f t="shared" si="0"/>
        <v>0</v>
      </c>
      <c r="H16" s="523">
        <f t="shared" si="113"/>
        <v>0</v>
      </c>
      <c r="I16" s="521">
        <v>279.06976744186045</v>
      </c>
      <c r="J16" s="522">
        <f t="shared" si="1"/>
        <v>7.6426062561101036</v>
      </c>
      <c r="K16" s="523">
        <f t="shared" si="114"/>
        <v>0</v>
      </c>
      <c r="L16" s="521"/>
      <c r="M16" s="522">
        <f t="shared" si="2"/>
        <v>0</v>
      </c>
      <c r="N16" s="523">
        <f t="shared" si="115"/>
        <v>0</v>
      </c>
      <c r="O16" s="521">
        <v>9</v>
      </c>
      <c r="P16" s="522">
        <f t="shared" si="3"/>
        <v>0.24647405175955087</v>
      </c>
      <c r="Q16" s="523">
        <f t="shared" si="116"/>
        <v>0</v>
      </c>
      <c r="R16" s="521"/>
      <c r="S16" s="522">
        <f t="shared" si="4"/>
        <v>0</v>
      </c>
      <c r="T16" s="523">
        <f t="shared" si="117"/>
        <v>0</v>
      </c>
      <c r="U16" s="521">
        <v>7.6875</v>
      </c>
      <c r="V16" s="522">
        <f t="shared" si="5"/>
        <v>0.21052991921128303</v>
      </c>
      <c r="W16" s="523">
        <f t="shared" si="118"/>
        <v>0</v>
      </c>
      <c r="X16" s="521"/>
      <c r="Y16" s="522">
        <f t="shared" si="6"/>
        <v>0</v>
      </c>
      <c r="Z16" s="523">
        <f t="shared" si="119"/>
        <v>0</v>
      </c>
      <c r="AA16" s="521">
        <v>15.624999999999986</v>
      </c>
      <c r="AB16" s="522">
        <f t="shared" si="7"/>
        <v>0.427906339860331</v>
      </c>
      <c r="AC16" s="523">
        <f t="shared" si="120"/>
        <v>0</v>
      </c>
      <c r="AD16" s="521"/>
      <c r="AE16" s="522">
        <f t="shared" si="8"/>
        <v>0</v>
      </c>
      <c r="AF16" s="523">
        <f t="shared" si="121"/>
        <v>0</v>
      </c>
      <c r="AG16" s="521"/>
      <c r="AH16" s="522">
        <f t="shared" si="9"/>
        <v>0</v>
      </c>
      <c r="AI16" s="523">
        <f t="shared" si="122"/>
        <v>0</v>
      </c>
      <c r="AJ16" s="521"/>
      <c r="AK16" s="522">
        <f t="shared" si="10"/>
        <v>0</v>
      </c>
      <c r="AL16" s="523">
        <f t="shared" si="123"/>
        <v>0</v>
      </c>
      <c r="AM16" s="521"/>
      <c r="AN16" s="522">
        <f t="shared" si="11"/>
        <v>0</v>
      </c>
      <c r="AO16" s="523">
        <f t="shared" si="124"/>
        <v>0</v>
      </c>
      <c r="AP16" s="521">
        <v>14.240506329113941</v>
      </c>
      <c r="AQ16" s="522">
        <f t="shared" si="12"/>
        <v>0.38999058822713789</v>
      </c>
      <c r="AR16" s="523">
        <f t="shared" si="125"/>
        <v>0</v>
      </c>
      <c r="AS16" s="521"/>
      <c r="AT16" s="522">
        <f t="shared" si="13"/>
        <v>0</v>
      </c>
      <c r="AU16" s="523">
        <f t="shared" si="126"/>
        <v>0</v>
      </c>
      <c r="AV16" s="521"/>
      <c r="AW16" s="522">
        <f t="shared" si="14"/>
        <v>0</v>
      </c>
      <c r="AX16" s="523">
        <f t="shared" si="127"/>
        <v>0</v>
      </c>
      <c r="AY16" s="521">
        <v>51.333333333333314</v>
      </c>
      <c r="AZ16" s="522">
        <f t="shared" si="15"/>
        <v>1.4058149618878082</v>
      </c>
      <c r="BA16" s="523">
        <f t="shared" si="128"/>
        <v>0</v>
      </c>
      <c r="BB16" s="521"/>
      <c r="BC16" s="522">
        <f t="shared" si="16"/>
        <v>0</v>
      </c>
      <c r="BD16" s="523">
        <f t="shared" si="129"/>
        <v>0</v>
      </c>
      <c r="BE16" s="521"/>
      <c r="BF16" s="522">
        <f t="shared" si="17"/>
        <v>0</v>
      </c>
      <c r="BG16" s="523">
        <f t="shared" si="130"/>
        <v>0</v>
      </c>
      <c r="BH16" s="521"/>
      <c r="BI16" s="522">
        <f t="shared" si="18"/>
        <v>0</v>
      </c>
      <c r="BJ16" s="523">
        <f t="shared" si="131"/>
        <v>0</v>
      </c>
      <c r="BK16" s="521"/>
      <c r="BL16" s="522">
        <f t="shared" si="19"/>
        <v>0</v>
      </c>
      <c r="BM16" s="523">
        <f t="shared" si="132"/>
        <v>0</v>
      </c>
      <c r="BN16" s="521"/>
      <c r="BO16" s="522">
        <f t="shared" si="20"/>
        <v>0</v>
      </c>
      <c r="BP16" s="523">
        <f t="shared" si="133"/>
        <v>0</v>
      </c>
      <c r="BQ16" s="521">
        <v>55.696202531645582</v>
      </c>
      <c r="BR16" s="522">
        <f t="shared" si="21"/>
        <v>1.5252965228439157</v>
      </c>
      <c r="BS16" s="523">
        <f t="shared" si="134"/>
        <v>0</v>
      </c>
      <c r="BT16" s="521"/>
      <c r="BU16" s="522">
        <f t="shared" si="22"/>
        <v>0</v>
      </c>
      <c r="BV16" s="523">
        <f t="shared" si="135"/>
        <v>0</v>
      </c>
      <c r="BW16" s="521"/>
      <c r="BX16" s="522">
        <f t="shared" si="23"/>
        <v>0</v>
      </c>
      <c r="BY16" s="523">
        <f t="shared" si="136"/>
        <v>0</v>
      </c>
      <c r="BZ16" s="521"/>
      <c r="CA16" s="522">
        <f t="shared" si="24"/>
        <v>0</v>
      </c>
      <c r="CB16" s="523">
        <f t="shared" si="137"/>
        <v>0</v>
      </c>
      <c r="CC16" s="521"/>
      <c r="CD16" s="522">
        <f t="shared" si="25"/>
        <v>0</v>
      </c>
      <c r="CE16" s="523">
        <f t="shared" si="138"/>
        <v>0</v>
      </c>
      <c r="CF16" s="521">
        <v>1.3</v>
      </c>
      <c r="CG16" s="522">
        <f t="shared" si="26"/>
        <v>3.5601807476379574E-2</v>
      </c>
      <c r="CH16" s="523">
        <f t="shared" si="139"/>
        <v>0</v>
      </c>
      <c r="CI16" s="521"/>
      <c r="CJ16" s="522">
        <f t="shared" si="27"/>
        <v>0</v>
      </c>
      <c r="CK16" s="523">
        <f t="shared" si="140"/>
        <v>0</v>
      </c>
      <c r="CL16" s="521"/>
      <c r="CM16" s="522">
        <f t="shared" si="28"/>
        <v>0</v>
      </c>
      <c r="CN16" s="523">
        <f t="shared" si="141"/>
        <v>0</v>
      </c>
      <c r="CO16" s="521"/>
      <c r="CP16" s="522">
        <f t="shared" si="29"/>
        <v>0</v>
      </c>
      <c r="CQ16" s="523">
        <f t="shared" si="142"/>
        <v>0</v>
      </c>
      <c r="CR16" s="521"/>
      <c r="CS16" s="522">
        <f t="shared" si="30"/>
        <v>0</v>
      </c>
      <c r="CT16" s="523">
        <f t="shared" si="143"/>
        <v>0</v>
      </c>
      <c r="CU16" s="521"/>
      <c r="CV16" s="522">
        <f t="shared" si="31"/>
        <v>0</v>
      </c>
      <c r="CW16" s="523">
        <f t="shared" si="144"/>
        <v>0</v>
      </c>
      <c r="CX16" s="521"/>
      <c r="CY16" s="522">
        <f t="shared" si="32"/>
        <v>0</v>
      </c>
      <c r="CZ16" s="523">
        <f t="shared" si="145"/>
        <v>0</v>
      </c>
      <c r="DA16" s="521"/>
      <c r="DB16" s="522">
        <f t="shared" si="33"/>
        <v>0</v>
      </c>
      <c r="DC16" s="523">
        <f t="shared" si="146"/>
        <v>0</v>
      </c>
      <c r="DD16" s="521"/>
      <c r="DE16" s="522">
        <f t="shared" si="34"/>
        <v>0</v>
      </c>
      <c r="DF16" s="523">
        <f t="shared" si="147"/>
        <v>0</v>
      </c>
      <c r="DG16" s="521"/>
      <c r="DH16" s="522">
        <f t="shared" si="35"/>
        <v>0</v>
      </c>
      <c r="DI16" s="523">
        <f t="shared" si="203"/>
        <v>0</v>
      </c>
      <c r="DJ16" s="521"/>
      <c r="DK16" s="522">
        <f t="shared" si="36"/>
        <v>0</v>
      </c>
      <c r="DL16" s="523">
        <f t="shared" si="148"/>
        <v>0</v>
      </c>
      <c r="DM16" s="521"/>
      <c r="DN16" s="522">
        <f t="shared" si="37"/>
        <v>0</v>
      </c>
      <c r="DO16" s="523">
        <f t="shared" si="149"/>
        <v>0</v>
      </c>
      <c r="DP16" s="521"/>
      <c r="DQ16" s="522">
        <f t="shared" si="38"/>
        <v>0</v>
      </c>
      <c r="DR16" s="523">
        <f t="shared" si="150"/>
        <v>0</v>
      </c>
      <c r="DS16" s="521"/>
      <c r="DT16" s="522">
        <f t="shared" si="39"/>
        <v>0</v>
      </c>
      <c r="DU16" s="523">
        <f t="shared" si="151"/>
        <v>0</v>
      </c>
      <c r="DV16" s="521"/>
      <c r="DW16" s="522">
        <f t="shared" si="40"/>
        <v>0</v>
      </c>
      <c r="DX16" s="523">
        <f t="shared" si="152"/>
        <v>0</v>
      </c>
      <c r="DY16" s="521"/>
      <c r="DZ16" s="522">
        <f t="shared" si="41"/>
        <v>0</v>
      </c>
      <c r="EA16" s="523">
        <f t="shared" si="153"/>
        <v>0</v>
      </c>
      <c r="EB16" s="521"/>
      <c r="EC16" s="522">
        <f t="shared" si="42"/>
        <v>0</v>
      </c>
      <c r="ED16" s="523">
        <f t="shared" si="154"/>
        <v>0</v>
      </c>
      <c r="EE16" s="521">
        <v>43.604651162790333</v>
      </c>
      <c r="EF16" s="522">
        <f t="shared" si="43"/>
        <v>1.1941572275171939</v>
      </c>
      <c r="EG16" s="523">
        <f t="shared" si="155"/>
        <v>0</v>
      </c>
      <c r="EH16" s="521">
        <v>93.929411764705833</v>
      </c>
      <c r="EI16" s="522">
        <f t="shared" si="44"/>
        <v>2.57235141078203</v>
      </c>
      <c r="EJ16" s="523">
        <f t="shared" si="156"/>
        <v>0</v>
      </c>
      <c r="EK16" s="521"/>
      <c r="EL16" s="522">
        <f t="shared" si="45"/>
        <v>0</v>
      </c>
      <c r="EM16" s="523">
        <f t="shared" si="157"/>
        <v>0</v>
      </c>
      <c r="EN16" s="521"/>
      <c r="EO16" s="522">
        <f t="shared" si="46"/>
        <v>0</v>
      </c>
      <c r="EP16" s="523">
        <f t="shared" si="158"/>
        <v>0</v>
      </c>
      <c r="EQ16" s="521"/>
      <c r="ER16" s="522">
        <f t="shared" si="47"/>
        <v>0</v>
      </c>
      <c r="ES16" s="523">
        <f t="shared" si="159"/>
        <v>0</v>
      </c>
      <c r="ET16" s="521"/>
      <c r="EU16" s="522">
        <f t="shared" si="48"/>
        <v>0</v>
      </c>
      <c r="EV16" s="523">
        <f t="shared" si="160"/>
        <v>0</v>
      </c>
      <c r="EW16" s="521"/>
      <c r="EX16" s="522">
        <f t="shared" si="49"/>
        <v>0</v>
      </c>
      <c r="EY16" s="523">
        <f t="shared" si="161"/>
        <v>0</v>
      </c>
      <c r="EZ16" s="521"/>
      <c r="FA16" s="522">
        <f t="shared" si="50"/>
        <v>0</v>
      </c>
      <c r="FB16" s="523">
        <f t="shared" si="162"/>
        <v>0</v>
      </c>
      <c r="FC16" s="521"/>
      <c r="FD16" s="522">
        <f t="shared" si="51"/>
        <v>0</v>
      </c>
      <c r="FE16" s="523">
        <f t="shared" si="163"/>
        <v>0</v>
      </c>
      <c r="FF16" s="521"/>
      <c r="FG16" s="522">
        <f t="shared" si="52"/>
        <v>0</v>
      </c>
      <c r="FH16" s="523">
        <f t="shared" si="164"/>
        <v>0</v>
      </c>
      <c r="FI16" s="521"/>
      <c r="FJ16" s="522">
        <f t="shared" si="53"/>
        <v>0</v>
      </c>
      <c r="FK16" s="523">
        <f t="shared" si="165"/>
        <v>0</v>
      </c>
      <c r="FL16" s="521"/>
      <c r="FM16" s="522">
        <f t="shared" si="54"/>
        <v>0</v>
      </c>
      <c r="FN16" s="523">
        <f t="shared" si="166"/>
        <v>0</v>
      </c>
      <c r="FO16" s="521"/>
      <c r="FP16" s="522">
        <f t="shared" si="55"/>
        <v>0</v>
      </c>
      <c r="FQ16" s="523">
        <f t="shared" si="167"/>
        <v>0</v>
      </c>
      <c r="FR16" s="521"/>
      <c r="FS16" s="522">
        <f t="shared" si="56"/>
        <v>0</v>
      </c>
      <c r="FT16" s="523">
        <f t="shared" si="168"/>
        <v>0</v>
      </c>
      <c r="FU16" s="521"/>
      <c r="FV16" s="522">
        <f t="shared" si="57"/>
        <v>0</v>
      </c>
      <c r="FW16" s="523">
        <f t="shared" si="169"/>
        <v>0</v>
      </c>
      <c r="FX16" s="521"/>
      <c r="FY16" s="522">
        <f t="shared" si="58"/>
        <v>0</v>
      </c>
      <c r="FZ16" s="523">
        <f t="shared" si="170"/>
        <v>0</v>
      </c>
      <c r="GA16" s="521"/>
      <c r="GB16" s="522">
        <f t="shared" si="59"/>
        <v>0</v>
      </c>
      <c r="GC16" s="523">
        <f t="shared" si="171"/>
        <v>0</v>
      </c>
      <c r="GD16" s="521"/>
      <c r="GE16" s="522">
        <f t="shared" si="60"/>
        <v>0</v>
      </c>
      <c r="GF16" s="523">
        <f t="shared" si="172"/>
        <v>0</v>
      </c>
      <c r="GG16" s="521"/>
      <c r="GH16" s="522">
        <f t="shared" si="61"/>
        <v>0</v>
      </c>
      <c r="GI16" s="523">
        <f t="shared" si="173"/>
        <v>0</v>
      </c>
      <c r="GJ16" s="521"/>
      <c r="GK16" s="522">
        <f t="shared" si="62"/>
        <v>0</v>
      </c>
      <c r="GL16" s="523">
        <f t="shared" si="174"/>
        <v>0</v>
      </c>
      <c r="GM16" s="521"/>
      <c r="GN16" s="522">
        <f t="shared" si="63"/>
        <v>0</v>
      </c>
      <c r="GO16" s="523">
        <f t="shared" si="175"/>
        <v>0</v>
      </c>
      <c r="GP16" s="521"/>
      <c r="GQ16" s="522">
        <f t="shared" si="64"/>
        <v>0</v>
      </c>
      <c r="GR16" s="523">
        <f t="shared" si="176"/>
        <v>0</v>
      </c>
      <c r="GS16" s="521"/>
      <c r="GT16" s="522">
        <f t="shared" si="65"/>
        <v>0</v>
      </c>
      <c r="GU16" s="523">
        <f t="shared" si="177"/>
        <v>0</v>
      </c>
      <c r="GV16" s="521"/>
      <c r="GW16" s="522">
        <f t="shared" si="66"/>
        <v>0</v>
      </c>
      <c r="GX16" s="523">
        <f t="shared" si="178"/>
        <v>0</v>
      </c>
      <c r="GY16" s="521"/>
      <c r="GZ16" s="522">
        <f t="shared" si="67"/>
        <v>0</v>
      </c>
      <c r="HA16" s="523">
        <f t="shared" si="179"/>
        <v>0</v>
      </c>
      <c r="HB16" s="521"/>
      <c r="HC16" s="522">
        <f t="shared" si="68"/>
        <v>0</v>
      </c>
      <c r="HD16" s="523">
        <f t="shared" si="180"/>
        <v>0</v>
      </c>
      <c r="HE16" s="521"/>
      <c r="HF16" s="522">
        <f t="shared" si="69"/>
        <v>0</v>
      </c>
      <c r="HG16" s="523">
        <f t="shared" si="181"/>
        <v>0</v>
      </c>
      <c r="HH16" s="521"/>
      <c r="HI16" s="522">
        <f t="shared" si="70"/>
        <v>0</v>
      </c>
      <c r="HJ16" s="523">
        <f t="shared" si="182"/>
        <v>0</v>
      </c>
      <c r="HK16" s="521"/>
      <c r="HL16" s="522">
        <f t="shared" si="71"/>
        <v>0</v>
      </c>
      <c r="HM16" s="523">
        <f t="shared" si="183"/>
        <v>0</v>
      </c>
      <c r="HN16" s="521"/>
      <c r="HO16" s="522">
        <f t="shared" si="72"/>
        <v>0</v>
      </c>
      <c r="HP16" s="523">
        <f t="shared" si="184"/>
        <v>0</v>
      </c>
      <c r="HQ16" s="521"/>
      <c r="HR16" s="522">
        <f t="shared" si="73"/>
        <v>0</v>
      </c>
      <c r="HS16" s="523">
        <f t="shared" si="185"/>
        <v>0</v>
      </c>
      <c r="HT16" s="521"/>
      <c r="HU16" s="522">
        <f t="shared" si="74"/>
        <v>0</v>
      </c>
      <c r="HV16" s="523">
        <f t="shared" si="186"/>
        <v>0</v>
      </c>
      <c r="HW16" s="521"/>
      <c r="HX16" s="522">
        <f t="shared" si="75"/>
        <v>0</v>
      </c>
      <c r="HY16" s="523">
        <f t="shared" si="187"/>
        <v>0</v>
      </c>
      <c r="HZ16" s="521"/>
      <c r="IA16" s="522">
        <f t="shared" si="76"/>
        <v>0</v>
      </c>
      <c r="IB16" s="523">
        <f t="shared" si="188"/>
        <v>0</v>
      </c>
      <c r="IC16" s="521"/>
      <c r="ID16" s="522">
        <f t="shared" si="77"/>
        <v>0</v>
      </c>
      <c r="IE16" s="523">
        <f t="shared" si="189"/>
        <v>0</v>
      </c>
      <c r="IF16" s="521"/>
      <c r="IG16" s="522">
        <f t="shared" si="78"/>
        <v>0</v>
      </c>
      <c r="IH16" s="523">
        <f t="shared" si="190"/>
        <v>0</v>
      </c>
      <c r="II16" s="521"/>
      <c r="IJ16" s="522">
        <f t="shared" si="79"/>
        <v>0</v>
      </c>
      <c r="IK16" s="523">
        <f t="shared" si="191"/>
        <v>0</v>
      </c>
      <c r="IL16" s="521"/>
      <c r="IM16" s="522">
        <f t="shared" si="80"/>
        <v>0</v>
      </c>
      <c r="IN16" s="523">
        <f t="shared" si="192"/>
        <v>0</v>
      </c>
      <c r="IO16" s="521"/>
      <c r="IP16" s="522">
        <f t="shared" si="81"/>
        <v>0</v>
      </c>
      <c r="IQ16" s="523">
        <f t="shared" si="193"/>
        <v>0</v>
      </c>
      <c r="IR16" s="521"/>
      <c r="IS16" s="522">
        <f t="shared" si="82"/>
        <v>0</v>
      </c>
      <c r="IT16" s="523">
        <f t="shared" si="194"/>
        <v>0</v>
      </c>
      <c r="IU16" s="521"/>
      <c r="IV16" s="522">
        <f t="shared" si="83"/>
        <v>0</v>
      </c>
      <c r="IW16" s="523">
        <f t="shared" si="195"/>
        <v>0</v>
      </c>
      <c r="IX16" s="521"/>
      <c r="IY16" s="522">
        <f t="shared" si="84"/>
        <v>0</v>
      </c>
      <c r="IZ16" s="523">
        <f t="shared" si="196"/>
        <v>0</v>
      </c>
      <c r="JA16" s="521"/>
      <c r="JB16" s="522">
        <f t="shared" si="85"/>
        <v>0</v>
      </c>
      <c r="JC16" s="523">
        <f t="shared" si="197"/>
        <v>0</v>
      </c>
      <c r="JD16" s="521"/>
      <c r="JE16" s="522">
        <f t="shared" si="86"/>
        <v>0</v>
      </c>
      <c r="JF16" s="523">
        <f t="shared" si="198"/>
        <v>0</v>
      </c>
      <c r="JG16" s="521"/>
      <c r="JH16" s="522">
        <f t="shared" si="87"/>
        <v>0</v>
      </c>
      <c r="JI16" s="523">
        <f t="shared" si="199"/>
        <v>0</v>
      </c>
      <c r="JJ16" s="521"/>
      <c r="JK16" s="523" t="str">
        <f t="shared" si="88"/>
        <v>0</v>
      </c>
      <c r="JL16" s="523" t="str">
        <f t="shared" si="89"/>
        <v>0</v>
      </c>
      <c r="JM16" s="521"/>
      <c r="JN16" s="523" t="str">
        <f t="shared" si="90"/>
        <v>0</v>
      </c>
      <c r="JO16" s="523" t="str">
        <f t="shared" si="91"/>
        <v>0</v>
      </c>
      <c r="JP16" s="521"/>
      <c r="JQ16" s="523" t="str">
        <f t="shared" si="92"/>
        <v>0</v>
      </c>
      <c r="JR16" s="523" t="str">
        <f t="shared" si="93"/>
        <v>0</v>
      </c>
      <c r="JS16" s="521"/>
      <c r="JT16" s="523" t="str">
        <f t="shared" si="94"/>
        <v>0</v>
      </c>
      <c r="JU16" s="523" t="str">
        <f t="shared" si="95"/>
        <v>0</v>
      </c>
      <c r="JV16" s="521"/>
      <c r="JW16" s="523" t="str">
        <f t="shared" si="96"/>
        <v>0</v>
      </c>
      <c r="JX16" s="523" t="str">
        <f t="shared" si="97"/>
        <v>0</v>
      </c>
      <c r="JY16" s="521"/>
      <c r="JZ16" s="523" t="str">
        <f t="shared" si="98"/>
        <v>0</v>
      </c>
      <c r="KA16" s="523" t="str">
        <f t="shared" si="99"/>
        <v>0</v>
      </c>
      <c r="KB16" s="521"/>
      <c r="KC16" s="523" t="str">
        <f t="shared" si="100"/>
        <v>0</v>
      </c>
      <c r="KD16" s="523" t="str">
        <f t="shared" si="101"/>
        <v>0</v>
      </c>
      <c r="KE16" s="521"/>
      <c r="KF16" s="523" t="str">
        <f t="shared" si="102"/>
        <v>0</v>
      </c>
      <c r="KG16" s="523" t="str">
        <f t="shared" si="103"/>
        <v>0</v>
      </c>
      <c r="KH16" s="521"/>
      <c r="KI16" s="523" t="str">
        <f t="shared" si="104"/>
        <v>0</v>
      </c>
      <c r="KJ16" s="523" t="str">
        <f t="shared" si="105"/>
        <v>0</v>
      </c>
      <c r="KK16" s="521"/>
      <c r="KL16" s="523" t="str">
        <f t="shared" si="106"/>
        <v>0</v>
      </c>
      <c r="KM16" s="523" t="str">
        <f t="shared" si="107"/>
        <v>0</v>
      </c>
      <c r="KN16" s="521"/>
      <c r="KO16" s="523" t="str">
        <f t="shared" si="108"/>
        <v>0</v>
      </c>
      <c r="KP16" s="523" t="str">
        <f t="shared" si="109"/>
        <v>0</v>
      </c>
      <c r="KQ16" s="521"/>
      <c r="KR16" s="523" t="str">
        <f t="shared" si="110"/>
        <v>0</v>
      </c>
      <c r="KS16" s="523" t="str">
        <f t="shared" si="111"/>
        <v>0</v>
      </c>
      <c r="KT16" s="523">
        <f t="shared" si="201"/>
        <v>0</v>
      </c>
      <c r="KU16" s="523">
        <f t="shared" si="202"/>
        <v>0</v>
      </c>
      <c r="KV16" s="260">
        <f t="shared" si="112"/>
        <v>571.48637256344955</v>
      </c>
    </row>
    <row r="17" spans="1:308">
      <c r="A17" s="261">
        <f t="shared" si="200"/>
        <v>46031</v>
      </c>
      <c r="B17" s="262" t="str">
        <f>+Report1!B17</f>
        <v>Facial</v>
      </c>
      <c r="C17" s="262" t="str">
        <f>+Report1!C17</f>
        <v>12/13,5</v>
      </c>
      <c r="D17" s="263">
        <f>+Report1!P17</f>
        <v>25.249000000000002</v>
      </c>
      <c r="E17" s="554">
        <f>+Report1!R17</f>
        <v>25.311</v>
      </c>
      <c r="F17" s="521"/>
      <c r="G17" s="522">
        <f t="shared" si="0"/>
        <v>0</v>
      </c>
      <c r="H17" s="523">
        <f t="shared" si="113"/>
        <v>0</v>
      </c>
      <c r="I17" s="521">
        <v>139.53488372093022</v>
      </c>
      <c r="J17" s="522">
        <f t="shared" si="1"/>
        <v>5.512815918807247</v>
      </c>
      <c r="K17" s="523">
        <f t="shared" si="114"/>
        <v>0</v>
      </c>
      <c r="L17" s="521"/>
      <c r="M17" s="522">
        <f t="shared" si="2"/>
        <v>0</v>
      </c>
      <c r="N17" s="523">
        <f t="shared" si="115"/>
        <v>0</v>
      </c>
      <c r="O17" s="521">
        <v>9</v>
      </c>
      <c r="P17" s="522">
        <f t="shared" si="3"/>
        <v>0.35557662676306745</v>
      </c>
      <c r="Q17" s="523">
        <f t="shared" si="116"/>
        <v>0</v>
      </c>
      <c r="R17" s="521"/>
      <c r="S17" s="522">
        <f t="shared" si="4"/>
        <v>0</v>
      </c>
      <c r="T17" s="523">
        <f t="shared" si="117"/>
        <v>0</v>
      </c>
      <c r="U17" s="521">
        <v>7.6875</v>
      </c>
      <c r="V17" s="522">
        <f t="shared" si="5"/>
        <v>0.30372170202678678</v>
      </c>
      <c r="W17" s="523">
        <f t="shared" si="118"/>
        <v>0</v>
      </c>
      <c r="X17" s="521"/>
      <c r="Y17" s="522">
        <f t="shared" si="6"/>
        <v>0</v>
      </c>
      <c r="Z17" s="523">
        <f t="shared" si="119"/>
        <v>0</v>
      </c>
      <c r="AA17" s="521">
        <v>12.5</v>
      </c>
      <c r="AB17" s="522">
        <f t="shared" si="7"/>
        <v>0.49385642605981589</v>
      </c>
      <c r="AC17" s="523">
        <f t="shared" si="120"/>
        <v>0</v>
      </c>
      <c r="AD17" s="521"/>
      <c r="AE17" s="522">
        <f t="shared" si="8"/>
        <v>0</v>
      </c>
      <c r="AF17" s="523">
        <f t="shared" si="121"/>
        <v>0</v>
      </c>
      <c r="AG17" s="521"/>
      <c r="AH17" s="522">
        <f t="shared" si="9"/>
        <v>0</v>
      </c>
      <c r="AI17" s="523">
        <f t="shared" si="122"/>
        <v>0</v>
      </c>
      <c r="AJ17" s="521"/>
      <c r="AK17" s="522">
        <f t="shared" si="10"/>
        <v>0</v>
      </c>
      <c r="AL17" s="523">
        <f t="shared" si="123"/>
        <v>0</v>
      </c>
      <c r="AM17" s="521"/>
      <c r="AN17" s="522">
        <f t="shared" si="11"/>
        <v>0</v>
      </c>
      <c r="AO17" s="523">
        <f t="shared" si="124"/>
        <v>0</v>
      </c>
      <c r="AP17" s="521">
        <v>56.96202531645568</v>
      </c>
      <c r="AQ17" s="522">
        <f t="shared" si="12"/>
        <v>2.2504849795130846</v>
      </c>
      <c r="AR17" s="523">
        <f t="shared" si="125"/>
        <v>0</v>
      </c>
      <c r="AS17" s="521"/>
      <c r="AT17" s="522">
        <f t="shared" si="13"/>
        <v>0</v>
      </c>
      <c r="AU17" s="523">
        <f t="shared" si="126"/>
        <v>0</v>
      </c>
      <c r="AV17" s="521"/>
      <c r="AW17" s="522">
        <f t="shared" si="14"/>
        <v>0</v>
      </c>
      <c r="AX17" s="523">
        <f t="shared" si="127"/>
        <v>0</v>
      </c>
      <c r="AY17" s="521">
        <v>32.666666666666657</v>
      </c>
      <c r="AZ17" s="522">
        <f t="shared" si="15"/>
        <v>1.2906114601029852</v>
      </c>
      <c r="BA17" s="523">
        <f t="shared" si="128"/>
        <v>0</v>
      </c>
      <c r="BB17" s="521"/>
      <c r="BC17" s="522">
        <f t="shared" si="16"/>
        <v>0</v>
      </c>
      <c r="BD17" s="523">
        <f t="shared" si="129"/>
        <v>0</v>
      </c>
      <c r="BE17" s="521"/>
      <c r="BF17" s="522">
        <f t="shared" si="17"/>
        <v>0</v>
      </c>
      <c r="BG17" s="523">
        <f t="shared" si="130"/>
        <v>0</v>
      </c>
      <c r="BH17" s="521"/>
      <c r="BI17" s="522">
        <f t="shared" si="18"/>
        <v>0</v>
      </c>
      <c r="BJ17" s="523">
        <f t="shared" si="131"/>
        <v>0</v>
      </c>
      <c r="BK17" s="521"/>
      <c r="BL17" s="522">
        <f t="shared" si="19"/>
        <v>0</v>
      </c>
      <c r="BM17" s="523">
        <f t="shared" si="132"/>
        <v>0</v>
      </c>
      <c r="BN17" s="521"/>
      <c r="BO17" s="522">
        <f t="shared" si="20"/>
        <v>0</v>
      </c>
      <c r="BP17" s="523">
        <f t="shared" si="133"/>
        <v>0</v>
      </c>
      <c r="BQ17" s="521">
        <v>45.174705569620301</v>
      </c>
      <c r="BR17" s="522">
        <f t="shared" si="21"/>
        <v>1.7847854912733714</v>
      </c>
      <c r="BS17" s="523">
        <f t="shared" si="134"/>
        <v>0</v>
      </c>
      <c r="BT17" s="521"/>
      <c r="BU17" s="522">
        <f t="shared" si="22"/>
        <v>0</v>
      </c>
      <c r="BV17" s="523">
        <f t="shared" si="135"/>
        <v>0</v>
      </c>
      <c r="BW17" s="521"/>
      <c r="BX17" s="522">
        <f t="shared" si="23"/>
        <v>0</v>
      </c>
      <c r="BY17" s="523">
        <f t="shared" si="136"/>
        <v>0</v>
      </c>
      <c r="BZ17" s="521"/>
      <c r="CA17" s="522">
        <f t="shared" si="24"/>
        <v>0</v>
      </c>
      <c r="CB17" s="523">
        <f t="shared" si="137"/>
        <v>0</v>
      </c>
      <c r="CC17" s="521"/>
      <c r="CD17" s="522">
        <f t="shared" si="25"/>
        <v>0</v>
      </c>
      <c r="CE17" s="523">
        <f t="shared" si="138"/>
        <v>0</v>
      </c>
      <c r="CF17" s="521">
        <v>1.3</v>
      </c>
      <c r="CG17" s="522">
        <f t="shared" si="26"/>
        <v>5.1361068310220852E-2</v>
      </c>
      <c r="CH17" s="523">
        <f t="shared" si="139"/>
        <v>0</v>
      </c>
      <c r="CI17" s="521"/>
      <c r="CJ17" s="522">
        <f t="shared" si="27"/>
        <v>0</v>
      </c>
      <c r="CK17" s="523">
        <f t="shared" si="140"/>
        <v>0</v>
      </c>
      <c r="CL17" s="521"/>
      <c r="CM17" s="522">
        <f t="shared" si="28"/>
        <v>0</v>
      </c>
      <c r="CN17" s="523">
        <f t="shared" si="141"/>
        <v>0</v>
      </c>
      <c r="CO17" s="521"/>
      <c r="CP17" s="522">
        <f t="shared" si="29"/>
        <v>0</v>
      </c>
      <c r="CQ17" s="523">
        <f t="shared" si="142"/>
        <v>0</v>
      </c>
      <c r="CR17" s="521"/>
      <c r="CS17" s="522">
        <f t="shared" si="30"/>
        <v>0</v>
      </c>
      <c r="CT17" s="523">
        <f t="shared" si="143"/>
        <v>0</v>
      </c>
      <c r="CU17" s="521"/>
      <c r="CV17" s="522">
        <f t="shared" si="31"/>
        <v>0</v>
      </c>
      <c r="CW17" s="523">
        <f t="shared" si="144"/>
        <v>0</v>
      </c>
      <c r="CX17" s="521"/>
      <c r="CY17" s="522">
        <f t="shared" si="32"/>
        <v>0</v>
      </c>
      <c r="CZ17" s="523">
        <f t="shared" si="145"/>
        <v>0</v>
      </c>
      <c r="DA17" s="521"/>
      <c r="DB17" s="522">
        <f t="shared" si="33"/>
        <v>0</v>
      </c>
      <c r="DC17" s="523">
        <f t="shared" si="146"/>
        <v>0</v>
      </c>
      <c r="DD17" s="521"/>
      <c r="DE17" s="522">
        <f t="shared" si="34"/>
        <v>0</v>
      </c>
      <c r="DF17" s="523">
        <f t="shared" si="147"/>
        <v>0</v>
      </c>
      <c r="DG17" s="521"/>
      <c r="DH17" s="522">
        <f t="shared" si="35"/>
        <v>0</v>
      </c>
      <c r="DI17" s="523">
        <f t="shared" si="203"/>
        <v>0</v>
      </c>
      <c r="DJ17" s="521"/>
      <c r="DK17" s="522">
        <f t="shared" si="36"/>
        <v>0</v>
      </c>
      <c r="DL17" s="523">
        <f t="shared" si="148"/>
        <v>0</v>
      </c>
      <c r="DM17" s="521"/>
      <c r="DN17" s="522">
        <f t="shared" si="37"/>
        <v>0</v>
      </c>
      <c r="DO17" s="523">
        <f t="shared" si="149"/>
        <v>0</v>
      </c>
      <c r="DP17" s="521"/>
      <c r="DQ17" s="522">
        <f t="shared" si="38"/>
        <v>0</v>
      </c>
      <c r="DR17" s="523">
        <f t="shared" si="150"/>
        <v>0</v>
      </c>
      <c r="DS17" s="521"/>
      <c r="DT17" s="522">
        <f t="shared" si="39"/>
        <v>0</v>
      </c>
      <c r="DU17" s="523">
        <f t="shared" si="151"/>
        <v>0</v>
      </c>
      <c r="DV17" s="521"/>
      <c r="DW17" s="522">
        <f t="shared" si="40"/>
        <v>0</v>
      </c>
      <c r="DX17" s="523">
        <f t="shared" si="152"/>
        <v>0</v>
      </c>
      <c r="DY17" s="521"/>
      <c r="DZ17" s="522">
        <f t="shared" si="41"/>
        <v>0</v>
      </c>
      <c r="EA17" s="523">
        <f t="shared" si="153"/>
        <v>0</v>
      </c>
      <c r="EB17" s="521"/>
      <c r="EC17" s="522">
        <f t="shared" si="42"/>
        <v>0</v>
      </c>
      <c r="ED17" s="523">
        <f t="shared" si="154"/>
        <v>0</v>
      </c>
      <c r="EE17" s="521">
        <v>43.604651162791015</v>
      </c>
      <c r="EF17" s="522">
        <f t="shared" si="43"/>
        <v>1.7227549746272772</v>
      </c>
      <c r="EG17" s="523">
        <f t="shared" si="155"/>
        <v>0</v>
      </c>
      <c r="EH17" s="521">
        <v>82.18823529411759</v>
      </c>
      <c r="EI17" s="522">
        <f t="shared" si="44"/>
        <v>3.2471350517212909</v>
      </c>
      <c r="EJ17" s="523">
        <f t="shared" si="156"/>
        <v>0</v>
      </c>
      <c r="EK17" s="521"/>
      <c r="EL17" s="522">
        <f t="shared" si="45"/>
        <v>0</v>
      </c>
      <c r="EM17" s="523">
        <f t="shared" si="157"/>
        <v>0</v>
      </c>
      <c r="EN17" s="521"/>
      <c r="EO17" s="522">
        <f t="shared" si="46"/>
        <v>0</v>
      </c>
      <c r="EP17" s="523">
        <f t="shared" si="158"/>
        <v>0</v>
      </c>
      <c r="EQ17" s="521"/>
      <c r="ER17" s="522">
        <f t="shared" si="47"/>
        <v>0</v>
      </c>
      <c r="ES17" s="523">
        <f t="shared" si="159"/>
        <v>0</v>
      </c>
      <c r="ET17" s="521"/>
      <c r="EU17" s="522">
        <f t="shared" si="48"/>
        <v>0</v>
      </c>
      <c r="EV17" s="523">
        <f t="shared" si="160"/>
        <v>0</v>
      </c>
      <c r="EW17" s="521"/>
      <c r="EX17" s="522">
        <f t="shared" si="49"/>
        <v>0</v>
      </c>
      <c r="EY17" s="523">
        <f t="shared" si="161"/>
        <v>0</v>
      </c>
      <c r="EZ17" s="521"/>
      <c r="FA17" s="522">
        <f t="shared" si="50"/>
        <v>0</v>
      </c>
      <c r="FB17" s="523">
        <f t="shared" si="162"/>
        <v>0</v>
      </c>
      <c r="FC17" s="521"/>
      <c r="FD17" s="522">
        <f t="shared" si="51"/>
        <v>0</v>
      </c>
      <c r="FE17" s="523">
        <f t="shared" si="163"/>
        <v>0</v>
      </c>
      <c r="FF17" s="521"/>
      <c r="FG17" s="522">
        <f t="shared" si="52"/>
        <v>0</v>
      </c>
      <c r="FH17" s="523">
        <f t="shared" si="164"/>
        <v>0</v>
      </c>
      <c r="FI17" s="521"/>
      <c r="FJ17" s="522">
        <f t="shared" si="53"/>
        <v>0</v>
      </c>
      <c r="FK17" s="523">
        <f t="shared" si="165"/>
        <v>0</v>
      </c>
      <c r="FL17" s="521"/>
      <c r="FM17" s="522">
        <f t="shared" si="54"/>
        <v>0</v>
      </c>
      <c r="FN17" s="523">
        <f t="shared" si="166"/>
        <v>0</v>
      </c>
      <c r="FO17" s="521"/>
      <c r="FP17" s="522">
        <f t="shared" si="55"/>
        <v>0</v>
      </c>
      <c r="FQ17" s="523">
        <f t="shared" si="167"/>
        <v>0</v>
      </c>
      <c r="FR17" s="521"/>
      <c r="FS17" s="522">
        <f t="shared" si="56"/>
        <v>0</v>
      </c>
      <c r="FT17" s="523">
        <f t="shared" si="168"/>
        <v>0</v>
      </c>
      <c r="FU17" s="521"/>
      <c r="FV17" s="522">
        <f t="shared" si="57"/>
        <v>0</v>
      </c>
      <c r="FW17" s="523">
        <f t="shared" si="169"/>
        <v>0</v>
      </c>
      <c r="FX17" s="521"/>
      <c r="FY17" s="522">
        <f t="shared" si="58"/>
        <v>0</v>
      </c>
      <c r="FZ17" s="523">
        <f t="shared" si="170"/>
        <v>0</v>
      </c>
      <c r="GA17" s="521"/>
      <c r="GB17" s="522">
        <f t="shared" si="59"/>
        <v>0</v>
      </c>
      <c r="GC17" s="523">
        <f t="shared" si="171"/>
        <v>0</v>
      </c>
      <c r="GD17" s="521"/>
      <c r="GE17" s="522">
        <f t="shared" si="60"/>
        <v>0</v>
      </c>
      <c r="GF17" s="523">
        <f t="shared" si="172"/>
        <v>0</v>
      </c>
      <c r="GG17" s="521"/>
      <c r="GH17" s="522">
        <f t="shared" si="61"/>
        <v>0</v>
      </c>
      <c r="GI17" s="523">
        <f t="shared" si="173"/>
        <v>0</v>
      </c>
      <c r="GJ17" s="521"/>
      <c r="GK17" s="522">
        <f t="shared" si="62"/>
        <v>0</v>
      </c>
      <c r="GL17" s="523">
        <f t="shared" si="174"/>
        <v>0</v>
      </c>
      <c r="GM17" s="521"/>
      <c r="GN17" s="522">
        <f t="shared" si="63"/>
        <v>0</v>
      </c>
      <c r="GO17" s="523">
        <f t="shared" si="175"/>
        <v>0</v>
      </c>
      <c r="GP17" s="521"/>
      <c r="GQ17" s="522">
        <f t="shared" si="64"/>
        <v>0</v>
      </c>
      <c r="GR17" s="523">
        <f t="shared" si="176"/>
        <v>0</v>
      </c>
      <c r="GS17" s="521"/>
      <c r="GT17" s="522">
        <f t="shared" si="65"/>
        <v>0</v>
      </c>
      <c r="GU17" s="523">
        <f t="shared" si="177"/>
        <v>0</v>
      </c>
      <c r="GV17" s="521"/>
      <c r="GW17" s="522">
        <f t="shared" si="66"/>
        <v>0</v>
      </c>
      <c r="GX17" s="523">
        <f t="shared" si="178"/>
        <v>0</v>
      </c>
      <c r="GY17" s="521"/>
      <c r="GZ17" s="522">
        <f t="shared" si="67"/>
        <v>0</v>
      </c>
      <c r="HA17" s="523">
        <f t="shared" si="179"/>
        <v>0</v>
      </c>
      <c r="HB17" s="521"/>
      <c r="HC17" s="522">
        <f t="shared" si="68"/>
        <v>0</v>
      </c>
      <c r="HD17" s="523">
        <f t="shared" si="180"/>
        <v>0</v>
      </c>
      <c r="HE17" s="521"/>
      <c r="HF17" s="522">
        <f t="shared" si="69"/>
        <v>0</v>
      </c>
      <c r="HG17" s="523">
        <f t="shared" si="181"/>
        <v>0</v>
      </c>
      <c r="HH17" s="521"/>
      <c r="HI17" s="522">
        <f t="shared" si="70"/>
        <v>0</v>
      </c>
      <c r="HJ17" s="523">
        <f t="shared" si="182"/>
        <v>0</v>
      </c>
      <c r="HK17" s="521"/>
      <c r="HL17" s="522">
        <f t="shared" si="71"/>
        <v>0</v>
      </c>
      <c r="HM17" s="523">
        <f t="shared" si="183"/>
        <v>0</v>
      </c>
      <c r="HN17" s="521"/>
      <c r="HO17" s="522">
        <f t="shared" si="72"/>
        <v>0</v>
      </c>
      <c r="HP17" s="523">
        <f t="shared" si="184"/>
        <v>0</v>
      </c>
      <c r="HQ17" s="521"/>
      <c r="HR17" s="522">
        <f t="shared" si="73"/>
        <v>0</v>
      </c>
      <c r="HS17" s="523">
        <f t="shared" si="185"/>
        <v>0</v>
      </c>
      <c r="HT17" s="521"/>
      <c r="HU17" s="522">
        <f t="shared" si="74"/>
        <v>0</v>
      </c>
      <c r="HV17" s="523">
        <f t="shared" si="186"/>
        <v>0</v>
      </c>
      <c r="HW17" s="521"/>
      <c r="HX17" s="522">
        <f t="shared" si="75"/>
        <v>0</v>
      </c>
      <c r="HY17" s="523">
        <f t="shared" si="187"/>
        <v>0</v>
      </c>
      <c r="HZ17" s="521"/>
      <c r="IA17" s="522">
        <f t="shared" si="76"/>
        <v>0</v>
      </c>
      <c r="IB17" s="523">
        <f t="shared" si="188"/>
        <v>0</v>
      </c>
      <c r="IC17" s="521"/>
      <c r="ID17" s="522">
        <f t="shared" si="77"/>
        <v>0</v>
      </c>
      <c r="IE17" s="523">
        <f t="shared" si="189"/>
        <v>0</v>
      </c>
      <c r="IF17" s="521"/>
      <c r="IG17" s="522">
        <f t="shared" si="78"/>
        <v>0</v>
      </c>
      <c r="IH17" s="523">
        <f t="shared" si="190"/>
        <v>0</v>
      </c>
      <c r="II17" s="521"/>
      <c r="IJ17" s="522">
        <f t="shared" si="79"/>
        <v>0</v>
      </c>
      <c r="IK17" s="523">
        <f t="shared" si="191"/>
        <v>0</v>
      </c>
      <c r="IL17" s="521"/>
      <c r="IM17" s="522">
        <f t="shared" si="80"/>
        <v>0</v>
      </c>
      <c r="IN17" s="523">
        <f t="shared" si="192"/>
        <v>0</v>
      </c>
      <c r="IO17" s="521"/>
      <c r="IP17" s="522">
        <f t="shared" si="81"/>
        <v>0</v>
      </c>
      <c r="IQ17" s="523">
        <f t="shared" si="193"/>
        <v>0</v>
      </c>
      <c r="IR17" s="521"/>
      <c r="IS17" s="522">
        <f t="shared" si="82"/>
        <v>0</v>
      </c>
      <c r="IT17" s="523">
        <f t="shared" si="194"/>
        <v>0</v>
      </c>
      <c r="IU17" s="521"/>
      <c r="IV17" s="522">
        <f t="shared" si="83"/>
        <v>0</v>
      </c>
      <c r="IW17" s="523">
        <f t="shared" si="195"/>
        <v>0</v>
      </c>
      <c r="IX17" s="521"/>
      <c r="IY17" s="522">
        <f t="shared" si="84"/>
        <v>0</v>
      </c>
      <c r="IZ17" s="523">
        <f t="shared" si="196"/>
        <v>0</v>
      </c>
      <c r="JA17" s="521"/>
      <c r="JB17" s="522">
        <f t="shared" si="85"/>
        <v>0</v>
      </c>
      <c r="JC17" s="523">
        <f t="shared" si="197"/>
        <v>0</v>
      </c>
      <c r="JD17" s="521"/>
      <c r="JE17" s="522">
        <f t="shared" si="86"/>
        <v>0</v>
      </c>
      <c r="JF17" s="523">
        <f t="shared" si="198"/>
        <v>0</v>
      </c>
      <c r="JG17" s="521"/>
      <c r="JH17" s="522">
        <f t="shared" si="87"/>
        <v>0</v>
      </c>
      <c r="JI17" s="523">
        <f t="shared" si="199"/>
        <v>0</v>
      </c>
      <c r="JJ17" s="521"/>
      <c r="JK17" s="523" t="str">
        <f t="shared" si="88"/>
        <v>0</v>
      </c>
      <c r="JL17" s="523" t="str">
        <f t="shared" si="89"/>
        <v>0</v>
      </c>
      <c r="JM17" s="521"/>
      <c r="JN17" s="523" t="str">
        <f t="shared" si="90"/>
        <v>0</v>
      </c>
      <c r="JO17" s="523" t="str">
        <f t="shared" si="91"/>
        <v>0</v>
      </c>
      <c r="JP17" s="521"/>
      <c r="JQ17" s="523" t="str">
        <f t="shared" si="92"/>
        <v>0</v>
      </c>
      <c r="JR17" s="523" t="str">
        <f t="shared" si="93"/>
        <v>0</v>
      </c>
      <c r="JS17" s="521"/>
      <c r="JT17" s="523" t="str">
        <f t="shared" si="94"/>
        <v>0</v>
      </c>
      <c r="JU17" s="523" t="str">
        <f t="shared" si="95"/>
        <v>0</v>
      </c>
      <c r="JV17" s="521"/>
      <c r="JW17" s="523" t="str">
        <f t="shared" si="96"/>
        <v>0</v>
      </c>
      <c r="JX17" s="523" t="str">
        <f t="shared" si="97"/>
        <v>0</v>
      </c>
      <c r="JY17" s="521"/>
      <c r="JZ17" s="523" t="str">
        <f t="shared" si="98"/>
        <v>0</v>
      </c>
      <c r="KA17" s="523" t="str">
        <f t="shared" si="99"/>
        <v>0</v>
      </c>
      <c r="KB17" s="521"/>
      <c r="KC17" s="523" t="str">
        <f t="shared" si="100"/>
        <v>0</v>
      </c>
      <c r="KD17" s="523" t="str">
        <f t="shared" si="101"/>
        <v>0</v>
      </c>
      <c r="KE17" s="521"/>
      <c r="KF17" s="523" t="str">
        <f t="shared" si="102"/>
        <v>0</v>
      </c>
      <c r="KG17" s="523" t="str">
        <f t="shared" si="103"/>
        <v>0</v>
      </c>
      <c r="KH17" s="521"/>
      <c r="KI17" s="523" t="str">
        <f t="shared" si="104"/>
        <v>0</v>
      </c>
      <c r="KJ17" s="523" t="str">
        <f t="shared" si="105"/>
        <v>0</v>
      </c>
      <c r="KK17" s="521"/>
      <c r="KL17" s="523" t="str">
        <f t="shared" si="106"/>
        <v>0</v>
      </c>
      <c r="KM17" s="523" t="str">
        <f t="shared" si="107"/>
        <v>0</v>
      </c>
      <c r="KN17" s="521"/>
      <c r="KO17" s="523" t="str">
        <f t="shared" si="108"/>
        <v>0</v>
      </c>
      <c r="KP17" s="523" t="str">
        <f t="shared" si="109"/>
        <v>0</v>
      </c>
      <c r="KQ17" s="521"/>
      <c r="KR17" s="523" t="str">
        <f t="shared" si="110"/>
        <v>0</v>
      </c>
      <c r="KS17" s="523" t="str">
        <f t="shared" si="111"/>
        <v>0</v>
      </c>
      <c r="KT17" s="523">
        <f t="shared" si="201"/>
        <v>0</v>
      </c>
      <c r="KU17" s="523">
        <f t="shared" si="202"/>
        <v>0</v>
      </c>
      <c r="KV17" s="260">
        <f t="shared" si="112"/>
        <v>430.61866773058148</v>
      </c>
    </row>
    <row r="18" spans="1:308">
      <c r="A18" s="261">
        <f t="shared" si="200"/>
        <v>46032</v>
      </c>
      <c r="B18" s="262" t="str">
        <f>+Report1!B18</f>
        <v>Facial</v>
      </c>
      <c r="C18" s="262" t="str">
        <f>+Report1!C18</f>
        <v>12/13,5</v>
      </c>
      <c r="D18" s="263">
        <f>+Report1!P18</f>
        <v>35.371000000000002</v>
      </c>
      <c r="E18" s="554">
        <f>+Report1!R18</f>
        <v>31.187999999999999</v>
      </c>
      <c r="F18" s="521"/>
      <c r="G18" s="522">
        <f t="shared" si="0"/>
        <v>0</v>
      </c>
      <c r="H18" s="523">
        <f t="shared" si="113"/>
        <v>0</v>
      </c>
      <c r="I18" s="521">
        <v>207.4804930232558</v>
      </c>
      <c r="J18" s="522">
        <f t="shared" si="1"/>
        <v>6.6525744845214767</v>
      </c>
      <c r="K18" s="523">
        <f t="shared" si="114"/>
        <v>0</v>
      </c>
      <c r="L18" s="521"/>
      <c r="M18" s="522">
        <f t="shared" si="2"/>
        <v>0</v>
      </c>
      <c r="N18" s="523">
        <f t="shared" si="115"/>
        <v>0</v>
      </c>
      <c r="O18" s="521">
        <v>8.0272000000000219</v>
      </c>
      <c r="P18" s="522">
        <f t="shared" si="3"/>
        <v>0.25738104399127942</v>
      </c>
      <c r="Q18" s="523">
        <f t="shared" si="116"/>
        <v>0</v>
      </c>
      <c r="R18" s="521"/>
      <c r="S18" s="522">
        <f t="shared" si="4"/>
        <v>0</v>
      </c>
      <c r="T18" s="523">
        <f t="shared" si="117"/>
        <v>0</v>
      </c>
      <c r="U18" s="521">
        <v>6.8535000000000537</v>
      </c>
      <c r="V18" s="522">
        <f t="shared" si="5"/>
        <v>0.21974797999230647</v>
      </c>
      <c r="W18" s="523">
        <f t="shared" si="118"/>
        <v>0</v>
      </c>
      <c r="X18" s="521"/>
      <c r="Y18" s="522">
        <f t="shared" si="6"/>
        <v>0</v>
      </c>
      <c r="Z18" s="523">
        <f t="shared" si="119"/>
        <v>0</v>
      </c>
      <c r="AA18" s="521">
        <v>6.9748999999999981</v>
      </c>
      <c r="AB18" s="522">
        <f t="shared" si="7"/>
        <v>0.22364050275747077</v>
      </c>
      <c r="AC18" s="523">
        <f t="shared" si="120"/>
        <v>0</v>
      </c>
      <c r="AD18" s="521"/>
      <c r="AE18" s="522">
        <f t="shared" si="8"/>
        <v>0</v>
      </c>
      <c r="AF18" s="523">
        <f t="shared" si="121"/>
        <v>0</v>
      </c>
      <c r="AG18" s="521"/>
      <c r="AH18" s="522">
        <f t="shared" si="9"/>
        <v>0</v>
      </c>
      <c r="AI18" s="523">
        <f t="shared" si="122"/>
        <v>0</v>
      </c>
      <c r="AJ18" s="521"/>
      <c r="AK18" s="522">
        <f t="shared" si="10"/>
        <v>0</v>
      </c>
      <c r="AL18" s="523">
        <f t="shared" si="123"/>
        <v>0</v>
      </c>
      <c r="AM18" s="521"/>
      <c r="AN18" s="522">
        <f t="shared" si="11"/>
        <v>0</v>
      </c>
      <c r="AO18" s="523">
        <f t="shared" si="124"/>
        <v>0</v>
      </c>
      <c r="AP18" s="521">
        <v>41.926094936708864</v>
      </c>
      <c r="AQ18" s="522">
        <f t="shared" si="12"/>
        <v>1.3443021334073639</v>
      </c>
      <c r="AR18" s="523">
        <f t="shared" si="125"/>
        <v>0</v>
      </c>
      <c r="AS18" s="521"/>
      <c r="AT18" s="522">
        <f t="shared" si="13"/>
        <v>0</v>
      </c>
      <c r="AU18" s="523">
        <f t="shared" si="126"/>
        <v>0</v>
      </c>
      <c r="AV18" s="521"/>
      <c r="AW18" s="522">
        <f t="shared" si="14"/>
        <v>0</v>
      </c>
      <c r="AX18" s="523">
        <f t="shared" si="127"/>
        <v>0</v>
      </c>
      <c r="AY18" s="521">
        <v>45.798266666666649</v>
      </c>
      <c r="AZ18" s="522">
        <f t="shared" si="15"/>
        <v>1.468457953913898</v>
      </c>
      <c r="BA18" s="523">
        <f t="shared" si="128"/>
        <v>0</v>
      </c>
      <c r="BB18" s="521"/>
      <c r="BC18" s="522">
        <f t="shared" si="16"/>
        <v>0</v>
      </c>
      <c r="BD18" s="523">
        <f t="shared" si="129"/>
        <v>0</v>
      </c>
      <c r="BE18" s="521"/>
      <c r="BF18" s="522">
        <f t="shared" si="17"/>
        <v>0</v>
      </c>
      <c r="BG18" s="523">
        <f t="shared" si="130"/>
        <v>0</v>
      </c>
      <c r="BH18" s="521"/>
      <c r="BI18" s="522">
        <f t="shared" si="18"/>
        <v>0</v>
      </c>
      <c r="BJ18" s="523">
        <f t="shared" si="131"/>
        <v>0</v>
      </c>
      <c r="BK18" s="521"/>
      <c r="BL18" s="522">
        <f t="shared" si="19"/>
        <v>0</v>
      </c>
      <c r="BM18" s="523">
        <f t="shared" si="132"/>
        <v>0</v>
      </c>
      <c r="BN18" s="521"/>
      <c r="BO18" s="522">
        <f t="shared" si="20"/>
        <v>0</v>
      </c>
      <c r="BP18" s="523">
        <f t="shared" si="133"/>
        <v>0</v>
      </c>
      <c r="BQ18" s="521">
        <v>45.174705569620301</v>
      </c>
      <c r="BR18" s="522">
        <f t="shared" si="21"/>
        <v>1.4484643314614691</v>
      </c>
      <c r="BS18" s="523">
        <f t="shared" si="134"/>
        <v>0</v>
      </c>
      <c r="BT18" s="521"/>
      <c r="BU18" s="522">
        <f t="shared" si="22"/>
        <v>0</v>
      </c>
      <c r="BV18" s="523">
        <f t="shared" si="135"/>
        <v>0</v>
      </c>
      <c r="BW18" s="521"/>
      <c r="BX18" s="522">
        <f t="shared" si="23"/>
        <v>0</v>
      </c>
      <c r="BY18" s="523">
        <f t="shared" si="136"/>
        <v>0</v>
      </c>
      <c r="BZ18" s="521"/>
      <c r="CA18" s="522">
        <f t="shared" si="24"/>
        <v>0</v>
      </c>
      <c r="CB18" s="523">
        <f t="shared" si="137"/>
        <v>0</v>
      </c>
      <c r="CC18" s="521"/>
      <c r="CD18" s="522">
        <f t="shared" si="25"/>
        <v>0</v>
      </c>
      <c r="CE18" s="523">
        <f t="shared" si="138"/>
        <v>0</v>
      </c>
      <c r="CF18" s="521"/>
      <c r="CG18" s="522">
        <f t="shared" si="26"/>
        <v>0</v>
      </c>
      <c r="CH18" s="523">
        <f t="shared" si="139"/>
        <v>0</v>
      </c>
      <c r="CI18" s="521"/>
      <c r="CJ18" s="522">
        <f t="shared" si="27"/>
        <v>0</v>
      </c>
      <c r="CK18" s="523">
        <f t="shared" si="140"/>
        <v>0</v>
      </c>
      <c r="CL18" s="521"/>
      <c r="CM18" s="522">
        <f t="shared" si="28"/>
        <v>0</v>
      </c>
      <c r="CN18" s="523">
        <f t="shared" si="141"/>
        <v>0</v>
      </c>
      <c r="CO18" s="521"/>
      <c r="CP18" s="522">
        <f t="shared" si="29"/>
        <v>0</v>
      </c>
      <c r="CQ18" s="523">
        <f t="shared" si="142"/>
        <v>0</v>
      </c>
      <c r="CR18" s="521"/>
      <c r="CS18" s="522">
        <f t="shared" si="30"/>
        <v>0</v>
      </c>
      <c r="CT18" s="523">
        <f t="shared" si="143"/>
        <v>0</v>
      </c>
      <c r="CU18" s="521"/>
      <c r="CV18" s="522">
        <f t="shared" si="31"/>
        <v>0</v>
      </c>
      <c r="CW18" s="523">
        <f t="shared" si="144"/>
        <v>0</v>
      </c>
      <c r="CX18" s="521"/>
      <c r="CY18" s="522">
        <f t="shared" si="32"/>
        <v>0</v>
      </c>
      <c r="CZ18" s="523">
        <f t="shared" si="145"/>
        <v>0</v>
      </c>
      <c r="DA18" s="521"/>
      <c r="DB18" s="522">
        <f t="shared" si="33"/>
        <v>0</v>
      </c>
      <c r="DC18" s="523">
        <f t="shared" si="146"/>
        <v>0</v>
      </c>
      <c r="DD18" s="521"/>
      <c r="DE18" s="522">
        <f t="shared" si="34"/>
        <v>0</v>
      </c>
      <c r="DF18" s="523">
        <f t="shared" si="147"/>
        <v>0</v>
      </c>
      <c r="DG18" s="521"/>
      <c r="DH18" s="522">
        <f t="shared" si="35"/>
        <v>0</v>
      </c>
      <c r="DI18" s="523">
        <f t="shared" si="203"/>
        <v>0</v>
      </c>
      <c r="DJ18" s="521"/>
      <c r="DK18" s="522">
        <f t="shared" si="36"/>
        <v>0</v>
      </c>
      <c r="DL18" s="523">
        <f t="shared" si="148"/>
        <v>0</v>
      </c>
      <c r="DM18" s="521"/>
      <c r="DN18" s="522">
        <f t="shared" si="37"/>
        <v>0</v>
      </c>
      <c r="DO18" s="523">
        <f t="shared" si="149"/>
        <v>0</v>
      </c>
      <c r="DP18" s="521"/>
      <c r="DQ18" s="522">
        <f t="shared" si="38"/>
        <v>0</v>
      </c>
      <c r="DR18" s="523">
        <f t="shared" si="150"/>
        <v>0</v>
      </c>
      <c r="DS18" s="521"/>
      <c r="DT18" s="522">
        <f t="shared" si="39"/>
        <v>0</v>
      </c>
      <c r="DU18" s="523">
        <f t="shared" si="151"/>
        <v>0</v>
      </c>
      <c r="DV18" s="521"/>
      <c r="DW18" s="522">
        <f t="shared" si="40"/>
        <v>0</v>
      </c>
      <c r="DX18" s="523">
        <f t="shared" si="152"/>
        <v>0</v>
      </c>
      <c r="DY18" s="521"/>
      <c r="DZ18" s="522">
        <f t="shared" si="41"/>
        <v>0</v>
      </c>
      <c r="EA18" s="523">
        <f t="shared" si="153"/>
        <v>0</v>
      </c>
      <c r="EB18" s="521"/>
      <c r="EC18" s="522">
        <f t="shared" si="42"/>
        <v>0</v>
      </c>
      <c r="ED18" s="523">
        <f t="shared" si="154"/>
        <v>0</v>
      </c>
      <c r="EE18" s="521">
        <v>32.419199999999819</v>
      </c>
      <c r="EF18" s="522">
        <f t="shared" si="43"/>
        <v>1.0394767218160774</v>
      </c>
      <c r="EG18" s="523">
        <f t="shared" si="155"/>
        <v>0</v>
      </c>
      <c r="EH18" s="521">
        <v>52.374117647058824</v>
      </c>
      <c r="EI18" s="522">
        <f t="shared" si="44"/>
        <v>1.6793035028555479</v>
      </c>
      <c r="EJ18" s="523">
        <f t="shared" si="156"/>
        <v>0</v>
      </c>
      <c r="EK18" s="521"/>
      <c r="EL18" s="522">
        <f t="shared" si="45"/>
        <v>0</v>
      </c>
      <c r="EM18" s="523">
        <f t="shared" si="157"/>
        <v>0</v>
      </c>
      <c r="EN18" s="521"/>
      <c r="EO18" s="522">
        <f t="shared" si="46"/>
        <v>0</v>
      </c>
      <c r="EP18" s="523">
        <f t="shared" si="158"/>
        <v>0</v>
      </c>
      <c r="EQ18" s="521"/>
      <c r="ER18" s="522">
        <f t="shared" si="47"/>
        <v>0</v>
      </c>
      <c r="ES18" s="523">
        <f t="shared" si="159"/>
        <v>0</v>
      </c>
      <c r="ET18" s="521"/>
      <c r="EU18" s="522">
        <f t="shared" si="48"/>
        <v>0</v>
      </c>
      <c r="EV18" s="523">
        <f t="shared" si="160"/>
        <v>0</v>
      </c>
      <c r="EW18" s="521"/>
      <c r="EX18" s="522">
        <f t="shared" si="49"/>
        <v>0</v>
      </c>
      <c r="EY18" s="523">
        <f t="shared" si="161"/>
        <v>0</v>
      </c>
      <c r="EZ18" s="521"/>
      <c r="FA18" s="522">
        <f t="shared" si="50"/>
        <v>0</v>
      </c>
      <c r="FB18" s="523">
        <f t="shared" si="162"/>
        <v>0</v>
      </c>
      <c r="FC18" s="521"/>
      <c r="FD18" s="522">
        <f t="shared" si="51"/>
        <v>0</v>
      </c>
      <c r="FE18" s="523">
        <f t="shared" si="163"/>
        <v>0</v>
      </c>
      <c r="FF18" s="521"/>
      <c r="FG18" s="522">
        <f t="shared" si="52"/>
        <v>0</v>
      </c>
      <c r="FH18" s="523">
        <f t="shared" si="164"/>
        <v>0</v>
      </c>
      <c r="FI18" s="521"/>
      <c r="FJ18" s="522">
        <f t="shared" si="53"/>
        <v>0</v>
      </c>
      <c r="FK18" s="523">
        <f t="shared" si="165"/>
        <v>0</v>
      </c>
      <c r="FL18" s="521"/>
      <c r="FM18" s="522">
        <f t="shared" si="54"/>
        <v>0</v>
      </c>
      <c r="FN18" s="523">
        <f t="shared" si="166"/>
        <v>0</v>
      </c>
      <c r="FO18" s="521"/>
      <c r="FP18" s="522">
        <f t="shared" si="55"/>
        <v>0</v>
      </c>
      <c r="FQ18" s="523">
        <f t="shared" si="167"/>
        <v>0</v>
      </c>
      <c r="FR18" s="521"/>
      <c r="FS18" s="522">
        <f t="shared" si="56"/>
        <v>0</v>
      </c>
      <c r="FT18" s="523">
        <f t="shared" si="168"/>
        <v>0</v>
      </c>
      <c r="FU18" s="521"/>
      <c r="FV18" s="522">
        <f t="shared" si="57"/>
        <v>0</v>
      </c>
      <c r="FW18" s="523">
        <f t="shared" si="169"/>
        <v>0</v>
      </c>
      <c r="FX18" s="521"/>
      <c r="FY18" s="522">
        <f t="shared" si="58"/>
        <v>0</v>
      </c>
      <c r="FZ18" s="523">
        <f t="shared" si="170"/>
        <v>0</v>
      </c>
      <c r="GA18" s="521"/>
      <c r="GB18" s="522">
        <f t="shared" si="59"/>
        <v>0</v>
      </c>
      <c r="GC18" s="523">
        <f t="shared" si="171"/>
        <v>0</v>
      </c>
      <c r="GD18" s="521"/>
      <c r="GE18" s="522">
        <f t="shared" si="60"/>
        <v>0</v>
      </c>
      <c r="GF18" s="523">
        <f t="shared" si="172"/>
        <v>0</v>
      </c>
      <c r="GG18" s="521"/>
      <c r="GH18" s="522">
        <f t="shared" si="61"/>
        <v>0</v>
      </c>
      <c r="GI18" s="523">
        <f t="shared" si="173"/>
        <v>0</v>
      </c>
      <c r="GJ18" s="521"/>
      <c r="GK18" s="522">
        <f t="shared" si="62"/>
        <v>0</v>
      </c>
      <c r="GL18" s="523">
        <f t="shared" si="174"/>
        <v>0</v>
      </c>
      <c r="GM18" s="521"/>
      <c r="GN18" s="522">
        <f t="shared" si="63"/>
        <v>0</v>
      </c>
      <c r="GO18" s="523">
        <f t="shared" si="175"/>
        <v>0</v>
      </c>
      <c r="GP18" s="521"/>
      <c r="GQ18" s="522">
        <f t="shared" si="64"/>
        <v>0</v>
      </c>
      <c r="GR18" s="523">
        <f t="shared" si="176"/>
        <v>0</v>
      </c>
      <c r="GS18" s="521"/>
      <c r="GT18" s="522">
        <f t="shared" si="65"/>
        <v>0</v>
      </c>
      <c r="GU18" s="523">
        <f t="shared" si="177"/>
        <v>0</v>
      </c>
      <c r="GV18" s="521"/>
      <c r="GW18" s="522">
        <f t="shared" si="66"/>
        <v>0</v>
      </c>
      <c r="GX18" s="523">
        <f t="shared" si="178"/>
        <v>0</v>
      </c>
      <c r="GY18" s="521"/>
      <c r="GZ18" s="522">
        <f t="shared" si="67"/>
        <v>0</v>
      </c>
      <c r="HA18" s="523">
        <f t="shared" si="179"/>
        <v>0</v>
      </c>
      <c r="HB18" s="521"/>
      <c r="HC18" s="522">
        <f t="shared" si="68"/>
        <v>0</v>
      </c>
      <c r="HD18" s="523">
        <f t="shared" si="180"/>
        <v>0</v>
      </c>
      <c r="HE18" s="521"/>
      <c r="HF18" s="522">
        <f t="shared" si="69"/>
        <v>0</v>
      </c>
      <c r="HG18" s="523">
        <f t="shared" si="181"/>
        <v>0</v>
      </c>
      <c r="HH18" s="521"/>
      <c r="HI18" s="522">
        <f t="shared" si="70"/>
        <v>0</v>
      </c>
      <c r="HJ18" s="523">
        <f t="shared" si="182"/>
        <v>0</v>
      </c>
      <c r="HK18" s="521"/>
      <c r="HL18" s="522">
        <f t="shared" si="71"/>
        <v>0</v>
      </c>
      <c r="HM18" s="523">
        <f t="shared" si="183"/>
        <v>0</v>
      </c>
      <c r="HN18" s="521"/>
      <c r="HO18" s="522">
        <f t="shared" si="72"/>
        <v>0</v>
      </c>
      <c r="HP18" s="523">
        <f t="shared" si="184"/>
        <v>0</v>
      </c>
      <c r="HQ18" s="521"/>
      <c r="HR18" s="522">
        <f t="shared" si="73"/>
        <v>0</v>
      </c>
      <c r="HS18" s="523">
        <f t="shared" si="185"/>
        <v>0</v>
      </c>
      <c r="HT18" s="521"/>
      <c r="HU18" s="522">
        <f t="shared" si="74"/>
        <v>0</v>
      </c>
      <c r="HV18" s="523">
        <f t="shared" si="186"/>
        <v>0</v>
      </c>
      <c r="HW18" s="521"/>
      <c r="HX18" s="522">
        <f t="shared" si="75"/>
        <v>0</v>
      </c>
      <c r="HY18" s="523">
        <f t="shared" si="187"/>
        <v>0</v>
      </c>
      <c r="HZ18" s="521"/>
      <c r="IA18" s="522">
        <f t="shared" si="76"/>
        <v>0</v>
      </c>
      <c r="IB18" s="523">
        <f t="shared" si="188"/>
        <v>0</v>
      </c>
      <c r="IC18" s="521"/>
      <c r="ID18" s="522">
        <f t="shared" si="77"/>
        <v>0</v>
      </c>
      <c r="IE18" s="523">
        <f t="shared" si="189"/>
        <v>0</v>
      </c>
      <c r="IF18" s="521"/>
      <c r="IG18" s="522">
        <f t="shared" si="78"/>
        <v>0</v>
      </c>
      <c r="IH18" s="523">
        <f t="shared" si="190"/>
        <v>0</v>
      </c>
      <c r="II18" s="521"/>
      <c r="IJ18" s="522">
        <f t="shared" si="79"/>
        <v>0</v>
      </c>
      <c r="IK18" s="523">
        <f t="shared" si="191"/>
        <v>0</v>
      </c>
      <c r="IL18" s="521"/>
      <c r="IM18" s="522">
        <f t="shared" si="80"/>
        <v>0</v>
      </c>
      <c r="IN18" s="523">
        <f t="shared" si="192"/>
        <v>0</v>
      </c>
      <c r="IO18" s="521"/>
      <c r="IP18" s="522">
        <f t="shared" si="81"/>
        <v>0</v>
      </c>
      <c r="IQ18" s="523">
        <f t="shared" si="193"/>
        <v>0</v>
      </c>
      <c r="IR18" s="521"/>
      <c r="IS18" s="522">
        <f t="shared" si="82"/>
        <v>0</v>
      </c>
      <c r="IT18" s="523">
        <f t="shared" si="194"/>
        <v>0</v>
      </c>
      <c r="IU18" s="521"/>
      <c r="IV18" s="522">
        <f t="shared" si="83"/>
        <v>0</v>
      </c>
      <c r="IW18" s="523">
        <f t="shared" si="195"/>
        <v>0</v>
      </c>
      <c r="IX18" s="521"/>
      <c r="IY18" s="522">
        <f t="shared" si="84"/>
        <v>0</v>
      </c>
      <c r="IZ18" s="523">
        <f t="shared" si="196"/>
        <v>0</v>
      </c>
      <c r="JA18" s="521"/>
      <c r="JB18" s="522">
        <f t="shared" si="85"/>
        <v>0</v>
      </c>
      <c r="JC18" s="523">
        <f t="shared" si="197"/>
        <v>0</v>
      </c>
      <c r="JD18" s="521"/>
      <c r="JE18" s="522">
        <f t="shared" si="86"/>
        <v>0</v>
      </c>
      <c r="JF18" s="523">
        <f t="shared" si="198"/>
        <v>0</v>
      </c>
      <c r="JG18" s="521"/>
      <c r="JH18" s="522">
        <f t="shared" si="87"/>
        <v>0</v>
      </c>
      <c r="JI18" s="523">
        <f t="shared" si="199"/>
        <v>0</v>
      </c>
      <c r="JJ18" s="521"/>
      <c r="JK18" s="523" t="str">
        <f t="shared" si="88"/>
        <v>0</v>
      </c>
      <c r="JL18" s="523" t="str">
        <f t="shared" si="89"/>
        <v>0</v>
      </c>
      <c r="JM18" s="521"/>
      <c r="JN18" s="523" t="str">
        <f t="shared" si="90"/>
        <v>0</v>
      </c>
      <c r="JO18" s="523" t="str">
        <f t="shared" si="91"/>
        <v>0</v>
      </c>
      <c r="JP18" s="521"/>
      <c r="JQ18" s="523" t="str">
        <f t="shared" si="92"/>
        <v>0</v>
      </c>
      <c r="JR18" s="523" t="str">
        <f t="shared" si="93"/>
        <v>0</v>
      </c>
      <c r="JS18" s="521"/>
      <c r="JT18" s="523" t="str">
        <f t="shared" si="94"/>
        <v>0</v>
      </c>
      <c r="JU18" s="523" t="str">
        <f t="shared" si="95"/>
        <v>0</v>
      </c>
      <c r="JV18" s="521"/>
      <c r="JW18" s="523" t="str">
        <f t="shared" si="96"/>
        <v>0</v>
      </c>
      <c r="JX18" s="523" t="str">
        <f t="shared" si="97"/>
        <v>0</v>
      </c>
      <c r="JY18" s="521"/>
      <c r="JZ18" s="523" t="str">
        <f t="shared" si="98"/>
        <v>0</v>
      </c>
      <c r="KA18" s="523" t="str">
        <f t="shared" si="99"/>
        <v>0</v>
      </c>
      <c r="KB18" s="521"/>
      <c r="KC18" s="523" t="str">
        <f t="shared" si="100"/>
        <v>0</v>
      </c>
      <c r="KD18" s="523" t="str">
        <f t="shared" si="101"/>
        <v>0</v>
      </c>
      <c r="KE18" s="521"/>
      <c r="KF18" s="523" t="str">
        <f t="shared" si="102"/>
        <v>0</v>
      </c>
      <c r="KG18" s="523" t="str">
        <f t="shared" si="103"/>
        <v>0</v>
      </c>
      <c r="KH18" s="521"/>
      <c r="KI18" s="523" t="str">
        <f t="shared" si="104"/>
        <v>0</v>
      </c>
      <c r="KJ18" s="523" t="str">
        <f t="shared" si="105"/>
        <v>0</v>
      </c>
      <c r="KK18" s="521"/>
      <c r="KL18" s="523" t="str">
        <f t="shared" si="106"/>
        <v>0</v>
      </c>
      <c r="KM18" s="523" t="str">
        <f t="shared" si="107"/>
        <v>0</v>
      </c>
      <c r="KN18" s="521"/>
      <c r="KO18" s="523" t="str">
        <f t="shared" si="108"/>
        <v>0</v>
      </c>
      <c r="KP18" s="523" t="str">
        <f t="shared" si="109"/>
        <v>0</v>
      </c>
      <c r="KQ18" s="521"/>
      <c r="KR18" s="523" t="str">
        <f t="shared" si="110"/>
        <v>0</v>
      </c>
      <c r="KS18" s="523" t="str">
        <f t="shared" si="111"/>
        <v>0</v>
      </c>
      <c r="KT18" s="523">
        <f t="shared" si="201"/>
        <v>0</v>
      </c>
      <c r="KU18" s="523">
        <f t="shared" si="202"/>
        <v>0</v>
      </c>
      <c r="KV18" s="260">
        <f t="shared" si="112"/>
        <v>447.02847784331038</v>
      </c>
    </row>
    <row r="19" spans="1:308">
      <c r="A19" s="261">
        <f t="shared" si="200"/>
        <v>46033</v>
      </c>
      <c r="B19" s="262" t="str">
        <f>+Report1!B19</f>
        <v>Facial</v>
      </c>
      <c r="C19" s="262" t="str">
        <f>+Report1!C19</f>
        <v>13,5</v>
      </c>
      <c r="D19" s="263">
        <f>+Report1!P19</f>
        <v>43.920999999999999</v>
      </c>
      <c r="E19" s="554">
        <f>+Report1!R19</f>
        <v>45.264000000000003</v>
      </c>
      <c r="F19" s="521"/>
      <c r="G19" s="522">
        <f t="shared" si="0"/>
        <v>0</v>
      </c>
      <c r="H19" s="523">
        <f t="shared" si="113"/>
        <v>0</v>
      </c>
      <c r="I19" s="521">
        <v>257.63160000000005</v>
      </c>
      <c r="J19" s="522">
        <f t="shared" si="1"/>
        <v>5.6917550371155894</v>
      </c>
      <c r="K19" s="523">
        <f t="shared" si="114"/>
        <v>0</v>
      </c>
      <c r="L19" s="521"/>
      <c r="M19" s="522">
        <f t="shared" si="2"/>
        <v>0</v>
      </c>
      <c r="N19" s="523">
        <f t="shared" si="115"/>
        <v>0</v>
      </c>
      <c r="O19" s="521">
        <v>9.9759999999999991</v>
      </c>
      <c r="P19" s="522">
        <f t="shared" si="3"/>
        <v>0.22039589961116998</v>
      </c>
      <c r="Q19" s="523">
        <f t="shared" si="116"/>
        <v>0</v>
      </c>
      <c r="R19" s="521"/>
      <c r="S19" s="522">
        <f t="shared" si="4"/>
        <v>0</v>
      </c>
      <c r="T19" s="523">
        <f t="shared" si="117"/>
        <v>0</v>
      </c>
      <c r="U19" s="521">
        <v>8.5180999999999472</v>
      </c>
      <c r="V19" s="522">
        <f t="shared" si="5"/>
        <v>0.18818708024036643</v>
      </c>
      <c r="W19" s="523">
        <f t="shared" si="118"/>
        <v>0</v>
      </c>
      <c r="X19" s="521"/>
      <c r="Y19" s="522">
        <f t="shared" si="6"/>
        <v>0</v>
      </c>
      <c r="Z19" s="523">
        <f t="shared" si="119"/>
        <v>0</v>
      </c>
      <c r="AA19" s="521">
        <v>8.652000000000001</v>
      </c>
      <c r="AB19" s="522">
        <f t="shared" si="7"/>
        <v>0.19114528101802758</v>
      </c>
      <c r="AC19" s="523">
        <f t="shared" si="120"/>
        <v>0</v>
      </c>
      <c r="AD19" s="521"/>
      <c r="AE19" s="522">
        <f t="shared" si="8"/>
        <v>0</v>
      </c>
      <c r="AF19" s="523">
        <f t="shared" si="121"/>
        <v>0</v>
      </c>
      <c r="AG19" s="521"/>
      <c r="AH19" s="522">
        <f t="shared" si="9"/>
        <v>0</v>
      </c>
      <c r="AI19" s="523">
        <f t="shared" si="122"/>
        <v>0</v>
      </c>
      <c r="AJ19" s="521"/>
      <c r="AK19" s="522">
        <f t="shared" si="10"/>
        <v>0</v>
      </c>
      <c r="AL19" s="523">
        <f t="shared" si="123"/>
        <v>0</v>
      </c>
      <c r="AM19" s="521"/>
      <c r="AN19" s="522">
        <f t="shared" si="11"/>
        <v>0</v>
      </c>
      <c r="AO19" s="523">
        <f t="shared" si="124"/>
        <v>0</v>
      </c>
      <c r="AP19" s="521">
        <v>52.066199999999981</v>
      </c>
      <c r="AQ19" s="522">
        <f t="shared" si="12"/>
        <v>1.1502783669141035</v>
      </c>
      <c r="AR19" s="523">
        <f t="shared" si="125"/>
        <v>0</v>
      </c>
      <c r="AS19" s="521"/>
      <c r="AT19" s="522">
        <f t="shared" si="13"/>
        <v>0</v>
      </c>
      <c r="AU19" s="523">
        <f t="shared" si="126"/>
        <v>0</v>
      </c>
      <c r="AV19" s="521"/>
      <c r="AW19" s="522">
        <f t="shared" si="14"/>
        <v>0</v>
      </c>
      <c r="AX19" s="523">
        <f t="shared" si="127"/>
        <v>0</v>
      </c>
      <c r="AY19" s="521">
        <v>56.865200000000002</v>
      </c>
      <c r="AZ19" s="522">
        <f t="shared" si="15"/>
        <v>1.2563008130081301</v>
      </c>
      <c r="BA19" s="523">
        <f t="shared" si="128"/>
        <v>0</v>
      </c>
      <c r="BB19" s="521"/>
      <c r="BC19" s="522">
        <f t="shared" si="16"/>
        <v>0</v>
      </c>
      <c r="BD19" s="523">
        <f t="shared" si="129"/>
        <v>0</v>
      </c>
      <c r="BE19" s="521"/>
      <c r="BF19" s="522">
        <f t="shared" si="17"/>
        <v>0</v>
      </c>
      <c r="BG19" s="523">
        <f t="shared" si="130"/>
        <v>0</v>
      </c>
      <c r="BH19" s="521"/>
      <c r="BI19" s="522">
        <f t="shared" si="18"/>
        <v>0</v>
      </c>
      <c r="BJ19" s="523">
        <f t="shared" si="131"/>
        <v>0</v>
      </c>
      <c r="BK19" s="521"/>
      <c r="BL19" s="522">
        <f t="shared" si="19"/>
        <v>0</v>
      </c>
      <c r="BM19" s="523">
        <f t="shared" si="132"/>
        <v>0</v>
      </c>
      <c r="BN19" s="521"/>
      <c r="BO19" s="522">
        <f t="shared" si="20"/>
        <v>0</v>
      </c>
      <c r="BP19" s="523">
        <f t="shared" si="133"/>
        <v>0</v>
      </c>
      <c r="BQ19" s="521">
        <v>56.094740000000002</v>
      </c>
      <c r="BR19" s="522">
        <f t="shared" si="21"/>
        <v>1.239279338989042</v>
      </c>
      <c r="BS19" s="523">
        <f t="shared" si="134"/>
        <v>0</v>
      </c>
      <c r="BT19" s="521"/>
      <c r="BU19" s="522">
        <f t="shared" si="22"/>
        <v>0</v>
      </c>
      <c r="BV19" s="523">
        <f t="shared" si="135"/>
        <v>0</v>
      </c>
      <c r="BW19" s="521"/>
      <c r="BX19" s="522">
        <f t="shared" si="23"/>
        <v>0</v>
      </c>
      <c r="BY19" s="523">
        <f t="shared" si="136"/>
        <v>0</v>
      </c>
      <c r="BZ19" s="521"/>
      <c r="CA19" s="522">
        <f t="shared" si="24"/>
        <v>0</v>
      </c>
      <c r="CB19" s="523">
        <f t="shared" si="137"/>
        <v>0</v>
      </c>
      <c r="CC19" s="521"/>
      <c r="CD19" s="522">
        <f t="shared" si="25"/>
        <v>0</v>
      </c>
      <c r="CE19" s="523">
        <f t="shared" si="138"/>
        <v>0</v>
      </c>
      <c r="CF19" s="521"/>
      <c r="CG19" s="522">
        <f t="shared" si="26"/>
        <v>0</v>
      </c>
      <c r="CH19" s="523">
        <f t="shared" si="139"/>
        <v>0</v>
      </c>
      <c r="CI19" s="521"/>
      <c r="CJ19" s="522">
        <f t="shared" si="27"/>
        <v>0</v>
      </c>
      <c r="CK19" s="523">
        <f t="shared" si="140"/>
        <v>0</v>
      </c>
      <c r="CL19" s="521"/>
      <c r="CM19" s="522">
        <f t="shared" si="28"/>
        <v>0</v>
      </c>
      <c r="CN19" s="523">
        <f t="shared" si="141"/>
        <v>0</v>
      </c>
      <c r="CO19" s="521"/>
      <c r="CP19" s="522">
        <f t="shared" si="29"/>
        <v>0</v>
      </c>
      <c r="CQ19" s="523">
        <f t="shared" si="142"/>
        <v>0</v>
      </c>
      <c r="CR19" s="521"/>
      <c r="CS19" s="522">
        <f t="shared" si="30"/>
        <v>0</v>
      </c>
      <c r="CT19" s="523">
        <f t="shared" si="143"/>
        <v>0</v>
      </c>
      <c r="CU19" s="521"/>
      <c r="CV19" s="522">
        <f t="shared" si="31"/>
        <v>0</v>
      </c>
      <c r="CW19" s="523">
        <f t="shared" si="144"/>
        <v>0</v>
      </c>
      <c r="CX19" s="521"/>
      <c r="CY19" s="522">
        <f t="shared" si="32"/>
        <v>0</v>
      </c>
      <c r="CZ19" s="523">
        <f t="shared" si="145"/>
        <v>0</v>
      </c>
      <c r="DA19" s="521"/>
      <c r="DB19" s="522">
        <f t="shared" si="33"/>
        <v>0</v>
      </c>
      <c r="DC19" s="523">
        <f t="shared" si="146"/>
        <v>0</v>
      </c>
      <c r="DD19" s="521"/>
      <c r="DE19" s="522">
        <f t="shared" si="34"/>
        <v>0</v>
      </c>
      <c r="DF19" s="523">
        <f t="shared" si="147"/>
        <v>0</v>
      </c>
      <c r="DG19" s="521"/>
      <c r="DH19" s="522">
        <f t="shared" si="35"/>
        <v>0</v>
      </c>
      <c r="DI19" s="523">
        <f t="shared" si="203"/>
        <v>0</v>
      </c>
      <c r="DJ19" s="521"/>
      <c r="DK19" s="522">
        <f t="shared" si="36"/>
        <v>0</v>
      </c>
      <c r="DL19" s="523">
        <f t="shared" si="148"/>
        <v>0</v>
      </c>
      <c r="DM19" s="521"/>
      <c r="DN19" s="522">
        <f t="shared" si="37"/>
        <v>0</v>
      </c>
      <c r="DO19" s="523">
        <f t="shared" si="149"/>
        <v>0</v>
      </c>
      <c r="DP19" s="521"/>
      <c r="DQ19" s="522">
        <f t="shared" si="38"/>
        <v>0</v>
      </c>
      <c r="DR19" s="523">
        <f t="shared" si="150"/>
        <v>0</v>
      </c>
      <c r="DS19" s="521"/>
      <c r="DT19" s="522">
        <f t="shared" si="39"/>
        <v>0</v>
      </c>
      <c r="DU19" s="523">
        <f t="shared" si="151"/>
        <v>0</v>
      </c>
      <c r="DV19" s="521"/>
      <c r="DW19" s="522">
        <f t="shared" si="40"/>
        <v>0</v>
      </c>
      <c r="DX19" s="523">
        <f t="shared" si="152"/>
        <v>0</v>
      </c>
      <c r="DY19" s="521"/>
      <c r="DZ19" s="522">
        <f t="shared" si="41"/>
        <v>0</v>
      </c>
      <c r="EA19" s="523">
        <f t="shared" si="153"/>
        <v>0</v>
      </c>
      <c r="EB19" s="521"/>
      <c r="EC19" s="522">
        <f t="shared" si="42"/>
        <v>0</v>
      </c>
      <c r="ED19" s="523">
        <f t="shared" si="154"/>
        <v>0</v>
      </c>
      <c r="EE19" s="521">
        <v>40.250400000000127</v>
      </c>
      <c r="EF19" s="522">
        <f t="shared" si="43"/>
        <v>0.88923647932131766</v>
      </c>
      <c r="EG19" s="523">
        <f t="shared" si="155"/>
        <v>0</v>
      </c>
      <c r="EH19" s="521">
        <v>65.039999999999964</v>
      </c>
      <c r="EI19" s="522">
        <f t="shared" si="44"/>
        <v>1.4369034994697765</v>
      </c>
      <c r="EJ19" s="523">
        <f t="shared" si="156"/>
        <v>0</v>
      </c>
      <c r="EK19" s="521"/>
      <c r="EL19" s="522">
        <f t="shared" si="45"/>
        <v>0</v>
      </c>
      <c r="EM19" s="523">
        <f t="shared" si="157"/>
        <v>0</v>
      </c>
      <c r="EN19" s="521"/>
      <c r="EO19" s="522">
        <f t="shared" si="46"/>
        <v>0</v>
      </c>
      <c r="EP19" s="523">
        <f t="shared" si="158"/>
        <v>0</v>
      </c>
      <c r="EQ19" s="521"/>
      <c r="ER19" s="522">
        <f t="shared" si="47"/>
        <v>0</v>
      </c>
      <c r="ES19" s="523">
        <f t="shared" si="159"/>
        <v>0</v>
      </c>
      <c r="ET19" s="521"/>
      <c r="EU19" s="522">
        <f t="shared" si="48"/>
        <v>0</v>
      </c>
      <c r="EV19" s="523">
        <f t="shared" si="160"/>
        <v>0</v>
      </c>
      <c r="EW19" s="521"/>
      <c r="EX19" s="522">
        <f t="shared" si="49"/>
        <v>0</v>
      </c>
      <c r="EY19" s="523">
        <f t="shared" si="161"/>
        <v>0</v>
      </c>
      <c r="EZ19" s="521"/>
      <c r="FA19" s="522">
        <f t="shared" si="50"/>
        <v>0</v>
      </c>
      <c r="FB19" s="523">
        <f t="shared" si="162"/>
        <v>0</v>
      </c>
      <c r="FC19" s="521"/>
      <c r="FD19" s="522">
        <f t="shared" si="51"/>
        <v>0</v>
      </c>
      <c r="FE19" s="523">
        <f t="shared" si="163"/>
        <v>0</v>
      </c>
      <c r="FF19" s="521"/>
      <c r="FG19" s="522">
        <f t="shared" si="52"/>
        <v>0</v>
      </c>
      <c r="FH19" s="523">
        <f t="shared" si="164"/>
        <v>0</v>
      </c>
      <c r="FI19" s="521"/>
      <c r="FJ19" s="522">
        <f t="shared" si="53"/>
        <v>0</v>
      </c>
      <c r="FK19" s="523">
        <f t="shared" si="165"/>
        <v>0</v>
      </c>
      <c r="FL19" s="521"/>
      <c r="FM19" s="522">
        <f t="shared" si="54"/>
        <v>0</v>
      </c>
      <c r="FN19" s="523">
        <f t="shared" si="166"/>
        <v>0</v>
      </c>
      <c r="FO19" s="521"/>
      <c r="FP19" s="522">
        <f t="shared" si="55"/>
        <v>0</v>
      </c>
      <c r="FQ19" s="523">
        <f t="shared" si="167"/>
        <v>0</v>
      </c>
      <c r="FR19" s="521"/>
      <c r="FS19" s="522">
        <f t="shared" si="56"/>
        <v>0</v>
      </c>
      <c r="FT19" s="523">
        <f t="shared" si="168"/>
        <v>0</v>
      </c>
      <c r="FU19" s="521"/>
      <c r="FV19" s="522">
        <f t="shared" si="57"/>
        <v>0</v>
      </c>
      <c r="FW19" s="523">
        <f t="shared" si="169"/>
        <v>0</v>
      </c>
      <c r="FX19" s="521"/>
      <c r="FY19" s="522">
        <f t="shared" si="58"/>
        <v>0</v>
      </c>
      <c r="FZ19" s="523">
        <f t="shared" si="170"/>
        <v>0</v>
      </c>
      <c r="GA19" s="521"/>
      <c r="GB19" s="522">
        <f t="shared" si="59"/>
        <v>0</v>
      </c>
      <c r="GC19" s="523">
        <f t="shared" si="171"/>
        <v>0</v>
      </c>
      <c r="GD19" s="521"/>
      <c r="GE19" s="522">
        <f t="shared" si="60"/>
        <v>0</v>
      </c>
      <c r="GF19" s="523">
        <f t="shared" si="172"/>
        <v>0</v>
      </c>
      <c r="GG19" s="521"/>
      <c r="GH19" s="522">
        <f t="shared" si="61"/>
        <v>0</v>
      </c>
      <c r="GI19" s="523">
        <f t="shared" si="173"/>
        <v>0</v>
      </c>
      <c r="GJ19" s="521"/>
      <c r="GK19" s="522">
        <f t="shared" si="62"/>
        <v>0</v>
      </c>
      <c r="GL19" s="523">
        <f t="shared" si="174"/>
        <v>0</v>
      </c>
      <c r="GM19" s="521"/>
      <c r="GN19" s="522">
        <f t="shared" si="63"/>
        <v>0</v>
      </c>
      <c r="GO19" s="523">
        <f t="shared" si="175"/>
        <v>0</v>
      </c>
      <c r="GP19" s="521"/>
      <c r="GQ19" s="522">
        <f t="shared" si="64"/>
        <v>0</v>
      </c>
      <c r="GR19" s="523">
        <f t="shared" si="176"/>
        <v>0</v>
      </c>
      <c r="GS19" s="521"/>
      <c r="GT19" s="522">
        <f t="shared" si="65"/>
        <v>0</v>
      </c>
      <c r="GU19" s="523">
        <f t="shared" si="177"/>
        <v>0</v>
      </c>
      <c r="GV19" s="521"/>
      <c r="GW19" s="522">
        <f t="shared" si="66"/>
        <v>0</v>
      </c>
      <c r="GX19" s="523">
        <f t="shared" si="178"/>
        <v>0</v>
      </c>
      <c r="GY19" s="521"/>
      <c r="GZ19" s="522">
        <f t="shared" si="67"/>
        <v>0</v>
      </c>
      <c r="HA19" s="523">
        <f t="shared" si="179"/>
        <v>0</v>
      </c>
      <c r="HB19" s="521"/>
      <c r="HC19" s="522">
        <f t="shared" si="68"/>
        <v>0</v>
      </c>
      <c r="HD19" s="523">
        <f t="shared" si="180"/>
        <v>0</v>
      </c>
      <c r="HE19" s="521"/>
      <c r="HF19" s="522">
        <f t="shared" si="69"/>
        <v>0</v>
      </c>
      <c r="HG19" s="523">
        <f t="shared" si="181"/>
        <v>0</v>
      </c>
      <c r="HH19" s="521"/>
      <c r="HI19" s="522">
        <f t="shared" si="70"/>
        <v>0</v>
      </c>
      <c r="HJ19" s="523">
        <f t="shared" si="182"/>
        <v>0</v>
      </c>
      <c r="HK19" s="521"/>
      <c r="HL19" s="522">
        <f t="shared" si="71"/>
        <v>0</v>
      </c>
      <c r="HM19" s="523">
        <f t="shared" si="183"/>
        <v>0</v>
      </c>
      <c r="HN19" s="521"/>
      <c r="HO19" s="522">
        <f t="shared" si="72"/>
        <v>0</v>
      </c>
      <c r="HP19" s="523">
        <f t="shared" si="184"/>
        <v>0</v>
      </c>
      <c r="HQ19" s="521"/>
      <c r="HR19" s="522">
        <f t="shared" si="73"/>
        <v>0</v>
      </c>
      <c r="HS19" s="523">
        <f t="shared" si="185"/>
        <v>0</v>
      </c>
      <c r="HT19" s="521"/>
      <c r="HU19" s="522">
        <f t="shared" si="74"/>
        <v>0</v>
      </c>
      <c r="HV19" s="523">
        <f t="shared" si="186"/>
        <v>0</v>
      </c>
      <c r="HW19" s="521"/>
      <c r="HX19" s="522">
        <f t="shared" si="75"/>
        <v>0</v>
      </c>
      <c r="HY19" s="523">
        <f t="shared" si="187"/>
        <v>0</v>
      </c>
      <c r="HZ19" s="521"/>
      <c r="IA19" s="522">
        <f t="shared" si="76"/>
        <v>0</v>
      </c>
      <c r="IB19" s="523">
        <f t="shared" si="188"/>
        <v>0</v>
      </c>
      <c r="IC19" s="521"/>
      <c r="ID19" s="522">
        <f t="shared" si="77"/>
        <v>0</v>
      </c>
      <c r="IE19" s="523">
        <f t="shared" si="189"/>
        <v>0</v>
      </c>
      <c r="IF19" s="521"/>
      <c r="IG19" s="522">
        <f t="shared" si="78"/>
        <v>0</v>
      </c>
      <c r="IH19" s="523">
        <f t="shared" si="190"/>
        <v>0</v>
      </c>
      <c r="II19" s="521"/>
      <c r="IJ19" s="522">
        <f t="shared" si="79"/>
        <v>0</v>
      </c>
      <c r="IK19" s="523">
        <f t="shared" si="191"/>
        <v>0</v>
      </c>
      <c r="IL19" s="521"/>
      <c r="IM19" s="522">
        <f t="shared" si="80"/>
        <v>0</v>
      </c>
      <c r="IN19" s="523">
        <f t="shared" si="192"/>
        <v>0</v>
      </c>
      <c r="IO19" s="521"/>
      <c r="IP19" s="522">
        <f t="shared" si="81"/>
        <v>0</v>
      </c>
      <c r="IQ19" s="523">
        <f t="shared" si="193"/>
        <v>0</v>
      </c>
      <c r="IR19" s="521"/>
      <c r="IS19" s="522">
        <f t="shared" si="82"/>
        <v>0</v>
      </c>
      <c r="IT19" s="523">
        <f t="shared" si="194"/>
        <v>0</v>
      </c>
      <c r="IU19" s="521"/>
      <c r="IV19" s="522">
        <f t="shared" si="83"/>
        <v>0</v>
      </c>
      <c r="IW19" s="523">
        <f t="shared" si="195"/>
        <v>0</v>
      </c>
      <c r="IX19" s="521"/>
      <c r="IY19" s="522">
        <f t="shared" si="84"/>
        <v>0</v>
      </c>
      <c r="IZ19" s="523">
        <f t="shared" si="196"/>
        <v>0</v>
      </c>
      <c r="JA19" s="521"/>
      <c r="JB19" s="522">
        <f t="shared" si="85"/>
        <v>0</v>
      </c>
      <c r="JC19" s="523">
        <f t="shared" si="197"/>
        <v>0</v>
      </c>
      <c r="JD19" s="521"/>
      <c r="JE19" s="522">
        <f t="shared" si="86"/>
        <v>0</v>
      </c>
      <c r="JF19" s="523">
        <f t="shared" si="198"/>
        <v>0</v>
      </c>
      <c r="JG19" s="521"/>
      <c r="JH19" s="522">
        <f t="shared" si="87"/>
        <v>0</v>
      </c>
      <c r="JI19" s="523">
        <f t="shared" si="199"/>
        <v>0</v>
      </c>
      <c r="JJ19" s="521"/>
      <c r="JK19" s="523" t="str">
        <f t="shared" si="88"/>
        <v>0</v>
      </c>
      <c r="JL19" s="523" t="str">
        <f t="shared" si="89"/>
        <v>0</v>
      </c>
      <c r="JM19" s="521"/>
      <c r="JN19" s="523" t="str">
        <f t="shared" si="90"/>
        <v>0</v>
      </c>
      <c r="JO19" s="523" t="str">
        <f t="shared" si="91"/>
        <v>0</v>
      </c>
      <c r="JP19" s="521"/>
      <c r="JQ19" s="523" t="str">
        <f t="shared" si="92"/>
        <v>0</v>
      </c>
      <c r="JR19" s="523" t="str">
        <f t="shared" si="93"/>
        <v>0</v>
      </c>
      <c r="JS19" s="521"/>
      <c r="JT19" s="523" t="str">
        <f t="shared" si="94"/>
        <v>0</v>
      </c>
      <c r="JU19" s="523" t="str">
        <f t="shared" si="95"/>
        <v>0</v>
      </c>
      <c r="JV19" s="521"/>
      <c r="JW19" s="523" t="str">
        <f t="shared" si="96"/>
        <v>0</v>
      </c>
      <c r="JX19" s="523" t="str">
        <f t="shared" si="97"/>
        <v>0</v>
      </c>
      <c r="JY19" s="521"/>
      <c r="JZ19" s="523" t="str">
        <f t="shared" si="98"/>
        <v>0</v>
      </c>
      <c r="KA19" s="523" t="str">
        <f t="shared" si="99"/>
        <v>0</v>
      </c>
      <c r="KB19" s="521"/>
      <c r="KC19" s="523" t="str">
        <f t="shared" si="100"/>
        <v>0</v>
      </c>
      <c r="KD19" s="523" t="str">
        <f t="shared" si="101"/>
        <v>0</v>
      </c>
      <c r="KE19" s="521"/>
      <c r="KF19" s="523" t="str">
        <f t="shared" si="102"/>
        <v>0</v>
      </c>
      <c r="KG19" s="523" t="str">
        <f t="shared" si="103"/>
        <v>0</v>
      </c>
      <c r="KH19" s="521"/>
      <c r="KI19" s="523" t="str">
        <f t="shared" si="104"/>
        <v>0</v>
      </c>
      <c r="KJ19" s="523" t="str">
        <f t="shared" si="105"/>
        <v>0</v>
      </c>
      <c r="KK19" s="521"/>
      <c r="KL19" s="523" t="str">
        <f t="shared" si="106"/>
        <v>0</v>
      </c>
      <c r="KM19" s="523" t="str">
        <f t="shared" si="107"/>
        <v>0</v>
      </c>
      <c r="KN19" s="521"/>
      <c r="KO19" s="523" t="str">
        <f t="shared" si="108"/>
        <v>0</v>
      </c>
      <c r="KP19" s="523" t="str">
        <f t="shared" si="109"/>
        <v>0</v>
      </c>
      <c r="KQ19" s="521"/>
      <c r="KR19" s="523" t="str">
        <f t="shared" si="110"/>
        <v>0</v>
      </c>
      <c r="KS19" s="523" t="str">
        <f t="shared" si="111"/>
        <v>0</v>
      </c>
      <c r="KT19" s="523">
        <f t="shared" si="201"/>
        <v>0</v>
      </c>
      <c r="KU19" s="523">
        <f t="shared" si="202"/>
        <v>0</v>
      </c>
      <c r="KV19" s="260">
        <f t="shared" si="112"/>
        <v>555.09424000000013</v>
      </c>
    </row>
    <row r="20" spans="1:308">
      <c r="A20" s="261">
        <f t="shared" si="200"/>
        <v>46034</v>
      </c>
      <c r="B20" s="262" t="str">
        <f>+Report1!B20</f>
        <v>Facial</v>
      </c>
      <c r="C20" s="262" t="str">
        <f>+Report1!C20</f>
        <v>13,5/12</v>
      </c>
      <c r="D20" s="263">
        <f>+Report1!P20</f>
        <v>40.608999999999995</v>
      </c>
      <c r="E20" s="554">
        <f>+Report1!R20</f>
        <v>38.9</v>
      </c>
      <c r="F20" s="521"/>
      <c r="G20" s="522">
        <f t="shared" si="0"/>
        <v>0</v>
      </c>
      <c r="H20" s="523">
        <f t="shared" si="113"/>
        <v>0</v>
      </c>
      <c r="I20" s="521">
        <v>232.56232558139527</v>
      </c>
      <c r="J20" s="522">
        <f t="shared" si="1"/>
        <v>5.9784659532492359</v>
      </c>
      <c r="K20" s="523">
        <f t="shared" si="114"/>
        <v>0</v>
      </c>
      <c r="L20" s="521"/>
      <c r="M20" s="522">
        <f t="shared" si="2"/>
        <v>0</v>
      </c>
      <c r="N20" s="523">
        <f t="shared" si="115"/>
        <v>0</v>
      </c>
      <c r="O20" s="521">
        <v>8.9968000000000075</v>
      </c>
      <c r="P20" s="522">
        <f t="shared" si="3"/>
        <v>0.2312802056555272</v>
      </c>
      <c r="Q20" s="523">
        <f t="shared" si="116"/>
        <v>0</v>
      </c>
      <c r="R20" s="521"/>
      <c r="S20" s="522">
        <f t="shared" si="4"/>
        <v>0</v>
      </c>
      <c r="T20" s="523">
        <f t="shared" si="117"/>
        <v>0</v>
      </c>
      <c r="U20" s="521">
        <v>7.6908999999999423</v>
      </c>
      <c r="V20" s="522">
        <f t="shared" si="5"/>
        <v>0.19770951156812192</v>
      </c>
      <c r="W20" s="523">
        <f t="shared" si="118"/>
        <v>0</v>
      </c>
      <c r="X20" s="521"/>
      <c r="Y20" s="522">
        <f t="shared" si="6"/>
        <v>0</v>
      </c>
      <c r="Z20" s="523">
        <f t="shared" si="119"/>
        <v>0</v>
      </c>
      <c r="AA20" s="521">
        <v>9.3731000000000009</v>
      </c>
      <c r="AB20" s="522">
        <f t="shared" si="7"/>
        <v>0.24095372750642677</v>
      </c>
      <c r="AC20" s="523">
        <f t="shared" si="120"/>
        <v>0</v>
      </c>
      <c r="AD20" s="521"/>
      <c r="AE20" s="522">
        <f t="shared" si="8"/>
        <v>0</v>
      </c>
      <c r="AF20" s="523">
        <f t="shared" si="121"/>
        <v>0</v>
      </c>
      <c r="AG20" s="521"/>
      <c r="AH20" s="522">
        <f t="shared" si="9"/>
        <v>0</v>
      </c>
      <c r="AI20" s="523">
        <f t="shared" si="122"/>
        <v>0</v>
      </c>
      <c r="AJ20" s="521"/>
      <c r="AK20" s="522">
        <f t="shared" si="10"/>
        <v>0</v>
      </c>
      <c r="AL20" s="523">
        <f t="shared" si="123"/>
        <v>0</v>
      </c>
      <c r="AM20" s="521"/>
      <c r="AN20" s="522">
        <f t="shared" si="11"/>
        <v>0</v>
      </c>
      <c r="AO20" s="523">
        <f t="shared" si="124"/>
        <v>0</v>
      </c>
      <c r="AP20" s="521">
        <v>34.172262025316513</v>
      </c>
      <c r="AQ20" s="522">
        <f t="shared" si="12"/>
        <v>0.87846431941687697</v>
      </c>
      <c r="AR20" s="523">
        <f t="shared" si="125"/>
        <v>0</v>
      </c>
      <c r="AS20" s="521"/>
      <c r="AT20" s="522">
        <f t="shared" si="13"/>
        <v>0</v>
      </c>
      <c r="AU20" s="523">
        <f t="shared" si="126"/>
        <v>0</v>
      </c>
      <c r="AV20" s="521"/>
      <c r="AW20" s="522">
        <f t="shared" si="14"/>
        <v>0</v>
      </c>
      <c r="AX20" s="523">
        <f t="shared" si="127"/>
        <v>0</v>
      </c>
      <c r="AY20" s="521">
        <v>46.669866666666678</v>
      </c>
      <c r="AZ20" s="522">
        <f t="shared" si="15"/>
        <v>1.1997395029991433</v>
      </c>
      <c r="BA20" s="523">
        <f t="shared" si="128"/>
        <v>0</v>
      </c>
      <c r="BB20" s="521"/>
      <c r="BC20" s="522">
        <f t="shared" si="16"/>
        <v>0</v>
      </c>
      <c r="BD20" s="523">
        <f t="shared" si="129"/>
        <v>0</v>
      </c>
      <c r="BE20" s="521"/>
      <c r="BF20" s="522">
        <f t="shared" si="17"/>
        <v>0</v>
      </c>
      <c r="BG20" s="523">
        <f t="shared" si="130"/>
        <v>0</v>
      </c>
      <c r="BH20" s="521"/>
      <c r="BI20" s="522">
        <f t="shared" si="18"/>
        <v>0</v>
      </c>
      <c r="BJ20" s="523">
        <f t="shared" si="131"/>
        <v>0</v>
      </c>
      <c r="BK20" s="521"/>
      <c r="BL20" s="522">
        <f t="shared" si="19"/>
        <v>0</v>
      </c>
      <c r="BM20" s="523">
        <f t="shared" si="132"/>
        <v>0</v>
      </c>
      <c r="BN20" s="521"/>
      <c r="BO20" s="522">
        <f t="shared" si="20"/>
        <v>0</v>
      </c>
      <c r="BP20" s="523">
        <f t="shared" si="133"/>
        <v>0</v>
      </c>
      <c r="BQ20" s="521">
        <v>7.5913139240506098</v>
      </c>
      <c r="BR20" s="522">
        <f t="shared" si="21"/>
        <v>0.19514945820181517</v>
      </c>
      <c r="BS20" s="523">
        <f t="shared" si="134"/>
        <v>0</v>
      </c>
      <c r="BT20" s="521"/>
      <c r="BU20" s="522">
        <f t="shared" si="22"/>
        <v>0</v>
      </c>
      <c r="BV20" s="523">
        <f t="shared" si="135"/>
        <v>0</v>
      </c>
      <c r="BW20" s="521"/>
      <c r="BX20" s="522">
        <f t="shared" si="23"/>
        <v>0</v>
      </c>
      <c r="BY20" s="523">
        <f t="shared" si="136"/>
        <v>0</v>
      </c>
      <c r="BZ20" s="521"/>
      <c r="CA20" s="522">
        <f t="shared" si="24"/>
        <v>0</v>
      </c>
      <c r="CB20" s="523">
        <f t="shared" si="137"/>
        <v>0</v>
      </c>
      <c r="CC20" s="521"/>
      <c r="CD20" s="522">
        <f t="shared" si="25"/>
        <v>0</v>
      </c>
      <c r="CE20" s="523">
        <f t="shared" si="138"/>
        <v>0</v>
      </c>
      <c r="CF20" s="521">
        <v>1.2000000000000002</v>
      </c>
      <c r="CG20" s="522">
        <f t="shared" si="26"/>
        <v>3.0848329048843194E-2</v>
      </c>
      <c r="CH20" s="523">
        <f t="shared" si="139"/>
        <v>0</v>
      </c>
      <c r="CI20" s="521"/>
      <c r="CJ20" s="522">
        <f t="shared" si="27"/>
        <v>0</v>
      </c>
      <c r="CK20" s="523">
        <f t="shared" si="140"/>
        <v>0</v>
      </c>
      <c r="CL20" s="521"/>
      <c r="CM20" s="522">
        <f t="shared" si="28"/>
        <v>0</v>
      </c>
      <c r="CN20" s="523">
        <f t="shared" si="141"/>
        <v>0</v>
      </c>
      <c r="CO20" s="521"/>
      <c r="CP20" s="522">
        <f t="shared" si="29"/>
        <v>0</v>
      </c>
      <c r="CQ20" s="523">
        <f t="shared" si="142"/>
        <v>0</v>
      </c>
      <c r="CR20" s="521"/>
      <c r="CS20" s="522">
        <f t="shared" si="30"/>
        <v>0</v>
      </c>
      <c r="CT20" s="523">
        <f t="shared" si="143"/>
        <v>0</v>
      </c>
      <c r="CU20" s="521"/>
      <c r="CV20" s="522">
        <f t="shared" si="31"/>
        <v>0</v>
      </c>
      <c r="CW20" s="523">
        <f t="shared" si="144"/>
        <v>0</v>
      </c>
      <c r="CX20" s="521"/>
      <c r="CY20" s="522">
        <f t="shared" si="32"/>
        <v>0</v>
      </c>
      <c r="CZ20" s="523">
        <f t="shared" si="145"/>
        <v>0</v>
      </c>
      <c r="DA20" s="521"/>
      <c r="DB20" s="522">
        <f t="shared" si="33"/>
        <v>0</v>
      </c>
      <c r="DC20" s="523">
        <f t="shared" si="146"/>
        <v>0</v>
      </c>
      <c r="DD20" s="521"/>
      <c r="DE20" s="522">
        <f t="shared" si="34"/>
        <v>0</v>
      </c>
      <c r="DF20" s="523">
        <f t="shared" si="147"/>
        <v>0</v>
      </c>
      <c r="DG20" s="521"/>
      <c r="DH20" s="522">
        <f t="shared" si="35"/>
        <v>0</v>
      </c>
      <c r="DI20" s="523">
        <f t="shared" si="203"/>
        <v>0</v>
      </c>
      <c r="DJ20" s="521"/>
      <c r="DK20" s="522">
        <f t="shared" si="36"/>
        <v>0</v>
      </c>
      <c r="DL20" s="523">
        <f t="shared" si="148"/>
        <v>0</v>
      </c>
      <c r="DM20" s="521"/>
      <c r="DN20" s="522">
        <f t="shared" si="37"/>
        <v>0</v>
      </c>
      <c r="DO20" s="523">
        <f t="shared" si="149"/>
        <v>0</v>
      </c>
      <c r="DP20" s="521"/>
      <c r="DQ20" s="522">
        <f t="shared" si="38"/>
        <v>0</v>
      </c>
      <c r="DR20" s="523">
        <f t="shared" si="150"/>
        <v>0</v>
      </c>
      <c r="DS20" s="521"/>
      <c r="DT20" s="522">
        <f t="shared" si="39"/>
        <v>0</v>
      </c>
      <c r="DU20" s="523">
        <f t="shared" si="151"/>
        <v>0</v>
      </c>
      <c r="DV20" s="521"/>
      <c r="DW20" s="522">
        <f t="shared" si="40"/>
        <v>0</v>
      </c>
      <c r="DX20" s="523">
        <f t="shared" si="152"/>
        <v>0</v>
      </c>
      <c r="DY20" s="521"/>
      <c r="DZ20" s="522">
        <f t="shared" si="41"/>
        <v>0</v>
      </c>
      <c r="EA20" s="523">
        <f t="shared" si="153"/>
        <v>0</v>
      </c>
      <c r="EB20" s="521"/>
      <c r="EC20" s="522">
        <f t="shared" si="42"/>
        <v>0</v>
      </c>
      <c r="ED20" s="523">
        <f t="shared" si="154"/>
        <v>0</v>
      </c>
      <c r="EE20" s="521">
        <v>29.074586046511513</v>
      </c>
      <c r="EF20" s="522">
        <f t="shared" si="43"/>
        <v>0.74741866443474325</v>
      </c>
      <c r="EG20" s="523">
        <f t="shared" si="155"/>
        <v>0</v>
      </c>
      <c r="EH20" s="521">
        <v>70.444705882352991</v>
      </c>
      <c r="EI20" s="522">
        <f t="shared" si="44"/>
        <v>1.8109178890065036</v>
      </c>
      <c r="EJ20" s="523">
        <f t="shared" si="156"/>
        <v>0</v>
      </c>
      <c r="EK20" s="521"/>
      <c r="EL20" s="522">
        <f t="shared" si="45"/>
        <v>0</v>
      </c>
      <c r="EM20" s="523">
        <f t="shared" si="157"/>
        <v>0</v>
      </c>
      <c r="EN20" s="521"/>
      <c r="EO20" s="522">
        <f t="shared" si="46"/>
        <v>0</v>
      </c>
      <c r="EP20" s="523">
        <f t="shared" si="158"/>
        <v>0</v>
      </c>
      <c r="EQ20" s="521"/>
      <c r="ER20" s="522">
        <f t="shared" si="47"/>
        <v>0</v>
      </c>
      <c r="ES20" s="523">
        <f t="shared" si="159"/>
        <v>0</v>
      </c>
      <c r="ET20" s="521"/>
      <c r="EU20" s="522">
        <f t="shared" si="48"/>
        <v>0</v>
      </c>
      <c r="EV20" s="523">
        <f t="shared" si="160"/>
        <v>0</v>
      </c>
      <c r="EW20" s="521"/>
      <c r="EX20" s="522">
        <f t="shared" si="49"/>
        <v>0</v>
      </c>
      <c r="EY20" s="523">
        <f t="shared" si="161"/>
        <v>0</v>
      </c>
      <c r="EZ20" s="521"/>
      <c r="FA20" s="522">
        <f t="shared" si="50"/>
        <v>0</v>
      </c>
      <c r="FB20" s="523">
        <f t="shared" si="162"/>
        <v>0</v>
      </c>
      <c r="FC20" s="521"/>
      <c r="FD20" s="522">
        <f t="shared" si="51"/>
        <v>0</v>
      </c>
      <c r="FE20" s="523">
        <f t="shared" si="163"/>
        <v>0</v>
      </c>
      <c r="FF20" s="521"/>
      <c r="FG20" s="522">
        <f t="shared" si="52"/>
        <v>0</v>
      </c>
      <c r="FH20" s="523">
        <f t="shared" si="164"/>
        <v>0</v>
      </c>
      <c r="FI20" s="521"/>
      <c r="FJ20" s="522">
        <f t="shared" si="53"/>
        <v>0</v>
      </c>
      <c r="FK20" s="523">
        <f t="shared" si="165"/>
        <v>0</v>
      </c>
      <c r="FL20" s="521"/>
      <c r="FM20" s="522">
        <f t="shared" si="54"/>
        <v>0</v>
      </c>
      <c r="FN20" s="523">
        <f t="shared" si="166"/>
        <v>0</v>
      </c>
      <c r="FO20" s="521"/>
      <c r="FP20" s="522">
        <f t="shared" si="55"/>
        <v>0</v>
      </c>
      <c r="FQ20" s="523">
        <f t="shared" si="167"/>
        <v>0</v>
      </c>
      <c r="FR20" s="521"/>
      <c r="FS20" s="522">
        <f t="shared" si="56"/>
        <v>0</v>
      </c>
      <c r="FT20" s="523">
        <f t="shared" si="168"/>
        <v>0</v>
      </c>
      <c r="FU20" s="521"/>
      <c r="FV20" s="522">
        <f t="shared" si="57"/>
        <v>0</v>
      </c>
      <c r="FW20" s="523">
        <f t="shared" si="169"/>
        <v>0</v>
      </c>
      <c r="FX20" s="521"/>
      <c r="FY20" s="522">
        <f t="shared" si="58"/>
        <v>0</v>
      </c>
      <c r="FZ20" s="523">
        <f t="shared" si="170"/>
        <v>0</v>
      </c>
      <c r="GA20" s="521"/>
      <c r="GB20" s="522">
        <f t="shared" si="59"/>
        <v>0</v>
      </c>
      <c r="GC20" s="523">
        <f t="shared" si="171"/>
        <v>0</v>
      </c>
      <c r="GD20" s="521"/>
      <c r="GE20" s="522">
        <f t="shared" si="60"/>
        <v>0</v>
      </c>
      <c r="GF20" s="523">
        <f t="shared" si="172"/>
        <v>0</v>
      </c>
      <c r="GG20" s="521"/>
      <c r="GH20" s="522">
        <f t="shared" si="61"/>
        <v>0</v>
      </c>
      <c r="GI20" s="523">
        <f t="shared" si="173"/>
        <v>0</v>
      </c>
      <c r="GJ20" s="521"/>
      <c r="GK20" s="522">
        <f t="shared" si="62"/>
        <v>0</v>
      </c>
      <c r="GL20" s="523">
        <f t="shared" si="174"/>
        <v>0</v>
      </c>
      <c r="GM20" s="521"/>
      <c r="GN20" s="522">
        <f t="shared" si="63"/>
        <v>0</v>
      </c>
      <c r="GO20" s="523">
        <f t="shared" si="175"/>
        <v>0</v>
      </c>
      <c r="GP20" s="521"/>
      <c r="GQ20" s="522">
        <f t="shared" si="64"/>
        <v>0</v>
      </c>
      <c r="GR20" s="523">
        <f t="shared" si="176"/>
        <v>0</v>
      </c>
      <c r="GS20" s="521"/>
      <c r="GT20" s="522">
        <f t="shared" si="65"/>
        <v>0</v>
      </c>
      <c r="GU20" s="523">
        <f t="shared" si="177"/>
        <v>0</v>
      </c>
      <c r="GV20" s="521"/>
      <c r="GW20" s="522">
        <f t="shared" si="66"/>
        <v>0</v>
      </c>
      <c r="GX20" s="523">
        <f t="shared" si="178"/>
        <v>0</v>
      </c>
      <c r="GY20" s="521"/>
      <c r="GZ20" s="522">
        <f t="shared" si="67"/>
        <v>0</v>
      </c>
      <c r="HA20" s="523">
        <f t="shared" si="179"/>
        <v>0</v>
      </c>
      <c r="HB20" s="521"/>
      <c r="HC20" s="522">
        <f t="shared" si="68"/>
        <v>0</v>
      </c>
      <c r="HD20" s="523">
        <f t="shared" si="180"/>
        <v>0</v>
      </c>
      <c r="HE20" s="521"/>
      <c r="HF20" s="522">
        <f t="shared" si="69"/>
        <v>0</v>
      </c>
      <c r="HG20" s="523">
        <f t="shared" si="181"/>
        <v>0</v>
      </c>
      <c r="HH20" s="521"/>
      <c r="HI20" s="522">
        <f t="shared" si="70"/>
        <v>0</v>
      </c>
      <c r="HJ20" s="523">
        <f t="shared" si="182"/>
        <v>0</v>
      </c>
      <c r="HK20" s="521"/>
      <c r="HL20" s="522">
        <f t="shared" si="71"/>
        <v>0</v>
      </c>
      <c r="HM20" s="523">
        <f t="shared" si="183"/>
        <v>0</v>
      </c>
      <c r="HN20" s="521"/>
      <c r="HO20" s="522">
        <f t="shared" si="72"/>
        <v>0</v>
      </c>
      <c r="HP20" s="523">
        <f t="shared" si="184"/>
        <v>0</v>
      </c>
      <c r="HQ20" s="521"/>
      <c r="HR20" s="522">
        <f t="shared" si="73"/>
        <v>0</v>
      </c>
      <c r="HS20" s="523">
        <f t="shared" si="185"/>
        <v>0</v>
      </c>
      <c r="HT20" s="521"/>
      <c r="HU20" s="522">
        <f t="shared" si="74"/>
        <v>0</v>
      </c>
      <c r="HV20" s="523">
        <f t="shared" si="186"/>
        <v>0</v>
      </c>
      <c r="HW20" s="521"/>
      <c r="HX20" s="522">
        <f t="shared" si="75"/>
        <v>0</v>
      </c>
      <c r="HY20" s="523">
        <f t="shared" si="187"/>
        <v>0</v>
      </c>
      <c r="HZ20" s="521"/>
      <c r="IA20" s="522">
        <f t="shared" si="76"/>
        <v>0</v>
      </c>
      <c r="IB20" s="523">
        <f t="shared" si="188"/>
        <v>0</v>
      </c>
      <c r="IC20" s="521"/>
      <c r="ID20" s="522">
        <f t="shared" si="77"/>
        <v>0</v>
      </c>
      <c r="IE20" s="523">
        <f t="shared" si="189"/>
        <v>0</v>
      </c>
      <c r="IF20" s="521"/>
      <c r="IG20" s="522">
        <f t="shared" si="78"/>
        <v>0</v>
      </c>
      <c r="IH20" s="523">
        <f t="shared" si="190"/>
        <v>0</v>
      </c>
      <c r="II20" s="521"/>
      <c r="IJ20" s="522">
        <f t="shared" si="79"/>
        <v>0</v>
      </c>
      <c r="IK20" s="523">
        <f t="shared" si="191"/>
        <v>0</v>
      </c>
      <c r="IL20" s="521"/>
      <c r="IM20" s="522">
        <f t="shared" si="80"/>
        <v>0</v>
      </c>
      <c r="IN20" s="523">
        <f t="shared" si="192"/>
        <v>0</v>
      </c>
      <c r="IO20" s="521"/>
      <c r="IP20" s="522">
        <f t="shared" si="81"/>
        <v>0</v>
      </c>
      <c r="IQ20" s="523">
        <f t="shared" si="193"/>
        <v>0</v>
      </c>
      <c r="IR20" s="521"/>
      <c r="IS20" s="522">
        <f t="shared" si="82"/>
        <v>0</v>
      </c>
      <c r="IT20" s="523">
        <f t="shared" si="194"/>
        <v>0</v>
      </c>
      <c r="IU20" s="521"/>
      <c r="IV20" s="522">
        <f t="shared" si="83"/>
        <v>0</v>
      </c>
      <c r="IW20" s="523">
        <f t="shared" si="195"/>
        <v>0</v>
      </c>
      <c r="IX20" s="521"/>
      <c r="IY20" s="522">
        <f t="shared" si="84"/>
        <v>0</v>
      </c>
      <c r="IZ20" s="523">
        <f t="shared" si="196"/>
        <v>0</v>
      </c>
      <c r="JA20" s="521"/>
      <c r="JB20" s="522">
        <f t="shared" si="85"/>
        <v>0</v>
      </c>
      <c r="JC20" s="523">
        <f t="shared" si="197"/>
        <v>0</v>
      </c>
      <c r="JD20" s="521"/>
      <c r="JE20" s="522">
        <f t="shared" si="86"/>
        <v>0</v>
      </c>
      <c r="JF20" s="523">
        <f t="shared" si="198"/>
        <v>0</v>
      </c>
      <c r="JG20" s="521"/>
      <c r="JH20" s="522">
        <f t="shared" si="87"/>
        <v>0</v>
      </c>
      <c r="JI20" s="523">
        <f t="shared" si="199"/>
        <v>0</v>
      </c>
      <c r="JJ20" s="521"/>
      <c r="JK20" s="523" t="str">
        <f t="shared" si="88"/>
        <v>0</v>
      </c>
      <c r="JL20" s="523" t="str">
        <f t="shared" si="89"/>
        <v>0</v>
      </c>
      <c r="JM20" s="521"/>
      <c r="JN20" s="523" t="str">
        <f t="shared" si="90"/>
        <v>0</v>
      </c>
      <c r="JO20" s="523" t="str">
        <f t="shared" si="91"/>
        <v>0</v>
      </c>
      <c r="JP20" s="521"/>
      <c r="JQ20" s="523" t="str">
        <f t="shared" si="92"/>
        <v>0</v>
      </c>
      <c r="JR20" s="523" t="str">
        <f t="shared" si="93"/>
        <v>0</v>
      </c>
      <c r="JS20" s="521"/>
      <c r="JT20" s="523" t="str">
        <f t="shared" si="94"/>
        <v>0</v>
      </c>
      <c r="JU20" s="523" t="str">
        <f t="shared" si="95"/>
        <v>0</v>
      </c>
      <c r="JV20" s="521"/>
      <c r="JW20" s="523" t="str">
        <f t="shared" si="96"/>
        <v>0</v>
      </c>
      <c r="JX20" s="523" t="str">
        <f t="shared" si="97"/>
        <v>0</v>
      </c>
      <c r="JY20" s="521"/>
      <c r="JZ20" s="523" t="str">
        <f t="shared" si="98"/>
        <v>0</v>
      </c>
      <c r="KA20" s="523" t="str">
        <f t="shared" si="99"/>
        <v>0</v>
      </c>
      <c r="KB20" s="521"/>
      <c r="KC20" s="523" t="str">
        <f t="shared" si="100"/>
        <v>0</v>
      </c>
      <c r="KD20" s="523" t="str">
        <f t="shared" si="101"/>
        <v>0</v>
      </c>
      <c r="KE20" s="521"/>
      <c r="KF20" s="523" t="str">
        <f t="shared" si="102"/>
        <v>0</v>
      </c>
      <c r="KG20" s="523" t="str">
        <f t="shared" si="103"/>
        <v>0</v>
      </c>
      <c r="KH20" s="521"/>
      <c r="KI20" s="523" t="str">
        <f t="shared" si="104"/>
        <v>0</v>
      </c>
      <c r="KJ20" s="523" t="str">
        <f t="shared" si="105"/>
        <v>0</v>
      </c>
      <c r="KK20" s="521"/>
      <c r="KL20" s="523" t="str">
        <f t="shared" si="106"/>
        <v>0</v>
      </c>
      <c r="KM20" s="523" t="str">
        <f t="shared" si="107"/>
        <v>0</v>
      </c>
      <c r="KN20" s="521"/>
      <c r="KO20" s="523" t="str">
        <f t="shared" si="108"/>
        <v>0</v>
      </c>
      <c r="KP20" s="523" t="str">
        <f t="shared" si="109"/>
        <v>0</v>
      </c>
      <c r="KQ20" s="521"/>
      <c r="KR20" s="523" t="str">
        <f t="shared" si="110"/>
        <v>0</v>
      </c>
      <c r="KS20" s="523" t="str">
        <f t="shared" si="111"/>
        <v>0</v>
      </c>
      <c r="KT20" s="523">
        <f t="shared" si="201"/>
        <v>0</v>
      </c>
      <c r="KU20" s="523">
        <f t="shared" si="202"/>
        <v>0</v>
      </c>
      <c r="KV20" s="260">
        <f t="shared" si="112"/>
        <v>447.77586012629354</v>
      </c>
    </row>
    <row r="21" spans="1:308">
      <c r="A21" s="261">
        <f t="shared" si="200"/>
        <v>46035</v>
      </c>
      <c r="B21" s="262" t="str">
        <f>+Report1!B21</f>
        <v>Facial</v>
      </c>
      <c r="C21" s="262" t="str">
        <f>+Report1!C21</f>
        <v>12/14</v>
      </c>
      <c r="D21" s="263">
        <f>+Report1!P21</f>
        <v>41.491</v>
      </c>
      <c r="E21" s="554">
        <f>+Report1!R21</f>
        <v>38.96</v>
      </c>
      <c r="F21" s="521"/>
      <c r="G21" s="522">
        <f t="shared" si="0"/>
        <v>0</v>
      </c>
      <c r="H21" s="523">
        <f t="shared" si="113"/>
        <v>0</v>
      </c>
      <c r="I21" s="521">
        <v>232.55813953488359</v>
      </c>
      <c r="J21" s="522">
        <f t="shared" si="1"/>
        <v>5.9691514254333571</v>
      </c>
      <c r="K21" s="523">
        <f t="shared" si="114"/>
        <v>0</v>
      </c>
      <c r="L21" s="521"/>
      <c r="M21" s="522">
        <f t="shared" si="2"/>
        <v>0</v>
      </c>
      <c r="N21" s="523">
        <f t="shared" si="115"/>
        <v>0</v>
      </c>
      <c r="O21" s="521">
        <v>9</v>
      </c>
      <c r="P21" s="522">
        <f t="shared" si="3"/>
        <v>0.23100616016427103</v>
      </c>
      <c r="Q21" s="523">
        <f t="shared" si="116"/>
        <v>0</v>
      </c>
      <c r="R21" s="521"/>
      <c r="S21" s="522">
        <f t="shared" si="4"/>
        <v>0</v>
      </c>
      <c r="T21" s="523">
        <f t="shared" si="117"/>
        <v>0</v>
      </c>
      <c r="U21" s="521">
        <v>7.6875</v>
      </c>
      <c r="V21" s="522">
        <f t="shared" si="5"/>
        <v>0.19731776180698152</v>
      </c>
      <c r="W21" s="523">
        <f t="shared" si="118"/>
        <v>0</v>
      </c>
      <c r="X21" s="521"/>
      <c r="Y21" s="522">
        <f t="shared" si="6"/>
        <v>0</v>
      </c>
      <c r="Z21" s="523">
        <f t="shared" si="119"/>
        <v>0</v>
      </c>
      <c r="AA21" s="521">
        <v>9.375</v>
      </c>
      <c r="AB21" s="522">
        <f t="shared" si="7"/>
        <v>0.24063141683778233</v>
      </c>
      <c r="AC21" s="523">
        <f t="shared" si="120"/>
        <v>0</v>
      </c>
      <c r="AD21" s="521"/>
      <c r="AE21" s="522">
        <f t="shared" si="8"/>
        <v>0</v>
      </c>
      <c r="AF21" s="523">
        <f t="shared" si="121"/>
        <v>0</v>
      </c>
      <c r="AG21" s="521"/>
      <c r="AH21" s="522">
        <f t="shared" si="9"/>
        <v>0</v>
      </c>
      <c r="AI21" s="523">
        <f t="shared" si="122"/>
        <v>0</v>
      </c>
      <c r="AJ21" s="521"/>
      <c r="AK21" s="522">
        <f t="shared" si="10"/>
        <v>0</v>
      </c>
      <c r="AL21" s="523">
        <f t="shared" si="123"/>
        <v>0</v>
      </c>
      <c r="AM21" s="521"/>
      <c r="AN21" s="522">
        <f t="shared" si="11"/>
        <v>0</v>
      </c>
      <c r="AO21" s="523">
        <f t="shared" si="124"/>
        <v>0</v>
      </c>
      <c r="AP21" s="521">
        <v>39.87341772151899</v>
      </c>
      <c r="AQ21" s="522">
        <f t="shared" si="12"/>
        <v>1.0234450133860111</v>
      </c>
      <c r="AR21" s="523">
        <f t="shared" si="125"/>
        <v>0</v>
      </c>
      <c r="AS21" s="521"/>
      <c r="AT21" s="522">
        <f t="shared" si="13"/>
        <v>0</v>
      </c>
      <c r="AU21" s="523">
        <f t="shared" si="126"/>
        <v>0</v>
      </c>
      <c r="AV21" s="521"/>
      <c r="AW21" s="522">
        <f t="shared" si="14"/>
        <v>0</v>
      </c>
      <c r="AX21" s="523">
        <f t="shared" si="127"/>
        <v>0</v>
      </c>
      <c r="AY21" s="521">
        <v>70</v>
      </c>
      <c r="AZ21" s="522">
        <f t="shared" si="15"/>
        <v>1.7967145790554415</v>
      </c>
      <c r="BA21" s="523">
        <f t="shared" si="128"/>
        <v>0</v>
      </c>
      <c r="BB21" s="521"/>
      <c r="BC21" s="522">
        <f t="shared" si="16"/>
        <v>0</v>
      </c>
      <c r="BD21" s="523">
        <f t="shared" si="129"/>
        <v>0</v>
      </c>
      <c r="BE21" s="521"/>
      <c r="BF21" s="522">
        <f t="shared" si="17"/>
        <v>0</v>
      </c>
      <c r="BG21" s="523">
        <f t="shared" si="130"/>
        <v>0</v>
      </c>
      <c r="BH21" s="521"/>
      <c r="BI21" s="522">
        <f t="shared" si="18"/>
        <v>0</v>
      </c>
      <c r="BJ21" s="523">
        <f t="shared" si="131"/>
        <v>0</v>
      </c>
      <c r="BK21" s="521"/>
      <c r="BL21" s="522">
        <f t="shared" si="19"/>
        <v>0</v>
      </c>
      <c r="BM21" s="523">
        <f t="shared" si="132"/>
        <v>0</v>
      </c>
      <c r="BN21" s="521"/>
      <c r="BO21" s="522">
        <f t="shared" si="20"/>
        <v>0</v>
      </c>
      <c r="BP21" s="523">
        <f t="shared" si="133"/>
        <v>0</v>
      </c>
      <c r="BQ21" s="521"/>
      <c r="BR21" s="522">
        <f t="shared" si="21"/>
        <v>0</v>
      </c>
      <c r="BS21" s="523">
        <f t="shared" si="134"/>
        <v>0</v>
      </c>
      <c r="BT21" s="521"/>
      <c r="BU21" s="522">
        <f t="shared" si="22"/>
        <v>0</v>
      </c>
      <c r="BV21" s="523">
        <f t="shared" si="135"/>
        <v>0</v>
      </c>
      <c r="BW21" s="521"/>
      <c r="BX21" s="522">
        <f t="shared" si="23"/>
        <v>0</v>
      </c>
      <c r="BY21" s="523">
        <f t="shared" si="136"/>
        <v>0</v>
      </c>
      <c r="BZ21" s="521"/>
      <c r="CA21" s="522">
        <f t="shared" si="24"/>
        <v>0</v>
      </c>
      <c r="CB21" s="523">
        <f t="shared" si="137"/>
        <v>0</v>
      </c>
      <c r="CC21" s="521"/>
      <c r="CD21" s="522">
        <f t="shared" si="25"/>
        <v>0</v>
      </c>
      <c r="CE21" s="523">
        <f t="shared" si="138"/>
        <v>0</v>
      </c>
      <c r="CF21" s="521">
        <v>1.2000000000000002</v>
      </c>
      <c r="CG21" s="522">
        <f t="shared" si="26"/>
        <v>3.0800821355236145E-2</v>
      </c>
      <c r="CH21" s="523">
        <f t="shared" si="139"/>
        <v>0</v>
      </c>
      <c r="CI21" s="521"/>
      <c r="CJ21" s="522">
        <f t="shared" si="27"/>
        <v>0</v>
      </c>
      <c r="CK21" s="523">
        <f t="shared" si="140"/>
        <v>0</v>
      </c>
      <c r="CL21" s="521"/>
      <c r="CM21" s="522">
        <f t="shared" si="28"/>
        <v>0</v>
      </c>
      <c r="CN21" s="523">
        <f t="shared" si="141"/>
        <v>0</v>
      </c>
      <c r="CO21" s="521"/>
      <c r="CP21" s="522">
        <f t="shared" si="29"/>
        <v>0</v>
      </c>
      <c r="CQ21" s="523">
        <f t="shared" si="142"/>
        <v>0</v>
      </c>
      <c r="CR21" s="521"/>
      <c r="CS21" s="522">
        <f t="shared" si="30"/>
        <v>0</v>
      </c>
      <c r="CT21" s="523">
        <f t="shared" si="143"/>
        <v>0</v>
      </c>
      <c r="CU21" s="521"/>
      <c r="CV21" s="522">
        <f t="shared" si="31"/>
        <v>0</v>
      </c>
      <c r="CW21" s="523">
        <f t="shared" si="144"/>
        <v>0</v>
      </c>
      <c r="CX21" s="521"/>
      <c r="CY21" s="522">
        <f t="shared" si="32"/>
        <v>0</v>
      </c>
      <c r="CZ21" s="523">
        <f t="shared" si="145"/>
        <v>0</v>
      </c>
      <c r="DA21" s="521"/>
      <c r="DB21" s="522">
        <f t="shared" si="33"/>
        <v>0</v>
      </c>
      <c r="DC21" s="523">
        <f t="shared" si="146"/>
        <v>0</v>
      </c>
      <c r="DD21" s="521"/>
      <c r="DE21" s="522">
        <f t="shared" si="34"/>
        <v>0</v>
      </c>
      <c r="DF21" s="523">
        <f t="shared" si="147"/>
        <v>0</v>
      </c>
      <c r="DG21" s="521"/>
      <c r="DH21" s="522">
        <f t="shared" si="35"/>
        <v>0</v>
      </c>
      <c r="DI21" s="523">
        <f t="shared" si="203"/>
        <v>0</v>
      </c>
      <c r="DJ21" s="521"/>
      <c r="DK21" s="522">
        <f t="shared" si="36"/>
        <v>0</v>
      </c>
      <c r="DL21" s="523">
        <f t="shared" si="148"/>
        <v>0</v>
      </c>
      <c r="DM21" s="521"/>
      <c r="DN21" s="522">
        <f t="shared" si="37"/>
        <v>0</v>
      </c>
      <c r="DO21" s="523">
        <f t="shared" si="149"/>
        <v>0</v>
      </c>
      <c r="DP21" s="521"/>
      <c r="DQ21" s="522">
        <f t="shared" si="38"/>
        <v>0</v>
      </c>
      <c r="DR21" s="523">
        <f t="shared" si="150"/>
        <v>0</v>
      </c>
      <c r="DS21" s="521"/>
      <c r="DT21" s="522">
        <f t="shared" si="39"/>
        <v>0</v>
      </c>
      <c r="DU21" s="523">
        <f t="shared" si="151"/>
        <v>0</v>
      </c>
      <c r="DV21" s="521"/>
      <c r="DW21" s="522">
        <f t="shared" si="40"/>
        <v>0</v>
      </c>
      <c r="DX21" s="523">
        <f t="shared" si="152"/>
        <v>0</v>
      </c>
      <c r="DY21" s="521"/>
      <c r="DZ21" s="522">
        <f t="shared" si="41"/>
        <v>0</v>
      </c>
      <c r="EA21" s="523">
        <f t="shared" si="153"/>
        <v>0</v>
      </c>
      <c r="EB21" s="521"/>
      <c r="EC21" s="522">
        <f t="shared" si="42"/>
        <v>0</v>
      </c>
      <c r="ED21" s="523">
        <f t="shared" si="154"/>
        <v>0</v>
      </c>
      <c r="EE21" s="521">
        <v>43.604651162790788</v>
      </c>
      <c r="EF21" s="522">
        <f t="shared" si="43"/>
        <v>1.1192158922687574</v>
      </c>
      <c r="EG21" s="523">
        <f t="shared" si="155"/>
        <v>0</v>
      </c>
      <c r="EH21" s="521">
        <v>70.44705882352946</v>
      </c>
      <c r="EI21" s="522">
        <f t="shared" si="44"/>
        <v>1.8081893948544523</v>
      </c>
      <c r="EJ21" s="523">
        <f t="shared" si="156"/>
        <v>0</v>
      </c>
      <c r="EK21" s="521"/>
      <c r="EL21" s="522">
        <f t="shared" si="45"/>
        <v>0</v>
      </c>
      <c r="EM21" s="523">
        <f t="shared" si="157"/>
        <v>0</v>
      </c>
      <c r="EN21" s="521"/>
      <c r="EO21" s="522">
        <f t="shared" si="46"/>
        <v>0</v>
      </c>
      <c r="EP21" s="523">
        <f t="shared" si="158"/>
        <v>0</v>
      </c>
      <c r="EQ21" s="521"/>
      <c r="ER21" s="522">
        <f t="shared" si="47"/>
        <v>0</v>
      </c>
      <c r="ES21" s="523">
        <f t="shared" si="159"/>
        <v>0</v>
      </c>
      <c r="ET21" s="521"/>
      <c r="EU21" s="522">
        <f t="shared" si="48"/>
        <v>0</v>
      </c>
      <c r="EV21" s="523">
        <f t="shared" si="160"/>
        <v>0</v>
      </c>
      <c r="EW21" s="521"/>
      <c r="EX21" s="522">
        <f t="shared" si="49"/>
        <v>0</v>
      </c>
      <c r="EY21" s="523">
        <f t="shared" si="161"/>
        <v>0</v>
      </c>
      <c r="EZ21" s="521"/>
      <c r="FA21" s="522">
        <f t="shared" si="50"/>
        <v>0</v>
      </c>
      <c r="FB21" s="523">
        <f t="shared" si="162"/>
        <v>0</v>
      </c>
      <c r="FC21" s="521"/>
      <c r="FD21" s="522">
        <f t="shared" si="51"/>
        <v>0</v>
      </c>
      <c r="FE21" s="523">
        <f t="shared" si="163"/>
        <v>0</v>
      </c>
      <c r="FF21" s="521"/>
      <c r="FG21" s="522">
        <f t="shared" si="52"/>
        <v>0</v>
      </c>
      <c r="FH21" s="523">
        <f t="shared" si="164"/>
        <v>0</v>
      </c>
      <c r="FI21" s="521"/>
      <c r="FJ21" s="522">
        <f t="shared" si="53"/>
        <v>0</v>
      </c>
      <c r="FK21" s="523">
        <f t="shared" si="165"/>
        <v>0</v>
      </c>
      <c r="FL21" s="521"/>
      <c r="FM21" s="522">
        <f t="shared" si="54"/>
        <v>0</v>
      </c>
      <c r="FN21" s="523">
        <f t="shared" si="166"/>
        <v>0</v>
      </c>
      <c r="FO21" s="521"/>
      <c r="FP21" s="522">
        <f t="shared" si="55"/>
        <v>0</v>
      </c>
      <c r="FQ21" s="523">
        <f t="shared" si="167"/>
        <v>0</v>
      </c>
      <c r="FR21" s="521"/>
      <c r="FS21" s="522">
        <f t="shared" si="56"/>
        <v>0</v>
      </c>
      <c r="FT21" s="523">
        <f t="shared" si="168"/>
        <v>0</v>
      </c>
      <c r="FU21" s="521"/>
      <c r="FV21" s="522">
        <f t="shared" si="57"/>
        <v>0</v>
      </c>
      <c r="FW21" s="523">
        <f t="shared" si="169"/>
        <v>0</v>
      </c>
      <c r="FX21" s="521"/>
      <c r="FY21" s="522">
        <f t="shared" si="58"/>
        <v>0</v>
      </c>
      <c r="FZ21" s="523">
        <f t="shared" si="170"/>
        <v>0</v>
      </c>
      <c r="GA21" s="521"/>
      <c r="GB21" s="522">
        <f t="shared" si="59"/>
        <v>0</v>
      </c>
      <c r="GC21" s="523">
        <f t="shared" si="171"/>
        <v>0</v>
      </c>
      <c r="GD21" s="521"/>
      <c r="GE21" s="522">
        <f t="shared" si="60"/>
        <v>0</v>
      </c>
      <c r="GF21" s="523">
        <f t="shared" si="172"/>
        <v>0</v>
      </c>
      <c r="GG21" s="521"/>
      <c r="GH21" s="522">
        <f t="shared" si="61"/>
        <v>0</v>
      </c>
      <c r="GI21" s="523">
        <f t="shared" si="173"/>
        <v>0</v>
      </c>
      <c r="GJ21" s="521"/>
      <c r="GK21" s="522">
        <f t="shared" si="62"/>
        <v>0</v>
      </c>
      <c r="GL21" s="523">
        <f t="shared" si="174"/>
        <v>0</v>
      </c>
      <c r="GM21" s="521"/>
      <c r="GN21" s="522">
        <f t="shared" si="63"/>
        <v>0</v>
      </c>
      <c r="GO21" s="523">
        <f t="shared" si="175"/>
        <v>0</v>
      </c>
      <c r="GP21" s="521"/>
      <c r="GQ21" s="522">
        <f t="shared" si="64"/>
        <v>0</v>
      </c>
      <c r="GR21" s="523">
        <f t="shared" si="176"/>
        <v>0</v>
      </c>
      <c r="GS21" s="521"/>
      <c r="GT21" s="522">
        <f t="shared" si="65"/>
        <v>0</v>
      </c>
      <c r="GU21" s="523">
        <f t="shared" si="177"/>
        <v>0</v>
      </c>
      <c r="GV21" s="521"/>
      <c r="GW21" s="522">
        <f t="shared" si="66"/>
        <v>0</v>
      </c>
      <c r="GX21" s="523">
        <f t="shared" si="178"/>
        <v>0</v>
      </c>
      <c r="GY21" s="521"/>
      <c r="GZ21" s="522">
        <f t="shared" si="67"/>
        <v>0</v>
      </c>
      <c r="HA21" s="523">
        <f t="shared" si="179"/>
        <v>0</v>
      </c>
      <c r="HB21" s="521"/>
      <c r="HC21" s="522">
        <f t="shared" si="68"/>
        <v>0</v>
      </c>
      <c r="HD21" s="523">
        <f t="shared" si="180"/>
        <v>0</v>
      </c>
      <c r="HE21" s="521"/>
      <c r="HF21" s="522">
        <f t="shared" si="69"/>
        <v>0</v>
      </c>
      <c r="HG21" s="523">
        <f t="shared" si="181"/>
        <v>0</v>
      </c>
      <c r="HH21" s="521"/>
      <c r="HI21" s="522">
        <f t="shared" si="70"/>
        <v>0</v>
      </c>
      <c r="HJ21" s="523">
        <f t="shared" si="182"/>
        <v>0</v>
      </c>
      <c r="HK21" s="521"/>
      <c r="HL21" s="522">
        <f t="shared" si="71"/>
        <v>0</v>
      </c>
      <c r="HM21" s="523">
        <f t="shared" si="183"/>
        <v>0</v>
      </c>
      <c r="HN21" s="521"/>
      <c r="HO21" s="522">
        <f t="shared" si="72"/>
        <v>0</v>
      </c>
      <c r="HP21" s="523">
        <f t="shared" si="184"/>
        <v>0</v>
      </c>
      <c r="HQ21" s="521"/>
      <c r="HR21" s="522">
        <f t="shared" si="73"/>
        <v>0</v>
      </c>
      <c r="HS21" s="523">
        <f t="shared" si="185"/>
        <v>0</v>
      </c>
      <c r="HT21" s="521"/>
      <c r="HU21" s="522">
        <f t="shared" si="74"/>
        <v>0</v>
      </c>
      <c r="HV21" s="523">
        <f t="shared" si="186"/>
        <v>0</v>
      </c>
      <c r="HW21" s="521"/>
      <c r="HX21" s="522">
        <f t="shared" si="75"/>
        <v>0</v>
      </c>
      <c r="HY21" s="523">
        <f t="shared" si="187"/>
        <v>0</v>
      </c>
      <c r="HZ21" s="521"/>
      <c r="IA21" s="522">
        <f t="shared" si="76"/>
        <v>0</v>
      </c>
      <c r="IB21" s="523">
        <f t="shared" si="188"/>
        <v>0</v>
      </c>
      <c r="IC21" s="521"/>
      <c r="ID21" s="522">
        <f t="shared" si="77"/>
        <v>0</v>
      </c>
      <c r="IE21" s="523">
        <f t="shared" si="189"/>
        <v>0</v>
      </c>
      <c r="IF21" s="521"/>
      <c r="IG21" s="522">
        <f t="shared" si="78"/>
        <v>0</v>
      </c>
      <c r="IH21" s="523">
        <f t="shared" si="190"/>
        <v>0</v>
      </c>
      <c r="II21" s="521"/>
      <c r="IJ21" s="522">
        <f t="shared" si="79"/>
        <v>0</v>
      </c>
      <c r="IK21" s="523">
        <f t="shared" si="191"/>
        <v>0</v>
      </c>
      <c r="IL21" s="521"/>
      <c r="IM21" s="522">
        <f t="shared" si="80"/>
        <v>0</v>
      </c>
      <c r="IN21" s="523">
        <f t="shared" si="192"/>
        <v>0</v>
      </c>
      <c r="IO21" s="521"/>
      <c r="IP21" s="522">
        <f t="shared" si="81"/>
        <v>0</v>
      </c>
      <c r="IQ21" s="523">
        <f t="shared" si="193"/>
        <v>0</v>
      </c>
      <c r="IR21" s="521"/>
      <c r="IS21" s="522">
        <f t="shared" si="82"/>
        <v>0</v>
      </c>
      <c r="IT21" s="523">
        <f t="shared" si="194"/>
        <v>0</v>
      </c>
      <c r="IU21" s="521"/>
      <c r="IV21" s="522">
        <f t="shared" si="83"/>
        <v>0</v>
      </c>
      <c r="IW21" s="523">
        <f t="shared" si="195"/>
        <v>0</v>
      </c>
      <c r="IX21" s="521"/>
      <c r="IY21" s="522">
        <f t="shared" si="84"/>
        <v>0</v>
      </c>
      <c r="IZ21" s="523">
        <f t="shared" si="196"/>
        <v>0</v>
      </c>
      <c r="JA21" s="521"/>
      <c r="JB21" s="522">
        <f t="shared" si="85"/>
        <v>0</v>
      </c>
      <c r="JC21" s="523">
        <f t="shared" si="197"/>
        <v>0</v>
      </c>
      <c r="JD21" s="521"/>
      <c r="JE21" s="522">
        <f t="shared" si="86"/>
        <v>0</v>
      </c>
      <c r="JF21" s="523">
        <f t="shared" si="198"/>
        <v>0</v>
      </c>
      <c r="JG21" s="521"/>
      <c r="JH21" s="522">
        <f t="shared" si="87"/>
        <v>0</v>
      </c>
      <c r="JI21" s="523">
        <f t="shared" si="199"/>
        <v>0</v>
      </c>
      <c r="JJ21" s="521"/>
      <c r="JK21" s="523" t="str">
        <f t="shared" si="88"/>
        <v>0</v>
      </c>
      <c r="JL21" s="523" t="str">
        <f t="shared" si="89"/>
        <v>0</v>
      </c>
      <c r="JM21" s="521"/>
      <c r="JN21" s="523" t="str">
        <f t="shared" si="90"/>
        <v>0</v>
      </c>
      <c r="JO21" s="523" t="str">
        <f t="shared" si="91"/>
        <v>0</v>
      </c>
      <c r="JP21" s="521"/>
      <c r="JQ21" s="523" t="str">
        <f t="shared" si="92"/>
        <v>0</v>
      </c>
      <c r="JR21" s="523" t="str">
        <f t="shared" si="93"/>
        <v>0</v>
      </c>
      <c r="JS21" s="521"/>
      <c r="JT21" s="523" t="str">
        <f t="shared" si="94"/>
        <v>0</v>
      </c>
      <c r="JU21" s="523" t="str">
        <f t="shared" si="95"/>
        <v>0</v>
      </c>
      <c r="JV21" s="521"/>
      <c r="JW21" s="523" t="str">
        <f t="shared" si="96"/>
        <v>0</v>
      </c>
      <c r="JX21" s="523" t="str">
        <f t="shared" si="97"/>
        <v>0</v>
      </c>
      <c r="JY21" s="521"/>
      <c r="JZ21" s="523" t="str">
        <f t="shared" si="98"/>
        <v>0</v>
      </c>
      <c r="KA21" s="523" t="str">
        <f t="shared" si="99"/>
        <v>0</v>
      </c>
      <c r="KB21" s="521"/>
      <c r="KC21" s="523" t="str">
        <f t="shared" si="100"/>
        <v>0</v>
      </c>
      <c r="KD21" s="523" t="str">
        <f t="shared" si="101"/>
        <v>0</v>
      </c>
      <c r="KE21" s="521"/>
      <c r="KF21" s="523" t="str">
        <f t="shared" si="102"/>
        <v>0</v>
      </c>
      <c r="KG21" s="523" t="str">
        <f t="shared" si="103"/>
        <v>0</v>
      </c>
      <c r="KH21" s="521"/>
      <c r="KI21" s="523" t="str">
        <f t="shared" si="104"/>
        <v>0</v>
      </c>
      <c r="KJ21" s="523" t="str">
        <f t="shared" si="105"/>
        <v>0</v>
      </c>
      <c r="KK21" s="521"/>
      <c r="KL21" s="523" t="str">
        <f t="shared" si="106"/>
        <v>0</v>
      </c>
      <c r="KM21" s="523" t="str">
        <f t="shared" si="107"/>
        <v>0</v>
      </c>
      <c r="KN21" s="521"/>
      <c r="KO21" s="523" t="str">
        <f t="shared" si="108"/>
        <v>0</v>
      </c>
      <c r="KP21" s="523" t="str">
        <f t="shared" si="109"/>
        <v>0</v>
      </c>
      <c r="KQ21" s="521"/>
      <c r="KR21" s="523" t="str">
        <f t="shared" si="110"/>
        <v>0</v>
      </c>
      <c r="KS21" s="523" t="str">
        <f t="shared" si="111"/>
        <v>0</v>
      </c>
      <c r="KT21" s="523">
        <f t="shared" si="201"/>
        <v>0</v>
      </c>
      <c r="KU21" s="523">
        <f t="shared" si="202"/>
        <v>0</v>
      </c>
      <c r="KV21" s="260">
        <f t="shared" si="112"/>
        <v>483.74576724272282</v>
      </c>
    </row>
    <row r="22" spans="1:308">
      <c r="A22" s="261">
        <f t="shared" si="200"/>
        <v>46036</v>
      </c>
      <c r="B22" s="262" t="str">
        <f>+Report1!B22</f>
        <v>Facial</v>
      </c>
      <c r="C22" s="262" t="str">
        <f>+Report1!C22</f>
        <v>12/13</v>
      </c>
      <c r="D22" s="263">
        <f>+Report1!P22</f>
        <v>40.244999999999997</v>
      </c>
      <c r="E22" s="554">
        <f>+Report1!R22</f>
        <v>38.073</v>
      </c>
      <c r="F22" s="521"/>
      <c r="G22" s="522">
        <f t="shared" si="0"/>
        <v>0</v>
      </c>
      <c r="H22" s="523">
        <f t="shared" si="113"/>
        <v>0</v>
      </c>
      <c r="I22" s="521">
        <v>244.18604651162809</v>
      </c>
      <c r="J22" s="522">
        <f t="shared" si="1"/>
        <v>6.4136276760861524</v>
      </c>
      <c r="K22" s="523">
        <f t="shared" si="114"/>
        <v>0</v>
      </c>
      <c r="L22" s="521"/>
      <c r="M22" s="522">
        <f t="shared" si="2"/>
        <v>0</v>
      </c>
      <c r="N22" s="523">
        <f t="shared" si="115"/>
        <v>0</v>
      </c>
      <c r="O22" s="521">
        <v>9</v>
      </c>
      <c r="P22" s="522">
        <f t="shared" si="3"/>
        <v>0.23638799149003231</v>
      </c>
      <c r="Q22" s="523">
        <f t="shared" si="116"/>
        <v>0</v>
      </c>
      <c r="R22" s="521"/>
      <c r="S22" s="522">
        <f t="shared" si="4"/>
        <v>0</v>
      </c>
      <c r="T22" s="523">
        <f t="shared" si="117"/>
        <v>0</v>
      </c>
      <c r="U22" s="521">
        <v>7.6875</v>
      </c>
      <c r="V22" s="522">
        <f t="shared" si="5"/>
        <v>0.20191474273106927</v>
      </c>
      <c r="W22" s="523">
        <f t="shared" si="118"/>
        <v>0</v>
      </c>
      <c r="X22" s="521"/>
      <c r="Y22" s="522">
        <f t="shared" si="6"/>
        <v>0</v>
      </c>
      <c r="Z22" s="523">
        <f t="shared" si="119"/>
        <v>0</v>
      </c>
      <c r="AA22" s="521"/>
      <c r="AB22" s="522">
        <f t="shared" si="7"/>
        <v>0</v>
      </c>
      <c r="AC22" s="523">
        <f t="shared" si="120"/>
        <v>0</v>
      </c>
      <c r="AD22" s="521"/>
      <c r="AE22" s="522">
        <f t="shared" si="8"/>
        <v>0</v>
      </c>
      <c r="AF22" s="523">
        <f t="shared" si="121"/>
        <v>0</v>
      </c>
      <c r="AG22" s="521"/>
      <c r="AH22" s="522">
        <f t="shared" si="9"/>
        <v>0</v>
      </c>
      <c r="AI22" s="523">
        <f t="shared" si="122"/>
        <v>0</v>
      </c>
      <c r="AJ22" s="521"/>
      <c r="AK22" s="522">
        <f t="shared" si="10"/>
        <v>0</v>
      </c>
      <c r="AL22" s="523">
        <f t="shared" si="123"/>
        <v>0</v>
      </c>
      <c r="AM22" s="521"/>
      <c r="AN22" s="522">
        <f t="shared" si="11"/>
        <v>0</v>
      </c>
      <c r="AO22" s="523">
        <f t="shared" si="124"/>
        <v>0</v>
      </c>
      <c r="AP22" s="521">
        <v>42.721518987341767</v>
      </c>
      <c r="AQ22" s="522">
        <f t="shared" si="12"/>
        <v>1.1220948963134443</v>
      </c>
      <c r="AR22" s="523">
        <f t="shared" si="125"/>
        <v>0</v>
      </c>
      <c r="AS22" s="521"/>
      <c r="AT22" s="522">
        <f t="shared" si="13"/>
        <v>0</v>
      </c>
      <c r="AU22" s="523">
        <f t="shared" si="126"/>
        <v>0</v>
      </c>
      <c r="AV22" s="521"/>
      <c r="AW22" s="522">
        <f t="shared" si="14"/>
        <v>0</v>
      </c>
      <c r="AX22" s="523">
        <f t="shared" si="127"/>
        <v>0</v>
      </c>
      <c r="AY22" s="521">
        <v>60.666666666666657</v>
      </c>
      <c r="AZ22" s="522">
        <f t="shared" si="15"/>
        <v>1.5934301648587361</v>
      </c>
      <c r="BA22" s="523">
        <f t="shared" si="128"/>
        <v>0</v>
      </c>
      <c r="BB22" s="521"/>
      <c r="BC22" s="522">
        <f t="shared" si="16"/>
        <v>0</v>
      </c>
      <c r="BD22" s="523">
        <f t="shared" si="129"/>
        <v>0</v>
      </c>
      <c r="BE22" s="521"/>
      <c r="BF22" s="522">
        <f t="shared" si="17"/>
        <v>0</v>
      </c>
      <c r="BG22" s="523">
        <f t="shared" si="130"/>
        <v>0</v>
      </c>
      <c r="BH22" s="521"/>
      <c r="BI22" s="522">
        <f t="shared" si="18"/>
        <v>0</v>
      </c>
      <c r="BJ22" s="523">
        <f t="shared" si="131"/>
        <v>0</v>
      </c>
      <c r="BK22" s="521"/>
      <c r="BL22" s="522">
        <f t="shared" si="19"/>
        <v>0</v>
      </c>
      <c r="BM22" s="523">
        <f t="shared" si="132"/>
        <v>0</v>
      </c>
      <c r="BN22" s="521"/>
      <c r="BO22" s="522">
        <f t="shared" si="20"/>
        <v>0</v>
      </c>
      <c r="BP22" s="523">
        <f t="shared" si="133"/>
        <v>0</v>
      </c>
      <c r="BQ22" s="521"/>
      <c r="BR22" s="522">
        <f t="shared" si="21"/>
        <v>0</v>
      </c>
      <c r="BS22" s="523">
        <f t="shared" si="134"/>
        <v>0</v>
      </c>
      <c r="BT22" s="521"/>
      <c r="BU22" s="522">
        <f t="shared" si="22"/>
        <v>0</v>
      </c>
      <c r="BV22" s="523">
        <f t="shared" si="135"/>
        <v>0</v>
      </c>
      <c r="BW22" s="521"/>
      <c r="BX22" s="522">
        <f t="shared" si="23"/>
        <v>0</v>
      </c>
      <c r="BY22" s="523">
        <f t="shared" si="136"/>
        <v>0</v>
      </c>
      <c r="BZ22" s="521"/>
      <c r="CA22" s="522">
        <f t="shared" si="24"/>
        <v>0</v>
      </c>
      <c r="CB22" s="523">
        <f t="shared" si="137"/>
        <v>0</v>
      </c>
      <c r="CC22" s="521"/>
      <c r="CD22" s="522">
        <f t="shared" si="25"/>
        <v>0</v>
      </c>
      <c r="CE22" s="523">
        <f t="shared" si="138"/>
        <v>0</v>
      </c>
      <c r="CF22" s="521">
        <v>0.90000000000000036</v>
      </c>
      <c r="CG22" s="522">
        <f t="shared" si="26"/>
        <v>2.3638799149003239E-2</v>
      </c>
      <c r="CH22" s="523">
        <f t="shared" si="139"/>
        <v>0</v>
      </c>
      <c r="CI22" s="521"/>
      <c r="CJ22" s="522">
        <f t="shared" si="27"/>
        <v>0</v>
      </c>
      <c r="CK22" s="523">
        <f t="shared" si="140"/>
        <v>0</v>
      </c>
      <c r="CL22" s="521"/>
      <c r="CM22" s="522">
        <f t="shared" si="28"/>
        <v>0</v>
      </c>
      <c r="CN22" s="523">
        <f t="shared" si="141"/>
        <v>0</v>
      </c>
      <c r="CO22" s="521"/>
      <c r="CP22" s="522">
        <f t="shared" si="29"/>
        <v>0</v>
      </c>
      <c r="CQ22" s="523">
        <f t="shared" si="142"/>
        <v>0</v>
      </c>
      <c r="CR22" s="521"/>
      <c r="CS22" s="522">
        <f t="shared" si="30"/>
        <v>0</v>
      </c>
      <c r="CT22" s="523">
        <f t="shared" si="143"/>
        <v>0</v>
      </c>
      <c r="CU22" s="521"/>
      <c r="CV22" s="522">
        <f t="shared" si="31"/>
        <v>0</v>
      </c>
      <c r="CW22" s="523">
        <f t="shared" si="144"/>
        <v>0</v>
      </c>
      <c r="CX22" s="521"/>
      <c r="CY22" s="522">
        <f t="shared" si="32"/>
        <v>0</v>
      </c>
      <c r="CZ22" s="523">
        <f t="shared" si="145"/>
        <v>0</v>
      </c>
      <c r="DA22" s="521"/>
      <c r="DB22" s="522">
        <f t="shared" si="33"/>
        <v>0</v>
      </c>
      <c r="DC22" s="523">
        <f t="shared" si="146"/>
        <v>0</v>
      </c>
      <c r="DD22" s="521"/>
      <c r="DE22" s="522">
        <f t="shared" si="34"/>
        <v>0</v>
      </c>
      <c r="DF22" s="523">
        <f t="shared" si="147"/>
        <v>0</v>
      </c>
      <c r="DG22" s="521"/>
      <c r="DH22" s="522">
        <f t="shared" si="35"/>
        <v>0</v>
      </c>
      <c r="DI22" s="523">
        <f t="shared" si="203"/>
        <v>0</v>
      </c>
      <c r="DJ22" s="521"/>
      <c r="DK22" s="522">
        <f t="shared" si="36"/>
        <v>0</v>
      </c>
      <c r="DL22" s="523">
        <f t="shared" si="148"/>
        <v>0</v>
      </c>
      <c r="DM22" s="521"/>
      <c r="DN22" s="522">
        <f t="shared" si="37"/>
        <v>0</v>
      </c>
      <c r="DO22" s="523">
        <f t="shared" si="149"/>
        <v>0</v>
      </c>
      <c r="DP22" s="521"/>
      <c r="DQ22" s="522">
        <f t="shared" si="38"/>
        <v>0</v>
      </c>
      <c r="DR22" s="523">
        <f t="shared" si="150"/>
        <v>0</v>
      </c>
      <c r="DS22" s="521"/>
      <c r="DT22" s="522">
        <f t="shared" si="39"/>
        <v>0</v>
      </c>
      <c r="DU22" s="523">
        <f t="shared" si="151"/>
        <v>0</v>
      </c>
      <c r="DV22" s="521"/>
      <c r="DW22" s="522">
        <f t="shared" si="40"/>
        <v>0</v>
      </c>
      <c r="DX22" s="523">
        <f t="shared" si="152"/>
        <v>0</v>
      </c>
      <c r="DY22" s="521"/>
      <c r="DZ22" s="522">
        <f t="shared" si="41"/>
        <v>0</v>
      </c>
      <c r="EA22" s="523">
        <f t="shared" si="153"/>
        <v>0</v>
      </c>
      <c r="EB22" s="521"/>
      <c r="EC22" s="522">
        <f t="shared" si="42"/>
        <v>0</v>
      </c>
      <c r="ED22" s="523">
        <f t="shared" si="154"/>
        <v>0</v>
      </c>
      <c r="EE22" s="521">
        <v>43.60465116279056</v>
      </c>
      <c r="EF22" s="522">
        <f t="shared" si="43"/>
        <v>1.1452906564439513</v>
      </c>
      <c r="EG22" s="523">
        <f t="shared" si="155"/>
        <v>0</v>
      </c>
      <c r="EH22" s="521">
        <v>46.96470588235286</v>
      </c>
      <c r="EI22" s="522">
        <f t="shared" si="44"/>
        <v>1.2335436104943887</v>
      </c>
      <c r="EJ22" s="523">
        <f t="shared" si="156"/>
        <v>0</v>
      </c>
      <c r="EK22" s="521"/>
      <c r="EL22" s="522">
        <f t="shared" si="45"/>
        <v>0</v>
      </c>
      <c r="EM22" s="523">
        <f t="shared" si="157"/>
        <v>0</v>
      </c>
      <c r="EN22" s="521"/>
      <c r="EO22" s="522">
        <f t="shared" si="46"/>
        <v>0</v>
      </c>
      <c r="EP22" s="523">
        <f t="shared" si="158"/>
        <v>0</v>
      </c>
      <c r="EQ22" s="521"/>
      <c r="ER22" s="522">
        <f t="shared" si="47"/>
        <v>0</v>
      </c>
      <c r="ES22" s="523">
        <f t="shared" si="159"/>
        <v>0</v>
      </c>
      <c r="ET22" s="521"/>
      <c r="EU22" s="522">
        <f t="shared" si="48"/>
        <v>0</v>
      </c>
      <c r="EV22" s="523">
        <f t="shared" si="160"/>
        <v>0</v>
      </c>
      <c r="EW22" s="521"/>
      <c r="EX22" s="522">
        <f t="shared" si="49"/>
        <v>0</v>
      </c>
      <c r="EY22" s="523">
        <f t="shared" si="161"/>
        <v>0</v>
      </c>
      <c r="EZ22" s="521"/>
      <c r="FA22" s="522">
        <f t="shared" si="50"/>
        <v>0</v>
      </c>
      <c r="FB22" s="523">
        <f t="shared" si="162"/>
        <v>0</v>
      </c>
      <c r="FC22" s="521"/>
      <c r="FD22" s="522">
        <f t="shared" si="51"/>
        <v>0</v>
      </c>
      <c r="FE22" s="523">
        <f t="shared" si="163"/>
        <v>0</v>
      </c>
      <c r="FF22" s="521"/>
      <c r="FG22" s="522">
        <f t="shared" si="52"/>
        <v>0</v>
      </c>
      <c r="FH22" s="523">
        <f t="shared" si="164"/>
        <v>0</v>
      </c>
      <c r="FI22" s="521"/>
      <c r="FJ22" s="522">
        <f t="shared" si="53"/>
        <v>0</v>
      </c>
      <c r="FK22" s="523">
        <f t="shared" si="165"/>
        <v>0</v>
      </c>
      <c r="FL22" s="521"/>
      <c r="FM22" s="522">
        <f t="shared" si="54"/>
        <v>0</v>
      </c>
      <c r="FN22" s="523">
        <f t="shared" si="166"/>
        <v>0</v>
      </c>
      <c r="FO22" s="521"/>
      <c r="FP22" s="522">
        <f t="shared" si="55"/>
        <v>0</v>
      </c>
      <c r="FQ22" s="523">
        <f t="shared" si="167"/>
        <v>0</v>
      </c>
      <c r="FR22" s="521"/>
      <c r="FS22" s="522">
        <f t="shared" si="56"/>
        <v>0</v>
      </c>
      <c r="FT22" s="523">
        <f t="shared" si="168"/>
        <v>0</v>
      </c>
      <c r="FU22" s="521"/>
      <c r="FV22" s="522">
        <f t="shared" si="57"/>
        <v>0</v>
      </c>
      <c r="FW22" s="523">
        <f t="shared" si="169"/>
        <v>0</v>
      </c>
      <c r="FX22" s="521"/>
      <c r="FY22" s="522">
        <f t="shared" si="58"/>
        <v>0</v>
      </c>
      <c r="FZ22" s="523">
        <f t="shared" si="170"/>
        <v>0</v>
      </c>
      <c r="GA22" s="521"/>
      <c r="GB22" s="522">
        <f t="shared" si="59"/>
        <v>0</v>
      </c>
      <c r="GC22" s="523">
        <f t="shared" si="171"/>
        <v>0</v>
      </c>
      <c r="GD22" s="521"/>
      <c r="GE22" s="522">
        <f t="shared" si="60"/>
        <v>0</v>
      </c>
      <c r="GF22" s="523">
        <f t="shared" si="172"/>
        <v>0</v>
      </c>
      <c r="GG22" s="521"/>
      <c r="GH22" s="522">
        <f t="shared" si="61"/>
        <v>0</v>
      </c>
      <c r="GI22" s="523">
        <f t="shared" si="173"/>
        <v>0</v>
      </c>
      <c r="GJ22" s="521"/>
      <c r="GK22" s="522">
        <f t="shared" si="62"/>
        <v>0</v>
      </c>
      <c r="GL22" s="523">
        <f t="shared" si="174"/>
        <v>0</v>
      </c>
      <c r="GM22" s="521"/>
      <c r="GN22" s="522">
        <f t="shared" si="63"/>
        <v>0</v>
      </c>
      <c r="GO22" s="523">
        <f t="shared" si="175"/>
        <v>0</v>
      </c>
      <c r="GP22" s="521"/>
      <c r="GQ22" s="522">
        <f t="shared" si="64"/>
        <v>0</v>
      </c>
      <c r="GR22" s="523">
        <f t="shared" si="176"/>
        <v>0</v>
      </c>
      <c r="GS22" s="521"/>
      <c r="GT22" s="522">
        <f t="shared" si="65"/>
        <v>0</v>
      </c>
      <c r="GU22" s="523">
        <f t="shared" si="177"/>
        <v>0</v>
      </c>
      <c r="GV22" s="521"/>
      <c r="GW22" s="522">
        <f t="shared" si="66"/>
        <v>0</v>
      </c>
      <c r="GX22" s="523">
        <f t="shared" si="178"/>
        <v>0</v>
      </c>
      <c r="GY22" s="521"/>
      <c r="GZ22" s="522">
        <f t="shared" si="67"/>
        <v>0</v>
      </c>
      <c r="HA22" s="523">
        <f t="shared" si="179"/>
        <v>0</v>
      </c>
      <c r="HB22" s="521"/>
      <c r="HC22" s="522">
        <f t="shared" si="68"/>
        <v>0</v>
      </c>
      <c r="HD22" s="523">
        <f t="shared" si="180"/>
        <v>0</v>
      </c>
      <c r="HE22" s="521"/>
      <c r="HF22" s="522">
        <f t="shared" si="69"/>
        <v>0</v>
      </c>
      <c r="HG22" s="523">
        <f t="shared" si="181"/>
        <v>0</v>
      </c>
      <c r="HH22" s="521"/>
      <c r="HI22" s="522">
        <f t="shared" si="70"/>
        <v>0</v>
      </c>
      <c r="HJ22" s="523">
        <f t="shared" si="182"/>
        <v>0</v>
      </c>
      <c r="HK22" s="521"/>
      <c r="HL22" s="522">
        <f t="shared" si="71"/>
        <v>0</v>
      </c>
      <c r="HM22" s="523">
        <f t="shared" si="183"/>
        <v>0</v>
      </c>
      <c r="HN22" s="521"/>
      <c r="HO22" s="522">
        <f t="shared" si="72"/>
        <v>0</v>
      </c>
      <c r="HP22" s="523">
        <f t="shared" si="184"/>
        <v>0</v>
      </c>
      <c r="HQ22" s="521"/>
      <c r="HR22" s="522">
        <f t="shared" si="73"/>
        <v>0</v>
      </c>
      <c r="HS22" s="523">
        <f t="shared" si="185"/>
        <v>0</v>
      </c>
      <c r="HT22" s="521"/>
      <c r="HU22" s="522">
        <f t="shared" si="74"/>
        <v>0</v>
      </c>
      <c r="HV22" s="523">
        <f t="shared" si="186"/>
        <v>0</v>
      </c>
      <c r="HW22" s="521"/>
      <c r="HX22" s="522">
        <f t="shared" si="75"/>
        <v>0</v>
      </c>
      <c r="HY22" s="523">
        <f t="shared" si="187"/>
        <v>0</v>
      </c>
      <c r="HZ22" s="521"/>
      <c r="IA22" s="522">
        <f t="shared" si="76"/>
        <v>0</v>
      </c>
      <c r="IB22" s="523">
        <f t="shared" si="188"/>
        <v>0</v>
      </c>
      <c r="IC22" s="521"/>
      <c r="ID22" s="522">
        <f t="shared" si="77"/>
        <v>0</v>
      </c>
      <c r="IE22" s="523">
        <f t="shared" si="189"/>
        <v>0</v>
      </c>
      <c r="IF22" s="521"/>
      <c r="IG22" s="522">
        <f t="shared" si="78"/>
        <v>0</v>
      </c>
      <c r="IH22" s="523">
        <f t="shared" si="190"/>
        <v>0</v>
      </c>
      <c r="II22" s="521"/>
      <c r="IJ22" s="522">
        <f t="shared" si="79"/>
        <v>0</v>
      </c>
      <c r="IK22" s="523">
        <f t="shared" si="191"/>
        <v>0</v>
      </c>
      <c r="IL22" s="521"/>
      <c r="IM22" s="522">
        <f t="shared" si="80"/>
        <v>0</v>
      </c>
      <c r="IN22" s="523">
        <f t="shared" si="192"/>
        <v>0</v>
      </c>
      <c r="IO22" s="521"/>
      <c r="IP22" s="522">
        <f t="shared" si="81"/>
        <v>0</v>
      </c>
      <c r="IQ22" s="523">
        <f t="shared" si="193"/>
        <v>0</v>
      </c>
      <c r="IR22" s="521"/>
      <c r="IS22" s="522">
        <f t="shared" si="82"/>
        <v>0</v>
      </c>
      <c r="IT22" s="523">
        <f t="shared" si="194"/>
        <v>0</v>
      </c>
      <c r="IU22" s="521"/>
      <c r="IV22" s="522">
        <f t="shared" si="83"/>
        <v>0</v>
      </c>
      <c r="IW22" s="523">
        <f t="shared" si="195"/>
        <v>0</v>
      </c>
      <c r="IX22" s="521"/>
      <c r="IY22" s="522">
        <f t="shared" si="84"/>
        <v>0</v>
      </c>
      <c r="IZ22" s="523">
        <f t="shared" si="196"/>
        <v>0</v>
      </c>
      <c r="JA22" s="521"/>
      <c r="JB22" s="522">
        <f t="shared" si="85"/>
        <v>0</v>
      </c>
      <c r="JC22" s="523">
        <f t="shared" si="197"/>
        <v>0</v>
      </c>
      <c r="JD22" s="521"/>
      <c r="JE22" s="522">
        <f t="shared" si="86"/>
        <v>0</v>
      </c>
      <c r="JF22" s="523">
        <f t="shared" si="198"/>
        <v>0</v>
      </c>
      <c r="JG22" s="521"/>
      <c r="JH22" s="522">
        <f t="shared" si="87"/>
        <v>0</v>
      </c>
      <c r="JI22" s="523">
        <f t="shared" si="199"/>
        <v>0</v>
      </c>
      <c r="JJ22" s="521"/>
      <c r="JK22" s="523" t="str">
        <f t="shared" si="88"/>
        <v>0</v>
      </c>
      <c r="JL22" s="523" t="str">
        <f t="shared" si="89"/>
        <v>0</v>
      </c>
      <c r="JM22" s="521"/>
      <c r="JN22" s="523" t="str">
        <f t="shared" si="90"/>
        <v>0</v>
      </c>
      <c r="JO22" s="523" t="str">
        <f t="shared" si="91"/>
        <v>0</v>
      </c>
      <c r="JP22" s="521"/>
      <c r="JQ22" s="523" t="str">
        <f t="shared" si="92"/>
        <v>0</v>
      </c>
      <c r="JR22" s="523" t="str">
        <f t="shared" si="93"/>
        <v>0</v>
      </c>
      <c r="JS22" s="521"/>
      <c r="JT22" s="523" t="str">
        <f t="shared" si="94"/>
        <v>0</v>
      </c>
      <c r="JU22" s="523" t="str">
        <f t="shared" si="95"/>
        <v>0</v>
      </c>
      <c r="JV22" s="521"/>
      <c r="JW22" s="523" t="str">
        <f t="shared" si="96"/>
        <v>0</v>
      </c>
      <c r="JX22" s="523" t="str">
        <f t="shared" si="97"/>
        <v>0</v>
      </c>
      <c r="JY22" s="521"/>
      <c r="JZ22" s="523" t="str">
        <f t="shared" si="98"/>
        <v>0</v>
      </c>
      <c r="KA22" s="523" t="str">
        <f t="shared" si="99"/>
        <v>0</v>
      </c>
      <c r="KB22" s="521"/>
      <c r="KC22" s="523" t="str">
        <f t="shared" si="100"/>
        <v>0</v>
      </c>
      <c r="KD22" s="523" t="str">
        <f t="shared" si="101"/>
        <v>0</v>
      </c>
      <c r="KE22" s="521"/>
      <c r="KF22" s="523" t="str">
        <f t="shared" si="102"/>
        <v>0</v>
      </c>
      <c r="KG22" s="523" t="str">
        <f t="shared" si="103"/>
        <v>0</v>
      </c>
      <c r="KH22" s="521"/>
      <c r="KI22" s="523" t="str">
        <f t="shared" si="104"/>
        <v>0</v>
      </c>
      <c r="KJ22" s="523" t="str">
        <f t="shared" si="105"/>
        <v>0</v>
      </c>
      <c r="KK22" s="521"/>
      <c r="KL22" s="523" t="str">
        <f t="shared" si="106"/>
        <v>0</v>
      </c>
      <c r="KM22" s="523" t="str">
        <f t="shared" si="107"/>
        <v>0</v>
      </c>
      <c r="KN22" s="521"/>
      <c r="KO22" s="523" t="str">
        <f t="shared" si="108"/>
        <v>0</v>
      </c>
      <c r="KP22" s="523" t="str">
        <f t="shared" si="109"/>
        <v>0</v>
      </c>
      <c r="KQ22" s="521"/>
      <c r="KR22" s="523" t="str">
        <f t="shared" si="110"/>
        <v>0</v>
      </c>
      <c r="KS22" s="523" t="str">
        <f t="shared" si="111"/>
        <v>0</v>
      </c>
      <c r="KT22" s="523">
        <f t="shared" si="201"/>
        <v>0</v>
      </c>
      <c r="KU22" s="523">
        <f t="shared" si="202"/>
        <v>0</v>
      </c>
      <c r="KV22" s="260">
        <f t="shared" si="112"/>
        <v>455.73108921077994</v>
      </c>
    </row>
    <row r="23" spans="1:308">
      <c r="A23" s="261">
        <f t="shared" si="200"/>
        <v>46037</v>
      </c>
      <c r="B23" s="262" t="str">
        <f>+Report1!B23</f>
        <v>Facial</v>
      </c>
      <c r="C23" s="262" t="str">
        <f>+Report1!C23</f>
        <v>12/13/16</v>
      </c>
      <c r="D23" s="263">
        <f>+Report1!P23</f>
        <v>46.251999999999995</v>
      </c>
      <c r="E23" s="554">
        <f>+Report1!R23</f>
        <v>43.924999999999997</v>
      </c>
      <c r="F23" s="521"/>
      <c r="G23" s="522">
        <f t="shared" si="0"/>
        <v>0</v>
      </c>
      <c r="H23" s="523">
        <f t="shared" si="113"/>
        <v>0</v>
      </c>
      <c r="I23" s="521">
        <v>243.78588837209281</v>
      </c>
      <c r="J23" s="522">
        <f t="shared" si="1"/>
        <v>5.5500486823470192</v>
      </c>
      <c r="K23" s="523">
        <f t="shared" si="114"/>
        <v>0</v>
      </c>
      <c r="L23" s="521"/>
      <c r="M23" s="522">
        <f t="shared" si="2"/>
        <v>0</v>
      </c>
      <c r="N23" s="523">
        <f t="shared" si="115"/>
        <v>0</v>
      </c>
      <c r="O23" s="521">
        <v>9.206799999999987</v>
      </c>
      <c r="P23" s="522">
        <f t="shared" si="3"/>
        <v>0.20960273192942488</v>
      </c>
      <c r="Q23" s="523">
        <f t="shared" si="116"/>
        <v>0</v>
      </c>
      <c r="R23" s="521"/>
      <c r="S23" s="522">
        <f t="shared" si="4"/>
        <v>0</v>
      </c>
      <c r="T23" s="523">
        <f t="shared" si="117"/>
        <v>0</v>
      </c>
      <c r="U23" s="521">
        <v>7.8650000000000659</v>
      </c>
      <c r="V23" s="522">
        <f t="shared" si="5"/>
        <v>0.17905520774046821</v>
      </c>
      <c r="W23" s="523">
        <f t="shared" si="118"/>
        <v>0</v>
      </c>
      <c r="X23" s="521"/>
      <c r="Y23" s="522">
        <f t="shared" si="6"/>
        <v>0</v>
      </c>
      <c r="Z23" s="523">
        <f t="shared" si="119"/>
        <v>0</v>
      </c>
      <c r="AA23" s="521"/>
      <c r="AB23" s="522">
        <f t="shared" si="7"/>
        <v>0</v>
      </c>
      <c r="AC23" s="523">
        <f t="shared" si="120"/>
        <v>0</v>
      </c>
      <c r="AD23" s="521"/>
      <c r="AE23" s="522">
        <f t="shared" si="8"/>
        <v>0</v>
      </c>
      <c r="AF23" s="523">
        <f t="shared" si="121"/>
        <v>0</v>
      </c>
      <c r="AG23" s="521"/>
      <c r="AH23" s="522">
        <f t="shared" si="9"/>
        <v>0</v>
      </c>
      <c r="AI23" s="523">
        <f t="shared" si="122"/>
        <v>0</v>
      </c>
      <c r="AJ23" s="521"/>
      <c r="AK23" s="522">
        <f t="shared" si="10"/>
        <v>0</v>
      </c>
      <c r="AL23" s="523">
        <f t="shared" si="123"/>
        <v>0</v>
      </c>
      <c r="AM23" s="521"/>
      <c r="AN23" s="522">
        <f t="shared" si="11"/>
        <v>0</v>
      </c>
      <c r="AO23" s="523">
        <f t="shared" si="124"/>
        <v>0</v>
      </c>
      <c r="AP23" s="521">
        <v>58.253101265822778</v>
      </c>
      <c r="AQ23" s="522">
        <f t="shared" si="12"/>
        <v>1.3261946787893633</v>
      </c>
      <c r="AR23" s="523">
        <f t="shared" si="125"/>
        <v>0</v>
      </c>
      <c r="AS23" s="521"/>
      <c r="AT23" s="522">
        <f t="shared" si="13"/>
        <v>0</v>
      </c>
      <c r="AU23" s="523">
        <f t="shared" si="126"/>
        <v>0</v>
      </c>
      <c r="AV23" s="521"/>
      <c r="AW23" s="522">
        <f t="shared" si="14"/>
        <v>0</v>
      </c>
      <c r="AX23" s="523">
        <f t="shared" si="127"/>
        <v>0</v>
      </c>
      <c r="AY23" s="521">
        <v>35.792666666666605</v>
      </c>
      <c r="AZ23" s="522">
        <f t="shared" si="15"/>
        <v>0.81485866059571099</v>
      </c>
      <c r="BA23" s="523">
        <f t="shared" si="128"/>
        <v>0</v>
      </c>
      <c r="BB23" s="521"/>
      <c r="BC23" s="522">
        <f t="shared" si="16"/>
        <v>0</v>
      </c>
      <c r="BD23" s="523">
        <f t="shared" si="129"/>
        <v>0</v>
      </c>
      <c r="BE23" s="521"/>
      <c r="BF23" s="522">
        <f t="shared" si="17"/>
        <v>0</v>
      </c>
      <c r="BG23" s="523">
        <f t="shared" si="130"/>
        <v>0</v>
      </c>
      <c r="BH23" s="521"/>
      <c r="BI23" s="522">
        <f t="shared" si="18"/>
        <v>0</v>
      </c>
      <c r="BJ23" s="523">
        <f t="shared" si="131"/>
        <v>0</v>
      </c>
      <c r="BK23" s="521"/>
      <c r="BL23" s="522">
        <f t="shared" si="19"/>
        <v>0</v>
      </c>
      <c r="BM23" s="523">
        <f t="shared" si="132"/>
        <v>0</v>
      </c>
      <c r="BN23" s="521"/>
      <c r="BO23" s="522">
        <f t="shared" si="20"/>
        <v>0</v>
      </c>
      <c r="BP23" s="523">
        <f t="shared" si="133"/>
        <v>0</v>
      </c>
      <c r="BQ23" s="521"/>
      <c r="BR23" s="522">
        <f t="shared" si="21"/>
        <v>0</v>
      </c>
      <c r="BS23" s="523">
        <f t="shared" si="134"/>
        <v>0</v>
      </c>
      <c r="BT23" s="521"/>
      <c r="BU23" s="522">
        <f t="shared" si="22"/>
        <v>0</v>
      </c>
      <c r="BV23" s="523">
        <f t="shared" si="135"/>
        <v>0</v>
      </c>
      <c r="BW23" s="521"/>
      <c r="BX23" s="522">
        <f t="shared" si="23"/>
        <v>0</v>
      </c>
      <c r="BY23" s="523">
        <f t="shared" si="136"/>
        <v>0</v>
      </c>
      <c r="BZ23" s="521"/>
      <c r="CA23" s="522">
        <f t="shared" si="24"/>
        <v>0</v>
      </c>
      <c r="CB23" s="523">
        <f t="shared" si="137"/>
        <v>0</v>
      </c>
      <c r="CC23" s="521"/>
      <c r="CD23" s="522">
        <f t="shared" si="25"/>
        <v>0</v>
      </c>
      <c r="CE23" s="523">
        <f t="shared" si="138"/>
        <v>0</v>
      </c>
      <c r="CF23" s="521">
        <v>0.90000000000000213</v>
      </c>
      <c r="CG23" s="522">
        <f t="shared" si="26"/>
        <v>2.0489470688673926E-2</v>
      </c>
      <c r="CH23" s="523">
        <f t="shared" si="139"/>
        <v>0</v>
      </c>
      <c r="CI23" s="521"/>
      <c r="CJ23" s="522">
        <f t="shared" si="27"/>
        <v>0</v>
      </c>
      <c r="CK23" s="523">
        <f t="shared" si="140"/>
        <v>0</v>
      </c>
      <c r="CL23" s="521"/>
      <c r="CM23" s="522">
        <f t="shared" si="28"/>
        <v>0</v>
      </c>
      <c r="CN23" s="523">
        <f t="shared" si="141"/>
        <v>0</v>
      </c>
      <c r="CO23" s="521"/>
      <c r="CP23" s="522">
        <f t="shared" si="29"/>
        <v>0</v>
      </c>
      <c r="CQ23" s="523">
        <f t="shared" si="142"/>
        <v>0</v>
      </c>
      <c r="CR23" s="521"/>
      <c r="CS23" s="522">
        <f t="shared" si="30"/>
        <v>0</v>
      </c>
      <c r="CT23" s="523">
        <f t="shared" si="143"/>
        <v>0</v>
      </c>
      <c r="CU23" s="521"/>
      <c r="CV23" s="522">
        <f t="shared" si="31"/>
        <v>0</v>
      </c>
      <c r="CW23" s="523">
        <f t="shared" si="144"/>
        <v>0</v>
      </c>
      <c r="CX23" s="521"/>
      <c r="CY23" s="522">
        <f t="shared" si="32"/>
        <v>0</v>
      </c>
      <c r="CZ23" s="523">
        <f t="shared" si="145"/>
        <v>0</v>
      </c>
      <c r="DA23" s="521"/>
      <c r="DB23" s="522">
        <f t="shared" si="33"/>
        <v>0</v>
      </c>
      <c r="DC23" s="523">
        <f t="shared" si="146"/>
        <v>0</v>
      </c>
      <c r="DD23" s="521"/>
      <c r="DE23" s="522">
        <f t="shared" si="34"/>
        <v>0</v>
      </c>
      <c r="DF23" s="523">
        <f t="shared" si="147"/>
        <v>0</v>
      </c>
      <c r="DG23" s="521"/>
      <c r="DH23" s="522">
        <f t="shared" si="35"/>
        <v>0</v>
      </c>
      <c r="DI23" s="523">
        <f t="shared" si="203"/>
        <v>0</v>
      </c>
      <c r="DJ23" s="521"/>
      <c r="DK23" s="522">
        <f t="shared" si="36"/>
        <v>0</v>
      </c>
      <c r="DL23" s="523">
        <f t="shared" si="148"/>
        <v>0</v>
      </c>
      <c r="DM23" s="521"/>
      <c r="DN23" s="522">
        <f t="shared" si="37"/>
        <v>0</v>
      </c>
      <c r="DO23" s="523">
        <f t="shared" si="149"/>
        <v>0</v>
      </c>
      <c r="DP23" s="521"/>
      <c r="DQ23" s="522">
        <f t="shared" si="38"/>
        <v>0</v>
      </c>
      <c r="DR23" s="523">
        <f t="shared" si="150"/>
        <v>0</v>
      </c>
      <c r="DS23" s="521"/>
      <c r="DT23" s="522">
        <f t="shared" si="39"/>
        <v>0</v>
      </c>
      <c r="DU23" s="523">
        <f t="shared" si="151"/>
        <v>0</v>
      </c>
      <c r="DV23" s="521"/>
      <c r="DW23" s="522">
        <f t="shared" si="40"/>
        <v>0</v>
      </c>
      <c r="DX23" s="523">
        <f t="shared" si="152"/>
        <v>0</v>
      </c>
      <c r="DY23" s="521"/>
      <c r="DZ23" s="522">
        <f t="shared" si="41"/>
        <v>0</v>
      </c>
      <c r="EA23" s="523">
        <f t="shared" si="153"/>
        <v>0</v>
      </c>
      <c r="EB23" s="521"/>
      <c r="EC23" s="522">
        <f t="shared" si="42"/>
        <v>0</v>
      </c>
      <c r="ED23" s="523">
        <f t="shared" si="154"/>
        <v>0</v>
      </c>
      <c r="EE23" s="521">
        <v>44.593711627907169</v>
      </c>
      <c r="EF23" s="522">
        <f t="shared" si="43"/>
        <v>1.0152239414435327</v>
      </c>
      <c r="EG23" s="523">
        <f t="shared" si="155"/>
        <v>0</v>
      </c>
      <c r="EH23" s="521">
        <v>60.043529411764666</v>
      </c>
      <c r="EI23" s="522">
        <f t="shared" si="44"/>
        <v>1.3669557065854221</v>
      </c>
      <c r="EJ23" s="523">
        <f t="shared" si="156"/>
        <v>0</v>
      </c>
      <c r="EK23" s="521">
        <v>465.11627906976742</v>
      </c>
      <c r="EL23" s="522">
        <f t="shared" si="45"/>
        <v>10.588873740916732</v>
      </c>
      <c r="EM23" s="523">
        <f t="shared" si="157"/>
        <v>0</v>
      </c>
      <c r="EN23" s="521"/>
      <c r="EO23" s="522">
        <f t="shared" si="46"/>
        <v>0</v>
      </c>
      <c r="EP23" s="523">
        <f t="shared" si="158"/>
        <v>0</v>
      </c>
      <c r="EQ23" s="521"/>
      <c r="ER23" s="522">
        <f t="shared" si="47"/>
        <v>0</v>
      </c>
      <c r="ES23" s="523">
        <f t="shared" si="159"/>
        <v>0</v>
      </c>
      <c r="ET23" s="521"/>
      <c r="EU23" s="522">
        <f t="shared" si="48"/>
        <v>0</v>
      </c>
      <c r="EV23" s="523">
        <f t="shared" si="160"/>
        <v>0</v>
      </c>
      <c r="EW23" s="521"/>
      <c r="EX23" s="522">
        <f t="shared" si="49"/>
        <v>0</v>
      </c>
      <c r="EY23" s="523">
        <f t="shared" si="161"/>
        <v>0</v>
      </c>
      <c r="EZ23" s="521"/>
      <c r="FA23" s="522">
        <f t="shared" si="50"/>
        <v>0</v>
      </c>
      <c r="FB23" s="523">
        <f t="shared" si="162"/>
        <v>0</v>
      </c>
      <c r="FC23" s="521"/>
      <c r="FD23" s="522">
        <f t="shared" si="51"/>
        <v>0</v>
      </c>
      <c r="FE23" s="523">
        <f t="shared" si="163"/>
        <v>0</v>
      </c>
      <c r="FF23" s="521"/>
      <c r="FG23" s="522">
        <f t="shared" si="52"/>
        <v>0</v>
      </c>
      <c r="FH23" s="523">
        <f t="shared" si="164"/>
        <v>0</v>
      </c>
      <c r="FI23" s="521"/>
      <c r="FJ23" s="522">
        <f t="shared" si="53"/>
        <v>0</v>
      </c>
      <c r="FK23" s="523">
        <f t="shared" si="165"/>
        <v>0</v>
      </c>
      <c r="FL23" s="521"/>
      <c r="FM23" s="522">
        <f t="shared" si="54"/>
        <v>0</v>
      </c>
      <c r="FN23" s="523">
        <f t="shared" si="166"/>
        <v>0</v>
      </c>
      <c r="FO23" s="521"/>
      <c r="FP23" s="522">
        <f t="shared" si="55"/>
        <v>0</v>
      </c>
      <c r="FQ23" s="523">
        <f t="shared" si="167"/>
        <v>0</v>
      </c>
      <c r="FR23" s="521"/>
      <c r="FS23" s="522">
        <f t="shared" si="56"/>
        <v>0</v>
      </c>
      <c r="FT23" s="523">
        <f t="shared" si="168"/>
        <v>0</v>
      </c>
      <c r="FU23" s="521"/>
      <c r="FV23" s="522">
        <f t="shared" si="57"/>
        <v>0</v>
      </c>
      <c r="FW23" s="523">
        <f t="shared" si="169"/>
        <v>0</v>
      </c>
      <c r="FX23" s="521"/>
      <c r="FY23" s="522">
        <f t="shared" si="58"/>
        <v>0</v>
      </c>
      <c r="FZ23" s="523">
        <f t="shared" si="170"/>
        <v>0</v>
      </c>
      <c r="GA23" s="521"/>
      <c r="GB23" s="522">
        <f t="shared" si="59"/>
        <v>0</v>
      </c>
      <c r="GC23" s="523">
        <f t="shared" si="171"/>
        <v>0</v>
      </c>
      <c r="GD23" s="521"/>
      <c r="GE23" s="522">
        <f t="shared" si="60"/>
        <v>0</v>
      </c>
      <c r="GF23" s="523">
        <f t="shared" si="172"/>
        <v>0</v>
      </c>
      <c r="GG23" s="521"/>
      <c r="GH23" s="522">
        <f t="shared" si="61"/>
        <v>0</v>
      </c>
      <c r="GI23" s="523">
        <f t="shared" si="173"/>
        <v>0</v>
      </c>
      <c r="GJ23" s="521"/>
      <c r="GK23" s="522">
        <f t="shared" si="62"/>
        <v>0</v>
      </c>
      <c r="GL23" s="523">
        <f t="shared" si="174"/>
        <v>0</v>
      </c>
      <c r="GM23" s="521"/>
      <c r="GN23" s="522">
        <f t="shared" si="63"/>
        <v>0</v>
      </c>
      <c r="GO23" s="523">
        <f t="shared" si="175"/>
        <v>0</v>
      </c>
      <c r="GP23" s="521"/>
      <c r="GQ23" s="522">
        <f t="shared" si="64"/>
        <v>0</v>
      </c>
      <c r="GR23" s="523">
        <f t="shared" si="176"/>
        <v>0</v>
      </c>
      <c r="GS23" s="521"/>
      <c r="GT23" s="522">
        <f t="shared" si="65"/>
        <v>0</v>
      </c>
      <c r="GU23" s="523">
        <f t="shared" si="177"/>
        <v>0</v>
      </c>
      <c r="GV23" s="521"/>
      <c r="GW23" s="522">
        <f t="shared" si="66"/>
        <v>0</v>
      </c>
      <c r="GX23" s="523">
        <f t="shared" si="178"/>
        <v>0</v>
      </c>
      <c r="GY23" s="521"/>
      <c r="GZ23" s="522">
        <f t="shared" si="67"/>
        <v>0</v>
      </c>
      <c r="HA23" s="523">
        <f t="shared" si="179"/>
        <v>0</v>
      </c>
      <c r="HB23" s="521"/>
      <c r="HC23" s="522">
        <f t="shared" si="68"/>
        <v>0</v>
      </c>
      <c r="HD23" s="523">
        <f t="shared" si="180"/>
        <v>0</v>
      </c>
      <c r="HE23" s="521"/>
      <c r="HF23" s="522">
        <f t="shared" si="69"/>
        <v>0</v>
      </c>
      <c r="HG23" s="523">
        <f t="shared" si="181"/>
        <v>0</v>
      </c>
      <c r="HH23" s="521"/>
      <c r="HI23" s="522">
        <f t="shared" si="70"/>
        <v>0</v>
      </c>
      <c r="HJ23" s="523">
        <f t="shared" si="182"/>
        <v>0</v>
      </c>
      <c r="HK23" s="521"/>
      <c r="HL23" s="522">
        <f t="shared" si="71"/>
        <v>0</v>
      </c>
      <c r="HM23" s="523">
        <f t="shared" si="183"/>
        <v>0</v>
      </c>
      <c r="HN23" s="521"/>
      <c r="HO23" s="522">
        <f t="shared" si="72"/>
        <v>0</v>
      </c>
      <c r="HP23" s="523">
        <f t="shared" si="184"/>
        <v>0</v>
      </c>
      <c r="HQ23" s="521"/>
      <c r="HR23" s="522">
        <f t="shared" si="73"/>
        <v>0</v>
      </c>
      <c r="HS23" s="523">
        <f t="shared" si="185"/>
        <v>0</v>
      </c>
      <c r="HT23" s="521"/>
      <c r="HU23" s="522">
        <f t="shared" si="74"/>
        <v>0</v>
      </c>
      <c r="HV23" s="523">
        <f t="shared" si="186"/>
        <v>0</v>
      </c>
      <c r="HW23" s="521"/>
      <c r="HX23" s="522">
        <f t="shared" si="75"/>
        <v>0</v>
      </c>
      <c r="HY23" s="523">
        <f t="shared" si="187"/>
        <v>0</v>
      </c>
      <c r="HZ23" s="521"/>
      <c r="IA23" s="522">
        <f t="shared" si="76"/>
        <v>0</v>
      </c>
      <c r="IB23" s="523">
        <f t="shared" si="188"/>
        <v>0</v>
      </c>
      <c r="IC23" s="521"/>
      <c r="ID23" s="522">
        <f t="shared" si="77"/>
        <v>0</v>
      </c>
      <c r="IE23" s="523">
        <f t="shared" si="189"/>
        <v>0</v>
      </c>
      <c r="IF23" s="521"/>
      <c r="IG23" s="522">
        <f t="shared" si="78"/>
        <v>0</v>
      </c>
      <c r="IH23" s="523">
        <f t="shared" si="190"/>
        <v>0</v>
      </c>
      <c r="II23" s="521"/>
      <c r="IJ23" s="522">
        <f t="shared" si="79"/>
        <v>0</v>
      </c>
      <c r="IK23" s="523">
        <f t="shared" si="191"/>
        <v>0</v>
      </c>
      <c r="IL23" s="521"/>
      <c r="IM23" s="522">
        <f t="shared" si="80"/>
        <v>0</v>
      </c>
      <c r="IN23" s="523">
        <f t="shared" si="192"/>
        <v>0</v>
      </c>
      <c r="IO23" s="521"/>
      <c r="IP23" s="522">
        <f t="shared" si="81"/>
        <v>0</v>
      </c>
      <c r="IQ23" s="523">
        <f t="shared" si="193"/>
        <v>0</v>
      </c>
      <c r="IR23" s="521"/>
      <c r="IS23" s="522">
        <f t="shared" si="82"/>
        <v>0</v>
      </c>
      <c r="IT23" s="523">
        <f t="shared" si="194"/>
        <v>0</v>
      </c>
      <c r="IU23" s="521"/>
      <c r="IV23" s="522">
        <f t="shared" si="83"/>
        <v>0</v>
      </c>
      <c r="IW23" s="523">
        <f t="shared" si="195"/>
        <v>0</v>
      </c>
      <c r="IX23" s="521"/>
      <c r="IY23" s="522">
        <f t="shared" si="84"/>
        <v>0</v>
      </c>
      <c r="IZ23" s="523">
        <f t="shared" si="196"/>
        <v>0</v>
      </c>
      <c r="JA23" s="521"/>
      <c r="JB23" s="522">
        <f t="shared" si="85"/>
        <v>0</v>
      </c>
      <c r="JC23" s="523">
        <f t="shared" si="197"/>
        <v>0</v>
      </c>
      <c r="JD23" s="521"/>
      <c r="JE23" s="522">
        <f t="shared" si="86"/>
        <v>0</v>
      </c>
      <c r="JF23" s="523">
        <f t="shared" si="198"/>
        <v>0</v>
      </c>
      <c r="JG23" s="521"/>
      <c r="JH23" s="522">
        <f t="shared" si="87"/>
        <v>0</v>
      </c>
      <c r="JI23" s="523">
        <f t="shared" si="199"/>
        <v>0</v>
      </c>
      <c r="JJ23" s="521"/>
      <c r="JK23" s="523" t="str">
        <f t="shared" si="88"/>
        <v>0</v>
      </c>
      <c r="JL23" s="523" t="str">
        <f t="shared" si="89"/>
        <v>0</v>
      </c>
      <c r="JM23" s="521"/>
      <c r="JN23" s="523" t="str">
        <f t="shared" si="90"/>
        <v>0</v>
      </c>
      <c r="JO23" s="523" t="str">
        <f t="shared" si="91"/>
        <v>0</v>
      </c>
      <c r="JP23" s="521"/>
      <c r="JQ23" s="523" t="str">
        <f t="shared" si="92"/>
        <v>0</v>
      </c>
      <c r="JR23" s="523" t="str">
        <f t="shared" si="93"/>
        <v>0</v>
      </c>
      <c r="JS23" s="521"/>
      <c r="JT23" s="523" t="str">
        <f t="shared" si="94"/>
        <v>0</v>
      </c>
      <c r="JU23" s="523" t="str">
        <f t="shared" si="95"/>
        <v>0</v>
      </c>
      <c r="JV23" s="521"/>
      <c r="JW23" s="523" t="str">
        <f t="shared" si="96"/>
        <v>0</v>
      </c>
      <c r="JX23" s="523" t="str">
        <f t="shared" si="97"/>
        <v>0</v>
      </c>
      <c r="JY23" s="521"/>
      <c r="JZ23" s="523" t="str">
        <f t="shared" si="98"/>
        <v>0</v>
      </c>
      <c r="KA23" s="523" t="str">
        <f t="shared" si="99"/>
        <v>0</v>
      </c>
      <c r="KB23" s="521"/>
      <c r="KC23" s="523" t="str">
        <f t="shared" si="100"/>
        <v>0</v>
      </c>
      <c r="KD23" s="523" t="str">
        <f t="shared" si="101"/>
        <v>0</v>
      </c>
      <c r="KE23" s="521"/>
      <c r="KF23" s="523" t="str">
        <f t="shared" si="102"/>
        <v>0</v>
      </c>
      <c r="KG23" s="523" t="str">
        <f t="shared" si="103"/>
        <v>0</v>
      </c>
      <c r="KH23" s="521"/>
      <c r="KI23" s="523" t="str">
        <f t="shared" si="104"/>
        <v>0</v>
      </c>
      <c r="KJ23" s="523" t="str">
        <f t="shared" si="105"/>
        <v>0</v>
      </c>
      <c r="KK23" s="521"/>
      <c r="KL23" s="523" t="str">
        <f t="shared" si="106"/>
        <v>0</v>
      </c>
      <c r="KM23" s="523" t="str">
        <f t="shared" si="107"/>
        <v>0</v>
      </c>
      <c r="KN23" s="521"/>
      <c r="KO23" s="523" t="str">
        <f t="shared" si="108"/>
        <v>0</v>
      </c>
      <c r="KP23" s="523" t="str">
        <f t="shared" si="109"/>
        <v>0</v>
      </c>
      <c r="KQ23" s="521"/>
      <c r="KR23" s="523" t="str">
        <f t="shared" si="110"/>
        <v>0</v>
      </c>
      <c r="KS23" s="523" t="str">
        <f t="shared" si="111"/>
        <v>0</v>
      </c>
      <c r="KT23" s="523">
        <f t="shared" si="201"/>
        <v>0</v>
      </c>
      <c r="KU23" s="523">
        <f t="shared" si="202"/>
        <v>0</v>
      </c>
      <c r="KV23" s="260">
        <f t="shared" si="112"/>
        <v>460.44069734425409</v>
      </c>
    </row>
    <row r="24" spans="1:308">
      <c r="A24" s="261">
        <f t="shared" si="200"/>
        <v>46038</v>
      </c>
      <c r="B24" s="262" t="str">
        <f>+Report1!B24</f>
        <v>Facial</v>
      </c>
      <c r="C24" s="262" t="str">
        <f>+Report1!C24</f>
        <v>16/13</v>
      </c>
      <c r="D24" s="263">
        <f>+Report1!P24</f>
        <v>44.198</v>
      </c>
      <c r="E24" s="554">
        <f>+Report1!R24</f>
        <v>39.094000000000001</v>
      </c>
      <c r="F24" s="521"/>
      <c r="G24" s="522">
        <f t="shared" si="0"/>
        <v>0</v>
      </c>
      <c r="H24" s="523">
        <f t="shared" si="113"/>
        <v>0</v>
      </c>
      <c r="I24" s="521">
        <v>232.95780000000013</v>
      </c>
      <c r="J24" s="522">
        <f t="shared" si="1"/>
        <v>5.9589144114186352</v>
      </c>
      <c r="K24" s="523">
        <f t="shared" si="114"/>
        <v>0</v>
      </c>
      <c r="L24" s="521"/>
      <c r="M24" s="522">
        <f t="shared" si="2"/>
        <v>0</v>
      </c>
      <c r="N24" s="523">
        <f t="shared" si="115"/>
        <v>0</v>
      </c>
      <c r="O24" s="521">
        <v>8.7927999999999997</v>
      </c>
      <c r="P24" s="522">
        <f t="shared" si="3"/>
        <v>0.22491430910114082</v>
      </c>
      <c r="Q24" s="523">
        <f t="shared" si="116"/>
        <v>0</v>
      </c>
      <c r="R24" s="521"/>
      <c r="S24" s="522">
        <f t="shared" si="4"/>
        <v>0</v>
      </c>
      <c r="T24" s="523">
        <f t="shared" si="117"/>
        <v>0</v>
      </c>
      <c r="U24" s="521">
        <v>7.5086999999999762</v>
      </c>
      <c r="V24" s="522">
        <f t="shared" si="5"/>
        <v>0.19206783649664849</v>
      </c>
      <c r="W24" s="523">
        <f t="shared" si="118"/>
        <v>0</v>
      </c>
      <c r="X24" s="521"/>
      <c r="Y24" s="522">
        <f t="shared" si="6"/>
        <v>0</v>
      </c>
      <c r="Z24" s="523">
        <f t="shared" si="119"/>
        <v>0</v>
      </c>
      <c r="AA24" s="521"/>
      <c r="AB24" s="522">
        <f t="shared" si="7"/>
        <v>0</v>
      </c>
      <c r="AC24" s="523">
        <f t="shared" si="120"/>
        <v>0</v>
      </c>
      <c r="AD24" s="521"/>
      <c r="AE24" s="522">
        <f t="shared" si="8"/>
        <v>0</v>
      </c>
      <c r="AF24" s="523">
        <f t="shared" si="121"/>
        <v>0</v>
      </c>
      <c r="AG24" s="521"/>
      <c r="AH24" s="522">
        <f t="shared" si="9"/>
        <v>0</v>
      </c>
      <c r="AI24" s="523">
        <f t="shared" si="122"/>
        <v>0</v>
      </c>
      <c r="AJ24" s="521"/>
      <c r="AK24" s="522">
        <f t="shared" si="10"/>
        <v>0</v>
      </c>
      <c r="AL24" s="523">
        <f t="shared" si="123"/>
        <v>0</v>
      </c>
      <c r="AM24" s="521"/>
      <c r="AN24" s="522">
        <f t="shared" si="11"/>
        <v>0</v>
      </c>
      <c r="AO24" s="523">
        <f t="shared" si="124"/>
        <v>0</v>
      </c>
      <c r="AP24" s="521">
        <v>55.6721</v>
      </c>
      <c r="AQ24" s="522">
        <f t="shared" si="12"/>
        <v>1.4240574001125492</v>
      </c>
      <c r="AR24" s="523">
        <f t="shared" si="125"/>
        <v>0</v>
      </c>
      <c r="AS24" s="521"/>
      <c r="AT24" s="522">
        <f t="shared" si="13"/>
        <v>0</v>
      </c>
      <c r="AU24" s="523">
        <f t="shared" si="126"/>
        <v>0</v>
      </c>
      <c r="AV24" s="521"/>
      <c r="AW24" s="522">
        <f t="shared" si="14"/>
        <v>0</v>
      </c>
      <c r="AX24" s="523">
        <f t="shared" si="127"/>
        <v>0</v>
      </c>
      <c r="AY24" s="521">
        <v>34.205600000000032</v>
      </c>
      <c r="AZ24" s="522">
        <f t="shared" si="15"/>
        <v>0.87495779403489105</v>
      </c>
      <c r="BA24" s="523">
        <f t="shared" si="128"/>
        <v>0</v>
      </c>
      <c r="BB24" s="521"/>
      <c r="BC24" s="522">
        <f t="shared" si="16"/>
        <v>0</v>
      </c>
      <c r="BD24" s="523">
        <f t="shared" si="129"/>
        <v>0</v>
      </c>
      <c r="BE24" s="521"/>
      <c r="BF24" s="522">
        <f t="shared" si="17"/>
        <v>0</v>
      </c>
      <c r="BG24" s="523">
        <f t="shared" si="130"/>
        <v>0</v>
      </c>
      <c r="BH24" s="521"/>
      <c r="BI24" s="522">
        <f t="shared" si="18"/>
        <v>0</v>
      </c>
      <c r="BJ24" s="523">
        <f t="shared" si="131"/>
        <v>0</v>
      </c>
      <c r="BK24" s="521"/>
      <c r="BL24" s="522">
        <f t="shared" si="19"/>
        <v>0</v>
      </c>
      <c r="BM24" s="523">
        <f t="shared" si="132"/>
        <v>0</v>
      </c>
      <c r="BN24" s="521"/>
      <c r="BO24" s="522">
        <f t="shared" si="20"/>
        <v>0</v>
      </c>
      <c r="BP24" s="523">
        <f t="shared" si="133"/>
        <v>0</v>
      </c>
      <c r="BQ24" s="521"/>
      <c r="BR24" s="522">
        <f t="shared" si="21"/>
        <v>0</v>
      </c>
      <c r="BS24" s="523">
        <f t="shared" si="134"/>
        <v>0</v>
      </c>
      <c r="BT24" s="521"/>
      <c r="BU24" s="522">
        <f t="shared" si="22"/>
        <v>0</v>
      </c>
      <c r="BV24" s="523">
        <f t="shared" si="135"/>
        <v>0</v>
      </c>
      <c r="BW24" s="521"/>
      <c r="BX24" s="522">
        <f t="shared" si="23"/>
        <v>0</v>
      </c>
      <c r="BY24" s="523">
        <f t="shared" si="136"/>
        <v>0</v>
      </c>
      <c r="BZ24" s="521"/>
      <c r="CA24" s="522">
        <f t="shared" si="24"/>
        <v>0</v>
      </c>
      <c r="CB24" s="523">
        <f t="shared" si="137"/>
        <v>0</v>
      </c>
      <c r="CC24" s="521"/>
      <c r="CD24" s="522">
        <f t="shared" si="25"/>
        <v>0</v>
      </c>
      <c r="CE24" s="523">
        <f t="shared" si="138"/>
        <v>0</v>
      </c>
      <c r="CF24" s="521">
        <v>0.90000000000000036</v>
      </c>
      <c r="CG24" s="522">
        <f t="shared" si="26"/>
        <v>2.3021435514401195E-2</v>
      </c>
      <c r="CH24" s="523">
        <f t="shared" si="139"/>
        <v>0</v>
      </c>
      <c r="CI24" s="521"/>
      <c r="CJ24" s="522">
        <f t="shared" si="27"/>
        <v>0</v>
      </c>
      <c r="CK24" s="523">
        <f t="shared" si="140"/>
        <v>0</v>
      </c>
      <c r="CL24" s="521"/>
      <c r="CM24" s="522">
        <f t="shared" si="28"/>
        <v>0</v>
      </c>
      <c r="CN24" s="523">
        <f t="shared" si="141"/>
        <v>0</v>
      </c>
      <c r="CO24" s="521"/>
      <c r="CP24" s="522">
        <f t="shared" si="29"/>
        <v>0</v>
      </c>
      <c r="CQ24" s="523">
        <f t="shared" si="142"/>
        <v>0</v>
      </c>
      <c r="CR24" s="521"/>
      <c r="CS24" s="522">
        <f t="shared" si="30"/>
        <v>0</v>
      </c>
      <c r="CT24" s="523">
        <f t="shared" si="143"/>
        <v>0</v>
      </c>
      <c r="CU24" s="521"/>
      <c r="CV24" s="522">
        <f t="shared" si="31"/>
        <v>0</v>
      </c>
      <c r="CW24" s="523">
        <f t="shared" si="144"/>
        <v>0</v>
      </c>
      <c r="CX24" s="521"/>
      <c r="CY24" s="522">
        <f t="shared" si="32"/>
        <v>0</v>
      </c>
      <c r="CZ24" s="523">
        <f t="shared" si="145"/>
        <v>0</v>
      </c>
      <c r="DA24" s="521"/>
      <c r="DB24" s="522">
        <f t="shared" si="33"/>
        <v>0</v>
      </c>
      <c r="DC24" s="523">
        <f t="shared" si="146"/>
        <v>0</v>
      </c>
      <c r="DD24" s="521"/>
      <c r="DE24" s="522">
        <f t="shared" si="34"/>
        <v>0</v>
      </c>
      <c r="DF24" s="523">
        <f t="shared" si="147"/>
        <v>0</v>
      </c>
      <c r="DG24" s="521"/>
      <c r="DH24" s="522">
        <f t="shared" si="35"/>
        <v>0</v>
      </c>
      <c r="DI24" s="523">
        <f t="shared" si="203"/>
        <v>0</v>
      </c>
      <c r="DJ24" s="521"/>
      <c r="DK24" s="522">
        <f t="shared" si="36"/>
        <v>0</v>
      </c>
      <c r="DL24" s="523">
        <f t="shared" si="148"/>
        <v>0</v>
      </c>
      <c r="DM24" s="521"/>
      <c r="DN24" s="522">
        <f t="shared" si="37"/>
        <v>0</v>
      </c>
      <c r="DO24" s="523">
        <f t="shared" si="149"/>
        <v>0</v>
      </c>
      <c r="DP24" s="521"/>
      <c r="DQ24" s="522">
        <f t="shared" si="38"/>
        <v>0</v>
      </c>
      <c r="DR24" s="523">
        <f t="shared" si="150"/>
        <v>0</v>
      </c>
      <c r="DS24" s="521"/>
      <c r="DT24" s="522">
        <f t="shared" si="39"/>
        <v>0</v>
      </c>
      <c r="DU24" s="523">
        <f t="shared" si="151"/>
        <v>0</v>
      </c>
      <c r="DV24" s="521"/>
      <c r="DW24" s="522">
        <f t="shared" si="40"/>
        <v>0</v>
      </c>
      <c r="DX24" s="523">
        <f t="shared" si="152"/>
        <v>0</v>
      </c>
      <c r="DY24" s="521"/>
      <c r="DZ24" s="522">
        <f t="shared" si="41"/>
        <v>0</v>
      </c>
      <c r="EA24" s="523">
        <f t="shared" si="153"/>
        <v>0</v>
      </c>
      <c r="EB24" s="521"/>
      <c r="EC24" s="522">
        <f t="shared" si="42"/>
        <v>0</v>
      </c>
      <c r="ED24" s="523">
        <f t="shared" si="154"/>
        <v>0</v>
      </c>
      <c r="EE24" s="521">
        <v>42.618799999999965</v>
      </c>
      <c r="EF24" s="522">
        <f t="shared" si="43"/>
        <v>1.0901621732235116</v>
      </c>
      <c r="EG24" s="523">
        <f t="shared" si="155"/>
        <v>0</v>
      </c>
      <c r="EH24" s="521">
        <v>57.370000000000005</v>
      </c>
      <c r="EI24" s="522">
        <f t="shared" si="44"/>
        <v>1.4674886171791068</v>
      </c>
      <c r="EJ24" s="523">
        <f t="shared" si="156"/>
        <v>0</v>
      </c>
      <c r="EK24" s="521">
        <v>104.65116279069775</v>
      </c>
      <c r="EL24" s="522">
        <f t="shared" si="45"/>
        <v>2.6769111063257212</v>
      </c>
      <c r="EM24" s="523">
        <f t="shared" si="157"/>
        <v>0</v>
      </c>
      <c r="EN24" s="521"/>
      <c r="EO24" s="522">
        <f t="shared" si="46"/>
        <v>0</v>
      </c>
      <c r="EP24" s="523">
        <f t="shared" si="158"/>
        <v>0</v>
      </c>
      <c r="EQ24" s="521"/>
      <c r="ER24" s="522">
        <f t="shared" si="47"/>
        <v>0</v>
      </c>
      <c r="ES24" s="523">
        <f t="shared" si="159"/>
        <v>0</v>
      </c>
      <c r="ET24" s="521"/>
      <c r="EU24" s="522">
        <f t="shared" si="48"/>
        <v>0</v>
      </c>
      <c r="EV24" s="523">
        <f t="shared" si="160"/>
        <v>0</v>
      </c>
      <c r="EW24" s="521"/>
      <c r="EX24" s="522">
        <f t="shared" si="49"/>
        <v>0</v>
      </c>
      <c r="EY24" s="523">
        <f t="shared" si="161"/>
        <v>0</v>
      </c>
      <c r="EZ24" s="521"/>
      <c r="FA24" s="522">
        <f t="shared" si="50"/>
        <v>0</v>
      </c>
      <c r="FB24" s="523">
        <f t="shared" si="162"/>
        <v>0</v>
      </c>
      <c r="FC24" s="521"/>
      <c r="FD24" s="522">
        <f t="shared" si="51"/>
        <v>0</v>
      </c>
      <c r="FE24" s="523">
        <f t="shared" si="163"/>
        <v>0</v>
      </c>
      <c r="FF24" s="521"/>
      <c r="FG24" s="522">
        <f t="shared" si="52"/>
        <v>0</v>
      </c>
      <c r="FH24" s="523">
        <f t="shared" si="164"/>
        <v>0</v>
      </c>
      <c r="FI24" s="521"/>
      <c r="FJ24" s="522">
        <f t="shared" si="53"/>
        <v>0</v>
      </c>
      <c r="FK24" s="523">
        <f t="shared" si="165"/>
        <v>0</v>
      </c>
      <c r="FL24" s="521"/>
      <c r="FM24" s="522">
        <f t="shared" si="54"/>
        <v>0</v>
      </c>
      <c r="FN24" s="523">
        <f t="shared" si="166"/>
        <v>0</v>
      </c>
      <c r="FO24" s="521"/>
      <c r="FP24" s="522">
        <f t="shared" si="55"/>
        <v>0</v>
      </c>
      <c r="FQ24" s="523">
        <f t="shared" si="167"/>
        <v>0</v>
      </c>
      <c r="FR24" s="521"/>
      <c r="FS24" s="522">
        <f t="shared" si="56"/>
        <v>0</v>
      </c>
      <c r="FT24" s="523">
        <f t="shared" si="168"/>
        <v>0</v>
      </c>
      <c r="FU24" s="521"/>
      <c r="FV24" s="522">
        <f t="shared" si="57"/>
        <v>0</v>
      </c>
      <c r="FW24" s="523">
        <f t="shared" si="169"/>
        <v>0</v>
      </c>
      <c r="FX24" s="521"/>
      <c r="FY24" s="522">
        <f t="shared" si="58"/>
        <v>0</v>
      </c>
      <c r="FZ24" s="523">
        <f t="shared" si="170"/>
        <v>0</v>
      </c>
      <c r="GA24" s="521"/>
      <c r="GB24" s="522">
        <f t="shared" si="59"/>
        <v>0</v>
      </c>
      <c r="GC24" s="523">
        <f t="shared" si="171"/>
        <v>0</v>
      </c>
      <c r="GD24" s="521"/>
      <c r="GE24" s="522">
        <f t="shared" si="60"/>
        <v>0</v>
      </c>
      <c r="GF24" s="523">
        <f t="shared" si="172"/>
        <v>0</v>
      </c>
      <c r="GG24" s="521"/>
      <c r="GH24" s="522">
        <f t="shared" si="61"/>
        <v>0</v>
      </c>
      <c r="GI24" s="523">
        <f t="shared" si="173"/>
        <v>0</v>
      </c>
      <c r="GJ24" s="521"/>
      <c r="GK24" s="522">
        <f t="shared" si="62"/>
        <v>0</v>
      </c>
      <c r="GL24" s="523">
        <f t="shared" si="174"/>
        <v>0</v>
      </c>
      <c r="GM24" s="521"/>
      <c r="GN24" s="522">
        <f t="shared" si="63"/>
        <v>0</v>
      </c>
      <c r="GO24" s="523">
        <f t="shared" si="175"/>
        <v>0</v>
      </c>
      <c r="GP24" s="521"/>
      <c r="GQ24" s="522">
        <f t="shared" si="64"/>
        <v>0</v>
      </c>
      <c r="GR24" s="523">
        <f t="shared" si="176"/>
        <v>0</v>
      </c>
      <c r="GS24" s="521"/>
      <c r="GT24" s="522">
        <f t="shared" si="65"/>
        <v>0</v>
      </c>
      <c r="GU24" s="523">
        <f t="shared" si="177"/>
        <v>0</v>
      </c>
      <c r="GV24" s="521"/>
      <c r="GW24" s="522">
        <f t="shared" si="66"/>
        <v>0</v>
      </c>
      <c r="GX24" s="523">
        <f t="shared" si="178"/>
        <v>0</v>
      </c>
      <c r="GY24" s="521"/>
      <c r="GZ24" s="522">
        <f t="shared" si="67"/>
        <v>0</v>
      </c>
      <c r="HA24" s="523">
        <f t="shared" si="179"/>
        <v>0</v>
      </c>
      <c r="HB24" s="521"/>
      <c r="HC24" s="522">
        <f t="shared" si="68"/>
        <v>0</v>
      </c>
      <c r="HD24" s="523">
        <f t="shared" si="180"/>
        <v>0</v>
      </c>
      <c r="HE24" s="521"/>
      <c r="HF24" s="522">
        <f t="shared" si="69"/>
        <v>0</v>
      </c>
      <c r="HG24" s="523">
        <f t="shared" si="181"/>
        <v>0</v>
      </c>
      <c r="HH24" s="521"/>
      <c r="HI24" s="522">
        <f t="shared" si="70"/>
        <v>0</v>
      </c>
      <c r="HJ24" s="523">
        <f t="shared" si="182"/>
        <v>0</v>
      </c>
      <c r="HK24" s="521"/>
      <c r="HL24" s="522">
        <f t="shared" si="71"/>
        <v>0</v>
      </c>
      <c r="HM24" s="523">
        <f t="shared" si="183"/>
        <v>0</v>
      </c>
      <c r="HN24" s="521"/>
      <c r="HO24" s="522">
        <f t="shared" si="72"/>
        <v>0</v>
      </c>
      <c r="HP24" s="523">
        <f t="shared" si="184"/>
        <v>0</v>
      </c>
      <c r="HQ24" s="521"/>
      <c r="HR24" s="522">
        <f t="shared" si="73"/>
        <v>0</v>
      </c>
      <c r="HS24" s="523">
        <f t="shared" si="185"/>
        <v>0</v>
      </c>
      <c r="HT24" s="521"/>
      <c r="HU24" s="522">
        <f t="shared" si="74"/>
        <v>0</v>
      </c>
      <c r="HV24" s="523">
        <f t="shared" si="186"/>
        <v>0</v>
      </c>
      <c r="HW24" s="521"/>
      <c r="HX24" s="522">
        <f t="shared" si="75"/>
        <v>0</v>
      </c>
      <c r="HY24" s="523">
        <f t="shared" si="187"/>
        <v>0</v>
      </c>
      <c r="HZ24" s="521"/>
      <c r="IA24" s="522">
        <f t="shared" si="76"/>
        <v>0</v>
      </c>
      <c r="IB24" s="523">
        <f t="shared" si="188"/>
        <v>0</v>
      </c>
      <c r="IC24" s="521"/>
      <c r="ID24" s="522">
        <f t="shared" si="77"/>
        <v>0</v>
      </c>
      <c r="IE24" s="523">
        <f t="shared" si="189"/>
        <v>0</v>
      </c>
      <c r="IF24" s="521"/>
      <c r="IG24" s="522">
        <f t="shared" si="78"/>
        <v>0</v>
      </c>
      <c r="IH24" s="523">
        <f t="shared" si="190"/>
        <v>0</v>
      </c>
      <c r="II24" s="521"/>
      <c r="IJ24" s="522">
        <f t="shared" si="79"/>
        <v>0</v>
      </c>
      <c r="IK24" s="523">
        <f t="shared" si="191"/>
        <v>0</v>
      </c>
      <c r="IL24" s="521"/>
      <c r="IM24" s="522">
        <f t="shared" si="80"/>
        <v>0</v>
      </c>
      <c r="IN24" s="523">
        <f t="shared" si="192"/>
        <v>0</v>
      </c>
      <c r="IO24" s="521"/>
      <c r="IP24" s="522">
        <f t="shared" si="81"/>
        <v>0</v>
      </c>
      <c r="IQ24" s="523">
        <f t="shared" si="193"/>
        <v>0</v>
      </c>
      <c r="IR24" s="521"/>
      <c r="IS24" s="522">
        <f t="shared" si="82"/>
        <v>0</v>
      </c>
      <c r="IT24" s="523">
        <f t="shared" si="194"/>
        <v>0</v>
      </c>
      <c r="IU24" s="521"/>
      <c r="IV24" s="522">
        <f t="shared" si="83"/>
        <v>0</v>
      </c>
      <c r="IW24" s="523">
        <f t="shared" si="195"/>
        <v>0</v>
      </c>
      <c r="IX24" s="521"/>
      <c r="IY24" s="522">
        <f t="shared" si="84"/>
        <v>0</v>
      </c>
      <c r="IZ24" s="523">
        <f t="shared" si="196"/>
        <v>0</v>
      </c>
      <c r="JA24" s="521"/>
      <c r="JB24" s="522">
        <f t="shared" si="85"/>
        <v>0</v>
      </c>
      <c r="JC24" s="523">
        <f t="shared" si="197"/>
        <v>0</v>
      </c>
      <c r="JD24" s="521"/>
      <c r="JE24" s="522">
        <f t="shared" si="86"/>
        <v>0</v>
      </c>
      <c r="JF24" s="523">
        <f t="shared" si="198"/>
        <v>0</v>
      </c>
      <c r="JG24" s="521"/>
      <c r="JH24" s="522">
        <f t="shared" si="87"/>
        <v>0</v>
      </c>
      <c r="JI24" s="523">
        <f t="shared" si="199"/>
        <v>0</v>
      </c>
      <c r="JJ24" s="521"/>
      <c r="JK24" s="523" t="str">
        <f t="shared" si="88"/>
        <v>0</v>
      </c>
      <c r="JL24" s="523" t="str">
        <f t="shared" si="89"/>
        <v>0</v>
      </c>
      <c r="JM24" s="521"/>
      <c r="JN24" s="523" t="str">
        <f t="shared" si="90"/>
        <v>0</v>
      </c>
      <c r="JO24" s="523" t="str">
        <f t="shared" si="91"/>
        <v>0</v>
      </c>
      <c r="JP24" s="521"/>
      <c r="JQ24" s="523" t="str">
        <f t="shared" si="92"/>
        <v>0</v>
      </c>
      <c r="JR24" s="523" t="str">
        <f t="shared" si="93"/>
        <v>0</v>
      </c>
      <c r="JS24" s="521"/>
      <c r="JT24" s="523" t="str">
        <f t="shared" si="94"/>
        <v>0</v>
      </c>
      <c r="JU24" s="523" t="str">
        <f t="shared" si="95"/>
        <v>0</v>
      </c>
      <c r="JV24" s="521"/>
      <c r="JW24" s="523" t="str">
        <f t="shared" si="96"/>
        <v>0</v>
      </c>
      <c r="JX24" s="523" t="str">
        <f t="shared" si="97"/>
        <v>0</v>
      </c>
      <c r="JY24" s="521"/>
      <c r="JZ24" s="523" t="str">
        <f t="shared" si="98"/>
        <v>0</v>
      </c>
      <c r="KA24" s="523" t="str">
        <f t="shared" si="99"/>
        <v>0</v>
      </c>
      <c r="KB24" s="521"/>
      <c r="KC24" s="523" t="str">
        <f t="shared" si="100"/>
        <v>0</v>
      </c>
      <c r="KD24" s="523" t="str">
        <f t="shared" si="101"/>
        <v>0</v>
      </c>
      <c r="KE24" s="521"/>
      <c r="KF24" s="523" t="str">
        <f t="shared" si="102"/>
        <v>0</v>
      </c>
      <c r="KG24" s="523" t="str">
        <f t="shared" si="103"/>
        <v>0</v>
      </c>
      <c r="KH24" s="521"/>
      <c r="KI24" s="523" t="str">
        <f t="shared" si="104"/>
        <v>0</v>
      </c>
      <c r="KJ24" s="523" t="str">
        <f t="shared" si="105"/>
        <v>0</v>
      </c>
      <c r="KK24" s="521"/>
      <c r="KL24" s="523" t="str">
        <f t="shared" si="106"/>
        <v>0</v>
      </c>
      <c r="KM24" s="523" t="str">
        <f t="shared" si="107"/>
        <v>0</v>
      </c>
      <c r="KN24" s="521"/>
      <c r="KO24" s="523" t="str">
        <f t="shared" si="108"/>
        <v>0</v>
      </c>
      <c r="KP24" s="523" t="str">
        <f t="shared" si="109"/>
        <v>0</v>
      </c>
      <c r="KQ24" s="521"/>
      <c r="KR24" s="523" t="str">
        <f t="shared" si="110"/>
        <v>0</v>
      </c>
      <c r="KS24" s="523" t="str">
        <f t="shared" si="111"/>
        <v>0</v>
      </c>
      <c r="KT24" s="523">
        <f t="shared" si="201"/>
        <v>0</v>
      </c>
      <c r="KU24" s="523">
        <f t="shared" si="202"/>
        <v>0</v>
      </c>
      <c r="KV24" s="260">
        <f t="shared" si="112"/>
        <v>440.02580000000012</v>
      </c>
    </row>
    <row r="25" spans="1:308">
      <c r="A25" s="261">
        <f t="shared" si="200"/>
        <v>46039</v>
      </c>
      <c r="B25" s="262" t="str">
        <f>+Report1!B25</f>
        <v>Facial</v>
      </c>
      <c r="C25" s="262" t="str">
        <f>+Report1!C25</f>
        <v>13</v>
      </c>
      <c r="D25" s="263">
        <f>+Report1!P25</f>
        <v>46.26</v>
      </c>
      <c r="E25" s="554">
        <f>+Report1!R25</f>
        <v>43.94</v>
      </c>
      <c r="F25" s="521"/>
      <c r="G25" s="522">
        <f t="shared" si="0"/>
        <v>0</v>
      </c>
      <c r="H25" s="523">
        <f t="shared" si="113"/>
        <v>0</v>
      </c>
      <c r="I25" s="521">
        <v>262.31340000000023</v>
      </c>
      <c r="J25" s="522">
        <f t="shared" si="1"/>
        <v>5.9698088302230365</v>
      </c>
      <c r="K25" s="523">
        <f t="shared" si="114"/>
        <v>0</v>
      </c>
      <c r="L25" s="521"/>
      <c r="M25" s="522">
        <f t="shared" si="2"/>
        <v>0</v>
      </c>
      <c r="N25" s="523">
        <f t="shared" si="115"/>
        <v>0</v>
      </c>
      <c r="O25" s="521">
        <v>9.2335999999999956</v>
      </c>
      <c r="P25" s="522">
        <f t="shared" si="3"/>
        <v>0.21014110150204815</v>
      </c>
      <c r="Q25" s="523">
        <f t="shared" si="116"/>
        <v>0</v>
      </c>
      <c r="R25" s="521"/>
      <c r="S25" s="522">
        <f t="shared" si="4"/>
        <v>0</v>
      </c>
      <c r="T25" s="523">
        <f t="shared" si="117"/>
        <v>0</v>
      </c>
      <c r="U25" s="521">
        <v>7.8795000000000641</v>
      </c>
      <c r="V25" s="522">
        <f t="shared" si="5"/>
        <v>0.1793240782885768</v>
      </c>
      <c r="W25" s="523">
        <f t="shared" si="118"/>
        <v>0</v>
      </c>
      <c r="X25" s="521"/>
      <c r="Y25" s="522">
        <f t="shared" si="6"/>
        <v>0</v>
      </c>
      <c r="Z25" s="523">
        <f t="shared" si="119"/>
        <v>0</v>
      </c>
      <c r="AA25" s="521"/>
      <c r="AB25" s="522">
        <f t="shared" si="7"/>
        <v>0</v>
      </c>
      <c r="AC25" s="523">
        <f t="shared" si="120"/>
        <v>0</v>
      </c>
      <c r="AD25" s="521"/>
      <c r="AE25" s="522">
        <f t="shared" si="8"/>
        <v>0</v>
      </c>
      <c r="AF25" s="523">
        <f t="shared" si="121"/>
        <v>0</v>
      </c>
      <c r="AG25" s="521"/>
      <c r="AH25" s="522">
        <f t="shared" si="9"/>
        <v>0</v>
      </c>
      <c r="AI25" s="523">
        <f t="shared" si="122"/>
        <v>0</v>
      </c>
      <c r="AJ25" s="521"/>
      <c r="AK25" s="522">
        <f t="shared" si="10"/>
        <v>0</v>
      </c>
      <c r="AL25" s="523">
        <f t="shared" si="123"/>
        <v>0</v>
      </c>
      <c r="AM25" s="521"/>
      <c r="AN25" s="522">
        <f t="shared" si="11"/>
        <v>0</v>
      </c>
      <c r="AO25" s="523">
        <f t="shared" si="124"/>
        <v>0</v>
      </c>
      <c r="AP25" s="521">
        <v>36.498100000000022</v>
      </c>
      <c r="AQ25" s="522">
        <f t="shared" si="12"/>
        <v>0.83063495675921761</v>
      </c>
      <c r="AR25" s="523">
        <f t="shared" si="125"/>
        <v>0</v>
      </c>
      <c r="AS25" s="521"/>
      <c r="AT25" s="522">
        <f t="shared" si="13"/>
        <v>0</v>
      </c>
      <c r="AU25" s="523">
        <f t="shared" si="126"/>
        <v>0</v>
      </c>
      <c r="AV25" s="521"/>
      <c r="AW25" s="522">
        <f t="shared" si="14"/>
        <v>0</v>
      </c>
      <c r="AX25" s="523">
        <f t="shared" si="127"/>
        <v>0</v>
      </c>
      <c r="AY25" s="521">
        <v>58.622399999999971</v>
      </c>
      <c r="AZ25" s="522">
        <f t="shared" si="15"/>
        <v>1.3341465634956753</v>
      </c>
      <c r="BA25" s="523">
        <f t="shared" si="128"/>
        <v>0</v>
      </c>
      <c r="BB25" s="521"/>
      <c r="BC25" s="522">
        <f t="shared" si="16"/>
        <v>0</v>
      </c>
      <c r="BD25" s="523">
        <f t="shared" si="129"/>
        <v>0</v>
      </c>
      <c r="BE25" s="521"/>
      <c r="BF25" s="522">
        <f t="shared" si="17"/>
        <v>0</v>
      </c>
      <c r="BG25" s="523">
        <f t="shared" si="130"/>
        <v>0</v>
      </c>
      <c r="BH25" s="521"/>
      <c r="BI25" s="522">
        <f t="shared" si="18"/>
        <v>0</v>
      </c>
      <c r="BJ25" s="523">
        <f t="shared" si="131"/>
        <v>0</v>
      </c>
      <c r="BK25" s="521"/>
      <c r="BL25" s="522">
        <f t="shared" si="19"/>
        <v>0</v>
      </c>
      <c r="BM25" s="523">
        <f t="shared" si="132"/>
        <v>0</v>
      </c>
      <c r="BN25" s="521"/>
      <c r="BO25" s="522">
        <f t="shared" si="20"/>
        <v>0</v>
      </c>
      <c r="BP25" s="523">
        <f t="shared" si="133"/>
        <v>0</v>
      </c>
      <c r="BQ25" s="521"/>
      <c r="BR25" s="522">
        <f t="shared" si="21"/>
        <v>0</v>
      </c>
      <c r="BS25" s="523">
        <f t="shared" si="134"/>
        <v>0</v>
      </c>
      <c r="BT25" s="521"/>
      <c r="BU25" s="522">
        <f t="shared" si="22"/>
        <v>0</v>
      </c>
      <c r="BV25" s="523">
        <f t="shared" si="135"/>
        <v>0</v>
      </c>
      <c r="BW25" s="521"/>
      <c r="BX25" s="522">
        <f t="shared" si="23"/>
        <v>0</v>
      </c>
      <c r="BY25" s="523">
        <f t="shared" si="136"/>
        <v>0</v>
      </c>
      <c r="BZ25" s="521"/>
      <c r="CA25" s="522">
        <f t="shared" si="24"/>
        <v>0</v>
      </c>
      <c r="CB25" s="523">
        <f t="shared" si="137"/>
        <v>0</v>
      </c>
      <c r="CC25" s="521"/>
      <c r="CD25" s="522">
        <f t="shared" si="25"/>
        <v>0</v>
      </c>
      <c r="CE25" s="523">
        <f t="shared" si="138"/>
        <v>0</v>
      </c>
      <c r="CF25" s="521">
        <v>0.40000000000000036</v>
      </c>
      <c r="CG25" s="522">
        <f t="shared" si="26"/>
        <v>9.1033227127901763E-3</v>
      </c>
      <c r="CH25" s="523">
        <f t="shared" si="139"/>
        <v>0</v>
      </c>
      <c r="CI25" s="521"/>
      <c r="CJ25" s="522">
        <f t="shared" si="27"/>
        <v>0</v>
      </c>
      <c r="CK25" s="523">
        <f t="shared" si="140"/>
        <v>0</v>
      </c>
      <c r="CL25" s="521"/>
      <c r="CM25" s="522">
        <f t="shared" si="28"/>
        <v>0</v>
      </c>
      <c r="CN25" s="523">
        <f t="shared" si="141"/>
        <v>0</v>
      </c>
      <c r="CO25" s="521"/>
      <c r="CP25" s="522">
        <f t="shared" si="29"/>
        <v>0</v>
      </c>
      <c r="CQ25" s="523">
        <f t="shared" si="142"/>
        <v>0</v>
      </c>
      <c r="CR25" s="521"/>
      <c r="CS25" s="522">
        <f t="shared" si="30"/>
        <v>0</v>
      </c>
      <c r="CT25" s="523">
        <f t="shared" si="143"/>
        <v>0</v>
      </c>
      <c r="CU25" s="521"/>
      <c r="CV25" s="522">
        <f t="shared" si="31"/>
        <v>0</v>
      </c>
      <c r="CW25" s="523">
        <f t="shared" si="144"/>
        <v>0</v>
      </c>
      <c r="CX25" s="521"/>
      <c r="CY25" s="522">
        <f t="shared" si="32"/>
        <v>0</v>
      </c>
      <c r="CZ25" s="523">
        <f t="shared" si="145"/>
        <v>0</v>
      </c>
      <c r="DA25" s="521"/>
      <c r="DB25" s="522">
        <f t="shared" si="33"/>
        <v>0</v>
      </c>
      <c r="DC25" s="523">
        <f t="shared" si="146"/>
        <v>0</v>
      </c>
      <c r="DD25" s="521"/>
      <c r="DE25" s="522">
        <f t="shared" si="34"/>
        <v>0</v>
      </c>
      <c r="DF25" s="523">
        <f t="shared" si="147"/>
        <v>0</v>
      </c>
      <c r="DG25" s="521"/>
      <c r="DH25" s="522">
        <f t="shared" si="35"/>
        <v>0</v>
      </c>
      <c r="DI25" s="523">
        <f t="shared" si="203"/>
        <v>0</v>
      </c>
      <c r="DJ25" s="521"/>
      <c r="DK25" s="522">
        <f t="shared" si="36"/>
        <v>0</v>
      </c>
      <c r="DL25" s="523">
        <f t="shared" si="148"/>
        <v>0</v>
      </c>
      <c r="DM25" s="521"/>
      <c r="DN25" s="522">
        <f t="shared" si="37"/>
        <v>0</v>
      </c>
      <c r="DO25" s="523">
        <f t="shared" si="149"/>
        <v>0</v>
      </c>
      <c r="DP25" s="521"/>
      <c r="DQ25" s="522">
        <f t="shared" si="38"/>
        <v>0</v>
      </c>
      <c r="DR25" s="523">
        <f t="shared" si="150"/>
        <v>0</v>
      </c>
      <c r="DS25" s="521"/>
      <c r="DT25" s="522">
        <f t="shared" si="39"/>
        <v>0</v>
      </c>
      <c r="DU25" s="523">
        <f t="shared" si="151"/>
        <v>0</v>
      </c>
      <c r="DV25" s="521"/>
      <c r="DW25" s="522">
        <f t="shared" si="40"/>
        <v>0</v>
      </c>
      <c r="DX25" s="523">
        <f t="shared" si="152"/>
        <v>0</v>
      </c>
      <c r="DY25" s="521"/>
      <c r="DZ25" s="522">
        <f t="shared" si="41"/>
        <v>0</v>
      </c>
      <c r="EA25" s="523">
        <f t="shared" si="153"/>
        <v>0</v>
      </c>
      <c r="EB25" s="521"/>
      <c r="EC25" s="522">
        <f t="shared" si="42"/>
        <v>0</v>
      </c>
      <c r="ED25" s="523">
        <f t="shared" si="154"/>
        <v>0</v>
      </c>
      <c r="EE25" s="521">
        <v>7.2666395348837227</v>
      </c>
      <c r="EF25" s="522">
        <f t="shared" si="43"/>
        <v>0.16537641180891496</v>
      </c>
      <c r="EG25" s="523">
        <f t="shared" si="155"/>
        <v>0</v>
      </c>
      <c r="EH25" s="521">
        <v>24.080000000000041</v>
      </c>
      <c r="EI25" s="522">
        <f t="shared" si="44"/>
        <v>0.54802002730996913</v>
      </c>
      <c r="EJ25" s="523">
        <f t="shared" si="156"/>
        <v>0</v>
      </c>
      <c r="EK25" s="521"/>
      <c r="EL25" s="522">
        <f t="shared" si="45"/>
        <v>0</v>
      </c>
      <c r="EM25" s="523">
        <f t="shared" si="157"/>
        <v>0</v>
      </c>
      <c r="EN25" s="521">
        <v>9</v>
      </c>
      <c r="EO25" s="522">
        <f t="shared" si="46"/>
        <v>0.2048247610377788</v>
      </c>
      <c r="EP25" s="523">
        <f t="shared" si="158"/>
        <v>0</v>
      </c>
      <c r="EQ25" s="521"/>
      <c r="ER25" s="522">
        <f t="shared" si="47"/>
        <v>0</v>
      </c>
      <c r="ES25" s="523">
        <f t="shared" si="159"/>
        <v>0</v>
      </c>
      <c r="ET25" s="521"/>
      <c r="EU25" s="522">
        <f t="shared" si="48"/>
        <v>0</v>
      </c>
      <c r="EV25" s="523">
        <f t="shared" si="160"/>
        <v>0</v>
      </c>
      <c r="EW25" s="521"/>
      <c r="EX25" s="522">
        <f t="shared" si="49"/>
        <v>0</v>
      </c>
      <c r="EY25" s="523">
        <f t="shared" si="161"/>
        <v>0</v>
      </c>
      <c r="EZ25" s="521"/>
      <c r="FA25" s="522">
        <f t="shared" si="50"/>
        <v>0</v>
      </c>
      <c r="FB25" s="523">
        <f t="shared" si="162"/>
        <v>0</v>
      </c>
      <c r="FC25" s="521"/>
      <c r="FD25" s="522">
        <f t="shared" si="51"/>
        <v>0</v>
      </c>
      <c r="FE25" s="523">
        <f t="shared" si="163"/>
        <v>0</v>
      </c>
      <c r="FF25" s="521"/>
      <c r="FG25" s="522">
        <f t="shared" si="52"/>
        <v>0</v>
      </c>
      <c r="FH25" s="523">
        <f t="shared" si="164"/>
        <v>0</v>
      </c>
      <c r="FI25" s="521"/>
      <c r="FJ25" s="522">
        <f t="shared" si="53"/>
        <v>0</v>
      </c>
      <c r="FK25" s="523">
        <f t="shared" si="165"/>
        <v>0</v>
      </c>
      <c r="FL25" s="521"/>
      <c r="FM25" s="522">
        <f t="shared" si="54"/>
        <v>0</v>
      </c>
      <c r="FN25" s="523">
        <f t="shared" si="166"/>
        <v>0</v>
      </c>
      <c r="FO25" s="521"/>
      <c r="FP25" s="522">
        <f t="shared" si="55"/>
        <v>0</v>
      </c>
      <c r="FQ25" s="523">
        <f t="shared" si="167"/>
        <v>0</v>
      </c>
      <c r="FR25" s="521"/>
      <c r="FS25" s="522">
        <f t="shared" si="56"/>
        <v>0</v>
      </c>
      <c r="FT25" s="523">
        <f t="shared" si="168"/>
        <v>0</v>
      </c>
      <c r="FU25" s="521"/>
      <c r="FV25" s="522">
        <f t="shared" si="57"/>
        <v>0</v>
      </c>
      <c r="FW25" s="523">
        <f t="shared" si="169"/>
        <v>0</v>
      </c>
      <c r="FX25" s="521"/>
      <c r="FY25" s="522">
        <f t="shared" si="58"/>
        <v>0</v>
      </c>
      <c r="FZ25" s="523">
        <f t="shared" si="170"/>
        <v>0</v>
      </c>
      <c r="GA25" s="521"/>
      <c r="GB25" s="522">
        <f t="shared" si="59"/>
        <v>0</v>
      </c>
      <c r="GC25" s="523">
        <f t="shared" si="171"/>
        <v>0</v>
      </c>
      <c r="GD25" s="521"/>
      <c r="GE25" s="522">
        <f t="shared" si="60"/>
        <v>0</v>
      </c>
      <c r="GF25" s="523">
        <f t="shared" si="172"/>
        <v>0</v>
      </c>
      <c r="GG25" s="521"/>
      <c r="GH25" s="522">
        <f t="shared" si="61"/>
        <v>0</v>
      </c>
      <c r="GI25" s="523">
        <f t="shared" si="173"/>
        <v>0</v>
      </c>
      <c r="GJ25" s="521"/>
      <c r="GK25" s="522">
        <f t="shared" si="62"/>
        <v>0</v>
      </c>
      <c r="GL25" s="523">
        <f t="shared" si="174"/>
        <v>0</v>
      </c>
      <c r="GM25" s="521"/>
      <c r="GN25" s="522">
        <f t="shared" si="63"/>
        <v>0</v>
      </c>
      <c r="GO25" s="523">
        <f t="shared" si="175"/>
        <v>0</v>
      </c>
      <c r="GP25" s="521"/>
      <c r="GQ25" s="522">
        <f t="shared" si="64"/>
        <v>0</v>
      </c>
      <c r="GR25" s="523">
        <f t="shared" si="176"/>
        <v>0</v>
      </c>
      <c r="GS25" s="521"/>
      <c r="GT25" s="522">
        <f t="shared" si="65"/>
        <v>0</v>
      </c>
      <c r="GU25" s="523">
        <f t="shared" si="177"/>
        <v>0</v>
      </c>
      <c r="GV25" s="521"/>
      <c r="GW25" s="522">
        <f t="shared" si="66"/>
        <v>0</v>
      </c>
      <c r="GX25" s="523">
        <f t="shared" si="178"/>
        <v>0</v>
      </c>
      <c r="GY25" s="521"/>
      <c r="GZ25" s="522">
        <f t="shared" si="67"/>
        <v>0</v>
      </c>
      <c r="HA25" s="523">
        <f t="shared" si="179"/>
        <v>0</v>
      </c>
      <c r="HB25" s="521"/>
      <c r="HC25" s="522">
        <f t="shared" si="68"/>
        <v>0</v>
      </c>
      <c r="HD25" s="523">
        <f t="shared" si="180"/>
        <v>0</v>
      </c>
      <c r="HE25" s="521"/>
      <c r="HF25" s="522">
        <f t="shared" si="69"/>
        <v>0</v>
      </c>
      <c r="HG25" s="523">
        <f t="shared" si="181"/>
        <v>0</v>
      </c>
      <c r="HH25" s="521"/>
      <c r="HI25" s="522">
        <f t="shared" si="70"/>
        <v>0</v>
      </c>
      <c r="HJ25" s="523">
        <f t="shared" si="182"/>
        <v>0</v>
      </c>
      <c r="HK25" s="521"/>
      <c r="HL25" s="522">
        <f t="shared" si="71"/>
        <v>0</v>
      </c>
      <c r="HM25" s="523">
        <f t="shared" si="183"/>
        <v>0</v>
      </c>
      <c r="HN25" s="521"/>
      <c r="HO25" s="522">
        <f t="shared" si="72"/>
        <v>0</v>
      </c>
      <c r="HP25" s="523">
        <f t="shared" si="184"/>
        <v>0</v>
      </c>
      <c r="HQ25" s="521"/>
      <c r="HR25" s="522">
        <f t="shared" si="73"/>
        <v>0</v>
      </c>
      <c r="HS25" s="523">
        <f t="shared" si="185"/>
        <v>0</v>
      </c>
      <c r="HT25" s="521"/>
      <c r="HU25" s="522">
        <f t="shared" si="74"/>
        <v>0</v>
      </c>
      <c r="HV25" s="523">
        <f t="shared" si="186"/>
        <v>0</v>
      </c>
      <c r="HW25" s="521"/>
      <c r="HX25" s="522">
        <f t="shared" si="75"/>
        <v>0</v>
      </c>
      <c r="HY25" s="523">
        <f t="shared" si="187"/>
        <v>0</v>
      </c>
      <c r="HZ25" s="521"/>
      <c r="IA25" s="522">
        <f t="shared" si="76"/>
        <v>0</v>
      </c>
      <c r="IB25" s="523">
        <f t="shared" si="188"/>
        <v>0</v>
      </c>
      <c r="IC25" s="521"/>
      <c r="ID25" s="522">
        <f t="shared" si="77"/>
        <v>0</v>
      </c>
      <c r="IE25" s="523">
        <f t="shared" si="189"/>
        <v>0</v>
      </c>
      <c r="IF25" s="521"/>
      <c r="IG25" s="522">
        <f t="shared" si="78"/>
        <v>0</v>
      </c>
      <c r="IH25" s="523">
        <f t="shared" si="190"/>
        <v>0</v>
      </c>
      <c r="II25" s="521"/>
      <c r="IJ25" s="522">
        <f t="shared" si="79"/>
        <v>0</v>
      </c>
      <c r="IK25" s="523">
        <f t="shared" si="191"/>
        <v>0</v>
      </c>
      <c r="IL25" s="521"/>
      <c r="IM25" s="522">
        <f t="shared" si="80"/>
        <v>0</v>
      </c>
      <c r="IN25" s="523">
        <f t="shared" si="192"/>
        <v>0</v>
      </c>
      <c r="IO25" s="521"/>
      <c r="IP25" s="522">
        <f t="shared" si="81"/>
        <v>0</v>
      </c>
      <c r="IQ25" s="523">
        <f t="shared" si="193"/>
        <v>0</v>
      </c>
      <c r="IR25" s="521"/>
      <c r="IS25" s="522">
        <f t="shared" si="82"/>
        <v>0</v>
      </c>
      <c r="IT25" s="523">
        <f t="shared" si="194"/>
        <v>0</v>
      </c>
      <c r="IU25" s="521"/>
      <c r="IV25" s="522">
        <f t="shared" si="83"/>
        <v>0</v>
      </c>
      <c r="IW25" s="523">
        <f t="shared" si="195"/>
        <v>0</v>
      </c>
      <c r="IX25" s="521"/>
      <c r="IY25" s="522">
        <f t="shared" si="84"/>
        <v>0</v>
      </c>
      <c r="IZ25" s="523">
        <f t="shared" si="196"/>
        <v>0</v>
      </c>
      <c r="JA25" s="521"/>
      <c r="JB25" s="522">
        <f t="shared" si="85"/>
        <v>0</v>
      </c>
      <c r="JC25" s="523">
        <f t="shared" si="197"/>
        <v>0</v>
      </c>
      <c r="JD25" s="521"/>
      <c r="JE25" s="522">
        <f t="shared" si="86"/>
        <v>0</v>
      </c>
      <c r="JF25" s="523">
        <f t="shared" si="198"/>
        <v>0</v>
      </c>
      <c r="JG25" s="521"/>
      <c r="JH25" s="522">
        <f t="shared" si="87"/>
        <v>0</v>
      </c>
      <c r="JI25" s="523">
        <f t="shared" si="199"/>
        <v>0</v>
      </c>
      <c r="JJ25" s="521"/>
      <c r="JK25" s="523" t="str">
        <f t="shared" si="88"/>
        <v>0</v>
      </c>
      <c r="JL25" s="523" t="str">
        <f t="shared" si="89"/>
        <v>0</v>
      </c>
      <c r="JM25" s="521"/>
      <c r="JN25" s="523" t="str">
        <f t="shared" si="90"/>
        <v>0</v>
      </c>
      <c r="JO25" s="523" t="str">
        <f t="shared" si="91"/>
        <v>0</v>
      </c>
      <c r="JP25" s="521"/>
      <c r="JQ25" s="523" t="str">
        <f t="shared" si="92"/>
        <v>0</v>
      </c>
      <c r="JR25" s="523" t="str">
        <f t="shared" si="93"/>
        <v>0</v>
      </c>
      <c r="JS25" s="521"/>
      <c r="JT25" s="523" t="str">
        <f t="shared" si="94"/>
        <v>0</v>
      </c>
      <c r="JU25" s="523" t="str">
        <f t="shared" si="95"/>
        <v>0</v>
      </c>
      <c r="JV25" s="521"/>
      <c r="JW25" s="523" t="str">
        <f t="shared" si="96"/>
        <v>0</v>
      </c>
      <c r="JX25" s="523" t="str">
        <f t="shared" si="97"/>
        <v>0</v>
      </c>
      <c r="JY25" s="521"/>
      <c r="JZ25" s="523" t="str">
        <f t="shared" si="98"/>
        <v>0</v>
      </c>
      <c r="KA25" s="523" t="str">
        <f t="shared" si="99"/>
        <v>0</v>
      </c>
      <c r="KB25" s="521"/>
      <c r="KC25" s="523" t="str">
        <f t="shared" si="100"/>
        <v>0</v>
      </c>
      <c r="KD25" s="523" t="str">
        <f t="shared" si="101"/>
        <v>0</v>
      </c>
      <c r="KE25" s="521"/>
      <c r="KF25" s="523" t="str">
        <f t="shared" si="102"/>
        <v>0</v>
      </c>
      <c r="KG25" s="523" t="str">
        <f t="shared" si="103"/>
        <v>0</v>
      </c>
      <c r="KH25" s="521"/>
      <c r="KI25" s="523" t="str">
        <f t="shared" si="104"/>
        <v>0</v>
      </c>
      <c r="KJ25" s="523" t="str">
        <f t="shared" si="105"/>
        <v>0</v>
      </c>
      <c r="KK25" s="521"/>
      <c r="KL25" s="523" t="str">
        <f t="shared" si="106"/>
        <v>0</v>
      </c>
      <c r="KM25" s="523" t="str">
        <f t="shared" si="107"/>
        <v>0</v>
      </c>
      <c r="KN25" s="521"/>
      <c r="KO25" s="523" t="str">
        <f t="shared" si="108"/>
        <v>0</v>
      </c>
      <c r="KP25" s="523" t="str">
        <f t="shared" si="109"/>
        <v>0</v>
      </c>
      <c r="KQ25" s="521"/>
      <c r="KR25" s="523" t="str">
        <f t="shared" si="110"/>
        <v>0</v>
      </c>
      <c r="KS25" s="523" t="str">
        <f t="shared" si="111"/>
        <v>0</v>
      </c>
      <c r="KT25" s="523">
        <f t="shared" si="201"/>
        <v>0</v>
      </c>
      <c r="KU25" s="523">
        <f t="shared" si="202"/>
        <v>0</v>
      </c>
      <c r="KV25" s="260">
        <f t="shared" si="112"/>
        <v>415.29363953488405</v>
      </c>
    </row>
    <row r="26" spans="1:308">
      <c r="A26" s="261">
        <f t="shared" si="200"/>
        <v>46040</v>
      </c>
      <c r="B26" s="262" t="str">
        <f>+Report1!B26</f>
        <v>Facial</v>
      </c>
      <c r="C26" s="262" t="str">
        <f>+Report1!C26</f>
        <v>13/13,5</v>
      </c>
      <c r="D26" s="263">
        <f>+Report1!P26</f>
        <v>43.968000000000004</v>
      </c>
      <c r="E26" s="554">
        <f>+Report1!R26</f>
        <v>41.65</v>
      </c>
      <c r="F26" s="521"/>
      <c r="G26" s="522">
        <f t="shared" si="0"/>
        <v>0</v>
      </c>
      <c r="H26" s="523">
        <f t="shared" si="113"/>
        <v>0</v>
      </c>
      <c r="I26" s="521">
        <v>249.31859999999983</v>
      </c>
      <c r="J26" s="522">
        <f t="shared" si="1"/>
        <v>5.9860408163265264</v>
      </c>
      <c r="K26" s="523">
        <f t="shared" si="114"/>
        <v>0</v>
      </c>
      <c r="L26" s="521"/>
      <c r="M26" s="522">
        <f t="shared" si="2"/>
        <v>0</v>
      </c>
      <c r="N26" s="523">
        <f t="shared" si="115"/>
        <v>0</v>
      </c>
      <c r="O26" s="521">
        <v>8.7696000000000254</v>
      </c>
      <c r="P26" s="522">
        <f t="shared" si="3"/>
        <v>0.2105546218487401</v>
      </c>
      <c r="Q26" s="523">
        <f t="shared" si="116"/>
        <v>0</v>
      </c>
      <c r="R26" s="521"/>
      <c r="S26" s="522">
        <f t="shared" si="4"/>
        <v>0</v>
      </c>
      <c r="T26" s="523">
        <f t="shared" si="117"/>
        <v>0</v>
      </c>
      <c r="U26" s="521">
        <v>7.4983999999999469</v>
      </c>
      <c r="V26" s="522">
        <f t="shared" si="5"/>
        <v>0.18003361344537688</v>
      </c>
      <c r="W26" s="523">
        <f t="shared" si="118"/>
        <v>0</v>
      </c>
      <c r="X26" s="521"/>
      <c r="Y26" s="522">
        <f t="shared" si="6"/>
        <v>0</v>
      </c>
      <c r="Z26" s="523">
        <f t="shared" si="119"/>
        <v>0</v>
      </c>
      <c r="AA26" s="521"/>
      <c r="AB26" s="522">
        <f t="shared" si="7"/>
        <v>0</v>
      </c>
      <c r="AC26" s="523">
        <f t="shared" si="120"/>
        <v>0</v>
      </c>
      <c r="AD26" s="521"/>
      <c r="AE26" s="522">
        <f t="shared" si="8"/>
        <v>0</v>
      </c>
      <c r="AF26" s="523">
        <f t="shared" si="121"/>
        <v>0</v>
      </c>
      <c r="AG26" s="521"/>
      <c r="AH26" s="522">
        <f t="shared" si="9"/>
        <v>0</v>
      </c>
      <c r="AI26" s="523">
        <f t="shared" si="122"/>
        <v>0</v>
      </c>
      <c r="AJ26" s="521"/>
      <c r="AK26" s="522">
        <f t="shared" si="10"/>
        <v>0</v>
      </c>
      <c r="AL26" s="523">
        <f t="shared" si="123"/>
        <v>0</v>
      </c>
      <c r="AM26" s="521"/>
      <c r="AN26" s="522">
        <f t="shared" si="11"/>
        <v>0</v>
      </c>
      <c r="AO26" s="523">
        <f t="shared" si="124"/>
        <v>0</v>
      </c>
      <c r="AP26" s="521">
        <v>34.700099999999964</v>
      </c>
      <c r="AQ26" s="522">
        <f t="shared" si="12"/>
        <v>0.83313565426170388</v>
      </c>
      <c r="AR26" s="523">
        <f t="shared" si="125"/>
        <v>0</v>
      </c>
      <c r="AS26" s="521"/>
      <c r="AT26" s="522">
        <f t="shared" si="13"/>
        <v>0</v>
      </c>
      <c r="AU26" s="523">
        <f t="shared" si="126"/>
        <v>0</v>
      </c>
      <c r="AV26" s="521"/>
      <c r="AW26" s="522">
        <f t="shared" si="14"/>
        <v>0</v>
      </c>
      <c r="AX26" s="523">
        <f t="shared" si="127"/>
        <v>0</v>
      </c>
      <c r="AY26" s="521">
        <v>55.71520000000001</v>
      </c>
      <c r="AZ26" s="522">
        <f t="shared" si="15"/>
        <v>1.337699879951981</v>
      </c>
      <c r="BA26" s="523">
        <f t="shared" si="128"/>
        <v>0</v>
      </c>
      <c r="BB26" s="521"/>
      <c r="BC26" s="522">
        <f t="shared" si="16"/>
        <v>0</v>
      </c>
      <c r="BD26" s="523">
        <f t="shared" si="129"/>
        <v>0</v>
      </c>
      <c r="BE26" s="521"/>
      <c r="BF26" s="522">
        <f t="shared" si="17"/>
        <v>0</v>
      </c>
      <c r="BG26" s="523">
        <f t="shared" si="130"/>
        <v>0</v>
      </c>
      <c r="BH26" s="521"/>
      <c r="BI26" s="522">
        <f t="shared" si="18"/>
        <v>0</v>
      </c>
      <c r="BJ26" s="523">
        <f t="shared" si="131"/>
        <v>0</v>
      </c>
      <c r="BK26" s="521"/>
      <c r="BL26" s="522">
        <f t="shared" si="19"/>
        <v>0</v>
      </c>
      <c r="BM26" s="523">
        <f t="shared" si="132"/>
        <v>0</v>
      </c>
      <c r="BN26" s="521"/>
      <c r="BO26" s="522">
        <f t="shared" si="20"/>
        <v>0</v>
      </c>
      <c r="BP26" s="523">
        <f t="shared" si="133"/>
        <v>0</v>
      </c>
      <c r="BQ26" s="521">
        <v>75.949367088607602</v>
      </c>
      <c r="BR26" s="522">
        <f t="shared" si="21"/>
        <v>1.8235142158129076</v>
      </c>
      <c r="BS26" s="523">
        <f t="shared" si="134"/>
        <v>0</v>
      </c>
      <c r="BT26" s="521"/>
      <c r="BU26" s="522">
        <f t="shared" si="22"/>
        <v>0</v>
      </c>
      <c r="BV26" s="523">
        <f t="shared" si="135"/>
        <v>0</v>
      </c>
      <c r="BW26" s="521"/>
      <c r="BX26" s="522">
        <f t="shared" si="23"/>
        <v>0</v>
      </c>
      <c r="BY26" s="523">
        <f t="shared" si="136"/>
        <v>0</v>
      </c>
      <c r="BZ26" s="521"/>
      <c r="CA26" s="522">
        <f t="shared" si="24"/>
        <v>0</v>
      </c>
      <c r="CB26" s="523">
        <f t="shared" si="137"/>
        <v>0</v>
      </c>
      <c r="CC26" s="521"/>
      <c r="CD26" s="522">
        <f t="shared" si="25"/>
        <v>0</v>
      </c>
      <c r="CE26" s="523">
        <f t="shared" si="138"/>
        <v>0</v>
      </c>
      <c r="CF26" s="521">
        <v>0.40000000000000036</v>
      </c>
      <c r="CG26" s="522">
        <f t="shared" si="26"/>
        <v>9.6038415366146539E-3</v>
      </c>
      <c r="CH26" s="523">
        <f t="shared" si="139"/>
        <v>0</v>
      </c>
      <c r="CI26" s="521"/>
      <c r="CJ26" s="522">
        <f t="shared" si="27"/>
        <v>0</v>
      </c>
      <c r="CK26" s="523">
        <f t="shared" si="140"/>
        <v>0</v>
      </c>
      <c r="CL26" s="521"/>
      <c r="CM26" s="522">
        <f t="shared" si="28"/>
        <v>0</v>
      </c>
      <c r="CN26" s="523">
        <f t="shared" si="141"/>
        <v>0</v>
      </c>
      <c r="CO26" s="521"/>
      <c r="CP26" s="522">
        <f t="shared" si="29"/>
        <v>0</v>
      </c>
      <c r="CQ26" s="523">
        <f t="shared" si="142"/>
        <v>0</v>
      </c>
      <c r="CR26" s="521"/>
      <c r="CS26" s="522">
        <f t="shared" si="30"/>
        <v>0</v>
      </c>
      <c r="CT26" s="523">
        <f t="shared" si="143"/>
        <v>0</v>
      </c>
      <c r="CU26" s="521"/>
      <c r="CV26" s="522">
        <f t="shared" si="31"/>
        <v>0</v>
      </c>
      <c r="CW26" s="523">
        <f t="shared" si="144"/>
        <v>0</v>
      </c>
      <c r="CX26" s="521"/>
      <c r="CY26" s="522">
        <f t="shared" si="32"/>
        <v>0</v>
      </c>
      <c r="CZ26" s="523">
        <f t="shared" si="145"/>
        <v>0</v>
      </c>
      <c r="DA26" s="521"/>
      <c r="DB26" s="522">
        <f t="shared" si="33"/>
        <v>0</v>
      </c>
      <c r="DC26" s="523">
        <f t="shared" si="146"/>
        <v>0</v>
      </c>
      <c r="DD26" s="521"/>
      <c r="DE26" s="522">
        <f t="shared" si="34"/>
        <v>0</v>
      </c>
      <c r="DF26" s="523">
        <f t="shared" si="147"/>
        <v>0</v>
      </c>
      <c r="DG26" s="521"/>
      <c r="DH26" s="522">
        <f t="shared" si="35"/>
        <v>0</v>
      </c>
      <c r="DI26" s="523">
        <f t="shared" si="203"/>
        <v>0</v>
      </c>
      <c r="DJ26" s="521"/>
      <c r="DK26" s="522">
        <f t="shared" si="36"/>
        <v>0</v>
      </c>
      <c r="DL26" s="523">
        <f t="shared" si="148"/>
        <v>0</v>
      </c>
      <c r="DM26" s="521"/>
      <c r="DN26" s="522">
        <f t="shared" si="37"/>
        <v>0</v>
      </c>
      <c r="DO26" s="523">
        <f t="shared" si="149"/>
        <v>0</v>
      </c>
      <c r="DP26" s="521"/>
      <c r="DQ26" s="522">
        <f t="shared" si="38"/>
        <v>0</v>
      </c>
      <c r="DR26" s="523">
        <f t="shared" si="150"/>
        <v>0</v>
      </c>
      <c r="DS26" s="521"/>
      <c r="DT26" s="522">
        <f t="shared" si="39"/>
        <v>0</v>
      </c>
      <c r="DU26" s="523">
        <f t="shared" si="151"/>
        <v>0</v>
      </c>
      <c r="DV26" s="521"/>
      <c r="DW26" s="522">
        <f t="shared" si="40"/>
        <v>0</v>
      </c>
      <c r="DX26" s="523">
        <f t="shared" si="152"/>
        <v>0</v>
      </c>
      <c r="DY26" s="521"/>
      <c r="DZ26" s="522">
        <f t="shared" si="41"/>
        <v>0</v>
      </c>
      <c r="EA26" s="523">
        <f t="shared" si="153"/>
        <v>0</v>
      </c>
      <c r="EB26" s="521"/>
      <c r="EC26" s="522">
        <f t="shared" si="42"/>
        <v>0</v>
      </c>
      <c r="ED26" s="523">
        <f t="shared" si="154"/>
        <v>0</v>
      </c>
      <c r="EE26" s="521">
        <v>7.2666395348837227</v>
      </c>
      <c r="EF26" s="522">
        <f t="shared" si="43"/>
        <v>0.17446913649180606</v>
      </c>
      <c r="EG26" s="523">
        <f t="shared" si="155"/>
        <v>0</v>
      </c>
      <c r="EH26" s="521">
        <v>22.879999999999995</v>
      </c>
      <c r="EI26" s="522">
        <f t="shared" si="44"/>
        <v>0.54933973589435769</v>
      </c>
      <c r="EJ26" s="523">
        <f t="shared" si="156"/>
        <v>0</v>
      </c>
      <c r="EK26" s="521"/>
      <c r="EL26" s="522">
        <f t="shared" si="45"/>
        <v>0</v>
      </c>
      <c r="EM26" s="523">
        <f t="shared" si="157"/>
        <v>0</v>
      </c>
      <c r="EN26" s="521">
        <v>9</v>
      </c>
      <c r="EO26" s="522">
        <f t="shared" si="46"/>
        <v>0.21608643457382953</v>
      </c>
      <c r="EP26" s="523">
        <f t="shared" si="158"/>
        <v>0</v>
      </c>
      <c r="EQ26" s="521"/>
      <c r="ER26" s="522">
        <f t="shared" si="47"/>
        <v>0</v>
      </c>
      <c r="ES26" s="523">
        <f t="shared" si="159"/>
        <v>0</v>
      </c>
      <c r="ET26" s="521"/>
      <c r="EU26" s="522">
        <f t="shared" si="48"/>
        <v>0</v>
      </c>
      <c r="EV26" s="523">
        <f t="shared" si="160"/>
        <v>0</v>
      </c>
      <c r="EW26" s="521"/>
      <c r="EX26" s="522">
        <f t="shared" si="49"/>
        <v>0</v>
      </c>
      <c r="EY26" s="523">
        <f t="shared" si="161"/>
        <v>0</v>
      </c>
      <c r="EZ26" s="521"/>
      <c r="FA26" s="522">
        <f t="shared" si="50"/>
        <v>0</v>
      </c>
      <c r="FB26" s="523">
        <f t="shared" si="162"/>
        <v>0</v>
      </c>
      <c r="FC26" s="521"/>
      <c r="FD26" s="522">
        <f t="shared" si="51"/>
        <v>0</v>
      </c>
      <c r="FE26" s="523">
        <f t="shared" si="163"/>
        <v>0</v>
      </c>
      <c r="FF26" s="521"/>
      <c r="FG26" s="522">
        <f t="shared" si="52"/>
        <v>0</v>
      </c>
      <c r="FH26" s="523">
        <f t="shared" si="164"/>
        <v>0</v>
      </c>
      <c r="FI26" s="521"/>
      <c r="FJ26" s="522">
        <f t="shared" si="53"/>
        <v>0</v>
      </c>
      <c r="FK26" s="523">
        <f t="shared" si="165"/>
        <v>0</v>
      </c>
      <c r="FL26" s="521"/>
      <c r="FM26" s="522">
        <f t="shared" si="54"/>
        <v>0</v>
      </c>
      <c r="FN26" s="523">
        <f t="shared" si="166"/>
        <v>0</v>
      </c>
      <c r="FO26" s="521"/>
      <c r="FP26" s="522">
        <f t="shared" si="55"/>
        <v>0</v>
      </c>
      <c r="FQ26" s="523">
        <f t="shared" si="167"/>
        <v>0</v>
      </c>
      <c r="FR26" s="521"/>
      <c r="FS26" s="522">
        <f t="shared" si="56"/>
        <v>0</v>
      </c>
      <c r="FT26" s="523">
        <f t="shared" si="168"/>
        <v>0</v>
      </c>
      <c r="FU26" s="521"/>
      <c r="FV26" s="522">
        <f t="shared" si="57"/>
        <v>0</v>
      </c>
      <c r="FW26" s="523">
        <f t="shared" si="169"/>
        <v>0</v>
      </c>
      <c r="FX26" s="521"/>
      <c r="FY26" s="522">
        <f t="shared" si="58"/>
        <v>0</v>
      </c>
      <c r="FZ26" s="523">
        <f t="shared" si="170"/>
        <v>0</v>
      </c>
      <c r="GA26" s="521"/>
      <c r="GB26" s="522">
        <f t="shared" si="59"/>
        <v>0</v>
      </c>
      <c r="GC26" s="523">
        <f t="shared" si="171"/>
        <v>0</v>
      </c>
      <c r="GD26" s="521"/>
      <c r="GE26" s="522">
        <f t="shared" si="60"/>
        <v>0</v>
      </c>
      <c r="GF26" s="523">
        <f t="shared" si="172"/>
        <v>0</v>
      </c>
      <c r="GG26" s="521"/>
      <c r="GH26" s="522">
        <f t="shared" si="61"/>
        <v>0</v>
      </c>
      <c r="GI26" s="523">
        <f t="shared" si="173"/>
        <v>0</v>
      </c>
      <c r="GJ26" s="521"/>
      <c r="GK26" s="522">
        <f t="shared" si="62"/>
        <v>0</v>
      </c>
      <c r="GL26" s="523">
        <f t="shared" si="174"/>
        <v>0</v>
      </c>
      <c r="GM26" s="521"/>
      <c r="GN26" s="522">
        <f t="shared" si="63"/>
        <v>0</v>
      </c>
      <c r="GO26" s="523">
        <f t="shared" si="175"/>
        <v>0</v>
      </c>
      <c r="GP26" s="521"/>
      <c r="GQ26" s="522">
        <f t="shared" si="64"/>
        <v>0</v>
      </c>
      <c r="GR26" s="523">
        <f t="shared" si="176"/>
        <v>0</v>
      </c>
      <c r="GS26" s="521"/>
      <c r="GT26" s="522">
        <f t="shared" si="65"/>
        <v>0</v>
      </c>
      <c r="GU26" s="523">
        <f t="shared" si="177"/>
        <v>0</v>
      </c>
      <c r="GV26" s="521"/>
      <c r="GW26" s="522">
        <f t="shared" si="66"/>
        <v>0</v>
      </c>
      <c r="GX26" s="523">
        <f t="shared" si="178"/>
        <v>0</v>
      </c>
      <c r="GY26" s="521"/>
      <c r="GZ26" s="522">
        <f t="shared" si="67"/>
        <v>0</v>
      </c>
      <c r="HA26" s="523">
        <f t="shared" si="179"/>
        <v>0</v>
      </c>
      <c r="HB26" s="521"/>
      <c r="HC26" s="522">
        <f t="shared" si="68"/>
        <v>0</v>
      </c>
      <c r="HD26" s="523">
        <f t="shared" si="180"/>
        <v>0</v>
      </c>
      <c r="HE26" s="521"/>
      <c r="HF26" s="522">
        <f t="shared" si="69"/>
        <v>0</v>
      </c>
      <c r="HG26" s="523">
        <f t="shared" si="181"/>
        <v>0</v>
      </c>
      <c r="HH26" s="521"/>
      <c r="HI26" s="522">
        <f t="shared" si="70"/>
        <v>0</v>
      </c>
      <c r="HJ26" s="523">
        <f t="shared" si="182"/>
        <v>0</v>
      </c>
      <c r="HK26" s="521"/>
      <c r="HL26" s="522">
        <f t="shared" si="71"/>
        <v>0</v>
      </c>
      <c r="HM26" s="523">
        <f t="shared" si="183"/>
        <v>0</v>
      </c>
      <c r="HN26" s="521"/>
      <c r="HO26" s="522">
        <f t="shared" si="72"/>
        <v>0</v>
      </c>
      <c r="HP26" s="523">
        <f t="shared" si="184"/>
        <v>0</v>
      </c>
      <c r="HQ26" s="521"/>
      <c r="HR26" s="522">
        <f t="shared" si="73"/>
        <v>0</v>
      </c>
      <c r="HS26" s="523">
        <f t="shared" si="185"/>
        <v>0</v>
      </c>
      <c r="HT26" s="521"/>
      <c r="HU26" s="522">
        <f t="shared" si="74"/>
        <v>0</v>
      </c>
      <c r="HV26" s="523">
        <f t="shared" si="186"/>
        <v>0</v>
      </c>
      <c r="HW26" s="521"/>
      <c r="HX26" s="522">
        <f t="shared" si="75"/>
        <v>0</v>
      </c>
      <c r="HY26" s="523">
        <f t="shared" si="187"/>
        <v>0</v>
      </c>
      <c r="HZ26" s="521"/>
      <c r="IA26" s="522">
        <f t="shared" si="76"/>
        <v>0</v>
      </c>
      <c r="IB26" s="523">
        <f t="shared" si="188"/>
        <v>0</v>
      </c>
      <c r="IC26" s="521"/>
      <c r="ID26" s="522">
        <f t="shared" si="77"/>
        <v>0</v>
      </c>
      <c r="IE26" s="523">
        <f t="shared" si="189"/>
        <v>0</v>
      </c>
      <c r="IF26" s="521"/>
      <c r="IG26" s="522">
        <f t="shared" si="78"/>
        <v>0</v>
      </c>
      <c r="IH26" s="523">
        <f t="shared" si="190"/>
        <v>0</v>
      </c>
      <c r="II26" s="521"/>
      <c r="IJ26" s="522">
        <f t="shared" si="79"/>
        <v>0</v>
      </c>
      <c r="IK26" s="523">
        <f t="shared" si="191"/>
        <v>0</v>
      </c>
      <c r="IL26" s="521"/>
      <c r="IM26" s="522">
        <f t="shared" si="80"/>
        <v>0</v>
      </c>
      <c r="IN26" s="523">
        <f t="shared" si="192"/>
        <v>0</v>
      </c>
      <c r="IO26" s="521"/>
      <c r="IP26" s="522">
        <f t="shared" si="81"/>
        <v>0</v>
      </c>
      <c r="IQ26" s="523">
        <f t="shared" si="193"/>
        <v>0</v>
      </c>
      <c r="IR26" s="521"/>
      <c r="IS26" s="522">
        <f t="shared" si="82"/>
        <v>0</v>
      </c>
      <c r="IT26" s="523">
        <f t="shared" si="194"/>
        <v>0</v>
      </c>
      <c r="IU26" s="521"/>
      <c r="IV26" s="522">
        <f t="shared" si="83"/>
        <v>0</v>
      </c>
      <c r="IW26" s="523">
        <f t="shared" si="195"/>
        <v>0</v>
      </c>
      <c r="IX26" s="521"/>
      <c r="IY26" s="522">
        <f t="shared" si="84"/>
        <v>0</v>
      </c>
      <c r="IZ26" s="523">
        <f t="shared" si="196"/>
        <v>0</v>
      </c>
      <c r="JA26" s="521"/>
      <c r="JB26" s="522">
        <f t="shared" si="85"/>
        <v>0</v>
      </c>
      <c r="JC26" s="523">
        <f t="shared" si="197"/>
        <v>0</v>
      </c>
      <c r="JD26" s="521"/>
      <c r="JE26" s="522">
        <f t="shared" si="86"/>
        <v>0</v>
      </c>
      <c r="JF26" s="523">
        <f t="shared" si="198"/>
        <v>0</v>
      </c>
      <c r="JG26" s="521"/>
      <c r="JH26" s="522">
        <f t="shared" si="87"/>
        <v>0</v>
      </c>
      <c r="JI26" s="523">
        <f t="shared" si="199"/>
        <v>0</v>
      </c>
      <c r="JJ26" s="521"/>
      <c r="JK26" s="523" t="str">
        <f t="shared" si="88"/>
        <v>0</v>
      </c>
      <c r="JL26" s="523" t="str">
        <f t="shared" si="89"/>
        <v>0</v>
      </c>
      <c r="JM26" s="521"/>
      <c r="JN26" s="523" t="str">
        <f t="shared" si="90"/>
        <v>0</v>
      </c>
      <c r="JO26" s="523" t="str">
        <f t="shared" si="91"/>
        <v>0</v>
      </c>
      <c r="JP26" s="521"/>
      <c r="JQ26" s="523" t="str">
        <f t="shared" si="92"/>
        <v>0</v>
      </c>
      <c r="JR26" s="523" t="str">
        <f t="shared" si="93"/>
        <v>0</v>
      </c>
      <c r="JS26" s="521"/>
      <c r="JT26" s="523" t="str">
        <f t="shared" si="94"/>
        <v>0</v>
      </c>
      <c r="JU26" s="523" t="str">
        <f t="shared" si="95"/>
        <v>0</v>
      </c>
      <c r="JV26" s="521"/>
      <c r="JW26" s="523" t="str">
        <f t="shared" si="96"/>
        <v>0</v>
      </c>
      <c r="JX26" s="523" t="str">
        <f t="shared" si="97"/>
        <v>0</v>
      </c>
      <c r="JY26" s="521"/>
      <c r="JZ26" s="523" t="str">
        <f t="shared" si="98"/>
        <v>0</v>
      </c>
      <c r="KA26" s="523" t="str">
        <f t="shared" si="99"/>
        <v>0</v>
      </c>
      <c r="KB26" s="521"/>
      <c r="KC26" s="523" t="str">
        <f t="shared" si="100"/>
        <v>0</v>
      </c>
      <c r="KD26" s="523" t="str">
        <f t="shared" si="101"/>
        <v>0</v>
      </c>
      <c r="KE26" s="521"/>
      <c r="KF26" s="523" t="str">
        <f t="shared" si="102"/>
        <v>0</v>
      </c>
      <c r="KG26" s="523" t="str">
        <f t="shared" si="103"/>
        <v>0</v>
      </c>
      <c r="KH26" s="521"/>
      <c r="KI26" s="523" t="str">
        <f t="shared" si="104"/>
        <v>0</v>
      </c>
      <c r="KJ26" s="523" t="str">
        <f t="shared" si="105"/>
        <v>0</v>
      </c>
      <c r="KK26" s="521"/>
      <c r="KL26" s="523" t="str">
        <f t="shared" si="106"/>
        <v>0</v>
      </c>
      <c r="KM26" s="523" t="str">
        <f t="shared" si="107"/>
        <v>0</v>
      </c>
      <c r="KN26" s="521"/>
      <c r="KO26" s="523" t="str">
        <f t="shared" si="108"/>
        <v>0</v>
      </c>
      <c r="KP26" s="523" t="str">
        <f t="shared" si="109"/>
        <v>0</v>
      </c>
      <c r="KQ26" s="521"/>
      <c r="KR26" s="523" t="str">
        <f t="shared" si="110"/>
        <v>0</v>
      </c>
      <c r="KS26" s="523" t="str">
        <f t="shared" si="111"/>
        <v>0</v>
      </c>
      <c r="KT26" s="523">
        <f t="shared" si="201"/>
        <v>0</v>
      </c>
      <c r="KU26" s="523">
        <f t="shared" si="202"/>
        <v>0</v>
      </c>
      <c r="KV26" s="260">
        <f t="shared" si="112"/>
        <v>471.49790662349102</v>
      </c>
    </row>
    <row r="27" spans="1:308">
      <c r="A27" s="261">
        <f t="shared" si="200"/>
        <v>46041</v>
      </c>
      <c r="B27" s="262" t="str">
        <f>+Report1!B27</f>
        <v>Facial</v>
      </c>
      <c r="C27" s="262" t="str">
        <f>+Report1!C27</f>
        <v>13,5</v>
      </c>
      <c r="D27" s="263">
        <f>+Report1!P27</f>
        <v>44.405999999999999</v>
      </c>
      <c r="E27" s="554">
        <f>+Report1!R27</f>
        <v>43.503</v>
      </c>
      <c r="F27" s="521"/>
      <c r="G27" s="522">
        <f t="shared" si="0"/>
        <v>0</v>
      </c>
      <c r="H27" s="523">
        <f t="shared" si="113"/>
        <v>0</v>
      </c>
      <c r="I27" s="521">
        <v>267.43826511627901</v>
      </c>
      <c r="J27" s="522">
        <f t="shared" si="1"/>
        <v>6.1475821234461767</v>
      </c>
      <c r="K27" s="523">
        <f t="shared" si="114"/>
        <v>0</v>
      </c>
      <c r="L27" s="521"/>
      <c r="M27" s="522">
        <f t="shared" si="2"/>
        <v>0</v>
      </c>
      <c r="N27" s="523">
        <f t="shared" si="115"/>
        <v>0</v>
      </c>
      <c r="O27" s="521">
        <v>8.9971999999999639</v>
      </c>
      <c r="P27" s="522">
        <f t="shared" si="3"/>
        <v>0.20681792060317597</v>
      </c>
      <c r="Q27" s="523">
        <f t="shared" si="116"/>
        <v>0</v>
      </c>
      <c r="R27" s="521"/>
      <c r="S27" s="522">
        <f t="shared" si="4"/>
        <v>0</v>
      </c>
      <c r="T27" s="523">
        <f t="shared" si="117"/>
        <v>0</v>
      </c>
      <c r="U27" s="521">
        <v>7.6859000000000037</v>
      </c>
      <c r="V27" s="522">
        <f t="shared" si="5"/>
        <v>0.17667517182723039</v>
      </c>
      <c r="W27" s="523">
        <f t="shared" si="118"/>
        <v>0</v>
      </c>
      <c r="X27" s="521"/>
      <c r="Y27" s="522">
        <f t="shared" si="6"/>
        <v>0</v>
      </c>
      <c r="Z27" s="523">
        <f t="shared" si="119"/>
        <v>0</v>
      </c>
      <c r="AA27" s="521"/>
      <c r="AB27" s="522">
        <f t="shared" si="7"/>
        <v>0</v>
      </c>
      <c r="AC27" s="523">
        <f t="shared" si="120"/>
        <v>0</v>
      </c>
      <c r="AD27" s="521"/>
      <c r="AE27" s="522">
        <f t="shared" si="8"/>
        <v>0</v>
      </c>
      <c r="AF27" s="523">
        <f t="shared" si="121"/>
        <v>0</v>
      </c>
      <c r="AG27" s="521"/>
      <c r="AH27" s="522">
        <f t="shared" si="9"/>
        <v>0</v>
      </c>
      <c r="AI27" s="523">
        <f t="shared" si="122"/>
        <v>0</v>
      </c>
      <c r="AJ27" s="521"/>
      <c r="AK27" s="522">
        <f t="shared" si="10"/>
        <v>0</v>
      </c>
      <c r="AL27" s="523">
        <f t="shared" si="123"/>
        <v>0</v>
      </c>
      <c r="AM27" s="521"/>
      <c r="AN27" s="522">
        <f t="shared" si="11"/>
        <v>0</v>
      </c>
      <c r="AO27" s="523">
        <f t="shared" si="124"/>
        <v>0</v>
      </c>
      <c r="AP27" s="521">
        <v>37.028497468354487</v>
      </c>
      <c r="AQ27" s="522">
        <f t="shared" si="12"/>
        <v>0.85117112540179962</v>
      </c>
      <c r="AR27" s="523">
        <f t="shared" si="125"/>
        <v>0</v>
      </c>
      <c r="AS27" s="521"/>
      <c r="AT27" s="522">
        <f t="shared" si="13"/>
        <v>0</v>
      </c>
      <c r="AU27" s="523">
        <f t="shared" si="126"/>
        <v>0</v>
      </c>
      <c r="AV27" s="521"/>
      <c r="AW27" s="522">
        <f t="shared" si="14"/>
        <v>0</v>
      </c>
      <c r="AX27" s="523">
        <f t="shared" si="127"/>
        <v>0</v>
      </c>
      <c r="AY27" s="521">
        <v>62.997466666666725</v>
      </c>
      <c r="AZ27" s="522">
        <f t="shared" si="15"/>
        <v>1.4481177543311203</v>
      </c>
      <c r="BA27" s="523">
        <f t="shared" si="128"/>
        <v>0</v>
      </c>
      <c r="BB27" s="521"/>
      <c r="BC27" s="522">
        <f t="shared" si="16"/>
        <v>0</v>
      </c>
      <c r="BD27" s="523">
        <f t="shared" si="129"/>
        <v>0</v>
      </c>
      <c r="BE27" s="521"/>
      <c r="BF27" s="522">
        <f t="shared" si="17"/>
        <v>0</v>
      </c>
      <c r="BG27" s="523">
        <f t="shared" si="130"/>
        <v>0</v>
      </c>
      <c r="BH27" s="521"/>
      <c r="BI27" s="522">
        <f t="shared" si="18"/>
        <v>0</v>
      </c>
      <c r="BJ27" s="523">
        <f t="shared" si="131"/>
        <v>0</v>
      </c>
      <c r="BK27" s="521"/>
      <c r="BL27" s="522">
        <f t="shared" si="19"/>
        <v>0</v>
      </c>
      <c r="BM27" s="523">
        <f t="shared" si="132"/>
        <v>0</v>
      </c>
      <c r="BN27" s="521"/>
      <c r="BO27" s="522">
        <f t="shared" si="20"/>
        <v>0</v>
      </c>
      <c r="BP27" s="523">
        <f t="shared" si="133"/>
        <v>0</v>
      </c>
      <c r="BQ27" s="521">
        <v>86.075949367088583</v>
      </c>
      <c r="BR27" s="522">
        <f t="shared" si="21"/>
        <v>1.9786210000939839</v>
      </c>
      <c r="BS27" s="523">
        <f t="shared" si="134"/>
        <v>0</v>
      </c>
      <c r="BT27" s="521"/>
      <c r="BU27" s="522">
        <f t="shared" si="22"/>
        <v>0</v>
      </c>
      <c r="BV27" s="523">
        <f t="shared" si="135"/>
        <v>0</v>
      </c>
      <c r="BW27" s="521"/>
      <c r="BX27" s="522">
        <f t="shared" si="23"/>
        <v>0</v>
      </c>
      <c r="BY27" s="523">
        <f t="shared" si="136"/>
        <v>0</v>
      </c>
      <c r="BZ27" s="521"/>
      <c r="CA27" s="522">
        <f t="shared" si="24"/>
        <v>0</v>
      </c>
      <c r="CB27" s="523">
        <f t="shared" si="137"/>
        <v>0</v>
      </c>
      <c r="CC27" s="521"/>
      <c r="CD27" s="522">
        <f t="shared" si="25"/>
        <v>0</v>
      </c>
      <c r="CE27" s="523">
        <f t="shared" si="138"/>
        <v>0</v>
      </c>
      <c r="CF27" s="521">
        <v>0.40000000000000036</v>
      </c>
      <c r="CG27" s="522">
        <f t="shared" si="26"/>
        <v>9.1947681769073471E-3</v>
      </c>
      <c r="CH27" s="523">
        <f t="shared" si="139"/>
        <v>0</v>
      </c>
      <c r="CI27" s="521"/>
      <c r="CJ27" s="522">
        <f t="shared" si="27"/>
        <v>0</v>
      </c>
      <c r="CK27" s="523">
        <f t="shared" si="140"/>
        <v>0</v>
      </c>
      <c r="CL27" s="521"/>
      <c r="CM27" s="522">
        <f t="shared" si="28"/>
        <v>0</v>
      </c>
      <c r="CN27" s="523">
        <f t="shared" si="141"/>
        <v>0</v>
      </c>
      <c r="CO27" s="521"/>
      <c r="CP27" s="522">
        <f t="shared" si="29"/>
        <v>0</v>
      </c>
      <c r="CQ27" s="523">
        <f t="shared" si="142"/>
        <v>0</v>
      </c>
      <c r="CR27" s="521"/>
      <c r="CS27" s="522">
        <f t="shared" si="30"/>
        <v>0</v>
      </c>
      <c r="CT27" s="523">
        <f t="shared" si="143"/>
        <v>0</v>
      </c>
      <c r="CU27" s="521"/>
      <c r="CV27" s="522">
        <f t="shared" si="31"/>
        <v>0</v>
      </c>
      <c r="CW27" s="523">
        <f t="shared" si="144"/>
        <v>0</v>
      </c>
      <c r="CX27" s="521"/>
      <c r="CY27" s="522">
        <f t="shared" si="32"/>
        <v>0</v>
      </c>
      <c r="CZ27" s="523">
        <f t="shared" si="145"/>
        <v>0</v>
      </c>
      <c r="DA27" s="521"/>
      <c r="DB27" s="522">
        <f t="shared" si="33"/>
        <v>0</v>
      </c>
      <c r="DC27" s="523">
        <f t="shared" si="146"/>
        <v>0</v>
      </c>
      <c r="DD27" s="521"/>
      <c r="DE27" s="522">
        <f t="shared" si="34"/>
        <v>0</v>
      </c>
      <c r="DF27" s="523">
        <f t="shared" si="147"/>
        <v>0</v>
      </c>
      <c r="DG27" s="521"/>
      <c r="DH27" s="522">
        <f t="shared" si="35"/>
        <v>0</v>
      </c>
      <c r="DI27" s="523">
        <f t="shared" si="203"/>
        <v>0</v>
      </c>
      <c r="DJ27" s="521"/>
      <c r="DK27" s="522">
        <f t="shared" si="36"/>
        <v>0</v>
      </c>
      <c r="DL27" s="523">
        <f t="shared" si="148"/>
        <v>0</v>
      </c>
      <c r="DM27" s="521"/>
      <c r="DN27" s="522">
        <f t="shared" si="37"/>
        <v>0</v>
      </c>
      <c r="DO27" s="523">
        <f t="shared" si="149"/>
        <v>0</v>
      </c>
      <c r="DP27" s="521"/>
      <c r="DQ27" s="522">
        <f t="shared" si="38"/>
        <v>0</v>
      </c>
      <c r="DR27" s="523">
        <f t="shared" si="150"/>
        <v>0</v>
      </c>
      <c r="DS27" s="521"/>
      <c r="DT27" s="522">
        <f t="shared" si="39"/>
        <v>0</v>
      </c>
      <c r="DU27" s="523">
        <f t="shared" si="151"/>
        <v>0</v>
      </c>
      <c r="DV27" s="521"/>
      <c r="DW27" s="522">
        <f t="shared" si="40"/>
        <v>0</v>
      </c>
      <c r="DX27" s="523">
        <f t="shared" si="152"/>
        <v>0</v>
      </c>
      <c r="DY27" s="521"/>
      <c r="DZ27" s="522">
        <f t="shared" si="41"/>
        <v>0</v>
      </c>
      <c r="EA27" s="523">
        <f t="shared" si="153"/>
        <v>0</v>
      </c>
      <c r="EB27" s="521"/>
      <c r="EC27" s="522">
        <f t="shared" si="42"/>
        <v>0</v>
      </c>
      <c r="ED27" s="523">
        <f t="shared" si="154"/>
        <v>0</v>
      </c>
      <c r="EE27" s="521">
        <v>14.534883720930225</v>
      </c>
      <c r="EF27" s="522">
        <f t="shared" si="43"/>
        <v>0.33411221573064442</v>
      </c>
      <c r="EG27" s="523">
        <f t="shared" si="155"/>
        <v>0</v>
      </c>
      <c r="EH27" s="521">
        <v>23.485294117647072</v>
      </c>
      <c r="EI27" s="522">
        <f t="shared" si="44"/>
        <v>0.53985458744562609</v>
      </c>
      <c r="EJ27" s="523">
        <f t="shared" si="156"/>
        <v>0</v>
      </c>
      <c r="EK27" s="521"/>
      <c r="EL27" s="522">
        <f t="shared" si="45"/>
        <v>0</v>
      </c>
      <c r="EM27" s="523">
        <f t="shared" si="157"/>
        <v>0</v>
      </c>
      <c r="EN27" s="521">
        <v>7</v>
      </c>
      <c r="EO27" s="522">
        <f t="shared" si="46"/>
        <v>0.16090844309587846</v>
      </c>
      <c r="EP27" s="523">
        <f t="shared" si="158"/>
        <v>0</v>
      </c>
      <c r="EQ27" s="521"/>
      <c r="ER27" s="522">
        <f t="shared" si="47"/>
        <v>0</v>
      </c>
      <c r="ES27" s="523">
        <f t="shared" si="159"/>
        <v>0</v>
      </c>
      <c r="ET27" s="521"/>
      <c r="EU27" s="522">
        <f t="shared" si="48"/>
        <v>0</v>
      </c>
      <c r="EV27" s="523">
        <f t="shared" si="160"/>
        <v>0</v>
      </c>
      <c r="EW27" s="521"/>
      <c r="EX27" s="522">
        <f t="shared" si="49"/>
        <v>0</v>
      </c>
      <c r="EY27" s="523">
        <f t="shared" si="161"/>
        <v>0</v>
      </c>
      <c r="EZ27" s="521"/>
      <c r="FA27" s="522">
        <f t="shared" si="50"/>
        <v>0</v>
      </c>
      <c r="FB27" s="523">
        <f t="shared" si="162"/>
        <v>0</v>
      </c>
      <c r="FC27" s="521"/>
      <c r="FD27" s="522">
        <f t="shared" si="51"/>
        <v>0</v>
      </c>
      <c r="FE27" s="523">
        <f t="shared" si="163"/>
        <v>0</v>
      </c>
      <c r="FF27" s="521"/>
      <c r="FG27" s="522">
        <f t="shared" si="52"/>
        <v>0</v>
      </c>
      <c r="FH27" s="523">
        <f t="shared" si="164"/>
        <v>0</v>
      </c>
      <c r="FI27" s="521"/>
      <c r="FJ27" s="522">
        <f t="shared" si="53"/>
        <v>0</v>
      </c>
      <c r="FK27" s="523">
        <f t="shared" si="165"/>
        <v>0</v>
      </c>
      <c r="FL27" s="521"/>
      <c r="FM27" s="522">
        <f t="shared" si="54"/>
        <v>0</v>
      </c>
      <c r="FN27" s="523">
        <f t="shared" si="166"/>
        <v>0</v>
      </c>
      <c r="FO27" s="521"/>
      <c r="FP27" s="522">
        <f t="shared" si="55"/>
        <v>0</v>
      </c>
      <c r="FQ27" s="523">
        <f t="shared" si="167"/>
        <v>0</v>
      </c>
      <c r="FR27" s="521"/>
      <c r="FS27" s="522">
        <f t="shared" si="56"/>
        <v>0</v>
      </c>
      <c r="FT27" s="523">
        <f t="shared" si="168"/>
        <v>0</v>
      </c>
      <c r="FU27" s="521"/>
      <c r="FV27" s="522">
        <f t="shared" si="57"/>
        <v>0</v>
      </c>
      <c r="FW27" s="523">
        <f t="shared" si="169"/>
        <v>0</v>
      </c>
      <c r="FX27" s="521"/>
      <c r="FY27" s="522">
        <f t="shared" si="58"/>
        <v>0</v>
      </c>
      <c r="FZ27" s="523">
        <f t="shared" si="170"/>
        <v>0</v>
      </c>
      <c r="GA27" s="521"/>
      <c r="GB27" s="522">
        <f t="shared" si="59"/>
        <v>0</v>
      </c>
      <c r="GC27" s="523">
        <f t="shared" si="171"/>
        <v>0</v>
      </c>
      <c r="GD27" s="521"/>
      <c r="GE27" s="522">
        <f t="shared" si="60"/>
        <v>0</v>
      </c>
      <c r="GF27" s="523">
        <f t="shared" si="172"/>
        <v>0</v>
      </c>
      <c r="GG27" s="521"/>
      <c r="GH27" s="522">
        <f t="shared" si="61"/>
        <v>0</v>
      </c>
      <c r="GI27" s="523">
        <f t="shared" si="173"/>
        <v>0</v>
      </c>
      <c r="GJ27" s="521"/>
      <c r="GK27" s="522">
        <f t="shared" si="62"/>
        <v>0</v>
      </c>
      <c r="GL27" s="523">
        <f t="shared" si="174"/>
        <v>0</v>
      </c>
      <c r="GM27" s="521"/>
      <c r="GN27" s="522">
        <f t="shared" si="63"/>
        <v>0</v>
      </c>
      <c r="GO27" s="523">
        <f t="shared" si="175"/>
        <v>0</v>
      </c>
      <c r="GP27" s="521"/>
      <c r="GQ27" s="522">
        <f t="shared" si="64"/>
        <v>0</v>
      </c>
      <c r="GR27" s="523">
        <f t="shared" si="176"/>
        <v>0</v>
      </c>
      <c r="GS27" s="521"/>
      <c r="GT27" s="522">
        <f t="shared" si="65"/>
        <v>0</v>
      </c>
      <c r="GU27" s="523">
        <f t="shared" si="177"/>
        <v>0</v>
      </c>
      <c r="GV27" s="521"/>
      <c r="GW27" s="522">
        <f t="shared" si="66"/>
        <v>0</v>
      </c>
      <c r="GX27" s="523">
        <f t="shared" si="178"/>
        <v>0</v>
      </c>
      <c r="GY27" s="521"/>
      <c r="GZ27" s="522">
        <f t="shared" si="67"/>
        <v>0</v>
      </c>
      <c r="HA27" s="523">
        <f t="shared" si="179"/>
        <v>0</v>
      </c>
      <c r="HB27" s="521"/>
      <c r="HC27" s="522">
        <f t="shared" si="68"/>
        <v>0</v>
      </c>
      <c r="HD27" s="523">
        <f t="shared" si="180"/>
        <v>0</v>
      </c>
      <c r="HE27" s="521"/>
      <c r="HF27" s="522">
        <f t="shared" si="69"/>
        <v>0</v>
      </c>
      <c r="HG27" s="523">
        <f t="shared" si="181"/>
        <v>0</v>
      </c>
      <c r="HH27" s="521"/>
      <c r="HI27" s="522">
        <f t="shared" si="70"/>
        <v>0</v>
      </c>
      <c r="HJ27" s="523">
        <f t="shared" si="182"/>
        <v>0</v>
      </c>
      <c r="HK27" s="521"/>
      <c r="HL27" s="522">
        <f t="shared" si="71"/>
        <v>0</v>
      </c>
      <c r="HM27" s="523">
        <f t="shared" si="183"/>
        <v>0</v>
      </c>
      <c r="HN27" s="521"/>
      <c r="HO27" s="522">
        <f t="shared" si="72"/>
        <v>0</v>
      </c>
      <c r="HP27" s="523">
        <f t="shared" si="184"/>
        <v>0</v>
      </c>
      <c r="HQ27" s="521"/>
      <c r="HR27" s="522">
        <f t="shared" si="73"/>
        <v>0</v>
      </c>
      <c r="HS27" s="523">
        <f t="shared" si="185"/>
        <v>0</v>
      </c>
      <c r="HT27" s="521"/>
      <c r="HU27" s="522">
        <f t="shared" si="74"/>
        <v>0</v>
      </c>
      <c r="HV27" s="523">
        <f t="shared" si="186"/>
        <v>0</v>
      </c>
      <c r="HW27" s="521"/>
      <c r="HX27" s="522">
        <f t="shared" si="75"/>
        <v>0</v>
      </c>
      <c r="HY27" s="523">
        <f t="shared" si="187"/>
        <v>0</v>
      </c>
      <c r="HZ27" s="521"/>
      <c r="IA27" s="522">
        <f t="shared" si="76"/>
        <v>0</v>
      </c>
      <c r="IB27" s="523">
        <f t="shared" si="188"/>
        <v>0</v>
      </c>
      <c r="IC27" s="521"/>
      <c r="ID27" s="522">
        <f t="shared" si="77"/>
        <v>0</v>
      </c>
      <c r="IE27" s="523">
        <f t="shared" si="189"/>
        <v>0</v>
      </c>
      <c r="IF27" s="521"/>
      <c r="IG27" s="522">
        <f t="shared" si="78"/>
        <v>0</v>
      </c>
      <c r="IH27" s="523">
        <f t="shared" si="190"/>
        <v>0</v>
      </c>
      <c r="II27" s="521"/>
      <c r="IJ27" s="522">
        <f t="shared" si="79"/>
        <v>0</v>
      </c>
      <c r="IK27" s="523">
        <f t="shared" si="191"/>
        <v>0</v>
      </c>
      <c r="IL27" s="521"/>
      <c r="IM27" s="522">
        <f t="shared" si="80"/>
        <v>0</v>
      </c>
      <c r="IN27" s="523">
        <f t="shared" si="192"/>
        <v>0</v>
      </c>
      <c r="IO27" s="521"/>
      <c r="IP27" s="522">
        <f t="shared" si="81"/>
        <v>0</v>
      </c>
      <c r="IQ27" s="523">
        <f t="shared" si="193"/>
        <v>0</v>
      </c>
      <c r="IR27" s="521"/>
      <c r="IS27" s="522">
        <f t="shared" si="82"/>
        <v>0</v>
      </c>
      <c r="IT27" s="523">
        <f t="shared" si="194"/>
        <v>0</v>
      </c>
      <c r="IU27" s="521"/>
      <c r="IV27" s="522">
        <f t="shared" si="83"/>
        <v>0</v>
      </c>
      <c r="IW27" s="523">
        <f t="shared" si="195"/>
        <v>0</v>
      </c>
      <c r="IX27" s="521"/>
      <c r="IY27" s="522">
        <f t="shared" si="84"/>
        <v>0</v>
      </c>
      <c r="IZ27" s="523">
        <f t="shared" si="196"/>
        <v>0</v>
      </c>
      <c r="JA27" s="521"/>
      <c r="JB27" s="522">
        <f t="shared" si="85"/>
        <v>0</v>
      </c>
      <c r="JC27" s="523">
        <f t="shared" si="197"/>
        <v>0</v>
      </c>
      <c r="JD27" s="521"/>
      <c r="JE27" s="522">
        <f t="shared" si="86"/>
        <v>0</v>
      </c>
      <c r="JF27" s="523">
        <f t="shared" si="198"/>
        <v>0</v>
      </c>
      <c r="JG27" s="521"/>
      <c r="JH27" s="522">
        <f t="shared" si="87"/>
        <v>0</v>
      </c>
      <c r="JI27" s="523">
        <f t="shared" si="199"/>
        <v>0</v>
      </c>
      <c r="JJ27" s="521"/>
      <c r="JK27" s="523" t="str">
        <f t="shared" si="88"/>
        <v>0</v>
      </c>
      <c r="JL27" s="523" t="str">
        <f t="shared" si="89"/>
        <v>0</v>
      </c>
      <c r="JM27" s="521"/>
      <c r="JN27" s="523" t="str">
        <f t="shared" si="90"/>
        <v>0</v>
      </c>
      <c r="JO27" s="523" t="str">
        <f t="shared" si="91"/>
        <v>0</v>
      </c>
      <c r="JP27" s="521"/>
      <c r="JQ27" s="523" t="str">
        <f t="shared" si="92"/>
        <v>0</v>
      </c>
      <c r="JR27" s="523" t="str">
        <f t="shared" si="93"/>
        <v>0</v>
      </c>
      <c r="JS27" s="521"/>
      <c r="JT27" s="523" t="str">
        <f t="shared" si="94"/>
        <v>0</v>
      </c>
      <c r="JU27" s="523" t="str">
        <f t="shared" si="95"/>
        <v>0</v>
      </c>
      <c r="JV27" s="521"/>
      <c r="JW27" s="523" t="str">
        <f t="shared" si="96"/>
        <v>0</v>
      </c>
      <c r="JX27" s="523" t="str">
        <f t="shared" si="97"/>
        <v>0</v>
      </c>
      <c r="JY27" s="521"/>
      <c r="JZ27" s="523" t="str">
        <f t="shared" si="98"/>
        <v>0</v>
      </c>
      <c r="KA27" s="523" t="str">
        <f t="shared" si="99"/>
        <v>0</v>
      </c>
      <c r="KB27" s="521"/>
      <c r="KC27" s="523" t="str">
        <f t="shared" si="100"/>
        <v>0</v>
      </c>
      <c r="KD27" s="523" t="str">
        <f t="shared" si="101"/>
        <v>0</v>
      </c>
      <c r="KE27" s="521"/>
      <c r="KF27" s="523" t="str">
        <f t="shared" si="102"/>
        <v>0</v>
      </c>
      <c r="KG27" s="523" t="str">
        <f t="shared" si="103"/>
        <v>0</v>
      </c>
      <c r="KH27" s="521"/>
      <c r="KI27" s="523" t="str">
        <f t="shared" si="104"/>
        <v>0</v>
      </c>
      <c r="KJ27" s="523" t="str">
        <f t="shared" si="105"/>
        <v>0</v>
      </c>
      <c r="KK27" s="521"/>
      <c r="KL27" s="523" t="str">
        <f t="shared" si="106"/>
        <v>0</v>
      </c>
      <c r="KM27" s="523" t="str">
        <f t="shared" si="107"/>
        <v>0</v>
      </c>
      <c r="KN27" s="521"/>
      <c r="KO27" s="523" t="str">
        <f t="shared" si="108"/>
        <v>0</v>
      </c>
      <c r="KP27" s="523" t="str">
        <f t="shared" si="109"/>
        <v>0</v>
      </c>
      <c r="KQ27" s="521"/>
      <c r="KR27" s="523" t="str">
        <f t="shared" si="110"/>
        <v>0</v>
      </c>
      <c r="KS27" s="523" t="str">
        <f t="shared" si="111"/>
        <v>0</v>
      </c>
      <c r="KT27" s="523">
        <f t="shared" si="201"/>
        <v>0</v>
      </c>
      <c r="KU27" s="523">
        <f t="shared" si="202"/>
        <v>0</v>
      </c>
      <c r="KV27" s="260">
        <f t="shared" si="112"/>
        <v>515.64345645696608</v>
      </c>
    </row>
    <row r="28" spans="1:308">
      <c r="A28" s="261">
        <f t="shared" si="200"/>
        <v>46042</v>
      </c>
      <c r="B28" s="262" t="str">
        <f>+Report1!B28</f>
        <v>Facial</v>
      </c>
      <c r="C28" s="262" t="str">
        <f>+Report1!C28</f>
        <v>13,5/13</v>
      </c>
      <c r="D28" s="263">
        <f>+Report1!P28</f>
        <v>45.721000000000004</v>
      </c>
      <c r="E28" s="554">
        <f>+Report1!R28</f>
        <v>46.332999999999998</v>
      </c>
      <c r="F28" s="521"/>
      <c r="G28" s="522">
        <f t="shared" si="0"/>
        <v>0</v>
      </c>
      <c r="H28" s="523">
        <f t="shared" si="113"/>
        <v>0</v>
      </c>
      <c r="I28" s="521">
        <v>302.32558139534876</v>
      </c>
      <c r="J28" s="522">
        <f t="shared" si="1"/>
        <v>6.5250594909750887</v>
      </c>
      <c r="K28" s="523">
        <f t="shared" si="114"/>
        <v>0</v>
      </c>
      <c r="L28" s="521"/>
      <c r="M28" s="522">
        <f t="shared" si="2"/>
        <v>0</v>
      </c>
      <c r="N28" s="523">
        <f t="shared" si="115"/>
        <v>0</v>
      </c>
      <c r="O28" s="521">
        <v>9</v>
      </c>
      <c r="P28" s="522">
        <f t="shared" si="3"/>
        <v>0.19424600176979692</v>
      </c>
      <c r="Q28" s="523">
        <f t="shared" si="116"/>
        <v>0</v>
      </c>
      <c r="R28" s="521"/>
      <c r="S28" s="522">
        <f t="shared" si="4"/>
        <v>0</v>
      </c>
      <c r="T28" s="523">
        <f t="shared" si="117"/>
        <v>0</v>
      </c>
      <c r="U28" s="521">
        <v>7.6875</v>
      </c>
      <c r="V28" s="522">
        <f t="shared" si="5"/>
        <v>0.16591845984503487</v>
      </c>
      <c r="W28" s="523">
        <f t="shared" si="118"/>
        <v>0</v>
      </c>
      <c r="X28" s="521"/>
      <c r="Y28" s="522">
        <f t="shared" si="6"/>
        <v>0</v>
      </c>
      <c r="Z28" s="523">
        <f t="shared" si="119"/>
        <v>0</v>
      </c>
      <c r="AA28" s="521"/>
      <c r="AB28" s="522">
        <f t="shared" si="7"/>
        <v>0</v>
      </c>
      <c r="AC28" s="523">
        <f t="shared" si="120"/>
        <v>0</v>
      </c>
      <c r="AD28" s="521"/>
      <c r="AE28" s="522">
        <f t="shared" si="8"/>
        <v>0</v>
      </c>
      <c r="AF28" s="523">
        <f t="shared" si="121"/>
        <v>0</v>
      </c>
      <c r="AG28" s="521"/>
      <c r="AH28" s="522">
        <f t="shared" si="9"/>
        <v>0</v>
      </c>
      <c r="AI28" s="523">
        <f t="shared" si="122"/>
        <v>0</v>
      </c>
      <c r="AJ28" s="521"/>
      <c r="AK28" s="522">
        <f t="shared" si="10"/>
        <v>0</v>
      </c>
      <c r="AL28" s="523">
        <f t="shared" si="123"/>
        <v>0</v>
      </c>
      <c r="AM28" s="521">
        <v>45.569620253164544</v>
      </c>
      <c r="AN28" s="522">
        <f t="shared" si="11"/>
        <v>0.9835240595939081</v>
      </c>
      <c r="AO28" s="523">
        <f t="shared" si="124"/>
        <v>0</v>
      </c>
      <c r="AP28" s="521">
        <v>45.569620253164544</v>
      </c>
      <c r="AQ28" s="522">
        <f t="shared" si="12"/>
        <v>0.9835240595939081</v>
      </c>
      <c r="AR28" s="523">
        <f t="shared" si="125"/>
        <v>0</v>
      </c>
      <c r="AS28" s="521"/>
      <c r="AT28" s="522">
        <f t="shared" si="13"/>
        <v>0</v>
      </c>
      <c r="AU28" s="523">
        <f t="shared" si="126"/>
        <v>0</v>
      </c>
      <c r="AV28" s="521"/>
      <c r="AW28" s="522">
        <f t="shared" si="14"/>
        <v>0</v>
      </c>
      <c r="AX28" s="523">
        <f t="shared" si="127"/>
        <v>0</v>
      </c>
      <c r="AY28" s="521">
        <v>62.999999999999972</v>
      </c>
      <c r="AZ28" s="522">
        <f t="shared" si="15"/>
        <v>1.3597220123885778</v>
      </c>
      <c r="BA28" s="523">
        <f t="shared" si="128"/>
        <v>0</v>
      </c>
      <c r="BB28" s="521"/>
      <c r="BC28" s="522">
        <f t="shared" si="16"/>
        <v>0</v>
      </c>
      <c r="BD28" s="523">
        <f t="shared" si="129"/>
        <v>0</v>
      </c>
      <c r="BE28" s="521"/>
      <c r="BF28" s="522">
        <f t="shared" si="17"/>
        <v>0</v>
      </c>
      <c r="BG28" s="523">
        <f t="shared" si="130"/>
        <v>0</v>
      </c>
      <c r="BH28" s="521"/>
      <c r="BI28" s="522">
        <f t="shared" si="18"/>
        <v>0</v>
      </c>
      <c r="BJ28" s="523">
        <f t="shared" si="131"/>
        <v>0</v>
      </c>
      <c r="BK28" s="521"/>
      <c r="BL28" s="522">
        <f t="shared" si="19"/>
        <v>0</v>
      </c>
      <c r="BM28" s="523">
        <f t="shared" si="132"/>
        <v>0</v>
      </c>
      <c r="BN28" s="521"/>
      <c r="BO28" s="522">
        <f t="shared" si="20"/>
        <v>0</v>
      </c>
      <c r="BP28" s="523">
        <f t="shared" si="133"/>
        <v>0</v>
      </c>
      <c r="BQ28" s="521">
        <v>68.354430379746873</v>
      </c>
      <c r="BR28" s="522">
        <f t="shared" si="21"/>
        <v>1.4752860893908635</v>
      </c>
      <c r="BS28" s="523">
        <f t="shared" si="134"/>
        <v>0</v>
      </c>
      <c r="BT28" s="521"/>
      <c r="BU28" s="522">
        <f t="shared" si="22"/>
        <v>0</v>
      </c>
      <c r="BV28" s="523">
        <f t="shared" si="135"/>
        <v>0</v>
      </c>
      <c r="BW28" s="521"/>
      <c r="BX28" s="522">
        <f t="shared" si="23"/>
        <v>0</v>
      </c>
      <c r="BY28" s="523">
        <f t="shared" si="136"/>
        <v>0</v>
      </c>
      <c r="BZ28" s="521"/>
      <c r="CA28" s="522">
        <f t="shared" si="24"/>
        <v>0</v>
      </c>
      <c r="CB28" s="523">
        <f t="shared" si="137"/>
        <v>0</v>
      </c>
      <c r="CC28" s="521"/>
      <c r="CD28" s="522">
        <f t="shared" si="25"/>
        <v>0</v>
      </c>
      <c r="CE28" s="523">
        <f t="shared" si="138"/>
        <v>0</v>
      </c>
      <c r="CF28" s="521">
        <v>0.40000000000000213</v>
      </c>
      <c r="CG28" s="522">
        <f t="shared" si="26"/>
        <v>8.6331556342132427E-3</v>
      </c>
      <c r="CH28" s="523">
        <f t="shared" si="139"/>
        <v>0</v>
      </c>
      <c r="CI28" s="521"/>
      <c r="CJ28" s="522">
        <f t="shared" si="27"/>
        <v>0</v>
      </c>
      <c r="CK28" s="523">
        <f t="shared" si="140"/>
        <v>0</v>
      </c>
      <c r="CL28" s="521"/>
      <c r="CM28" s="522">
        <f t="shared" si="28"/>
        <v>0</v>
      </c>
      <c r="CN28" s="523">
        <f t="shared" si="141"/>
        <v>0</v>
      </c>
      <c r="CO28" s="521"/>
      <c r="CP28" s="522">
        <f t="shared" si="29"/>
        <v>0</v>
      </c>
      <c r="CQ28" s="523">
        <f t="shared" si="142"/>
        <v>0</v>
      </c>
      <c r="CR28" s="521"/>
      <c r="CS28" s="522">
        <f t="shared" si="30"/>
        <v>0</v>
      </c>
      <c r="CT28" s="523">
        <f t="shared" si="143"/>
        <v>0</v>
      </c>
      <c r="CU28" s="521"/>
      <c r="CV28" s="522">
        <f t="shared" si="31"/>
        <v>0</v>
      </c>
      <c r="CW28" s="523">
        <f t="shared" si="144"/>
        <v>0</v>
      </c>
      <c r="CX28" s="521"/>
      <c r="CY28" s="522">
        <f t="shared" si="32"/>
        <v>0</v>
      </c>
      <c r="CZ28" s="523">
        <f t="shared" si="145"/>
        <v>0</v>
      </c>
      <c r="DA28" s="521"/>
      <c r="DB28" s="522">
        <f t="shared" si="33"/>
        <v>0</v>
      </c>
      <c r="DC28" s="523">
        <f t="shared" si="146"/>
        <v>0</v>
      </c>
      <c r="DD28" s="521"/>
      <c r="DE28" s="522">
        <f t="shared" si="34"/>
        <v>0</v>
      </c>
      <c r="DF28" s="523">
        <f t="shared" si="147"/>
        <v>0</v>
      </c>
      <c r="DG28" s="521"/>
      <c r="DH28" s="522">
        <f t="shared" si="35"/>
        <v>0</v>
      </c>
      <c r="DI28" s="523">
        <f t="shared" si="203"/>
        <v>0</v>
      </c>
      <c r="DJ28" s="521"/>
      <c r="DK28" s="522">
        <f t="shared" si="36"/>
        <v>0</v>
      </c>
      <c r="DL28" s="523">
        <f t="shared" si="148"/>
        <v>0</v>
      </c>
      <c r="DM28" s="521"/>
      <c r="DN28" s="522">
        <f t="shared" si="37"/>
        <v>0</v>
      </c>
      <c r="DO28" s="523">
        <f t="shared" si="149"/>
        <v>0</v>
      </c>
      <c r="DP28" s="521"/>
      <c r="DQ28" s="522">
        <f t="shared" si="38"/>
        <v>0</v>
      </c>
      <c r="DR28" s="523">
        <f t="shared" si="150"/>
        <v>0</v>
      </c>
      <c r="DS28" s="521"/>
      <c r="DT28" s="522">
        <f t="shared" si="39"/>
        <v>0</v>
      </c>
      <c r="DU28" s="523">
        <f t="shared" si="151"/>
        <v>0</v>
      </c>
      <c r="DV28" s="521"/>
      <c r="DW28" s="522">
        <f t="shared" si="40"/>
        <v>0</v>
      </c>
      <c r="DX28" s="523">
        <f t="shared" si="152"/>
        <v>0</v>
      </c>
      <c r="DY28" s="521"/>
      <c r="DZ28" s="522">
        <f t="shared" si="41"/>
        <v>0</v>
      </c>
      <c r="EA28" s="523">
        <f t="shared" si="153"/>
        <v>0</v>
      </c>
      <c r="EB28" s="521"/>
      <c r="EC28" s="522">
        <f t="shared" si="42"/>
        <v>0</v>
      </c>
      <c r="ED28" s="523">
        <f t="shared" si="154"/>
        <v>0</v>
      </c>
      <c r="EE28" s="521">
        <v>14.534883720930225</v>
      </c>
      <c r="EF28" s="522">
        <f t="shared" si="43"/>
        <v>0.3137047832199561</v>
      </c>
      <c r="EG28" s="523">
        <f t="shared" si="155"/>
        <v>0</v>
      </c>
      <c r="EH28" s="521">
        <v>11.741176470588243</v>
      </c>
      <c r="EI28" s="522">
        <f t="shared" si="44"/>
        <v>0.25340850949837573</v>
      </c>
      <c r="EJ28" s="523">
        <f t="shared" si="156"/>
        <v>0</v>
      </c>
      <c r="EK28" s="521"/>
      <c r="EL28" s="522">
        <f t="shared" si="45"/>
        <v>0</v>
      </c>
      <c r="EM28" s="523">
        <f t="shared" si="157"/>
        <v>0</v>
      </c>
      <c r="EN28" s="521">
        <v>7</v>
      </c>
      <c r="EO28" s="522">
        <f t="shared" si="46"/>
        <v>0.15108022359873094</v>
      </c>
      <c r="EP28" s="523">
        <f t="shared" si="158"/>
        <v>0</v>
      </c>
      <c r="EQ28" s="521"/>
      <c r="ER28" s="522">
        <f t="shared" si="47"/>
        <v>0</v>
      </c>
      <c r="ES28" s="523">
        <f t="shared" si="159"/>
        <v>0</v>
      </c>
      <c r="ET28" s="521"/>
      <c r="EU28" s="522">
        <f t="shared" si="48"/>
        <v>0</v>
      </c>
      <c r="EV28" s="523">
        <f t="shared" si="160"/>
        <v>0</v>
      </c>
      <c r="EW28" s="521"/>
      <c r="EX28" s="522">
        <f t="shared" si="49"/>
        <v>0</v>
      </c>
      <c r="EY28" s="523">
        <f t="shared" si="161"/>
        <v>0</v>
      </c>
      <c r="EZ28" s="521"/>
      <c r="FA28" s="522">
        <f t="shared" si="50"/>
        <v>0</v>
      </c>
      <c r="FB28" s="523">
        <f t="shared" si="162"/>
        <v>0</v>
      </c>
      <c r="FC28" s="521"/>
      <c r="FD28" s="522">
        <f t="shared" si="51"/>
        <v>0</v>
      </c>
      <c r="FE28" s="523">
        <f t="shared" si="163"/>
        <v>0</v>
      </c>
      <c r="FF28" s="521"/>
      <c r="FG28" s="522">
        <f t="shared" si="52"/>
        <v>0</v>
      </c>
      <c r="FH28" s="523">
        <f t="shared" si="164"/>
        <v>0</v>
      </c>
      <c r="FI28" s="521"/>
      <c r="FJ28" s="522">
        <f t="shared" si="53"/>
        <v>0</v>
      </c>
      <c r="FK28" s="523">
        <f t="shared" si="165"/>
        <v>0</v>
      </c>
      <c r="FL28" s="521"/>
      <c r="FM28" s="522">
        <f t="shared" si="54"/>
        <v>0</v>
      </c>
      <c r="FN28" s="523">
        <f t="shared" si="166"/>
        <v>0</v>
      </c>
      <c r="FO28" s="521"/>
      <c r="FP28" s="522">
        <f t="shared" si="55"/>
        <v>0</v>
      </c>
      <c r="FQ28" s="523">
        <f t="shared" si="167"/>
        <v>0</v>
      </c>
      <c r="FR28" s="521"/>
      <c r="FS28" s="522">
        <f t="shared" si="56"/>
        <v>0</v>
      </c>
      <c r="FT28" s="523">
        <f t="shared" si="168"/>
        <v>0</v>
      </c>
      <c r="FU28" s="521"/>
      <c r="FV28" s="522">
        <f t="shared" si="57"/>
        <v>0</v>
      </c>
      <c r="FW28" s="523">
        <f t="shared" si="169"/>
        <v>0</v>
      </c>
      <c r="FX28" s="521"/>
      <c r="FY28" s="522">
        <f t="shared" si="58"/>
        <v>0</v>
      </c>
      <c r="FZ28" s="523">
        <f t="shared" si="170"/>
        <v>0</v>
      </c>
      <c r="GA28" s="521"/>
      <c r="GB28" s="522">
        <f t="shared" si="59"/>
        <v>0</v>
      </c>
      <c r="GC28" s="523">
        <f t="shared" si="171"/>
        <v>0</v>
      </c>
      <c r="GD28" s="521"/>
      <c r="GE28" s="522">
        <f t="shared" si="60"/>
        <v>0</v>
      </c>
      <c r="GF28" s="523">
        <f t="shared" si="172"/>
        <v>0</v>
      </c>
      <c r="GG28" s="521"/>
      <c r="GH28" s="522">
        <f t="shared" si="61"/>
        <v>0</v>
      </c>
      <c r="GI28" s="523">
        <f t="shared" si="173"/>
        <v>0</v>
      </c>
      <c r="GJ28" s="521"/>
      <c r="GK28" s="522">
        <f t="shared" si="62"/>
        <v>0</v>
      </c>
      <c r="GL28" s="523">
        <f t="shared" si="174"/>
        <v>0</v>
      </c>
      <c r="GM28" s="521"/>
      <c r="GN28" s="522">
        <f t="shared" si="63"/>
        <v>0</v>
      </c>
      <c r="GO28" s="523">
        <f t="shared" si="175"/>
        <v>0</v>
      </c>
      <c r="GP28" s="521"/>
      <c r="GQ28" s="522">
        <f t="shared" si="64"/>
        <v>0</v>
      </c>
      <c r="GR28" s="523">
        <f t="shared" si="176"/>
        <v>0</v>
      </c>
      <c r="GS28" s="521"/>
      <c r="GT28" s="522">
        <f t="shared" si="65"/>
        <v>0</v>
      </c>
      <c r="GU28" s="523">
        <f t="shared" si="177"/>
        <v>0</v>
      </c>
      <c r="GV28" s="521"/>
      <c r="GW28" s="522">
        <f t="shared" si="66"/>
        <v>0</v>
      </c>
      <c r="GX28" s="523">
        <f t="shared" si="178"/>
        <v>0</v>
      </c>
      <c r="GY28" s="521"/>
      <c r="GZ28" s="522">
        <f t="shared" si="67"/>
        <v>0</v>
      </c>
      <c r="HA28" s="523">
        <f t="shared" si="179"/>
        <v>0</v>
      </c>
      <c r="HB28" s="521"/>
      <c r="HC28" s="522">
        <f t="shared" si="68"/>
        <v>0</v>
      </c>
      <c r="HD28" s="523">
        <f t="shared" si="180"/>
        <v>0</v>
      </c>
      <c r="HE28" s="521"/>
      <c r="HF28" s="522">
        <f t="shared" si="69"/>
        <v>0</v>
      </c>
      <c r="HG28" s="523">
        <f t="shared" si="181"/>
        <v>0</v>
      </c>
      <c r="HH28" s="521"/>
      <c r="HI28" s="522">
        <f t="shared" si="70"/>
        <v>0</v>
      </c>
      <c r="HJ28" s="523">
        <f t="shared" si="182"/>
        <v>0</v>
      </c>
      <c r="HK28" s="521"/>
      <c r="HL28" s="522">
        <f t="shared" si="71"/>
        <v>0</v>
      </c>
      <c r="HM28" s="523">
        <f t="shared" si="183"/>
        <v>0</v>
      </c>
      <c r="HN28" s="521"/>
      <c r="HO28" s="522">
        <f t="shared" si="72"/>
        <v>0</v>
      </c>
      <c r="HP28" s="523">
        <f t="shared" si="184"/>
        <v>0</v>
      </c>
      <c r="HQ28" s="521"/>
      <c r="HR28" s="522">
        <f t="shared" si="73"/>
        <v>0</v>
      </c>
      <c r="HS28" s="523">
        <f t="shared" si="185"/>
        <v>0</v>
      </c>
      <c r="HT28" s="521"/>
      <c r="HU28" s="522">
        <f t="shared" si="74"/>
        <v>0</v>
      </c>
      <c r="HV28" s="523">
        <f t="shared" si="186"/>
        <v>0</v>
      </c>
      <c r="HW28" s="521"/>
      <c r="HX28" s="522">
        <f t="shared" si="75"/>
        <v>0</v>
      </c>
      <c r="HY28" s="523">
        <f t="shared" si="187"/>
        <v>0</v>
      </c>
      <c r="HZ28" s="521"/>
      <c r="IA28" s="522">
        <f t="shared" si="76"/>
        <v>0</v>
      </c>
      <c r="IB28" s="523">
        <f t="shared" si="188"/>
        <v>0</v>
      </c>
      <c r="IC28" s="521"/>
      <c r="ID28" s="522">
        <f t="shared" si="77"/>
        <v>0</v>
      </c>
      <c r="IE28" s="523">
        <f t="shared" si="189"/>
        <v>0</v>
      </c>
      <c r="IF28" s="521"/>
      <c r="IG28" s="522">
        <f t="shared" si="78"/>
        <v>0</v>
      </c>
      <c r="IH28" s="523">
        <f t="shared" si="190"/>
        <v>0</v>
      </c>
      <c r="II28" s="521"/>
      <c r="IJ28" s="522">
        <f t="shared" si="79"/>
        <v>0</v>
      </c>
      <c r="IK28" s="523">
        <f t="shared" si="191"/>
        <v>0</v>
      </c>
      <c r="IL28" s="521"/>
      <c r="IM28" s="522">
        <f t="shared" si="80"/>
        <v>0</v>
      </c>
      <c r="IN28" s="523">
        <f t="shared" si="192"/>
        <v>0</v>
      </c>
      <c r="IO28" s="521"/>
      <c r="IP28" s="522">
        <f t="shared" si="81"/>
        <v>0</v>
      </c>
      <c r="IQ28" s="523">
        <f t="shared" si="193"/>
        <v>0</v>
      </c>
      <c r="IR28" s="521"/>
      <c r="IS28" s="522">
        <f t="shared" si="82"/>
        <v>0</v>
      </c>
      <c r="IT28" s="523">
        <f t="shared" si="194"/>
        <v>0</v>
      </c>
      <c r="IU28" s="521"/>
      <c r="IV28" s="522">
        <f t="shared" si="83"/>
        <v>0</v>
      </c>
      <c r="IW28" s="523">
        <f t="shared" si="195"/>
        <v>0</v>
      </c>
      <c r="IX28" s="521"/>
      <c r="IY28" s="522">
        <f t="shared" si="84"/>
        <v>0</v>
      </c>
      <c r="IZ28" s="523">
        <f t="shared" si="196"/>
        <v>0</v>
      </c>
      <c r="JA28" s="521"/>
      <c r="JB28" s="522">
        <f t="shared" si="85"/>
        <v>0</v>
      </c>
      <c r="JC28" s="523">
        <f t="shared" si="197"/>
        <v>0</v>
      </c>
      <c r="JD28" s="521"/>
      <c r="JE28" s="522">
        <f t="shared" si="86"/>
        <v>0</v>
      </c>
      <c r="JF28" s="523">
        <f t="shared" si="198"/>
        <v>0</v>
      </c>
      <c r="JG28" s="521"/>
      <c r="JH28" s="522">
        <f t="shared" si="87"/>
        <v>0</v>
      </c>
      <c r="JI28" s="523">
        <f t="shared" si="199"/>
        <v>0</v>
      </c>
      <c r="JJ28" s="521"/>
      <c r="JK28" s="523" t="str">
        <f t="shared" si="88"/>
        <v>0</v>
      </c>
      <c r="JL28" s="523" t="str">
        <f t="shared" si="89"/>
        <v>0</v>
      </c>
      <c r="JM28" s="521"/>
      <c r="JN28" s="523" t="str">
        <f t="shared" si="90"/>
        <v>0</v>
      </c>
      <c r="JO28" s="523" t="str">
        <f t="shared" si="91"/>
        <v>0</v>
      </c>
      <c r="JP28" s="521"/>
      <c r="JQ28" s="523" t="str">
        <f t="shared" si="92"/>
        <v>0</v>
      </c>
      <c r="JR28" s="523" t="str">
        <f t="shared" si="93"/>
        <v>0</v>
      </c>
      <c r="JS28" s="521"/>
      <c r="JT28" s="523" t="str">
        <f t="shared" si="94"/>
        <v>0</v>
      </c>
      <c r="JU28" s="523" t="str">
        <f t="shared" si="95"/>
        <v>0</v>
      </c>
      <c r="JV28" s="521"/>
      <c r="JW28" s="523" t="str">
        <f t="shared" si="96"/>
        <v>0</v>
      </c>
      <c r="JX28" s="523" t="str">
        <f t="shared" si="97"/>
        <v>0</v>
      </c>
      <c r="JY28" s="521"/>
      <c r="JZ28" s="523" t="str">
        <f t="shared" si="98"/>
        <v>0</v>
      </c>
      <c r="KA28" s="523" t="str">
        <f t="shared" si="99"/>
        <v>0</v>
      </c>
      <c r="KB28" s="521"/>
      <c r="KC28" s="523" t="str">
        <f t="shared" si="100"/>
        <v>0</v>
      </c>
      <c r="KD28" s="523" t="str">
        <f t="shared" si="101"/>
        <v>0</v>
      </c>
      <c r="KE28" s="521"/>
      <c r="KF28" s="523" t="str">
        <f t="shared" si="102"/>
        <v>0</v>
      </c>
      <c r="KG28" s="523" t="str">
        <f t="shared" si="103"/>
        <v>0</v>
      </c>
      <c r="KH28" s="521"/>
      <c r="KI28" s="523" t="str">
        <f t="shared" si="104"/>
        <v>0</v>
      </c>
      <c r="KJ28" s="523" t="str">
        <f t="shared" si="105"/>
        <v>0</v>
      </c>
      <c r="KK28" s="521"/>
      <c r="KL28" s="523" t="str">
        <f t="shared" si="106"/>
        <v>0</v>
      </c>
      <c r="KM28" s="523" t="str">
        <f t="shared" si="107"/>
        <v>0</v>
      </c>
      <c r="KN28" s="521"/>
      <c r="KO28" s="523" t="str">
        <f t="shared" si="108"/>
        <v>0</v>
      </c>
      <c r="KP28" s="523" t="str">
        <f t="shared" si="109"/>
        <v>0</v>
      </c>
      <c r="KQ28" s="521"/>
      <c r="KR28" s="523" t="str">
        <f t="shared" si="110"/>
        <v>0</v>
      </c>
      <c r="KS28" s="523" t="str">
        <f t="shared" si="111"/>
        <v>0</v>
      </c>
      <c r="KT28" s="523">
        <f t="shared" si="201"/>
        <v>0</v>
      </c>
      <c r="KU28" s="523">
        <f t="shared" si="202"/>
        <v>0</v>
      </c>
      <c r="KV28" s="260">
        <f t="shared" si="112"/>
        <v>575.18281247294317</v>
      </c>
    </row>
    <row r="29" spans="1:308">
      <c r="A29" s="261">
        <f t="shared" si="200"/>
        <v>46043</v>
      </c>
      <c r="B29" s="262" t="str">
        <f>+Report1!B29</f>
        <v>Facial</v>
      </c>
      <c r="C29" s="262" t="str">
        <f>+Report1!C29</f>
        <v>13/11/14</v>
      </c>
      <c r="D29" s="263">
        <f>+Report1!P29</f>
        <v>41.471000000000004</v>
      </c>
      <c r="E29" s="554">
        <f>+Report1!R29</f>
        <v>39.21</v>
      </c>
      <c r="F29" s="521"/>
      <c r="G29" s="522">
        <f t="shared" si="0"/>
        <v>0</v>
      </c>
      <c r="H29" s="523">
        <f t="shared" si="113"/>
        <v>0</v>
      </c>
      <c r="I29" s="521">
        <v>232.55813953488371</v>
      </c>
      <c r="J29" s="522">
        <f t="shared" si="1"/>
        <v>5.931092566561686</v>
      </c>
      <c r="K29" s="523">
        <f t="shared" si="114"/>
        <v>0</v>
      </c>
      <c r="L29" s="521"/>
      <c r="M29" s="522">
        <f t="shared" si="2"/>
        <v>0</v>
      </c>
      <c r="N29" s="523">
        <f t="shared" si="115"/>
        <v>0</v>
      </c>
      <c r="O29" s="521">
        <v>9</v>
      </c>
      <c r="P29" s="522">
        <f t="shared" si="3"/>
        <v>0.22953328232593725</v>
      </c>
      <c r="Q29" s="523">
        <f t="shared" si="116"/>
        <v>0</v>
      </c>
      <c r="R29" s="521"/>
      <c r="S29" s="522">
        <f t="shared" si="4"/>
        <v>0</v>
      </c>
      <c r="T29" s="523">
        <f t="shared" si="117"/>
        <v>0</v>
      </c>
      <c r="U29" s="521">
        <v>5.1249999999999432</v>
      </c>
      <c r="V29" s="522">
        <f t="shared" si="5"/>
        <v>0.13070645243560172</v>
      </c>
      <c r="W29" s="523">
        <f t="shared" si="118"/>
        <v>0</v>
      </c>
      <c r="X29" s="521"/>
      <c r="Y29" s="522">
        <f t="shared" si="6"/>
        <v>0</v>
      </c>
      <c r="Z29" s="523">
        <f t="shared" si="119"/>
        <v>0</v>
      </c>
      <c r="AA29" s="521"/>
      <c r="AB29" s="522">
        <f t="shared" si="7"/>
        <v>0</v>
      </c>
      <c r="AC29" s="523">
        <f t="shared" si="120"/>
        <v>0</v>
      </c>
      <c r="AD29" s="521"/>
      <c r="AE29" s="522">
        <f t="shared" si="8"/>
        <v>0</v>
      </c>
      <c r="AF29" s="523">
        <f t="shared" si="121"/>
        <v>0</v>
      </c>
      <c r="AG29" s="521"/>
      <c r="AH29" s="522">
        <f t="shared" si="9"/>
        <v>0</v>
      </c>
      <c r="AI29" s="523">
        <f t="shared" si="122"/>
        <v>0</v>
      </c>
      <c r="AJ29" s="521"/>
      <c r="AK29" s="522">
        <f t="shared" si="10"/>
        <v>0</v>
      </c>
      <c r="AL29" s="523">
        <f t="shared" si="123"/>
        <v>0</v>
      </c>
      <c r="AM29" s="521"/>
      <c r="AN29" s="522">
        <f t="shared" si="11"/>
        <v>0</v>
      </c>
      <c r="AO29" s="523">
        <f t="shared" si="124"/>
        <v>0</v>
      </c>
      <c r="AP29" s="521">
        <v>37.025316455696213</v>
      </c>
      <c r="AQ29" s="522">
        <f t="shared" si="12"/>
        <v>0.94428249058138769</v>
      </c>
      <c r="AR29" s="523">
        <f t="shared" si="125"/>
        <v>0</v>
      </c>
      <c r="AS29" s="521"/>
      <c r="AT29" s="522">
        <f t="shared" si="13"/>
        <v>0</v>
      </c>
      <c r="AU29" s="523">
        <f t="shared" si="126"/>
        <v>0</v>
      </c>
      <c r="AV29" s="521"/>
      <c r="AW29" s="522">
        <f t="shared" si="14"/>
        <v>0</v>
      </c>
      <c r="AX29" s="523">
        <f t="shared" si="127"/>
        <v>0</v>
      </c>
      <c r="AY29" s="521">
        <v>67.666666666666657</v>
      </c>
      <c r="AZ29" s="522">
        <f t="shared" si="15"/>
        <v>1.7257502337838984</v>
      </c>
      <c r="BA29" s="523">
        <f t="shared" si="128"/>
        <v>0</v>
      </c>
      <c r="BB29" s="521"/>
      <c r="BC29" s="522">
        <f t="shared" si="16"/>
        <v>0</v>
      </c>
      <c r="BD29" s="523">
        <f t="shared" si="129"/>
        <v>0</v>
      </c>
      <c r="BE29" s="521"/>
      <c r="BF29" s="522">
        <f t="shared" si="17"/>
        <v>0</v>
      </c>
      <c r="BG29" s="523">
        <f t="shared" si="130"/>
        <v>0</v>
      </c>
      <c r="BH29" s="521"/>
      <c r="BI29" s="522">
        <f t="shared" si="18"/>
        <v>0</v>
      </c>
      <c r="BJ29" s="523">
        <f t="shared" si="131"/>
        <v>0</v>
      </c>
      <c r="BK29" s="521"/>
      <c r="BL29" s="522">
        <f t="shared" si="19"/>
        <v>0</v>
      </c>
      <c r="BM29" s="523">
        <f t="shared" si="132"/>
        <v>0</v>
      </c>
      <c r="BN29" s="521"/>
      <c r="BO29" s="522">
        <f t="shared" si="20"/>
        <v>0</v>
      </c>
      <c r="BP29" s="523">
        <f t="shared" si="133"/>
        <v>0</v>
      </c>
      <c r="BQ29" s="521"/>
      <c r="BR29" s="522">
        <f t="shared" si="21"/>
        <v>0</v>
      </c>
      <c r="BS29" s="523">
        <f t="shared" si="134"/>
        <v>0</v>
      </c>
      <c r="BT29" s="521"/>
      <c r="BU29" s="522">
        <f t="shared" si="22"/>
        <v>0</v>
      </c>
      <c r="BV29" s="523">
        <f t="shared" si="135"/>
        <v>0</v>
      </c>
      <c r="BW29" s="521"/>
      <c r="BX29" s="522">
        <f t="shared" si="23"/>
        <v>0</v>
      </c>
      <c r="BY29" s="523">
        <f t="shared" si="136"/>
        <v>0</v>
      </c>
      <c r="BZ29" s="521"/>
      <c r="CA29" s="522">
        <f t="shared" si="24"/>
        <v>0</v>
      </c>
      <c r="CB29" s="523">
        <f t="shared" si="137"/>
        <v>0</v>
      </c>
      <c r="CC29" s="521"/>
      <c r="CD29" s="522">
        <f t="shared" si="25"/>
        <v>0</v>
      </c>
      <c r="CE29" s="523">
        <f t="shared" si="138"/>
        <v>0</v>
      </c>
      <c r="CF29" s="521">
        <v>0.39999999999999858</v>
      </c>
      <c r="CG29" s="522">
        <f t="shared" si="26"/>
        <v>1.0201479214486064E-2</v>
      </c>
      <c r="CH29" s="523">
        <f t="shared" si="139"/>
        <v>0</v>
      </c>
      <c r="CI29" s="521"/>
      <c r="CJ29" s="522">
        <f t="shared" si="27"/>
        <v>0</v>
      </c>
      <c r="CK29" s="523">
        <f t="shared" si="140"/>
        <v>0</v>
      </c>
      <c r="CL29" s="521"/>
      <c r="CM29" s="522">
        <f t="shared" si="28"/>
        <v>0</v>
      </c>
      <c r="CN29" s="523">
        <f t="shared" si="141"/>
        <v>0</v>
      </c>
      <c r="CO29" s="521"/>
      <c r="CP29" s="522">
        <f t="shared" si="29"/>
        <v>0</v>
      </c>
      <c r="CQ29" s="523">
        <f t="shared" si="142"/>
        <v>0</v>
      </c>
      <c r="CR29" s="521">
        <v>1</v>
      </c>
      <c r="CS29" s="522">
        <f t="shared" si="30"/>
        <v>2.5503698036215251E-2</v>
      </c>
      <c r="CT29" s="523">
        <f t="shared" si="143"/>
        <v>0</v>
      </c>
      <c r="CU29" s="521"/>
      <c r="CV29" s="522">
        <f t="shared" si="31"/>
        <v>0</v>
      </c>
      <c r="CW29" s="523">
        <f t="shared" si="144"/>
        <v>0</v>
      </c>
      <c r="CX29" s="521"/>
      <c r="CY29" s="522">
        <f t="shared" si="32"/>
        <v>0</v>
      </c>
      <c r="CZ29" s="523">
        <f t="shared" si="145"/>
        <v>0</v>
      </c>
      <c r="DA29" s="521">
        <v>0</v>
      </c>
      <c r="DB29" s="522">
        <f t="shared" si="33"/>
        <v>0</v>
      </c>
      <c r="DC29" s="523">
        <f t="shared" si="146"/>
        <v>0</v>
      </c>
      <c r="DD29" s="521"/>
      <c r="DE29" s="522">
        <f t="shared" si="34"/>
        <v>0</v>
      </c>
      <c r="DF29" s="523">
        <f t="shared" si="147"/>
        <v>0</v>
      </c>
      <c r="DG29" s="521"/>
      <c r="DH29" s="522">
        <f t="shared" si="35"/>
        <v>0</v>
      </c>
      <c r="DI29" s="523">
        <f t="shared" si="203"/>
        <v>0</v>
      </c>
      <c r="DJ29" s="521"/>
      <c r="DK29" s="522">
        <f t="shared" si="36"/>
        <v>0</v>
      </c>
      <c r="DL29" s="523">
        <f t="shared" si="148"/>
        <v>0</v>
      </c>
      <c r="DM29" s="521"/>
      <c r="DN29" s="522">
        <f t="shared" si="37"/>
        <v>0</v>
      </c>
      <c r="DO29" s="523">
        <f t="shared" si="149"/>
        <v>0</v>
      </c>
      <c r="DP29" s="521"/>
      <c r="DQ29" s="522">
        <f t="shared" si="38"/>
        <v>0</v>
      </c>
      <c r="DR29" s="523">
        <f t="shared" si="150"/>
        <v>0</v>
      </c>
      <c r="DS29" s="521"/>
      <c r="DT29" s="522">
        <f t="shared" si="39"/>
        <v>0</v>
      </c>
      <c r="DU29" s="523">
        <f t="shared" si="151"/>
        <v>0</v>
      </c>
      <c r="DV29" s="521"/>
      <c r="DW29" s="522">
        <f t="shared" si="40"/>
        <v>0</v>
      </c>
      <c r="DX29" s="523">
        <f t="shared" si="152"/>
        <v>0</v>
      </c>
      <c r="DY29" s="521"/>
      <c r="DZ29" s="522">
        <f t="shared" si="41"/>
        <v>0</v>
      </c>
      <c r="EA29" s="523">
        <f t="shared" si="153"/>
        <v>0</v>
      </c>
      <c r="EB29" s="521"/>
      <c r="EC29" s="522">
        <f t="shared" si="42"/>
        <v>0</v>
      </c>
      <c r="ED29" s="523">
        <f t="shared" si="154"/>
        <v>0</v>
      </c>
      <c r="EE29" s="521">
        <v>14.534883720930225</v>
      </c>
      <c r="EF29" s="522">
        <f t="shared" si="43"/>
        <v>0.37069328541010521</v>
      </c>
      <c r="EG29" s="523">
        <f t="shared" si="155"/>
        <v>0</v>
      </c>
      <c r="EH29" s="521">
        <v>23.48235294117643</v>
      </c>
      <c r="EI29" s="522">
        <f t="shared" si="44"/>
        <v>0.59888683859159475</v>
      </c>
      <c r="EJ29" s="523">
        <f t="shared" si="156"/>
        <v>0</v>
      </c>
      <c r="EK29" s="521"/>
      <c r="EL29" s="522">
        <f t="shared" si="45"/>
        <v>0</v>
      </c>
      <c r="EM29" s="523">
        <f t="shared" si="157"/>
        <v>0</v>
      </c>
      <c r="EN29" s="521">
        <v>6</v>
      </c>
      <c r="EO29" s="522">
        <f t="shared" si="46"/>
        <v>0.15302218821729149</v>
      </c>
      <c r="EP29" s="523">
        <f t="shared" si="158"/>
        <v>0</v>
      </c>
      <c r="EQ29" s="521"/>
      <c r="ER29" s="522">
        <f t="shared" si="47"/>
        <v>0</v>
      </c>
      <c r="ES29" s="523">
        <f t="shared" si="159"/>
        <v>0</v>
      </c>
      <c r="ET29" s="521"/>
      <c r="EU29" s="522">
        <f t="shared" si="48"/>
        <v>0</v>
      </c>
      <c r="EV29" s="523">
        <f t="shared" si="160"/>
        <v>0</v>
      </c>
      <c r="EW29" s="521"/>
      <c r="EX29" s="522">
        <f t="shared" si="49"/>
        <v>0</v>
      </c>
      <c r="EY29" s="523">
        <f t="shared" si="161"/>
        <v>0</v>
      </c>
      <c r="EZ29" s="521"/>
      <c r="FA29" s="522">
        <f t="shared" si="50"/>
        <v>0</v>
      </c>
      <c r="FB29" s="523">
        <f t="shared" si="162"/>
        <v>0</v>
      </c>
      <c r="FC29" s="521"/>
      <c r="FD29" s="522">
        <f t="shared" si="51"/>
        <v>0</v>
      </c>
      <c r="FE29" s="523">
        <f t="shared" si="163"/>
        <v>0</v>
      </c>
      <c r="FF29" s="521"/>
      <c r="FG29" s="522">
        <f t="shared" si="52"/>
        <v>0</v>
      </c>
      <c r="FH29" s="523">
        <f t="shared" si="164"/>
        <v>0</v>
      </c>
      <c r="FI29" s="521"/>
      <c r="FJ29" s="522">
        <f t="shared" si="53"/>
        <v>0</v>
      </c>
      <c r="FK29" s="523">
        <f t="shared" si="165"/>
        <v>0</v>
      </c>
      <c r="FL29" s="521"/>
      <c r="FM29" s="522">
        <f t="shared" si="54"/>
        <v>0</v>
      </c>
      <c r="FN29" s="523">
        <f t="shared" si="166"/>
        <v>0</v>
      </c>
      <c r="FO29" s="521"/>
      <c r="FP29" s="522">
        <f t="shared" si="55"/>
        <v>0</v>
      </c>
      <c r="FQ29" s="523">
        <f t="shared" si="167"/>
        <v>0</v>
      </c>
      <c r="FR29" s="521"/>
      <c r="FS29" s="522">
        <f t="shared" si="56"/>
        <v>0</v>
      </c>
      <c r="FT29" s="523">
        <f t="shared" si="168"/>
        <v>0</v>
      </c>
      <c r="FU29" s="521"/>
      <c r="FV29" s="522">
        <f t="shared" si="57"/>
        <v>0</v>
      </c>
      <c r="FW29" s="523">
        <f t="shared" si="169"/>
        <v>0</v>
      </c>
      <c r="FX29" s="521"/>
      <c r="FY29" s="522">
        <f t="shared" si="58"/>
        <v>0</v>
      </c>
      <c r="FZ29" s="523">
        <f t="shared" si="170"/>
        <v>0</v>
      </c>
      <c r="GA29" s="521"/>
      <c r="GB29" s="522">
        <f t="shared" si="59"/>
        <v>0</v>
      </c>
      <c r="GC29" s="523">
        <f t="shared" si="171"/>
        <v>0</v>
      </c>
      <c r="GD29" s="521"/>
      <c r="GE29" s="522">
        <f t="shared" si="60"/>
        <v>0</v>
      </c>
      <c r="GF29" s="523">
        <f t="shared" si="172"/>
        <v>0</v>
      </c>
      <c r="GG29" s="521"/>
      <c r="GH29" s="522">
        <f t="shared" si="61"/>
        <v>0</v>
      </c>
      <c r="GI29" s="523">
        <f t="shared" si="173"/>
        <v>0</v>
      </c>
      <c r="GJ29" s="521"/>
      <c r="GK29" s="522">
        <f t="shared" si="62"/>
        <v>0</v>
      </c>
      <c r="GL29" s="523">
        <f t="shared" si="174"/>
        <v>0</v>
      </c>
      <c r="GM29" s="521"/>
      <c r="GN29" s="522">
        <f t="shared" si="63"/>
        <v>0</v>
      </c>
      <c r="GO29" s="523">
        <f t="shared" si="175"/>
        <v>0</v>
      </c>
      <c r="GP29" s="521"/>
      <c r="GQ29" s="522">
        <f t="shared" si="64"/>
        <v>0</v>
      </c>
      <c r="GR29" s="523">
        <f t="shared" si="176"/>
        <v>0</v>
      </c>
      <c r="GS29" s="521"/>
      <c r="GT29" s="522">
        <f t="shared" si="65"/>
        <v>0</v>
      </c>
      <c r="GU29" s="523">
        <f t="shared" si="177"/>
        <v>0</v>
      </c>
      <c r="GV29" s="521"/>
      <c r="GW29" s="522">
        <f t="shared" si="66"/>
        <v>0</v>
      </c>
      <c r="GX29" s="523">
        <f t="shared" si="178"/>
        <v>0</v>
      </c>
      <c r="GY29" s="521"/>
      <c r="GZ29" s="522">
        <f t="shared" si="67"/>
        <v>0</v>
      </c>
      <c r="HA29" s="523">
        <f t="shared" si="179"/>
        <v>0</v>
      </c>
      <c r="HB29" s="521"/>
      <c r="HC29" s="522">
        <f t="shared" si="68"/>
        <v>0</v>
      </c>
      <c r="HD29" s="523">
        <f t="shared" si="180"/>
        <v>0</v>
      </c>
      <c r="HE29" s="521"/>
      <c r="HF29" s="522">
        <f t="shared" si="69"/>
        <v>0</v>
      </c>
      <c r="HG29" s="523">
        <f t="shared" si="181"/>
        <v>0</v>
      </c>
      <c r="HH29" s="521"/>
      <c r="HI29" s="522">
        <f t="shared" si="70"/>
        <v>0</v>
      </c>
      <c r="HJ29" s="523">
        <f t="shared" si="182"/>
        <v>0</v>
      </c>
      <c r="HK29" s="521"/>
      <c r="HL29" s="522">
        <f t="shared" si="71"/>
        <v>0</v>
      </c>
      <c r="HM29" s="523">
        <f t="shared" si="183"/>
        <v>0</v>
      </c>
      <c r="HN29" s="521"/>
      <c r="HO29" s="522">
        <f t="shared" si="72"/>
        <v>0</v>
      </c>
      <c r="HP29" s="523">
        <f t="shared" si="184"/>
        <v>0</v>
      </c>
      <c r="HQ29" s="521"/>
      <c r="HR29" s="522">
        <f t="shared" si="73"/>
        <v>0</v>
      </c>
      <c r="HS29" s="523">
        <f t="shared" si="185"/>
        <v>0</v>
      </c>
      <c r="HT29" s="521"/>
      <c r="HU29" s="522">
        <f t="shared" si="74"/>
        <v>0</v>
      </c>
      <c r="HV29" s="523">
        <f t="shared" si="186"/>
        <v>0</v>
      </c>
      <c r="HW29" s="521"/>
      <c r="HX29" s="522">
        <f t="shared" si="75"/>
        <v>0</v>
      </c>
      <c r="HY29" s="523">
        <f t="shared" si="187"/>
        <v>0</v>
      </c>
      <c r="HZ29" s="521"/>
      <c r="IA29" s="522">
        <f t="shared" si="76"/>
        <v>0</v>
      </c>
      <c r="IB29" s="523">
        <f t="shared" si="188"/>
        <v>0</v>
      </c>
      <c r="IC29" s="521"/>
      <c r="ID29" s="522">
        <f t="shared" si="77"/>
        <v>0</v>
      </c>
      <c r="IE29" s="523">
        <f t="shared" si="189"/>
        <v>0</v>
      </c>
      <c r="IF29" s="521"/>
      <c r="IG29" s="522">
        <f t="shared" si="78"/>
        <v>0</v>
      </c>
      <c r="IH29" s="523">
        <f t="shared" si="190"/>
        <v>0</v>
      </c>
      <c r="II29" s="521"/>
      <c r="IJ29" s="522">
        <f t="shared" si="79"/>
        <v>0</v>
      </c>
      <c r="IK29" s="523">
        <f t="shared" si="191"/>
        <v>0</v>
      </c>
      <c r="IL29" s="521"/>
      <c r="IM29" s="522">
        <f t="shared" si="80"/>
        <v>0</v>
      </c>
      <c r="IN29" s="523">
        <f t="shared" si="192"/>
        <v>0</v>
      </c>
      <c r="IO29" s="521"/>
      <c r="IP29" s="522">
        <f t="shared" si="81"/>
        <v>0</v>
      </c>
      <c r="IQ29" s="523">
        <f t="shared" si="193"/>
        <v>0</v>
      </c>
      <c r="IR29" s="521"/>
      <c r="IS29" s="522">
        <f t="shared" si="82"/>
        <v>0</v>
      </c>
      <c r="IT29" s="523">
        <f t="shared" si="194"/>
        <v>0</v>
      </c>
      <c r="IU29" s="521"/>
      <c r="IV29" s="522">
        <f t="shared" si="83"/>
        <v>0</v>
      </c>
      <c r="IW29" s="523">
        <f t="shared" si="195"/>
        <v>0</v>
      </c>
      <c r="IX29" s="521"/>
      <c r="IY29" s="522">
        <f t="shared" si="84"/>
        <v>0</v>
      </c>
      <c r="IZ29" s="523">
        <f t="shared" si="196"/>
        <v>0</v>
      </c>
      <c r="JA29" s="521"/>
      <c r="JB29" s="522">
        <f t="shared" si="85"/>
        <v>0</v>
      </c>
      <c r="JC29" s="523">
        <f t="shared" si="197"/>
        <v>0</v>
      </c>
      <c r="JD29" s="521"/>
      <c r="JE29" s="522">
        <f t="shared" si="86"/>
        <v>0</v>
      </c>
      <c r="JF29" s="523">
        <f t="shared" si="198"/>
        <v>0</v>
      </c>
      <c r="JG29" s="521"/>
      <c r="JH29" s="522">
        <f t="shared" si="87"/>
        <v>0</v>
      </c>
      <c r="JI29" s="523">
        <f t="shared" si="199"/>
        <v>0</v>
      </c>
      <c r="JJ29" s="521"/>
      <c r="JK29" s="523" t="str">
        <f t="shared" si="88"/>
        <v>0</v>
      </c>
      <c r="JL29" s="523" t="str">
        <f t="shared" si="89"/>
        <v>0</v>
      </c>
      <c r="JM29" s="521"/>
      <c r="JN29" s="523" t="str">
        <f t="shared" si="90"/>
        <v>0</v>
      </c>
      <c r="JO29" s="523" t="str">
        <f t="shared" si="91"/>
        <v>0</v>
      </c>
      <c r="JP29" s="521"/>
      <c r="JQ29" s="523" t="str">
        <f t="shared" si="92"/>
        <v>0</v>
      </c>
      <c r="JR29" s="523" t="str">
        <f t="shared" si="93"/>
        <v>0</v>
      </c>
      <c r="JS29" s="521"/>
      <c r="JT29" s="523" t="str">
        <f t="shared" si="94"/>
        <v>0</v>
      </c>
      <c r="JU29" s="523" t="str">
        <f t="shared" si="95"/>
        <v>0</v>
      </c>
      <c r="JV29" s="521"/>
      <c r="JW29" s="523" t="str">
        <f t="shared" si="96"/>
        <v>0</v>
      </c>
      <c r="JX29" s="523" t="str">
        <f t="shared" si="97"/>
        <v>0</v>
      </c>
      <c r="JY29" s="521"/>
      <c r="JZ29" s="523" t="str">
        <f t="shared" si="98"/>
        <v>0</v>
      </c>
      <c r="KA29" s="523" t="str">
        <f t="shared" si="99"/>
        <v>0</v>
      </c>
      <c r="KB29" s="521"/>
      <c r="KC29" s="523" t="str">
        <f t="shared" si="100"/>
        <v>0</v>
      </c>
      <c r="KD29" s="523" t="str">
        <f t="shared" si="101"/>
        <v>0</v>
      </c>
      <c r="KE29" s="521"/>
      <c r="KF29" s="523" t="str">
        <f t="shared" si="102"/>
        <v>0</v>
      </c>
      <c r="KG29" s="523" t="str">
        <f t="shared" si="103"/>
        <v>0</v>
      </c>
      <c r="KH29" s="521"/>
      <c r="KI29" s="523" t="str">
        <f t="shared" si="104"/>
        <v>0</v>
      </c>
      <c r="KJ29" s="523" t="str">
        <f t="shared" si="105"/>
        <v>0</v>
      </c>
      <c r="KK29" s="521"/>
      <c r="KL29" s="523" t="str">
        <f t="shared" si="106"/>
        <v>0</v>
      </c>
      <c r="KM29" s="523" t="str">
        <f t="shared" si="107"/>
        <v>0</v>
      </c>
      <c r="KN29" s="521"/>
      <c r="KO29" s="523" t="str">
        <f t="shared" si="108"/>
        <v>0</v>
      </c>
      <c r="KP29" s="523" t="str">
        <f t="shared" si="109"/>
        <v>0</v>
      </c>
      <c r="KQ29" s="521"/>
      <c r="KR29" s="523" t="str">
        <f t="shared" si="110"/>
        <v>0</v>
      </c>
      <c r="KS29" s="523" t="str">
        <f t="shared" si="111"/>
        <v>0</v>
      </c>
      <c r="KT29" s="523">
        <f t="shared" si="201"/>
        <v>0</v>
      </c>
      <c r="KU29" s="523">
        <f t="shared" si="202"/>
        <v>0</v>
      </c>
      <c r="KV29" s="260">
        <f t="shared" si="112"/>
        <v>396.79235931935312</v>
      </c>
    </row>
    <row r="30" spans="1:308">
      <c r="A30" s="261">
        <f t="shared" si="200"/>
        <v>46044</v>
      </c>
      <c r="B30" s="262" t="str">
        <f>+Report1!B30</f>
        <v>Facial/Toilet</v>
      </c>
      <c r="C30" s="262" t="str">
        <f>+Report1!C30</f>
        <v>14/13</v>
      </c>
      <c r="D30" s="263">
        <f>+Report1!P30</f>
        <v>43.527999999999999</v>
      </c>
      <c r="E30" s="554">
        <f>+Report1!R30</f>
        <v>42.567</v>
      </c>
      <c r="F30" s="521"/>
      <c r="G30" s="522">
        <f t="shared" si="0"/>
        <v>0</v>
      </c>
      <c r="H30" s="523">
        <f t="shared" si="113"/>
        <v>0</v>
      </c>
      <c r="I30" s="521">
        <v>0</v>
      </c>
      <c r="J30" s="522">
        <f t="shared" si="1"/>
        <v>0</v>
      </c>
      <c r="K30" s="523">
        <f t="shared" si="114"/>
        <v>0</v>
      </c>
      <c r="L30" s="521"/>
      <c r="M30" s="522">
        <f t="shared" si="2"/>
        <v>0</v>
      </c>
      <c r="N30" s="523">
        <f t="shared" si="115"/>
        <v>0</v>
      </c>
      <c r="O30" s="521">
        <v>9</v>
      </c>
      <c r="P30" s="522">
        <f t="shared" si="3"/>
        <v>0.21143139051377827</v>
      </c>
      <c r="Q30" s="523">
        <f t="shared" si="116"/>
        <v>0</v>
      </c>
      <c r="R30" s="521"/>
      <c r="S30" s="522">
        <f t="shared" si="4"/>
        <v>0</v>
      </c>
      <c r="T30" s="523">
        <f t="shared" si="117"/>
        <v>0</v>
      </c>
      <c r="U30" s="521">
        <v>7.6875</v>
      </c>
      <c r="V30" s="522">
        <f t="shared" si="5"/>
        <v>0.18059764606385229</v>
      </c>
      <c r="W30" s="523">
        <f t="shared" si="118"/>
        <v>0</v>
      </c>
      <c r="X30" s="521"/>
      <c r="Y30" s="522">
        <f t="shared" si="6"/>
        <v>0</v>
      </c>
      <c r="Z30" s="523">
        <f t="shared" si="119"/>
        <v>0</v>
      </c>
      <c r="AA30" s="521"/>
      <c r="AB30" s="522">
        <f t="shared" si="7"/>
        <v>0</v>
      </c>
      <c r="AC30" s="523">
        <f t="shared" si="120"/>
        <v>0</v>
      </c>
      <c r="AD30" s="521"/>
      <c r="AE30" s="522">
        <f t="shared" si="8"/>
        <v>0</v>
      </c>
      <c r="AF30" s="523">
        <f t="shared" si="121"/>
        <v>0</v>
      </c>
      <c r="AG30" s="521"/>
      <c r="AH30" s="522">
        <f t="shared" si="9"/>
        <v>0</v>
      </c>
      <c r="AI30" s="523">
        <f t="shared" si="122"/>
        <v>0</v>
      </c>
      <c r="AJ30" s="521"/>
      <c r="AK30" s="522">
        <f t="shared" si="10"/>
        <v>0</v>
      </c>
      <c r="AL30" s="523">
        <f t="shared" si="123"/>
        <v>0</v>
      </c>
      <c r="AM30" s="521"/>
      <c r="AN30" s="522">
        <f t="shared" si="11"/>
        <v>0</v>
      </c>
      <c r="AO30" s="523">
        <f t="shared" si="124"/>
        <v>0</v>
      </c>
      <c r="AP30" s="521">
        <v>39.873417721518933</v>
      </c>
      <c r="AQ30" s="522">
        <f t="shared" si="12"/>
        <v>0.93672135037749749</v>
      </c>
      <c r="AR30" s="523">
        <f t="shared" si="125"/>
        <v>0</v>
      </c>
      <c r="AS30" s="521"/>
      <c r="AT30" s="522">
        <f t="shared" si="13"/>
        <v>0</v>
      </c>
      <c r="AU30" s="523">
        <f t="shared" si="126"/>
        <v>0</v>
      </c>
      <c r="AV30" s="521"/>
      <c r="AW30" s="522">
        <f t="shared" si="14"/>
        <v>0</v>
      </c>
      <c r="AX30" s="523">
        <f t="shared" si="127"/>
        <v>0</v>
      </c>
      <c r="AY30" s="521">
        <v>62.999999999999972</v>
      </c>
      <c r="AZ30" s="522">
        <f t="shared" si="15"/>
        <v>1.4800197335964473</v>
      </c>
      <c r="BA30" s="523">
        <f t="shared" si="128"/>
        <v>0</v>
      </c>
      <c r="BB30" s="521"/>
      <c r="BC30" s="522">
        <f t="shared" si="16"/>
        <v>0</v>
      </c>
      <c r="BD30" s="523">
        <f t="shared" si="129"/>
        <v>0</v>
      </c>
      <c r="BE30" s="521"/>
      <c r="BF30" s="522">
        <f t="shared" si="17"/>
        <v>0</v>
      </c>
      <c r="BG30" s="523">
        <f t="shared" si="130"/>
        <v>0</v>
      </c>
      <c r="BH30" s="521"/>
      <c r="BI30" s="522">
        <f t="shared" si="18"/>
        <v>0</v>
      </c>
      <c r="BJ30" s="523">
        <f t="shared" si="131"/>
        <v>0</v>
      </c>
      <c r="BK30" s="521"/>
      <c r="BL30" s="522">
        <f t="shared" si="19"/>
        <v>0</v>
      </c>
      <c r="BM30" s="523">
        <f t="shared" si="132"/>
        <v>0</v>
      </c>
      <c r="BN30" s="521"/>
      <c r="BO30" s="522">
        <f t="shared" si="20"/>
        <v>0</v>
      </c>
      <c r="BP30" s="523">
        <f t="shared" si="133"/>
        <v>0</v>
      </c>
      <c r="BQ30" s="521"/>
      <c r="BR30" s="522">
        <f t="shared" si="21"/>
        <v>0</v>
      </c>
      <c r="BS30" s="523">
        <f t="shared" si="134"/>
        <v>0</v>
      </c>
      <c r="BT30" s="521"/>
      <c r="BU30" s="522">
        <f t="shared" si="22"/>
        <v>0</v>
      </c>
      <c r="BV30" s="523">
        <f t="shared" si="135"/>
        <v>0</v>
      </c>
      <c r="BW30" s="521"/>
      <c r="BX30" s="522">
        <f t="shared" si="23"/>
        <v>0</v>
      </c>
      <c r="BY30" s="523">
        <f t="shared" si="136"/>
        <v>0</v>
      </c>
      <c r="BZ30" s="521"/>
      <c r="CA30" s="522">
        <f t="shared" si="24"/>
        <v>0</v>
      </c>
      <c r="CB30" s="523">
        <f t="shared" si="137"/>
        <v>0</v>
      </c>
      <c r="CC30" s="521"/>
      <c r="CD30" s="522">
        <f t="shared" si="25"/>
        <v>0</v>
      </c>
      <c r="CE30" s="523">
        <f t="shared" si="138"/>
        <v>0</v>
      </c>
      <c r="CF30" s="521">
        <v>1.2000000000000011</v>
      </c>
      <c r="CG30" s="522">
        <f t="shared" si="26"/>
        <v>2.8190852068503795E-2</v>
      </c>
      <c r="CH30" s="523">
        <f t="shared" si="139"/>
        <v>0</v>
      </c>
      <c r="CI30" s="521"/>
      <c r="CJ30" s="522">
        <f t="shared" si="27"/>
        <v>0</v>
      </c>
      <c r="CK30" s="523">
        <f t="shared" si="140"/>
        <v>0</v>
      </c>
      <c r="CL30" s="521"/>
      <c r="CM30" s="522">
        <f t="shared" si="28"/>
        <v>0</v>
      </c>
      <c r="CN30" s="523">
        <f t="shared" si="141"/>
        <v>0</v>
      </c>
      <c r="CO30" s="521"/>
      <c r="CP30" s="522">
        <f t="shared" si="29"/>
        <v>0</v>
      </c>
      <c r="CQ30" s="523">
        <f t="shared" si="142"/>
        <v>0</v>
      </c>
      <c r="CR30" s="521"/>
      <c r="CS30" s="522">
        <f t="shared" si="30"/>
        <v>0</v>
      </c>
      <c r="CT30" s="523">
        <f t="shared" si="143"/>
        <v>0</v>
      </c>
      <c r="CU30" s="521"/>
      <c r="CV30" s="522">
        <f t="shared" si="31"/>
        <v>0</v>
      </c>
      <c r="CW30" s="523">
        <f t="shared" si="144"/>
        <v>0</v>
      </c>
      <c r="CX30" s="521"/>
      <c r="CY30" s="522">
        <f t="shared" si="32"/>
        <v>0</v>
      </c>
      <c r="CZ30" s="523">
        <f t="shared" si="145"/>
        <v>0</v>
      </c>
      <c r="DA30" s="521">
        <v>101.74418604651157</v>
      </c>
      <c r="DB30" s="522">
        <f t="shared" si="33"/>
        <v>2.3902127480562778</v>
      </c>
      <c r="DC30" s="523">
        <f t="shared" si="146"/>
        <v>0</v>
      </c>
      <c r="DD30" s="521"/>
      <c r="DE30" s="522">
        <f t="shared" si="34"/>
        <v>0</v>
      </c>
      <c r="DF30" s="523">
        <f t="shared" si="147"/>
        <v>0</v>
      </c>
      <c r="DG30" s="521"/>
      <c r="DH30" s="522">
        <f t="shared" si="35"/>
        <v>0</v>
      </c>
      <c r="DI30" s="523">
        <f t="shared" si="203"/>
        <v>0</v>
      </c>
      <c r="DJ30" s="521"/>
      <c r="DK30" s="522">
        <f t="shared" si="36"/>
        <v>0</v>
      </c>
      <c r="DL30" s="523">
        <f t="shared" si="148"/>
        <v>0</v>
      </c>
      <c r="DM30" s="521"/>
      <c r="DN30" s="522">
        <f t="shared" si="37"/>
        <v>0</v>
      </c>
      <c r="DO30" s="523">
        <f t="shared" si="149"/>
        <v>0</v>
      </c>
      <c r="DP30" s="521"/>
      <c r="DQ30" s="522">
        <f t="shared" si="38"/>
        <v>0</v>
      </c>
      <c r="DR30" s="523">
        <f t="shared" si="150"/>
        <v>0</v>
      </c>
      <c r="DS30" s="521"/>
      <c r="DT30" s="522">
        <f t="shared" si="39"/>
        <v>0</v>
      </c>
      <c r="DU30" s="523">
        <f t="shared" si="151"/>
        <v>0</v>
      </c>
      <c r="DV30" s="521"/>
      <c r="DW30" s="522">
        <f t="shared" si="40"/>
        <v>0</v>
      </c>
      <c r="DX30" s="523">
        <f t="shared" si="152"/>
        <v>0</v>
      </c>
      <c r="DY30" s="521"/>
      <c r="DZ30" s="522">
        <f t="shared" si="41"/>
        <v>0</v>
      </c>
      <c r="EA30" s="523">
        <f t="shared" si="153"/>
        <v>0</v>
      </c>
      <c r="EB30" s="521"/>
      <c r="EC30" s="522">
        <f t="shared" si="42"/>
        <v>0</v>
      </c>
      <c r="ED30" s="523">
        <f t="shared" si="154"/>
        <v>0</v>
      </c>
      <c r="EE30" s="521">
        <v>14.534883720930281</v>
      </c>
      <c r="EF30" s="522">
        <f t="shared" si="43"/>
        <v>0.34145896400804099</v>
      </c>
      <c r="EG30" s="523">
        <f t="shared" si="155"/>
        <v>0</v>
      </c>
      <c r="EH30" s="521">
        <v>23.482352941176487</v>
      </c>
      <c r="EI30" s="522">
        <f t="shared" si="44"/>
        <v>0.55165628165425062</v>
      </c>
      <c r="EJ30" s="523">
        <f t="shared" si="156"/>
        <v>0</v>
      </c>
      <c r="EK30" s="521"/>
      <c r="EL30" s="522">
        <f t="shared" si="45"/>
        <v>0</v>
      </c>
      <c r="EM30" s="523">
        <f t="shared" si="157"/>
        <v>0</v>
      </c>
      <c r="EN30" s="521">
        <v>5</v>
      </c>
      <c r="EO30" s="522">
        <f t="shared" si="46"/>
        <v>0.11746188361876571</v>
      </c>
      <c r="EP30" s="523">
        <f t="shared" si="158"/>
        <v>0</v>
      </c>
      <c r="EQ30" s="521"/>
      <c r="ER30" s="522">
        <f t="shared" si="47"/>
        <v>0</v>
      </c>
      <c r="ES30" s="523">
        <f t="shared" si="159"/>
        <v>0</v>
      </c>
      <c r="ET30" s="521"/>
      <c r="EU30" s="522">
        <f t="shared" si="48"/>
        <v>0</v>
      </c>
      <c r="EV30" s="523">
        <f t="shared" si="160"/>
        <v>0</v>
      </c>
      <c r="EW30" s="521"/>
      <c r="EX30" s="522">
        <f t="shared" si="49"/>
        <v>0</v>
      </c>
      <c r="EY30" s="523">
        <f t="shared" si="161"/>
        <v>0</v>
      </c>
      <c r="EZ30" s="521"/>
      <c r="FA30" s="522">
        <f t="shared" si="50"/>
        <v>0</v>
      </c>
      <c r="FB30" s="523">
        <f t="shared" si="162"/>
        <v>0</v>
      </c>
      <c r="FC30" s="521"/>
      <c r="FD30" s="522">
        <f t="shared" si="51"/>
        <v>0</v>
      </c>
      <c r="FE30" s="523">
        <f t="shared" si="163"/>
        <v>0</v>
      </c>
      <c r="FF30" s="521"/>
      <c r="FG30" s="522">
        <f t="shared" si="52"/>
        <v>0</v>
      </c>
      <c r="FH30" s="523">
        <f t="shared" si="164"/>
        <v>0</v>
      </c>
      <c r="FI30" s="521"/>
      <c r="FJ30" s="522">
        <f t="shared" si="53"/>
        <v>0</v>
      </c>
      <c r="FK30" s="523">
        <f t="shared" si="165"/>
        <v>0</v>
      </c>
      <c r="FL30" s="521"/>
      <c r="FM30" s="522">
        <f t="shared" si="54"/>
        <v>0</v>
      </c>
      <c r="FN30" s="523">
        <f t="shared" si="166"/>
        <v>0</v>
      </c>
      <c r="FO30" s="521"/>
      <c r="FP30" s="522">
        <f t="shared" si="55"/>
        <v>0</v>
      </c>
      <c r="FQ30" s="523">
        <f t="shared" si="167"/>
        <v>0</v>
      </c>
      <c r="FR30" s="521"/>
      <c r="FS30" s="522">
        <f t="shared" si="56"/>
        <v>0</v>
      </c>
      <c r="FT30" s="523">
        <f t="shared" si="168"/>
        <v>0</v>
      </c>
      <c r="FU30" s="521"/>
      <c r="FV30" s="522">
        <f t="shared" si="57"/>
        <v>0</v>
      </c>
      <c r="FW30" s="523">
        <f t="shared" si="169"/>
        <v>0</v>
      </c>
      <c r="FX30" s="521"/>
      <c r="FY30" s="522">
        <f t="shared" si="58"/>
        <v>0</v>
      </c>
      <c r="FZ30" s="523">
        <f t="shared" si="170"/>
        <v>0</v>
      </c>
      <c r="GA30" s="521"/>
      <c r="GB30" s="522">
        <f t="shared" si="59"/>
        <v>0</v>
      </c>
      <c r="GC30" s="523">
        <f t="shared" si="171"/>
        <v>0</v>
      </c>
      <c r="GD30" s="521"/>
      <c r="GE30" s="522">
        <f t="shared" si="60"/>
        <v>0</v>
      </c>
      <c r="GF30" s="523">
        <f t="shared" si="172"/>
        <v>0</v>
      </c>
      <c r="GG30" s="521"/>
      <c r="GH30" s="522">
        <f t="shared" si="61"/>
        <v>0</v>
      </c>
      <c r="GI30" s="523">
        <f t="shared" si="173"/>
        <v>0</v>
      </c>
      <c r="GJ30" s="521"/>
      <c r="GK30" s="522">
        <f t="shared" si="62"/>
        <v>0</v>
      </c>
      <c r="GL30" s="523">
        <f t="shared" si="174"/>
        <v>0</v>
      </c>
      <c r="GM30" s="521"/>
      <c r="GN30" s="522">
        <f t="shared" si="63"/>
        <v>0</v>
      </c>
      <c r="GO30" s="523">
        <f t="shared" si="175"/>
        <v>0</v>
      </c>
      <c r="GP30" s="521"/>
      <c r="GQ30" s="522">
        <f t="shared" si="64"/>
        <v>0</v>
      </c>
      <c r="GR30" s="523">
        <f t="shared" si="176"/>
        <v>0</v>
      </c>
      <c r="GS30" s="521"/>
      <c r="GT30" s="522">
        <f t="shared" si="65"/>
        <v>0</v>
      </c>
      <c r="GU30" s="523">
        <f t="shared" si="177"/>
        <v>0</v>
      </c>
      <c r="GV30" s="521"/>
      <c r="GW30" s="522">
        <f t="shared" si="66"/>
        <v>0</v>
      </c>
      <c r="GX30" s="523">
        <f t="shared" si="178"/>
        <v>0</v>
      </c>
      <c r="GY30" s="521"/>
      <c r="GZ30" s="522">
        <f t="shared" si="67"/>
        <v>0</v>
      </c>
      <c r="HA30" s="523">
        <f t="shared" si="179"/>
        <v>0</v>
      </c>
      <c r="HB30" s="521"/>
      <c r="HC30" s="522">
        <f t="shared" si="68"/>
        <v>0</v>
      </c>
      <c r="HD30" s="523">
        <f t="shared" si="180"/>
        <v>0</v>
      </c>
      <c r="HE30" s="521"/>
      <c r="HF30" s="522">
        <f t="shared" si="69"/>
        <v>0</v>
      </c>
      <c r="HG30" s="523">
        <f t="shared" si="181"/>
        <v>0</v>
      </c>
      <c r="HH30" s="521"/>
      <c r="HI30" s="522">
        <f t="shared" si="70"/>
        <v>0</v>
      </c>
      <c r="HJ30" s="523">
        <f t="shared" si="182"/>
        <v>0</v>
      </c>
      <c r="HK30" s="521"/>
      <c r="HL30" s="522">
        <f t="shared" si="71"/>
        <v>0</v>
      </c>
      <c r="HM30" s="523">
        <f t="shared" si="183"/>
        <v>0</v>
      </c>
      <c r="HN30" s="521"/>
      <c r="HO30" s="522">
        <f t="shared" si="72"/>
        <v>0</v>
      </c>
      <c r="HP30" s="523">
        <f t="shared" si="184"/>
        <v>0</v>
      </c>
      <c r="HQ30" s="521"/>
      <c r="HR30" s="522">
        <f t="shared" si="73"/>
        <v>0</v>
      </c>
      <c r="HS30" s="523">
        <f t="shared" si="185"/>
        <v>0</v>
      </c>
      <c r="HT30" s="521"/>
      <c r="HU30" s="522">
        <f t="shared" si="74"/>
        <v>0</v>
      </c>
      <c r="HV30" s="523">
        <f t="shared" si="186"/>
        <v>0</v>
      </c>
      <c r="HW30" s="521"/>
      <c r="HX30" s="522">
        <f t="shared" si="75"/>
        <v>0</v>
      </c>
      <c r="HY30" s="523">
        <f t="shared" si="187"/>
        <v>0</v>
      </c>
      <c r="HZ30" s="521"/>
      <c r="IA30" s="522">
        <f t="shared" si="76"/>
        <v>0</v>
      </c>
      <c r="IB30" s="523">
        <f t="shared" si="188"/>
        <v>0</v>
      </c>
      <c r="IC30" s="521"/>
      <c r="ID30" s="522">
        <f t="shared" si="77"/>
        <v>0</v>
      </c>
      <c r="IE30" s="523">
        <f t="shared" si="189"/>
        <v>0</v>
      </c>
      <c r="IF30" s="521"/>
      <c r="IG30" s="522">
        <f t="shared" si="78"/>
        <v>0</v>
      </c>
      <c r="IH30" s="523">
        <f t="shared" si="190"/>
        <v>0</v>
      </c>
      <c r="II30" s="521"/>
      <c r="IJ30" s="522">
        <f t="shared" si="79"/>
        <v>0</v>
      </c>
      <c r="IK30" s="523">
        <f t="shared" si="191"/>
        <v>0</v>
      </c>
      <c r="IL30" s="521"/>
      <c r="IM30" s="522">
        <f t="shared" si="80"/>
        <v>0</v>
      </c>
      <c r="IN30" s="523">
        <f t="shared" si="192"/>
        <v>0</v>
      </c>
      <c r="IO30" s="521"/>
      <c r="IP30" s="522">
        <f t="shared" si="81"/>
        <v>0</v>
      </c>
      <c r="IQ30" s="523">
        <f t="shared" si="193"/>
        <v>0</v>
      </c>
      <c r="IR30" s="521"/>
      <c r="IS30" s="522">
        <f t="shared" si="82"/>
        <v>0</v>
      </c>
      <c r="IT30" s="523">
        <f t="shared" si="194"/>
        <v>0</v>
      </c>
      <c r="IU30" s="521"/>
      <c r="IV30" s="522">
        <f t="shared" si="83"/>
        <v>0</v>
      </c>
      <c r="IW30" s="523">
        <f t="shared" si="195"/>
        <v>0</v>
      </c>
      <c r="IX30" s="521"/>
      <c r="IY30" s="522">
        <f t="shared" si="84"/>
        <v>0</v>
      </c>
      <c r="IZ30" s="523">
        <f t="shared" si="196"/>
        <v>0</v>
      </c>
      <c r="JA30" s="521"/>
      <c r="JB30" s="522">
        <f t="shared" si="85"/>
        <v>0</v>
      </c>
      <c r="JC30" s="523">
        <f t="shared" si="197"/>
        <v>0</v>
      </c>
      <c r="JD30" s="521"/>
      <c r="JE30" s="522">
        <f t="shared" si="86"/>
        <v>0</v>
      </c>
      <c r="JF30" s="523">
        <f t="shared" si="198"/>
        <v>0</v>
      </c>
      <c r="JG30" s="521"/>
      <c r="JH30" s="522">
        <f t="shared" si="87"/>
        <v>0</v>
      </c>
      <c r="JI30" s="523">
        <f t="shared" si="199"/>
        <v>0</v>
      </c>
      <c r="JJ30" s="521"/>
      <c r="JK30" s="523" t="str">
        <f t="shared" si="88"/>
        <v>0</v>
      </c>
      <c r="JL30" s="523" t="str">
        <f t="shared" si="89"/>
        <v>0</v>
      </c>
      <c r="JM30" s="521"/>
      <c r="JN30" s="523" t="str">
        <f t="shared" si="90"/>
        <v>0</v>
      </c>
      <c r="JO30" s="523" t="str">
        <f t="shared" si="91"/>
        <v>0</v>
      </c>
      <c r="JP30" s="521"/>
      <c r="JQ30" s="523" t="str">
        <f t="shared" si="92"/>
        <v>0</v>
      </c>
      <c r="JR30" s="523" t="str">
        <f t="shared" si="93"/>
        <v>0</v>
      </c>
      <c r="JS30" s="521"/>
      <c r="JT30" s="523" t="str">
        <f t="shared" si="94"/>
        <v>0</v>
      </c>
      <c r="JU30" s="523" t="str">
        <f t="shared" si="95"/>
        <v>0</v>
      </c>
      <c r="JV30" s="521"/>
      <c r="JW30" s="523" t="str">
        <f t="shared" si="96"/>
        <v>0</v>
      </c>
      <c r="JX30" s="523" t="str">
        <f t="shared" si="97"/>
        <v>0</v>
      </c>
      <c r="JY30" s="521"/>
      <c r="JZ30" s="523" t="str">
        <f t="shared" si="98"/>
        <v>0</v>
      </c>
      <c r="KA30" s="523" t="str">
        <f t="shared" si="99"/>
        <v>0</v>
      </c>
      <c r="KB30" s="521"/>
      <c r="KC30" s="523" t="str">
        <f t="shared" si="100"/>
        <v>0</v>
      </c>
      <c r="KD30" s="523" t="str">
        <f t="shared" si="101"/>
        <v>0</v>
      </c>
      <c r="KE30" s="521"/>
      <c r="KF30" s="523" t="str">
        <f t="shared" si="102"/>
        <v>0</v>
      </c>
      <c r="KG30" s="523" t="str">
        <f t="shared" si="103"/>
        <v>0</v>
      </c>
      <c r="KH30" s="521"/>
      <c r="KI30" s="523" t="str">
        <f t="shared" si="104"/>
        <v>0</v>
      </c>
      <c r="KJ30" s="523" t="str">
        <f t="shared" si="105"/>
        <v>0</v>
      </c>
      <c r="KK30" s="521"/>
      <c r="KL30" s="523" t="str">
        <f t="shared" si="106"/>
        <v>0</v>
      </c>
      <c r="KM30" s="523" t="str">
        <f t="shared" si="107"/>
        <v>0</v>
      </c>
      <c r="KN30" s="521"/>
      <c r="KO30" s="523" t="str">
        <f t="shared" si="108"/>
        <v>0</v>
      </c>
      <c r="KP30" s="523" t="str">
        <f t="shared" si="109"/>
        <v>0</v>
      </c>
      <c r="KQ30" s="521"/>
      <c r="KR30" s="523" t="str">
        <f t="shared" si="110"/>
        <v>0</v>
      </c>
      <c r="KS30" s="523" t="str">
        <f t="shared" si="111"/>
        <v>0</v>
      </c>
      <c r="KT30" s="523">
        <f t="shared" si="201"/>
        <v>0</v>
      </c>
      <c r="KU30" s="523">
        <f t="shared" si="202"/>
        <v>0</v>
      </c>
      <c r="KV30" s="260">
        <f>+F30+I30+L30+O30+R30+U30+X30+AA30+AD30+AG30+AJ30+AM30+AP30+AS30+AV30+AY30+BB30+BE30+BH30+BK30+BN30+BQ30+BT30+BW30+BZ30+CC30+CF30+CI30+CL30+CO30+CR30+CU30+CX30+DA30+DD30+DJ30+DM30+DP30+DS30+DV30+DY30+EB30+GG30+GJ30+GM30+GP30+GS30+HN30+II30+IR30+GV30+IU30++HT30+HW30+HZ30+IC30+JA30+JJ30+JM30+HB30+EE30+GD30+EH30+EN30</f>
        <v>265.52234043013726</v>
      </c>
    </row>
    <row r="31" spans="1:308">
      <c r="A31" s="261">
        <f t="shared" si="200"/>
        <v>46045</v>
      </c>
      <c r="B31" s="262" t="str">
        <f>+Report1!B31</f>
        <v>Toilet</v>
      </c>
      <c r="C31" s="262" t="str">
        <f>+Report1!C31</f>
        <v>13</v>
      </c>
      <c r="D31" s="263">
        <f>+Report1!P31</f>
        <v>35.89</v>
      </c>
      <c r="E31" s="554">
        <f>+Report1!R31</f>
        <v>36.118000000000002</v>
      </c>
      <c r="F31" s="521"/>
      <c r="G31" s="522">
        <f t="shared" si="0"/>
        <v>0</v>
      </c>
      <c r="H31" s="523">
        <f t="shared" si="113"/>
        <v>0</v>
      </c>
      <c r="I31" s="521"/>
      <c r="J31" s="522">
        <f t="shared" si="1"/>
        <v>0</v>
      </c>
      <c r="K31" s="523">
        <f t="shared" si="114"/>
        <v>0</v>
      </c>
      <c r="L31" s="521"/>
      <c r="M31" s="522">
        <f t="shared" si="2"/>
        <v>0</v>
      </c>
      <c r="N31" s="523">
        <f t="shared" si="115"/>
        <v>0</v>
      </c>
      <c r="O31" s="521">
        <v>9</v>
      </c>
      <c r="P31" s="522">
        <f t="shared" si="3"/>
        <v>0.24918323273713935</v>
      </c>
      <c r="Q31" s="523">
        <f t="shared" si="116"/>
        <v>0</v>
      </c>
      <c r="R31" s="521"/>
      <c r="S31" s="522">
        <f t="shared" si="4"/>
        <v>0</v>
      </c>
      <c r="T31" s="523">
        <f t="shared" si="117"/>
        <v>0</v>
      </c>
      <c r="U31" s="521">
        <v>7.6875</v>
      </c>
      <c r="V31" s="522">
        <f t="shared" si="5"/>
        <v>0.21284401129630653</v>
      </c>
      <c r="W31" s="523">
        <f t="shared" si="118"/>
        <v>0</v>
      </c>
      <c r="X31" s="521"/>
      <c r="Y31" s="522">
        <f t="shared" si="6"/>
        <v>0</v>
      </c>
      <c r="Z31" s="523">
        <f t="shared" si="119"/>
        <v>0</v>
      </c>
      <c r="AA31" s="521"/>
      <c r="AB31" s="522">
        <f t="shared" si="7"/>
        <v>0</v>
      </c>
      <c r="AC31" s="523">
        <f t="shared" si="120"/>
        <v>0</v>
      </c>
      <c r="AD31" s="521"/>
      <c r="AE31" s="522">
        <f t="shared" si="8"/>
        <v>0</v>
      </c>
      <c r="AF31" s="523">
        <f t="shared" si="121"/>
        <v>0</v>
      </c>
      <c r="AG31" s="521"/>
      <c r="AH31" s="522">
        <f t="shared" si="9"/>
        <v>0</v>
      </c>
      <c r="AI31" s="523">
        <f t="shared" si="122"/>
        <v>0</v>
      </c>
      <c r="AJ31" s="521"/>
      <c r="AK31" s="522">
        <f t="shared" si="10"/>
        <v>0</v>
      </c>
      <c r="AL31" s="523">
        <f t="shared" si="123"/>
        <v>0</v>
      </c>
      <c r="AM31" s="521"/>
      <c r="AN31" s="522">
        <f t="shared" si="11"/>
        <v>0</v>
      </c>
      <c r="AO31" s="523">
        <f t="shared" si="124"/>
        <v>0</v>
      </c>
      <c r="AP31" s="521">
        <v>37.02531645569627</v>
      </c>
      <c r="AQ31" s="522">
        <f t="shared" si="12"/>
        <v>1.0251208941717778</v>
      </c>
      <c r="AR31" s="523">
        <f t="shared" si="125"/>
        <v>0</v>
      </c>
      <c r="AS31" s="521"/>
      <c r="AT31" s="522">
        <f t="shared" si="13"/>
        <v>0</v>
      </c>
      <c r="AU31" s="523">
        <f t="shared" si="126"/>
        <v>0</v>
      </c>
      <c r="AV31" s="521"/>
      <c r="AW31" s="522">
        <f t="shared" si="14"/>
        <v>0</v>
      </c>
      <c r="AX31" s="523">
        <f t="shared" si="127"/>
        <v>0</v>
      </c>
      <c r="AY31" s="521">
        <v>39.666666666666686</v>
      </c>
      <c r="AZ31" s="522">
        <f t="shared" si="15"/>
        <v>1.0982520257673924</v>
      </c>
      <c r="BA31" s="523">
        <f t="shared" si="128"/>
        <v>0</v>
      </c>
      <c r="BB31" s="521"/>
      <c r="BC31" s="522">
        <f t="shared" si="16"/>
        <v>0</v>
      </c>
      <c r="BD31" s="523">
        <f t="shared" si="129"/>
        <v>0</v>
      </c>
      <c r="BE31" s="521"/>
      <c r="BF31" s="522">
        <f t="shared" si="17"/>
        <v>0</v>
      </c>
      <c r="BG31" s="523">
        <f t="shared" si="130"/>
        <v>0</v>
      </c>
      <c r="BH31" s="521"/>
      <c r="BI31" s="522">
        <f t="shared" si="18"/>
        <v>0</v>
      </c>
      <c r="BJ31" s="523">
        <f t="shared" si="131"/>
        <v>0</v>
      </c>
      <c r="BK31" s="521"/>
      <c r="BL31" s="522">
        <f t="shared" si="19"/>
        <v>0</v>
      </c>
      <c r="BM31" s="523">
        <f t="shared" si="132"/>
        <v>0</v>
      </c>
      <c r="BN31" s="521"/>
      <c r="BO31" s="522">
        <f t="shared" si="20"/>
        <v>0</v>
      </c>
      <c r="BP31" s="523">
        <f t="shared" si="133"/>
        <v>0</v>
      </c>
      <c r="BQ31" s="521"/>
      <c r="BR31" s="522">
        <f t="shared" si="21"/>
        <v>0</v>
      </c>
      <c r="BS31" s="523">
        <f t="shared" si="134"/>
        <v>0</v>
      </c>
      <c r="BT31" s="521"/>
      <c r="BU31" s="522">
        <f t="shared" si="22"/>
        <v>0</v>
      </c>
      <c r="BV31" s="523">
        <f t="shared" si="135"/>
        <v>0</v>
      </c>
      <c r="BW31" s="521"/>
      <c r="BX31" s="522">
        <f t="shared" si="23"/>
        <v>0</v>
      </c>
      <c r="BY31" s="523">
        <f t="shared" si="136"/>
        <v>0</v>
      </c>
      <c r="BZ31" s="521"/>
      <c r="CA31" s="522">
        <f t="shared" si="24"/>
        <v>0</v>
      </c>
      <c r="CB31" s="523">
        <f t="shared" si="137"/>
        <v>0</v>
      </c>
      <c r="CC31" s="521"/>
      <c r="CD31" s="522">
        <f t="shared" si="25"/>
        <v>0</v>
      </c>
      <c r="CE31" s="523">
        <f t="shared" si="138"/>
        <v>0</v>
      </c>
      <c r="CF31" s="521">
        <v>1.1999999999999993</v>
      </c>
      <c r="CG31" s="522">
        <f t="shared" si="26"/>
        <v>3.3224431031618561E-2</v>
      </c>
      <c r="CH31" s="523">
        <f t="shared" si="139"/>
        <v>0</v>
      </c>
      <c r="CI31" s="521"/>
      <c r="CJ31" s="522">
        <f t="shared" si="27"/>
        <v>0</v>
      </c>
      <c r="CK31" s="523">
        <f t="shared" si="140"/>
        <v>0</v>
      </c>
      <c r="CL31" s="521"/>
      <c r="CM31" s="522">
        <f t="shared" si="28"/>
        <v>0</v>
      </c>
      <c r="CN31" s="523">
        <f t="shared" si="141"/>
        <v>0</v>
      </c>
      <c r="CO31" s="521"/>
      <c r="CP31" s="522">
        <f t="shared" si="29"/>
        <v>0</v>
      </c>
      <c r="CQ31" s="523">
        <f t="shared" si="142"/>
        <v>0</v>
      </c>
      <c r="CR31" s="521"/>
      <c r="CS31" s="522">
        <f t="shared" si="30"/>
        <v>0</v>
      </c>
      <c r="CT31" s="523">
        <f t="shared" si="143"/>
        <v>0</v>
      </c>
      <c r="CU31" s="521"/>
      <c r="CV31" s="522">
        <f t="shared" si="31"/>
        <v>0</v>
      </c>
      <c r="CW31" s="523">
        <f t="shared" si="144"/>
        <v>0</v>
      </c>
      <c r="CX31" s="521"/>
      <c r="CY31" s="522">
        <f t="shared" si="32"/>
        <v>0</v>
      </c>
      <c r="CZ31" s="523">
        <f t="shared" si="145"/>
        <v>0</v>
      </c>
      <c r="DA31" s="521">
        <v>188.95348837209303</v>
      </c>
      <c r="DB31" s="522">
        <f t="shared" si="33"/>
        <v>5.2315601188352909</v>
      </c>
      <c r="DC31" s="523">
        <f t="shared" si="146"/>
        <v>0</v>
      </c>
      <c r="DD31" s="521"/>
      <c r="DE31" s="522">
        <f t="shared" si="34"/>
        <v>0</v>
      </c>
      <c r="DF31" s="523">
        <f t="shared" si="147"/>
        <v>0</v>
      </c>
      <c r="DG31" s="521"/>
      <c r="DH31" s="522">
        <f t="shared" si="35"/>
        <v>0</v>
      </c>
      <c r="DI31" s="523">
        <f t="shared" si="203"/>
        <v>0</v>
      </c>
      <c r="DJ31" s="521"/>
      <c r="DK31" s="522">
        <f t="shared" si="36"/>
        <v>0</v>
      </c>
      <c r="DL31" s="523">
        <f t="shared" si="148"/>
        <v>0</v>
      </c>
      <c r="DM31" s="521"/>
      <c r="DN31" s="522">
        <f t="shared" si="37"/>
        <v>0</v>
      </c>
      <c r="DO31" s="523">
        <f t="shared" si="149"/>
        <v>0</v>
      </c>
      <c r="DP31" s="521"/>
      <c r="DQ31" s="522">
        <f t="shared" si="38"/>
        <v>0</v>
      </c>
      <c r="DR31" s="523">
        <f t="shared" si="150"/>
        <v>0</v>
      </c>
      <c r="DS31" s="521"/>
      <c r="DT31" s="522">
        <f t="shared" si="39"/>
        <v>0</v>
      </c>
      <c r="DU31" s="523">
        <f t="shared" si="151"/>
        <v>0</v>
      </c>
      <c r="DV31" s="521"/>
      <c r="DW31" s="522">
        <f t="shared" si="40"/>
        <v>0</v>
      </c>
      <c r="DX31" s="523">
        <f t="shared" si="152"/>
        <v>0</v>
      </c>
      <c r="DY31" s="521"/>
      <c r="DZ31" s="522">
        <f t="shared" si="41"/>
        <v>0</v>
      </c>
      <c r="EA31" s="523">
        <f t="shared" si="153"/>
        <v>0</v>
      </c>
      <c r="EB31" s="521"/>
      <c r="EC31" s="522">
        <f t="shared" si="42"/>
        <v>0</v>
      </c>
      <c r="ED31" s="523">
        <f t="shared" si="154"/>
        <v>0</v>
      </c>
      <c r="EE31" s="521">
        <v>14.534883720930225</v>
      </c>
      <c r="EF31" s="522">
        <f t="shared" si="43"/>
        <v>0.40242770144886825</v>
      </c>
      <c r="EG31" s="523">
        <f t="shared" si="155"/>
        <v>0</v>
      </c>
      <c r="EH31" s="521">
        <v>35.22352941176473</v>
      </c>
      <c r="EI31" s="522">
        <f t="shared" si="44"/>
        <v>0.97523476969280487</v>
      </c>
      <c r="EJ31" s="523">
        <f t="shared" si="156"/>
        <v>0</v>
      </c>
      <c r="EK31" s="521"/>
      <c r="EL31" s="522">
        <f t="shared" si="45"/>
        <v>0</v>
      </c>
      <c r="EM31" s="523">
        <f t="shared" si="157"/>
        <v>0</v>
      </c>
      <c r="EN31" s="521">
        <v>5</v>
      </c>
      <c r="EO31" s="522">
        <f t="shared" si="46"/>
        <v>0.13843512929841076</v>
      </c>
      <c r="EP31" s="523">
        <f t="shared" si="158"/>
        <v>0</v>
      </c>
      <c r="EQ31" s="521"/>
      <c r="ER31" s="522">
        <f t="shared" si="47"/>
        <v>0</v>
      </c>
      <c r="ES31" s="523">
        <f t="shared" si="159"/>
        <v>0</v>
      </c>
      <c r="ET31" s="521"/>
      <c r="EU31" s="522">
        <f t="shared" si="48"/>
        <v>0</v>
      </c>
      <c r="EV31" s="523">
        <f t="shared" si="160"/>
        <v>0</v>
      </c>
      <c r="EW31" s="521"/>
      <c r="EX31" s="522">
        <f t="shared" si="49"/>
        <v>0</v>
      </c>
      <c r="EY31" s="523">
        <f t="shared" si="161"/>
        <v>0</v>
      </c>
      <c r="EZ31" s="521"/>
      <c r="FA31" s="522">
        <f t="shared" si="50"/>
        <v>0</v>
      </c>
      <c r="FB31" s="523">
        <f t="shared" si="162"/>
        <v>0</v>
      </c>
      <c r="FC31" s="521"/>
      <c r="FD31" s="522">
        <f t="shared" si="51"/>
        <v>0</v>
      </c>
      <c r="FE31" s="523">
        <f t="shared" si="163"/>
        <v>0</v>
      </c>
      <c r="FF31" s="521"/>
      <c r="FG31" s="522">
        <f t="shared" si="52"/>
        <v>0</v>
      </c>
      <c r="FH31" s="523">
        <f t="shared" si="164"/>
        <v>0</v>
      </c>
      <c r="FI31" s="521"/>
      <c r="FJ31" s="522">
        <f t="shared" si="53"/>
        <v>0</v>
      </c>
      <c r="FK31" s="523">
        <f t="shared" si="165"/>
        <v>0</v>
      </c>
      <c r="FL31" s="521"/>
      <c r="FM31" s="522">
        <f t="shared" si="54"/>
        <v>0</v>
      </c>
      <c r="FN31" s="523">
        <f t="shared" si="166"/>
        <v>0</v>
      </c>
      <c r="FO31" s="521"/>
      <c r="FP31" s="522">
        <f t="shared" si="55"/>
        <v>0</v>
      </c>
      <c r="FQ31" s="523">
        <f t="shared" si="167"/>
        <v>0</v>
      </c>
      <c r="FR31" s="521"/>
      <c r="FS31" s="522">
        <f t="shared" si="56"/>
        <v>0</v>
      </c>
      <c r="FT31" s="523">
        <f t="shared" si="168"/>
        <v>0</v>
      </c>
      <c r="FU31" s="521"/>
      <c r="FV31" s="522">
        <f t="shared" si="57"/>
        <v>0</v>
      </c>
      <c r="FW31" s="523">
        <f t="shared" si="169"/>
        <v>0</v>
      </c>
      <c r="FX31" s="521"/>
      <c r="FY31" s="522">
        <f t="shared" si="58"/>
        <v>0</v>
      </c>
      <c r="FZ31" s="523">
        <f t="shared" si="170"/>
        <v>0</v>
      </c>
      <c r="GA31" s="521"/>
      <c r="GB31" s="522">
        <f t="shared" si="59"/>
        <v>0</v>
      </c>
      <c r="GC31" s="523">
        <f t="shared" si="171"/>
        <v>0</v>
      </c>
      <c r="GD31" s="521"/>
      <c r="GE31" s="522">
        <f t="shared" si="60"/>
        <v>0</v>
      </c>
      <c r="GF31" s="523">
        <f t="shared" si="172"/>
        <v>0</v>
      </c>
      <c r="GG31" s="521"/>
      <c r="GH31" s="522">
        <f t="shared" si="61"/>
        <v>0</v>
      </c>
      <c r="GI31" s="523">
        <f t="shared" si="173"/>
        <v>0</v>
      </c>
      <c r="GJ31" s="521"/>
      <c r="GK31" s="522">
        <f t="shared" si="62"/>
        <v>0</v>
      </c>
      <c r="GL31" s="523">
        <f t="shared" si="174"/>
        <v>0</v>
      </c>
      <c r="GM31" s="521"/>
      <c r="GN31" s="522">
        <f t="shared" si="63"/>
        <v>0</v>
      </c>
      <c r="GO31" s="523">
        <f t="shared" si="175"/>
        <v>0</v>
      </c>
      <c r="GP31" s="521"/>
      <c r="GQ31" s="522">
        <f t="shared" si="64"/>
        <v>0</v>
      </c>
      <c r="GR31" s="523">
        <f t="shared" si="176"/>
        <v>0</v>
      </c>
      <c r="GS31" s="521"/>
      <c r="GT31" s="522">
        <f t="shared" si="65"/>
        <v>0</v>
      </c>
      <c r="GU31" s="523">
        <f t="shared" si="177"/>
        <v>0</v>
      </c>
      <c r="GV31" s="521"/>
      <c r="GW31" s="522">
        <f t="shared" si="66"/>
        <v>0</v>
      </c>
      <c r="GX31" s="523">
        <f t="shared" si="178"/>
        <v>0</v>
      </c>
      <c r="GY31" s="521"/>
      <c r="GZ31" s="522">
        <f t="shared" si="67"/>
        <v>0</v>
      </c>
      <c r="HA31" s="523">
        <f t="shared" si="179"/>
        <v>0</v>
      </c>
      <c r="HB31" s="521"/>
      <c r="HC31" s="522">
        <f t="shared" si="68"/>
        <v>0</v>
      </c>
      <c r="HD31" s="523">
        <f t="shared" si="180"/>
        <v>0</v>
      </c>
      <c r="HE31" s="521"/>
      <c r="HF31" s="522">
        <f t="shared" si="69"/>
        <v>0</v>
      </c>
      <c r="HG31" s="523">
        <f t="shared" si="181"/>
        <v>0</v>
      </c>
      <c r="HH31" s="521"/>
      <c r="HI31" s="522">
        <f t="shared" si="70"/>
        <v>0</v>
      </c>
      <c r="HJ31" s="523">
        <f t="shared" si="182"/>
        <v>0</v>
      </c>
      <c r="HK31" s="521"/>
      <c r="HL31" s="522">
        <f t="shared" si="71"/>
        <v>0</v>
      </c>
      <c r="HM31" s="523">
        <f t="shared" si="183"/>
        <v>0</v>
      </c>
      <c r="HN31" s="521"/>
      <c r="HO31" s="522">
        <f t="shared" si="72"/>
        <v>0</v>
      </c>
      <c r="HP31" s="523">
        <f t="shared" si="184"/>
        <v>0</v>
      </c>
      <c r="HQ31" s="521"/>
      <c r="HR31" s="522">
        <f t="shared" si="73"/>
        <v>0</v>
      </c>
      <c r="HS31" s="523">
        <f t="shared" si="185"/>
        <v>0</v>
      </c>
      <c r="HT31" s="521"/>
      <c r="HU31" s="522">
        <f t="shared" si="74"/>
        <v>0</v>
      </c>
      <c r="HV31" s="523">
        <f t="shared" si="186"/>
        <v>0</v>
      </c>
      <c r="HW31" s="521"/>
      <c r="HX31" s="522">
        <f t="shared" si="75"/>
        <v>0</v>
      </c>
      <c r="HY31" s="523">
        <f t="shared" si="187"/>
        <v>0</v>
      </c>
      <c r="HZ31" s="521"/>
      <c r="IA31" s="522">
        <f t="shared" si="76"/>
        <v>0</v>
      </c>
      <c r="IB31" s="523">
        <f t="shared" si="188"/>
        <v>0</v>
      </c>
      <c r="IC31" s="521"/>
      <c r="ID31" s="522">
        <f t="shared" si="77"/>
        <v>0</v>
      </c>
      <c r="IE31" s="523">
        <f t="shared" si="189"/>
        <v>0</v>
      </c>
      <c r="IF31" s="521"/>
      <c r="IG31" s="522">
        <f t="shared" si="78"/>
        <v>0</v>
      </c>
      <c r="IH31" s="523">
        <f t="shared" si="190"/>
        <v>0</v>
      </c>
      <c r="II31" s="521"/>
      <c r="IJ31" s="522">
        <f t="shared" si="79"/>
        <v>0</v>
      </c>
      <c r="IK31" s="523">
        <f t="shared" si="191"/>
        <v>0</v>
      </c>
      <c r="IL31" s="521"/>
      <c r="IM31" s="522">
        <f t="shared" si="80"/>
        <v>0</v>
      </c>
      <c r="IN31" s="523">
        <f t="shared" si="192"/>
        <v>0</v>
      </c>
      <c r="IO31" s="521"/>
      <c r="IP31" s="522">
        <f t="shared" si="81"/>
        <v>0</v>
      </c>
      <c r="IQ31" s="523">
        <f t="shared" si="193"/>
        <v>0</v>
      </c>
      <c r="IR31" s="521"/>
      <c r="IS31" s="522">
        <f t="shared" si="82"/>
        <v>0</v>
      </c>
      <c r="IT31" s="523">
        <f t="shared" si="194"/>
        <v>0</v>
      </c>
      <c r="IU31" s="521"/>
      <c r="IV31" s="522">
        <f t="shared" si="83"/>
        <v>0</v>
      </c>
      <c r="IW31" s="523">
        <f t="shared" si="195"/>
        <v>0</v>
      </c>
      <c r="IX31" s="521"/>
      <c r="IY31" s="522">
        <f t="shared" si="84"/>
        <v>0</v>
      </c>
      <c r="IZ31" s="523">
        <f t="shared" si="196"/>
        <v>0</v>
      </c>
      <c r="JA31" s="521"/>
      <c r="JB31" s="522">
        <f t="shared" si="85"/>
        <v>0</v>
      </c>
      <c r="JC31" s="523">
        <f t="shared" si="197"/>
        <v>0</v>
      </c>
      <c r="JD31" s="521"/>
      <c r="JE31" s="522">
        <f t="shared" si="86"/>
        <v>0</v>
      </c>
      <c r="JF31" s="523">
        <f t="shared" si="198"/>
        <v>0</v>
      </c>
      <c r="JG31" s="521"/>
      <c r="JH31" s="522">
        <f t="shared" si="87"/>
        <v>0</v>
      </c>
      <c r="JI31" s="523">
        <f t="shared" si="199"/>
        <v>0</v>
      </c>
      <c r="JJ31" s="521"/>
      <c r="JK31" s="523" t="str">
        <f t="shared" si="88"/>
        <v>0</v>
      </c>
      <c r="JL31" s="523" t="str">
        <f t="shared" si="89"/>
        <v>0</v>
      </c>
      <c r="JM31" s="521"/>
      <c r="JN31" s="523" t="str">
        <f t="shared" si="90"/>
        <v>0</v>
      </c>
      <c r="JO31" s="523" t="str">
        <f t="shared" si="91"/>
        <v>0</v>
      </c>
      <c r="JP31" s="521"/>
      <c r="JQ31" s="523" t="str">
        <f t="shared" si="92"/>
        <v>0</v>
      </c>
      <c r="JR31" s="523" t="str">
        <f t="shared" si="93"/>
        <v>0</v>
      </c>
      <c r="JS31" s="521"/>
      <c r="JT31" s="523" t="str">
        <f t="shared" si="94"/>
        <v>0</v>
      </c>
      <c r="JU31" s="523" t="str">
        <f t="shared" si="95"/>
        <v>0</v>
      </c>
      <c r="JV31" s="521"/>
      <c r="JW31" s="523" t="str">
        <f t="shared" si="96"/>
        <v>0</v>
      </c>
      <c r="JX31" s="523" t="str">
        <f t="shared" si="97"/>
        <v>0</v>
      </c>
      <c r="JY31" s="521"/>
      <c r="JZ31" s="523" t="str">
        <f t="shared" si="98"/>
        <v>0</v>
      </c>
      <c r="KA31" s="523" t="str">
        <f t="shared" si="99"/>
        <v>0</v>
      </c>
      <c r="KB31" s="521"/>
      <c r="KC31" s="523" t="str">
        <f t="shared" si="100"/>
        <v>0</v>
      </c>
      <c r="KD31" s="523" t="str">
        <f t="shared" si="101"/>
        <v>0</v>
      </c>
      <c r="KE31" s="521"/>
      <c r="KF31" s="523" t="str">
        <f t="shared" si="102"/>
        <v>0</v>
      </c>
      <c r="KG31" s="523" t="str">
        <f t="shared" si="103"/>
        <v>0</v>
      </c>
      <c r="KH31" s="521"/>
      <c r="KI31" s="523" t="str">
        <f t="shared" si="104"/>
        <v>0</v>
      </c>
      <c r="KJ31" s="523" t="str">
        <f t="shared" si="105"/>
        <v>0</v>
      </c>
      <c r="KK31" s="521"/>
      <c r="KL31" s="523" t="str">
        <f t="shared" si="106"/>
        <v>0</v>
      </c>
      <c r="KM31" s="523" t="str">
        <f t="shared" si="107"/>
        <v>0</v>
      </c>
      <c r="KN31" s="521"/>
      <c r="KO31" s="523" t="str">
        <f t="shared" si="108"/>
        <v>0</v>
      </c>
      <c r="KP31" s="523" t="str">
        <f t="shared" si="109"/>
        <v>0</v>
      </c>
      <c r="KQ31" s="521"/>
      <c r="KR31" s="523" t="str">
        <f t="shared" si="110"/>
        <v>0</v>
      </c>
      <c r="KS31" s="523" t="str">
        <f t="shared" si="111"/>
        <v>0</v>
      </c>
      <c r="KT31" s="523">
        <f t="shared" si="201"/>
        <v>0</v>
      </c>
      <c r="KU31" s="523">
        <f t="shared" si="202"/>
        <v>0</v>
      </c>
      <c r="KV31" s="260">
        <f t="shared" ref="KV31:KV41" si="204">+F31+I31+L31+O31+R31+U31+X31+AA31+AD31+AG31+AJ31+AM31+AP31+AS31+AV31+AY31+BB31+BE31+BH31+BK31+BN31+BQ31+BT31+BW31+BZ31+CC31+CF31+CI31+CL31+CO31+CR31+CU31+CX31+DA31+DD31+DJ31+DM31+DP31+DS31+DV31+DY31+EB31+GG31+GJ31+GM31+GP31+GS31+HN31+II31+IR31+GV31+IU31++HT31+HW31+HZ31+IC31+JA31+JJ31+JM31+HB31+EE31+GD31+EH31+EN31</f>
        <v>338.29138462715093</v>
      </c>
    </row>
    <row r="32" spans="1:308">
      <c r="A32" s="261">
        <f t="shared" si="200"/>
        <v>46046</v>
      </c>
      <c r="B32" s="262" t="str">
        <f>+Report1!B32</f>
        <v>Toilet</v>
      </c>
      <c r="C32" s="262" t="str">
        <f>+Report1!C32</f>
        <v>13</v>
      </c>
      <c r="D32" s="263">
        <f>+Report1!P32</f>
        <v>35.772000000000006</v>
      </c>
      <c r="E32" s="554">
        <f>+Report1!R32</f>
        <v>33.08</v>
      </c>
      <c r="F32" s="521"/>
      <c r="G32" s="522">
        <f t="shared" si="0"/>
        <v>0</v>
      </c>
      <c r="H32" s="523">
        <f t="shared" si="113"/>
        <v>0</v>
      </c>
      <c r="I32" s="521"/>
      <c r="J32" s="522">
        <f t="shared" si="1"/>
        <v>0</v>
      </c>
      <c r="K32" s="523">
        <f t="shared" si="114"/>
        <v>0</v>
      </c>
      <c r="L32" s="521"/>
      <c r="M32" s="522">
        <f t="shared" si="2"/>
        <v>0</v>
      </c>
      <c r="N32" s="523">
        <f t="shared" si="115"/>
        <v>0</v>
      </c>
      <c r="O32" s="521">
        <v>8.9080000000000013</v>
      </c>
      <c r="P32" s="522">
        <f t="shared" si="3"/>
        <v>0.26928657799274491</v>
      </c>
      <c r="Q32" s="523">
        <f t="shared" si="116"/>
        <v>0</v>
      </c>
      <c r="R32" s="521"/>
      <c r="S32" s="522">
        <f t="shared" si="4"/>
        <v>0</v>
      </c>
      <c r="T32" s="523">
        <f t="shared" si="117"/>
        <v>0</v>
      </c>
      <c r="U32" s="521">
        <v>7.6029000000000337</v>
      </c>
      <c r="V32" s="522">
        <f t="shared" si="5"/>
        <v>0.22983373639661531</v>
      </c>
      <c r="W32" s="523">
        <f t="shared" si="118"/>
        <v>0</v>
      </c>
      <c r="X32" s="521"/>
      <c r="Y32" s="522">
        <f t="shared" si="6"/>
        <v>0</v>
      </c>
      <c r="Z32" s="523">
        <f t="shared" si="119"/>
        <v>0</v>
      </c>
      <c r="AA32" s="521"/>
      <c r="AB32" s="522">
        <f t="shared" si="7"/>
        <v>0</v>
      </c>
      <c r="AC32" s="523">
        <f t="shared" si="120"/>
        <v>0</v>
      </c>
      <c r="AD32" s="521"/>
      <c r="AE32" s="522">
        <f t="shared" si="8"/>
        <v>0</v>
      </c>
      <c r="AF32" s="523">
        <f t="shared" si="121"/>
        <v>0</v>
      </c>
      <c r="AG32" s="521"/>
      <c r="AH32" s="522">
        <f t="shared" si="9"/>
        <v>0</v>
      </c>
      <c r="AI32" s="523">
        <f t="shared" si="122"/>
        <v>0</v>
      </c>
      <c r="AJ32" s="521"/>
      <c r="AK32" s="522">
        <f t="shared" si="10"/>
        <v>0</v>
      </c>
      <c r="AL32" s="523">
        <f t="shared" si="123"/>
        <v>0</v>
      </c>
      <c r="AM32" s="521"/>
      <c r="AN32" s="522">
        <f t="shared" si="11"/>
        <v>0</v>
      </c>
      <c r="AO32" s="523">
        <f t="shared" si="124"/>
        <v>0</v>
      </c>
      <c r="AP32" s="521">
        <v>45.073531645569602</v>
      </c>
      <c r="AQ32" s="522">
        <f t="shared" si="12"/>
        <v>1.3625614161296737</v>
      </c>
      <c r="AR32" s="523">
        <f t="shared" si="125"/>
        <v>0</v>
      </c>
      <c r="AS32" s="521"/>
      <c r="AT32" s="522">
        <f t="shared" si="13"/>
        <v>0</v>
      </c>
      <c r="AU32" s="523">
        <f t="shared" si="126"/>
        <v>0</v>
      </c>
      <c r="AV32" s="521"/>
      <c r="AW32" s="522">
        <f t="shared" si="14"/>
        <v>0</v>
      </c>
      <c r="AX32" s="523">
        <f t="shared" si="127"/>
        <v>0</v>
      </c>
      <c r="AY32" s="521">
        <v>39.237599999999986</v>
      </c>
      <c r="AZ32" s="522">
        <f t="shared" si="15"/>
        <v>1.1861426844014507</v>
      </c>
      <c r="BA32" s="523">
        <f t="shared" si="128"/>
        <v>0</v>
      </c>
      <c r="BB32" s="521"/>
      <c r="BC32" s="522">
        <f t="shared" si="16"/>
        <v>0</v>
      </c>
      <c r="BD32" s="523">
        <f t="shared" si="129"/>
        <v>0</v>
      </c>
      <c r="BE32" s="521"/>
      <c r="BF32" s="522">
        <f t="shared" si="17"/>
        <v>0</v>
      </c>
      <c r="BG32" s="523">
        <f t="shared" si="130"/>
        <v>0</v>
      </c>
      <c r="BH32" s="521"/>
      <c r="BI32" s="522">
        <f t="shared" si="18"/>
        <v>0</v>
      </c>
      <c r="BJ32" s="523">
        <f t="shared" si="131"/>
        <v>0</v>
      </c>
      <c r="BK32" s="521"/>
      <c r="BL32" s="522">
        <f t="shared" si="19"/>
        <v>0</v>
      </c>
      <c r="BM32" s="523">
        <f t="shared" si="132"/>
        <v>0</v>
      </c>
      <c r="BN32" s="521"/>
      <c r="BO32" s="522">
        <f t="shared" si="20"/>
        <v>0</v>
      </c>
      <c r="BP32" s="523">
        <f t="shared" si="133"/>
        <v>0</v>
      </c>
      <c r="BQ32" s="521"/>
      <c r="BR32" s="522">
        <f t="shared" si="21"/>
        <v>0</v>
      </c>
      <c r="BS32" s="523">
        <f t="shared" si="134"/>
        <v>0</v>
      </c>
      <c r="BT32" s="521"/>
      <c r="BU32" s="522">
        <f t="shared" si="22"/>
        <v>0</v>
      </c>
      <c r="BV32" s="523">
        <f t="shared" si="135"/>
        <v>0</v>
      </c>
      <c r="BW32" s="521"/>
      <c r="BX32" s="522">
        <f t="shared" si="23"/>
        <v>0</v>
      </c>
      <c r="BY32" s="523">
        <f t="shared" si="136"/>
        <v>0</v>
      </c>
      <c r="BZ32" s="521"/>
      <c r="CA32" s="522">
        <f t="shared" si="24"/>
        <v>0</v>
      </c>
      <c r="CB32" s="523">
        <f t="shared" si="137"/>
        <v>0</v>
      </c>
      <c r="CC32" s="521"/>
      <c r="CD32" s="522">
        <f t="shared" si="25"/>
        <v>0</v>
      </c>
      <c r="CE32" s="523">
        <f t="shared" si="138"/>
        <v>0</v>
      </c>
      <c r="CF32" s="521">
        <v>1.1999999999999993</v>
      </c>
      <c r="CG32" s="522">
        <f t="shared" si="26"/>
        <v>3.6275695284159595E-2</v>
      </c>
      <c r="CH32" s="523">
        <f t="shared" si="139"/>
        <v>0</v>
      </c>
      <c r="CI32" s="521"/>
      <c r="CJ32" s="522">
        <f t="shared" si="27"/>
        <v>0</v>
      </c>
      <c r="CK32" s="523">
        <f t="shared" si="140"/>
        <v>0</v>
      </c>
      <c r="CL32" s="521"/>
      <c r="CM32" s="522">
        <f t="shared" si="28"/>
        <v>0</v>
      </c>
      <c r="CN32" s="523">
        <f t="shared" si="141"/>
        <v>0</v>
      </c>
      <c r="CO32" s="521"/>
      <c r="CP32" s="522">
        <f t="shared" si="29"/>
        <v>0</v>
      </c>
      <c r="CQ32" s="523">
        <f t="shared" si="142"/>
        <v>0</v>
      </c>
      <c r="CR32" s="521"/>
      <c r="CS32" s="522">
        <f t="shared" si="30"/>
        <v>0</v>
      </c>
      <c r="CT32" s="523">
        <f t="shared" si="143"/>
        <v>0</v>
      </c>
      <c r="CU32" s="521"/>
      <c r="CV32" s="522">
        <f t="shared" si="31"/>
        <v>0</v>
      </c>
      <c r="CW32" s="523">
        <f t="shared" si="144"/>
        <v>0</v>
      </c>
      <c r="CX32" s="521"/>
      <c r="CY32" s="522">
        <f t="shared" si="32"/>
        <v>0</v>
      </c>
      <c r="CZ32" s="523">
        <f t="shared" si="145"/>
        <v>0</v>
      </c>
      <c r="DA32" s="521">
        <v>136.58418604651172</v>
      </c>
      <c r="DB32" s="522">
        <f t="shared" si="33"/>
        <v>4.1289052613818535</v>
      </c>
      <c r="DC32" s="523">
        <f t="shared" si="146"/>
        <v>0</v>
      </c>
      <c r="DD32" s="521"/>
      <c r="DE32" s="522">
        <f t="shared" si="34"/>
        <v>0</v>
      </c>
      <c r="DF32" s="523">
        <f t="shared" si="147"/>
        <v>0</v>
      </c>
      <c r="DG32" s="521"/>
      <c r="DH32" s="522">
        <f t="shared" si="35"/>
        <v>0</v>
      </c>
      <c r="DI32" s="523">
        <f t="shared" si="203"/>
        <v>0</v>
      </c>
      <c r="DJ32" s="521"/>
      <c r="DK32" s="522">
        <f t="shared" si="36"/>
        <v>0</v>
      </c>
      <c r="DL32" s="523">
        <f t="shared" si="148"/>
        <v>0</v>
      </c>
      <c r="DM32" s="521"/>
      <c r="DN32" s="522">
        <f t="shared" si="37"/>
        <v>0</v>
      </c>
      <c r="DO32" s="523">
        <f t="shared" si="149"/>
        <v>0</v>
      </c>
      <c r="DP32" s="521"/>
      <c r="DQ32" s="522">
        <f t="shared" si="38"/>
        <v>0</v>
      </c>
      <c r="DR32" s="523">
        <f t="shared" si="150"/>
        <v>0</v>
      </c>
      <c r="DS32" s="521"/>
      <c r="DT32" s="522">
        <f t="shared" si="39"/>
        <v>0</v>
      </c>
      <c r="DU32" s="523">
        <f t="shared" si="151"/>
        <v>0</v>
      </c>
      <c r="DV32" s="521"/>
      <c r="DW32" s="522">
        <f t="shared" si="40"/>
        <v>0</v>
      </c>
      <c r="DX32" s="523">
        <f t="shared" si="152"/>
        <v>0</v>
      </c>
      <c r="DY32" s="521"/>
      <c r="DZ32" s="522">
        <f t="shared" si="41"/>
        <v>0</v>
      </c>
      <c r="EA32" s="523">
        <f t="shared" si="153"/>
        <v>0</v>
      </c>
      <c r="EB32" s="521"/>
      <c r="EC32" s="522">
        <f t="shared" si="42"/>
        <v>0</v>
      </c>
      <c r="ED32" s="523">
        <f t="shared" si="154"/>
        <v>0</v>
      </c>
      <c r="EE32" s="521">
        <v>14.534883720930225</v>
      </c>
      <c r="EF32" s="522">
        <f t="shared" si="43"/>
        <v>0.43938584404263076</v>
      </c>
      <c r="EG32" s="523">
        <f t="shared" si="155"/>
        <v>0</v>
      </c>
      <c r="EH32" s="521">
        <v>40.645294117646984</v>
      </c>
      <c r="EI32" s="522">
        <f t="shared" si="44"/>
        <v>1.2286969201223394</v>
      </c>
      <c r="EJ32" s="523">
        <f t="shared" si="156"/>
        <v>0</v>
      </c>
      <c r="EK32" s="521"/>
      <c r="EL32" s="522">
        <f t="shared" si="45"/>
        <v>0</v>
      </c>
      <c r="EM32" s="523">
        <f t="shared" si="157"/>
        <v>0</v>
      </c>
      <c r="EN32" s="521">
        <v>5</v>
      </c>
      <c r="EO32" s="522">
        <f t="shared" si="46"/>
        <v>0.15114873035066506</v>
      </c>
      <c r="EP32" s="523">
        <f t="shared" si="158"/>
        <v>0</v>
      </c>
      <c r="EQ32" s="521"/>
      <c r="ER32" s="522">
        <f t="shared" si="47"/>
        <v>0</v>
      </c>
      <c r="ES32" s="523">
        <f t="shared" si="159"/>
        <v>0</v>
      </c>
      <c r="ET32" s="521"/>
      <c r="EU32" s="522">
        <f t="shared" si="48"/>
        <v>0</v>
      </c>
      <c r="EV32" s="523">
        <f t="shared" si="160"/>
        <v>0</v>
      </c>
      <c r="EW32" s="521"/>
      <c r="EX32" s="522">
        <f t="shared" si="49"/>
        <v>0</v>
      </c>
      <c r="EY32" s="523">
        <f t="shared" si="161"/>
        <v>0</v>
      </c>
      <c r="EZ32" s="521"/>
      <c r="FA32" s="522">
        <f t="shared" si="50"/>
        <v>0</v>
      </c>
      <c r="FB32" s="523">
        <f t="shared" si="162"/>
        <v>0</v>
      </c>
      <c r="FC32" s="521"/>
      <c r="FD32" s="522">
        <f t="shared" si="51"/>
        <v>0</v>
      </c>
      <c r="FE32" s="523">
        <f t="shared" si="163"/>
        <v>0</v>
      </c>
      <c r="FF32" s="521"/>
      <c r="FG32" s="522">
        <f t="shared" si="52"/>
        <v>0</v>
      </c>
      <c r="FH32" s="523">
        <f t="shared" si="164"/>
        <v>0</v>
      </c>
      <c r="FI32" s="521"/>
      <c r="FJ32" s="522">
        <f t="shared" si="53"/>
        <v>0</v>
      </c>
      <c r="FK32" s="523">
        <f t="shared" si="165"/>
        <v>0</v>
      </c>
      <c r="FL32" s="521"/>
      <c r="FM32" s="522">
        <f t="shared" si="54"/>
        <v>0</v>
      </c>
      <c r="FN32" s="523">
        <f t="shared" si="166"/>
        <v>0</v>
      </c>
      <c r="FO32" s="521"/>
      <c r="FP32" s="522">
        <f t="shared" si="55"/>
        <v>0</v>
      </c>
      <c r="FQ32" s="523">
        <f t="shared" si="167"/>
        <v>0</v>
      </c>
      <c r="FR32" s="521"/>
      <c r="FS32" s="522">
        <f t="shared" si="56"/>
        <v>0</v>
      </c>
      <c r="FT32" s="523">
        <f t="shared" si="168"/>
        <v>0</v>
      </c>
      <c r="FU32" s="521"/>
      <c r="FV32" s="522">
        <f t="shared" si="57"/>
        <v>0</v>
      </c>
      <c r="FW32" s="523">
        <f t="shared" si="169"/>
        <v>0</v>
      </c>
      <c r="FX32" s="521"/>
      <c r="FY32" s="522">
        <f t="shared" si="58"/>
        <v>0</v>
      </c>
      <c r="FZ32" s="523">
        <f t="shared" si="170"/>
        <v>0</v>
      </c>
      <c r="GA32" s="521"/>
      <c r="GB32" s="522">
        <f t="shared" si="59"/>
        <v>0</v>
      </c>
      <c r="GC32" s="523">
        <f t="shared" si="171"/>
        <v>0</v>
      </c>
      <c r="GD32" s="521"/>
      <c r="GE32" s="522">
        <f t="shared" si="60"/>
        <v>0</v>
      </c>
      <c r="GF32" s="523">
        <f t="shared" si="172"/>
        <v>0</v>
      </c>
      <c r="GG32" s="521"/>
      <c r="GH32" s="522">
        <f t="shared" si="61"/>
        <v>0</v>
      </c>
      <c r="GI32" s="523">
        <f t="shared" si="173"/>
        <v>0</v>
      </c>
      <c r="GJ32" s="521"/>
      <c r="GK32" s="522">
        <f t="shared" si="62"/>
        <v>0</v>
      </c>
      <c r="GL32" s="523">
        <f t="shared" si="174"/>
        <v>0</v>
      </c>
      <c r="GM32" s="521"/>
      <c r="GN32" s="522">
        <f t="shared" si="63"/>
        <v>0</v>
      </c>
      <c r="GO32" s="523">
        <f t="shared" si="175"/>
        <v>0</v>
      </c>
      <c r="GP32" s="521"/>
      <c r="GQ32" s="522">
        <f t="shared" si="64"/>
        <v>0</v>
      </c>
      <c r="GR32" s="523">
        <f t="shared" si="176"/>
        <v>0</v>
      </c>
      <c r="GS32" s="521"/>
      <c r="GT32" s="522">
        <f t="shared" si="65"/>
        <v>0</v>
      </c>
      <c r="GU32" s="523">
        <f t="shared" si="177"/>
        <v>0</v>
      </c>
      <c r="GV32" s="521"/>
      <c r="GW32" s="522">
        <f t="shared" si="66"/>
        <v>0</v>
      </c>
      <c r="GX32" s="523">
        <f t="shared" si="178"/>
        <v>0</v>
      </c>
      <c r="GY32" s="521"/>
      <c r="GZ32" s="522">
        <f t="shared" si="67"/>
        <v>0</v>
      </c>
      <c r="HA32" s="523">
        <f t="shared" si="179"/>
        <v>0</v>
      </c>
      <c r="HB32" s="521"/>
      <c r="HC32" s="522">
        <f t="shared" si="68"/>
        <v>0</v>
      </c>
      <c r="HD32" s="523">
        <f t="shared" si="180"/>
        <v>0</v>
      </c>
      <c r="HE32" s="521"/>
      <c r="HF32" s="522">
        <f t="shared" si="69"/>
        <v>0</v>
      </c>
      <c r="HG32" s="523">
        <f t="shared" si="181"/>
        <v>0</v>
      </c>
      <c r="HH32" s="521"/>
      <c r="HI32" s="522">
        <f t="shared" si="70"/>
        <v>0</v>
      </c>
      <c r="HJ32" s="523">
        <f t="shared" si="182"/>
        <v>0</v>
      </c>
      <c r="HK32" s="521"/>
      <c r="HL32" s="522">
        <f t="shared" si="71"/>
        <v>0</v>
      </c>
      <c r="HM32" s="523">
        <f t="shared" si="183"/>
        <v>0</v>
      </c>
      <c r="HN32" s="521"/>
      <c r="HO32" s="522">
        <f t="shared" si="72"/>
        <v>0</v>
      </c>
      <c r="HP32" s="523">
        <f t="shared" si="184"/>
        <v>0</v>
      </c>
      <c r="HQ32" s="521"/>
      <c r="HR32" s="522">
        <f t="shared" si="73"/>
        <v>0</v>
      </c>
      <c r="HS32" s="523">
        <f t="shared" si="185"/>
        <v>0</v>
      </c>
      <c r="HT32" s="521"/>
      <c r="HU32" s="522">
        <f t="shared" si="74"/>
        <v>0</v>
      </c>
      <c r="HV32" s="523">
        <f t="shared" si="186"/>
        <v>0</v>
      </c>
      <c r="HW32" s="521"/>
      <c r="HX32" s="522">
        <f t="shared" si="75"/>
        <v>0</v>
      </c>
      <c r="HY32" s="523">
        <f t="shared" si="187"/>
        <v>0</v>
      </c>
      <c r="HZ32" s="521"/>
      <c r="IA32" s="522">
        <f t="shared" si="76"/>
        <v>0</v>
      </c>
      <c r="IB32" s="523">
        <f t="shared" si="188"/>
        <v>0</v>
      </c>
      <c r="IC32" s="521"/>
      <c r="ID32" s="522">
        <f t="shared" si="77"/>
        <v>0</v>
      </c>
      <c r="IE32" s="523">
        <f t="shared" si="189"/>
        <v>0</v>
      </c>
      <c r="IF32" s="521"/>
      <c r="IG32" s="522">
        <f t="shared" si="78"/>
        <v>0</v>
      </c>
      <c r="IH32" s="523">
        <f t="shared" si="190"/>
        <v>0</v>
      </c>
      <c r="II32" s="521"/>
      <c r="IJ32" s="522">
        <f t="shared" si="79"/>
        <v>0</v>
      </c>
      <c r="IK32" s="523">
        <f t="shared" si="191"/>
        <v>0</v>
      </c>
      <c r="IL32" s="521"/>
      <c r="IM32" s="522">
        <f t="shared" si="80"/>
        <v>0</v>
      </c>
      <c r="IN32" s="523">
        <f t="shared" si="192"/>
        <v>0</v>
      </c>
      <c r="IO32" s="521"/>
      <c r="IP32" s="522">
        <f t="shared" si="81"/>
        <v>0</v>
      </c>
      <c r="IQ32" s="523">
        <f t="shared" si="193"/>
        <v>0</v>
      </c>
      <c r="IR32" s="521"/>
      <c r="IS32" s="522">
        <f t="shared" si="82"/>
        <v>0</v>
      </c>
      <c r="IT32" s="523">
        <f t="shared" si="194"/>
        <v>0</v>
      </c>
      <c r="IU32" s="521"/>
      <c r="IV32" s="522">
        <f t="shared" si="83"/>
        <v>0</v>
      </c>
      <c r="IW32" s="523">
        <f t="shared" si="195"/>
        <v>0</v>
      </c>
      <c r="IX32" s="521"/>
      <c r="IY32" s="522">
        <f t="shared" si="84"/>
        <v>0</v>
      </c>
      <c r="IZ32" s="523">
        <f t="shared" si="196"/>
        <v>0</v>
      </c>
      <c r="JA32" s="521"/>
      <c r="JB32" s="522">
        <f t="shared" si="85"/>
        <v>0</v>
      </c>
      <c r="JC32" s="523">
        <f t="shared" si="197"/>
        <v>0</v>
      </c>
      <c r="JD32" s="521"/>
      <c r="JE32" s="522">
        <f t="shared" si="86"/>
        <v>0</v>
      </c>
      <c r="JF32" s="523">
        <f t="shared" si="198"/>
        <v>0</v>
      </c>
      <c r="JG32" s="521"/>
      <c r="JH32" s="522">
        <f t="shared" si="87"/>
        <v>0</v>
      </c>
      <c r="JI32" s="523">
        <f t="shared" si="199"/>
        <v>0</v>
      </c>
      <c r="JJ32" s="521"/>
      <c r="JK32" s="523" t="str">
        <f t="shared" si="88"/>
        <v>0</v>
      </c>
      <c r="JL32" s="523" t="str">
        <f t="shared" si="89"/>
        <v>0</v>
      </c>
      <c r="JM32" s="521"/>
      <c r="JN32" s="523" t="str">
        <f t="shared" si="90"/>
        <v>0</v>
      </c>
      <c r="JO32" s="523" t="str">
        <f t="shared" si="91"/>
        <v>0</v>
      </c>
      <c r="JP32" s="521"/>
      <c r="JQ32" s="523" t="str">
        <f t="shared" si="92"/>
        <v>0</v>
      </c>
      <c r="JR32" s="523" t="str">
        <f t="shared" si="93"/>
        <v>0</v>
      </c>
      <c r="JS32" s="521"/>
      <c r="JT32" s="523" t="str">
        <f t="shared" si="94"/>
        <v>0</v>
      </c>
      <c r="JU32" s="523" t="str">
        <f t="shared" si="95"/>
        <v>0</v>
      </c>
      <c r="JV32" s="521"/>
      <c r="JW32" s="523" t="str">
        <f t="shared" si="96"/>
        <v>0</v>
      </c>
      <c r="JX32" s="523" t="str">
        <f t="shared" si="97"/>
        <v>0</v>
      </c>
      <c r="JY32" s="521"/>
      <c r="JZ32" s="523" t="str">
        <f t="shared" si="98"/>
        <v>0</v>
      </c>
      <c r="KA32" s="523" t="str">
        <f t="shared" si="99"/>
        <v>0</v>
      </c>
      <c r="KB32" s="521"/>
      <c r="KC32" s="523" t="str">
        <f t="shared" si="100"/>
        <v>0</v>
      </c>
      <c r="KD32" s="523" t="str">
        <f t="shared" si="101"/>
        <v>0</v>
      </c>
      <c r="KE32" s="521"/>
      <c r="KF32" s="523" t="str">
        <f t="shared" si="102"/>
        <v>0</v>
      </c>
      <c r="KG32" s="523" t="str">
        <f t="shared" si="103"/>
        <v>0</v>
      </c>
      <c r="KH32" s="521"/>
      <c r="KI32" s="523" t="str">
        <f t="shared" si="104"/>
        <v>0</v>
      </c>
      <c r="KJ32" s="523" t="str">
        <f t="shared" si="105"/>
        <v>0</v>
      </c>
      <c r="KK32" s="521"/>
      <c r="KL32" s="523" t="str">
        <f t="shared" si="106"/>
        <v>0</v>
      </c>
      <c r="KM32" s="523" t="str">
        <f t="shared" si="107"/>
        <v>0</v>
      </c>
      <c r="KN32" s="521"/>
      <c r="KO32" s="523" t="str">
        <f t="shared" si="108"/>
        <v>0</v>
      </c>
      <c r="KP32" s="523" t="str">
        <f t="shared" si="109"/>
        <v>0</v>
      </c>
      <c r="KQ32" s="521"/>
      <c r="KR32" s="523" t="str">
        <f t="shared" si="110"/>
        <v>0</v>
      </c>
      <c r="KS32" s="523" t="str">
        <f t="shared" si="111"/>
        <v>0</v>
      </c>
      <c r="KT32" s="523">
        <f t="shared" si="201"/>
        <v>0</v>
      </c>
      <c r="KU32" s="523">
        <f t="shared" si="202"/>
        <v>0</v>
      </c>
      <c r="KV32" s="260">
        <f t="shared" si="204"/>
        <v>298.78639553065852</v>
      </c>
    </row>
    <row r="33" spans="1:308" ht="15" customHeight="1">
      <c r="A33" s="261">
        <f t="shared" si="200"/>
        <v>46047</v>
      </c>
      <c r="B33" s="262" t="str">
        <f>+Report1!B33</f>
        <v>Toilet</v>
      </c>
      <c r="C33" s="262" t="str">
        <f>+Report1!C33</f>
        <v>13</v>
      </c>
      <c r="D33" s="263">
        <f>+Report1!P33</f>
        <v>36.555999999999997</v>
      </c>
      <c r="E33" s="554">
        <f>+Report1!R33</f>
        <v>34.482999999999997</v>
      </c>
      <c r="F33" s="521"/>
      <c r="G33" s="522">
        <f t="shared" si="0"/>
        <v>0</v>
      </c>
      <c r="H33" s="523">
        <f t="shared" si="113"/>
        <v>0</v>
      </c>
      <c r="I33" s="521"/>
      <c r="J33" s="522">
        <f t="shared" si="1"/>
        <v>0</v>
      </c>
      <c r="K33" s="523">
        <f t="shared" si="114"/>
        <v>0</v>
      </c>
      <c r="L33" s="521"/>
      <c r="M33" s="522">
        <f t="shared" si="2"/>
        <v>0</v>
      </c>
      <c r="N33" s="523">
        <f t="shared" si="115"/>
        <v>0</v>
      </c>
      <c r="O33" s="521">
        <v>9.0944000000000074</v>
      </c>
      <c r="P33" s="522">
        <f t="shared" si="3"/>
        <v>0.26373575384972331</v>
      </c>
      <c r="Q33" s="523">
        <f t="shared" si="116"/>
        <v>0</v>
      </c>
      <c r="R33" s="521"/>
      <c r="S33" s="522">
        <f t="shared" si="4"/>
        <v>0</v>
      </c>
      <c r="T33" s="523">
        <f t="shared" si="117"/>
        <v>0</v>
      </c>
      <c r="U33" s="521">
        <v>7.7764999999999986</v>
      </c>
      <c r="V33" s="522">
        <f t="shared" si="5"/>
        <v>0.2255169213815503</v>
      </c>
      <c r="W33" s="523">
        <f t="shared" si="118"/>
        <v>0</v>
      </c>
      <c r="X33" s="521"/>
      <c r="Y33" s="522">
        <f t="shared" si="6"/>
        <v>0</v>
      </c>
      <c r="Z33" s="523">
        <f t="shared" si="119"/>
        <v>0</v>
      </c>
      <c r="AA33" s="521"/>
      <c r="AB33" s="522">
        <f t="shared" si="7"/>
        <v>0</v>
      </c>
      <c r="AC33" s="523">
        <f t="shared" si="120"/>
        <v>0</v>
      </c>
      <c r="AD33" s="521"/>
      <c r="AE33" s="522">
        <f t="shared" si="8"/>
        <v>0</v>
      </c>
      <c r="AF33" s="523">
        <f t="shared" si="121"/>
        <v>0</v>
      </c>
      <c r="AG33" s="521"/>
      <c r="AH33" s="522">
        <f t="shared" si="9"/>
        <v>0</v>
      </c>
      <c r="AI33" s="523">
        <f t="shared" si="122"/>
        <v>0</v>
      </c>
      <c r="AJ33" s="521"/>
      <c r="AK33" s="522">
        <f t="shared" si="10"/>
        <v>0</v>
      </c>
      <c r="AL33" s="523">
        <f t="shared" si="123"/>
        <v>0</v>
      </c>
      <c r="AM33" s="521"/>
      <c r="AN33" s="522">
        <f t="shared" si="11"/>
        <v>0</v>
      </c>
      <c r="AO33" s="523">
        <f t="shared" si="124"/>
        <v>0</v>
      </c>
      <c r="AP33" s="521">
        <v>46.063499999999976</v>
      </c>
      <c r="AQ33" s="522">
        <f t="shared" si="12"/>
        <v>1.3358321491749552</v>
      </c>
      <c r="AR33" s="523">
        <f t="shared" si="125"/>
        <v>0</v>
      </c>
      <c r="AS33" s="521"/>
      <c r="AT33" s="522">
        <f t="shared" si="13"/>
        <v>0</v>
      </c>
      <c r="AU33" s="523">
        <f t="shared" si="126"/>
        <v>0</v>
      </c>
      <c r="AV33" s="521"/>
      <c r="AW33" s="522">
        <f t="shared" si="14"/>
        <v>0</v>
      </c>
      <c r="AX33" s="523">
        <f t="shared" si="127"/>
        <v>0</v>
      </c>
      <c r="AY33" s="521">
        <v>40.093600000000038</v>
      </c>
      <c r="AZ33" s="522">
        <f t="shared" si="15"/>
        <v>1.1627062610561738</v>
      </c>
      <c r="BA33" s="523">
        <f t="shared" si="128"/>
        <v>0</v>
      </c>
      <c r="BB33" s="521"/>
      <c r="BC33" s="522">
        <f t="shared" si="16"/>
        <v>0</v>
      </c>
      <c r="BD33" s="523">
        <f t="shared" si="129"/>
        <v>0</v>
      </c>
      <c r="BE33" s="521"/>
      <c r="BF33" s="522">
        <f t="shared" si="17"/>
        <v>0</v>
      </c>
      <c r="BG33" s="523">
        <f t="shared" si="130"/>
        <v>0</v>
      </c>
      <c r="BH33" s="521"/>
      <c r="BI33" s="522">
        <f t="shared" si="18"/>
        <v>0</v>
      </c>
      <c r="BJ33" s="523">
        <f t="shared" si="131"/>
        <v>0</v>
      </c>
      <c r="BK33" s="521"/>
      <c r="BL33" s="522">
        <f t="shared" si="19"/>
        <v>0</v>
      </c>
      <c r="BM33" s="523">
        <f t="shared" si="132"/>
        <v>0</v>
      </c>
      <c r="BN33" s="521"/>
      <c r="BO33" s="522">
        <f t="shared" si="20"/>
        <v>0</v>
      </c>
      <c r="BP33" s="523">
        <f t="shared" si="133"/>
        <v>0</v>
      </c>
      <c r="BQ33" s="521"/>
      <c r="BR33" s="522">
        <f t="shared" si="21"/>
        <v>0</v>
      </c>
      <c r="BS33" s="523">
        <f t="shared" si="134"/>
        <v>0</v>
      </c>
      <c r="BT33" s="521"/>
      <c r="BU33" s="522">
        <f t="shared" si="22"/>
        <v>0</v>
      </c>
      <c r="BV33" s="523">
        <f t="shared" si="135"/>
        <v>0</v>
      </c>
      <c r="BW33" s="521"/>
      <c r="BX33" s="522">
        <f t="shared" si="23"/>
        <v>0</v>
      </c>
      <c r="BY33" s="523">
        <f t="shared" si="136"/>
        <v>0</v>
      </c>
      <c r="BZ33" s="521">
        <v>84.883720930232556</v>
      </c>
      <c r="CA33" s="522">
        <f t="shared" si="24"/>
        <v>2.4616106757020146</v>
      </c>
      <c r="CB33" s="523">
        <f t="shared" si="137"/>
        <v>0</v>
      </c>
      <c r="CC33" s="521"/>
      <c r="CD33" s="522">
        <f t="shared" si="25"/>
        <v>0</v>
      </c>
      <c r="CE33" s="523">
        <f t="shared" si="138"/>
        <v>0</v>
      </c>
      <c r="CF33" s="521">
        <v>1</v>
      </c>
      <c r="CG33" s="522">
        <f t="shared" si="26"/>
        <v>2.8999797001420993E-2</v>
      </c>
      <c r="CH33" s="523">
        <f t="shared" si="139"/>
        <v>0</v>
      </c>
      <c r="CI33" s="521"/>
      <c r="CJ33" s="522">
        <f t="shared" si="27"/>
        <v>0</v>
      </c>
      <c r="CK33" s="523">
        <f t="shared" si="140"/>
        <v>0</v>
      </c>
      <c r="CL33" s="521"/>
      <c r="CM33" s="522">
        <f t="shared" si="28"/>
        <v>0</v>
      </c>
      <c r="CN33" s="523">
        <f t="shared" si="141"/>
        <v>0</v>
      </c>
      <c r="CO33" s="521"/>
      <c r="CP33" s="522">
        <f t="shared" si="29"/>
        <v>0</v>
      </c>
      <c r="CQ33" s="523">
        <f t="shared" si="142"/>
        <v>0</v>
      </c>
      <c r="CR33" s="521"/>
      <c r="CS33" s="522">
        <f t="shared" si="30"/>
        <v>0</v>
      </c>
      <c r="CT33" s="523">
        <f t="shared" si="143"/>
        <v>0</v>
      </c>
      <c r="CU33" s="521"/>
      <c r="CV33" s="522">
        <f t="shared" si="31"/>
        <v>0</v>
      </c>
      <c r="CW33" s="523">
        <f t="shared" si="144"/>
        <v>0</v>
      </c>
      <c r="CX33" s="521"/>
      <c r="CY33" s="522">
        <f t="shared" si="32"/>
        <v>0</v>
      </c>
      <c r="CZ33" s="523">
        <f t="shared" si="145"/>
        <v>0</v>
      </c>
      <c r="DA33" s="521">
        <v>139.58399999999995</v>
      </c>
      <c r="DB33" s="522">
        <f t="shared" si="33"/>
        <v>4.0479076646463463</v>
      </c>
      <c r="DC33" s="523">
        <f t="shared" si="146"/>
        <v>0</v>
      </c>
      <c r="DD33" s="521"/>
      <c r="DE33" s="522">
        <f t="shared" si="34"/>
        <v>0</v>
      </c>
      <c r="DF33" s="523">
        <f t="shared" si="147"/>
        <v>0</v>
      </c>
      <c r="DG33" s="521"/>
      <c r="DH33" s="522">
        <f t="shared" si="35"/>
        <v>0</v>
      </c>
      <c r="DI33" s="523">
        <f t="shared" si="203"/>
        <v>0</v>
      </c>
      <c r="DJ33" s="521"/>
      <c r="DK33" s="522">
        <f t="shared" si="36"/>
        <v>0</v>
      </c>
      <c r="DL33" s="523">
        <f t="shared" si="148"/>
        <v>0</v>
      </c>
      <c r="DM33" s="521"/>
      <c r="DN33" s="522">
        <f t="shared" si="37"/>
        <v>0</v>
      </c>
      <c r="DO33" s="523">
        <f t="shared" si="149"/>
        <v>0</v>
      </c>
      <c r="DP33" s="521"/>
      <c r="DQ33" s="522">
        <f t="shared" si="38"/>
        <v>0</v>
      </c>
      <c r="DR33" s="523">
        <f t="shared" si="150"/>
        <v>0</v>
      </c>
      <c r="DS33" s="521"/>
      <c r="DT33" s="522">
        <f t="shared" si="39"/>
        <v>0</v>
      </c>
      <c r="DU33" s="523">
        <f t="shared" si="151"/>
        <v>0</v>
      </c>
      <c r="DV33" s="521"/>
      <c r="DW33" s="522">
        <f t="shared" si="40"/>
        <v>0</v>
      </c>
      <c r="DX33" s="523">
        <f t="shared" si="152"/>
        <v>0</v>
      </c>
      <c r="DY33" s="521"/>
      <c r="DZ33" s="522">
        <f t="shared" si="41"/>
        <v>0</v>
      </c>
      <c r="EA33" s="523">
        <f t="shared" si="153"/>
        <v>0</v>
      </c>
      <c r="EB33" s="521"/>
      <c r="EC33" s="522">
        <f t="shared" si="42"/>
        <v>0</v>
      </c>
      <c r="ED33" s="523">
        <f t="shared" si="154"/>
        <v>0</v>
      </c>
      <c r="EE33" s="521">
        <v>14.534883720930225</v>
      </c>
      <c r="EF33" s="522">
        <f t="shared" si="43"/>
        <v>0.42150867734623515</v>
      </c>
      <c r="EG33" s="523">
        <f t="shared" si="155"/>
        <v>0</v>
      </c>
      <c r="EH33" s="521">
        <v>41.54000000000002</v>
      </c>
      <c r="EI33" s="522">
        <f t="shared" si="44"/>
        <v>1.2046515674390286</v>
      </c>
      <c r="EJ33" s="523">
        <f t="shared" si="156"/>
        <v>0</v>
      </c>
      <c r="EK33" s="521"/>
      <c r="EL33" s="522">
        <f t="shared" si="45"/>
        <v>0</v>
      </c>
      <c r="EM33" s="523">
        <f t="shared" si="157"/>
        <v>0</v>
      </c>
      <c r="EN33" s="521">
        <v>4</v>
      </c>
      <c r="EO33" s="522">
        <f t="shared" si="46"/>
        <v>0.11599918800568397</v>
      </c>
      <c r="EP33" s="523">
        <f t="shared" si="158"/>
        <v>0</v>
      </c>
      <c r="EQ33" s="521"/>
      <c r="ER33" s="522">
        <f t="shared" si="47"/>
        <v>0</v>
      </c>
      <c r="ES33" s="523">
        <f t="shared" si="159"/>
        <v>0</v>
      </c>
      <c r="ET33" s="521"/>
      <c r="EU33" s="522">
        <f t="shared" si="48"/>
        <v>0</v>
      </c>
      <c r="EV33" s="523">
        <f t="shared" si="160"/>
        <v>0</v>
      </c>
      <c r="EW33" s="521"/>
      <c r="EX33" s="522">
        <f t="shared" si="49"/>
        <v>0</v>
      </c>
      <c r="EY33" s="523">
        <f t="shared" si="161"/>
        <v>0</v>
      </c>
      <c r="EZ33" s="521"/>
      <c r="FA33" s="522">
        <f t="shared" si="50"/>
        <v>0</v>
      </c>
      <c r="FB33" s="523">
        <f t="shared" si="162"/>
        <v>0</v>
      </c>
      <c r="FC33" s="521"/>
      <c r="FD33" s="522">
        <f t="shared" si="51"/>
        <v>0</v>
      </c>
      <c r="FE33" s="523">
        <f t="shared" si="163"/>
        <v>0</v>
      </c>
      <c r="FF33" s="521"/>
      <c r="FG33" s="522">
        <f t="shared" si="52"/>
        <v>0</v>
      </c>
      <c r="FH33" s="523">
        <f t="shared" si="164"/>
        <v>0</v>
      </c>
      <c r="FI33" s="521"/>
      <c r="FJ33" s="522">
        <f t="shared" si="53"/>
        <v>0</v>
      </c>
      <c r="FK33" s="523">
        <f t="shared" si="165"/>
        <v>0</v>
      </c>
      <c r="FL33" s="521"/>
      <c r="FM33" s="522">
        <f t="shared" si="54"/>
        <v>0</v>
      </c>
      <c r="FN33" s="523">
        <f t="shared" si="166"/>
        <v>0</v>
      </c>
      <c r="FO33" s="521"/>
      <c r="FP33" s="522">
        <f t="shared" si="55"/>
        <v>0</v>
      </c>
      <c r="FQ33" s="523">
        <f t="shared" si="167"/>
        <v>0</v>
      </c>
      <c r="FR33" s="521"/>
      <c r="FS33" s="522">
        <f t="shared" si="56"/>
        <v>0</v>
      </c>
      <c r="FT33" s="523">
        <f t="shared" si="168"/>
        <v>0</v>
      </c>
      <c r="FU33" s="521"/>
      <c r="FV33" s="522">
        <f t="shared" si="57"/>
        <v>0</v>
      </c>
      <c r="FW33" s="523">
        <f t="shared" si="169"/>
        <v>0</v>
      </c>
      <c r="FX33" s="521"/>
      <c r="FY33" s="522">
        <f t="shared" si="58"/>
        <v>0</v>
      </c>
      <c r="FZ33" s="523">
        <f t="shared" si="170"/>
        <v>0</v>
      </c>
      <c r="GA33" s="521"/>
      <c r="GB33" s="522">
        <f t="shared" si="59"/>
        <v>0</v>
      </c>
      <c r="GC33" s="523">
        <f t="shared" si="171"/>
        <v>0</v>
      </c>
      <c r="GD33" s="521"/>
      <c r="GE33" s="522">
        <f t="shared" si="60"/>
        <v>0</v>
      </c>
      <c r="GF33" s="523">
        <f t="shared" si="172"/>
        <v>0</v>
      </c>
      <c r="GG33" s="521"/>
      <c r="GH33" s="522">
        <f t="shared" si="61"/>
        <v>0</v>
      </c>
      <c r="GI33" s="523">
        <f t="shared" si="173"/>
        <v>0</v>
      </c>
      <c r="GJ33" s="521"/>
      <c r="GK33" s="522">
        <f t="shared" si="62"/>
        <v>0</v>
      </c>
      <c r="GL33" s="523">
        <f t="shared" si="174"/>
        <v>0</v>
      </c>
      <c r="GM33" s="521"/>
      <c r="GN33" s="522">
        <f t="shared" si="63"/>
        <v>0</v>
      </c>
      <c r="GO33" s="523">
        <f t="shared" si="175"/>
        <v>0</v>
      </c>
      <c r="GP33" s="521"/>
      <c r="GQ33" s="522">
        <f t="shared" si="64"/>
        <v>0</v>
      </c>
      <c r="GR33" s="523">
        <f t="shared" si="176"/>
        <v>0</v>
      </c>
      <c r="GS33" s="521"/>
      <c r="GT33" s="522">
        <f t="shared" si="65"/>
        <v>0</v>
      </c>
      <c r="GU33" s="523">
        <f t="shared" si="177"/>
        <v>0</v>
      </c>
      <c r="GV33" s="521"/>
      <c r="GW33" s="522">
        <f t="shared" si="66"/>
        <v>0</v>
      </c>
      <c r="GX33" s="523">
        <f t="shared" si="178"/>
        <v>0</v>
      </c>
      <c r="GY33" s="521"/>
      <c r="GZ33" s="522">
        <f t="shared" si="67"/>
        <v>0</v>
      </c>
      <c r="HA33" s="523">
        <f t="shared" si="179"/>
        <v>0</v>
      </c>
      <c r="HB33" s="521"/>
      <c r="HC33" s="522">
        <f t="shared" si="68"/>
        <v>0</v>
      </c>
      <c r="HD33" s="523">
        <f t="shared" si="180"/>
        <v>0</v>
      </c>
      <c r="HE33" s="521"/>
      <c r="HF33" s="522">
        <f t="shared" si="69"/>
        <v>0</v>
      </c>
      <c r="HG33" s="523">
        <f t="shared" si="181"/>
        <v>0</v>
      </c>
      <c r="HH33" s="521"/>
      <c r="HI33" s="522">
        <f t="shared" si="70"/>
        <v>0</v>
      </c>
      <c r="HJ33" s="523">
        <f t="shared" si="182"/>
        <v>0</v>
      </c>
      <c r="HK33" s="521"/>
      <c r="HL33" s="522">
        <f t="shared" si="71"/>
        <v>0</v>
      </c>
      <c r="HM33" s="523">
        <f t="shared" si="183"/>
        <v>0</v>
      </c>
      <c r="HN33" s="521"/>
      <c r="HO33" s="522">
        <f t="shared" si="72"/>
        <v>0</v>
      </c>
      <c r="HP33" s="523">
        <f t="shared" si="184"/>
        <v>0</v>
      </c>
      <c r="HQ33" s="521"/>
      <c r="HR33" s="522">
        <f t="shared" si="73"/>
        <v>0</v>
      </c>
      <c r="HS33" s="523">
        <f t="shared" si="185"/>
        <v>0</v>
      </c>
      <c r="HT33" s="521"/>
      <c r="HU33" s="522">
        <f t="shared" si="74"/>
        <v>0</v>
      </c>
      <c r="HV33" s="523">
        <f t="shared" si="186"/>
        <v>0</v>
      </c>
      <c r="HW33" s="521"/>
      <c r="HX33" s="522">
        <f t="shared" si="75"/>
        <v>0</v>
      </c>
      <c r="HY33" s="523">
        <f t="shared" si="187"/>
        <v>0</v>
      </c>
      <c r="HZ33" s="521"/>
      <c r="IA33" s="522">
        <f t="shared" si="76"/>
        <v>0</v>
      </c>
      <c r="IB33" s="523">
        <f t="shared" si="188"/>
        <v>0</v>
      </c>
      <c r="IC33" s="521"/>
      <c r="ID33" s="522">
        <f t="shared" si="77"/>
        <v>0</v>
      </c>
      <c r="IE33" s="523">
        <f t="shared" si="189"/>
        <v>0</v>
      </c>
      <c r="IF33" s="521"/>
      <c r="IG33" s="522">
        <f t="shared" si="78"/>
        <v>0</v>
      </c>
      <c r="IH33" s="523">
        <f t="shared" si="190"/>
        <v>0</v>
      </c>
      <c r="II33" s="521"/>
      <c r="IJ33" s="522">
        <f t="shared" si="79"/>
        <v>0</v>
      </c>
      <c r="IK33" s="523">
        <f t="shared" si="191"/>
        <v>0</v>
      </c>
      <c r="IL33" s="521"/>
      <c r="IM33" s="522">
        <f t="shared" si="80"/>
        <v>0</v>
      </c>
      <c r="IN33" s="523">
        <f t="shared" si="192"/>
        <v>0</v>
      </c>
      <c r="IO33" s="521"/>
      <c r="IP33" s="522">
        <f t="shared" si="81"/>
        <v>0</v>
      </c>
      <c r="IQ33" s="523">
        <f t="shared" si="193"/>
        <v>0</v>
      </c>
      <c r="IR33" s="521"/>
      <c r="IS33" s="522">
        <f t="shared" si="82"/>
        <v>0</v>
      </c>
      <c r="IT33" s="523">
        <f t="shared" si="194"/>
        <v>0</v>
      </c>
      <c r="IU33" s="521"/>
      <c r="IV33" s="522">
        <f t="shared" si="83"/>
        <v>0</v>
      </c>
      <c r="IW33" s="523">
        <f t="shared" si="195"/>
        <v>0</v>
      </c>
      <c r="IX33" s="521"/>
      <c r="IY33" s="522">
        <f t="shared" si="84"/>
        <v>0</v>
      </c>
      <c r="IZ33" s="523">
        <f t="shared" si="196"/>
        <v>0</v>
      </c>
      <c r="JA33" s="521"/>
      <c r="JB33" s="522">
        <f t="shared" si="85"/>
        <v>0</v>
      </c>
      <c r="JC33" s="523">
        <f t="shared" si="197"/>
        <v>0</v>
      </c>
      <c r="JD33" s="521"/>
      <c r="JE33" s="522">
        <f t="shared" si="86"/>
        <v>0</v>
      </c>
      <c r="JF33" s="523">
        <f t="shared" si="198"/>
        <v>0</v>
      </c>
      <c r="JG33" s="521"/>
      <c r="JH33" s="522">
        <f t="shared" si="87"/>
        <v>0</v>
      </c>
      <c r="JI33" s="523">
        <f t="shared" si="199"/>
        <v>0</v>
      </c>
      <c r="JJ33" s="521"/>
      <c r="JK33" s="523" t="str">
        <f t="shared" si="88"/>
        <v>0</v>
      </c>
      <c r="JL33" s="523" t="str">
        <f t="shared" si="89"/>
        <v>0</v>
      </c>
      <c r="JM33" s="521"/>
      <c r="JN33" s="523" t="str">
        <f t="shared" si="90"/>
        <v>0</v>
      </c>
      <c r="JO33" s="523" t="str">
        <f t="shared" si="91"/>
        <v>0</v>
      </c>
      <c r="JP33" s="521"/>
      <c r="JQ33" s="523" t="str">
        <f t="shared" si="92"/>
        <v>0</v>
      </c>
      <c r="JR33" s="523" t="str">
        <f t="shared" si="93"/>
        <v>0</v>
      </c>
      <c r="JS33" s="521"/>
      <c r="JT33" s="523" t="str">
        <f t="shared" si="94"/>
        <v>0</v>
      </c>
      <c r="JU33" s="523" t="str">
        <f t="shared" si="95"/>
        <v>0</v>
      </c>
      <c r="JV33" s="521"/>
      <c r="JW33" s="523" t="str">
        <f t="shared" si="96"/>
        <v>0</v>
      </c>
      <c r="JX33" s="523" t="str">
        <f t="shared" si="97"/>
        <v>0</v>
      </c>
      <c r="JY33" s="521"/>
      <c r="JZ33" s="523" t="str">
        <f t="shared" si="98"/>
        <v>0</v>
      </c>
      <c r="KA33" s="523" t="str">
        <f t="shared" si="99"/>
        <v>0</v>
      </c>
      <c r="KB33" s="521"/>
      <c r="KC33" s="523" t="str">
        <f t="shared" si="100"/>
        <v>0</v>
      </c>
      <c r="KD33" s="523" t="str">
        <f t="shared" si="101"/>
        <v>0</v>
      </c>
      <c r="KE33" s="521"/>
      <c r="KF33" s="523" t="str">
        <f t="shared" si="102"/>
        <v>0</v>
      </c>
      <c r="KG33" s="523" t="str">
        <f t="shared" si="103"/>
        <v>0</v>
      </c>
      <c r="KH33" s="521"/>
      <c r="KI33" s="523" t="str">
        <f t="shared" si="104"/>
        <v>0</v>
      </c>
      <c r="KJ33" s="523" t="str">
        <f t="shared" si="105"/>
        <v>0</v>
      </c>
      <c r="KK33" s="521"/>
      <c r="KL33" s="523" t="str">
        <f t="shared" si="106"/>
        <v>0</v>
      </c>
      <c r="KM33" s="523" t="str">
        <f t="shared" si="107"/>
        <v>0</v>
      </c>
      <c r="KN33" s="521"/>
      <c r="KO33" s="523" t="str">
        <f t="shared" si="108"/>
        <v>0</v>
      </c>
      <c r="KP33" s="523" t="str">
        <f t="shared" si="109"/>
        <v>0</v>
      </c>
      <c r="KQ33" s="521"/>
      <c r="KR33" s="523" t="str">
        <f t="shared" si="110"/>
        <v>0</v>
      </c>
      <c r="KS33" s="523" t="str">
        <f t="shared" si="111"/>
        <v>0</v>
      </c>
      <c r="KT33" s="523">
        <f t="shared" si="201"/>
        <v>0</v>
      </c>
      <c r="KU33" s="523">
        <f t="shared" si="202"/>
        <v>0</v>
      </c>
      <c r="KV33" s="260">
        <f t="shared" si="204"/>
        <v>388.5706046511628</v>
      </c>
    </row>
    <row r="34" spans="1:308" ht="15" customHeight="1">
      <c r="A34" s="261">
        <f t="shared" si="200"/>
        <v>46048</v>
      </c>
      <c r="B34" s="262" t="str">
        <f>+Report1!B34</f>
        <v>Toilet</v>
      </c>
      <c r="C34" s="262" t="str">
        <f>+Report1!C34</f>
        <v>13</v>
      </c>
      <c r="D34" s="263">
        <f>+Report1!P34</f>
        <v>30.555999999999997</v>
      </c>
      <c r="E34" s="554">
        <f>+Report1!R34</f>
        <v>32.168999999999997</v>
      </c>
      <c r="F34" s="521"/>
      <c r="G34" s="522">
        <f t="shared" si="0"/>
        <v>0</v>
      </c>
      <c r="H34" s="523">
        <f t="shared" si="113"/>
        <v>0</v>
      </c>
      <c r="I34" s="521"/>
      <c r="J34" s="522">
        <f t="shared" si="1"/>
        <v>0</v>
      </c>
      <c r="K34" s="523">
        <f t="shared" si="114"/>
        <v>0</v>
      </c>
      <c r="L34" s="521"/>
      <c r="M34" s="522">
        <f t="shared" si="2"/>
        <v>0</v>
      </c>
      <c r="N34" s="523">
        <f t="shared" si="115"/>
        <v>0</v>
      </c>
      <c r="O34" s="521">
        <v>8.9976000000000056</v>
      </c>
      <c r="P34" s="522">
        <f t="shared" si="3"/>
        <v>0.27969784575212181</v>
      </c>
      <c r="Q34" s="523">
        <f t="shared" si="116"/>
        <v>0</v>
      </c>
      <c r="R34" s="521"/>
      <c r="S34" s="522">
        <f t="shared" si="4"/>
        <v>0</v>
      </c>
      <c r="T34" s="523">
        <f t="shared" si="117"/>
        <v>0</v>
      </c>
      <c r="U34" s="521">
        <v>7.683099999999996</v>
      </c>
      <c r="V34" s="522">
        <f t="shared" si="5"/>
        <v>0.2388355248842052</v>
      </c>
      <c r="W34" s="523">
        <f t="shared" si="118"/>
        <v>0</v>
      </c>
      <c r="X34" s="521"/>
      <c r="Y34" s="522">
        <f t="shared" si="6"/>
        <v>0</v>
      </c>
      <c r="Z34" s="523">
        <f t="shared" si="119"/>
        <v>0</v>
      </c>
      <c r="AA34" s="521"/>
      <c r="AB34" s="522">
        <f t="shared" si="7"/>
        <v>0</v>
      </c>
      <c r="AC34" s="523">
        <f t="shared" si="120"/>
        <v>0</v>
      </c>
      <c r="AD34" s="521"/>
      <c r="AE34" s="522">
        <f t="shared" si="8"/>
        <v>0</v>
      </c>
      <c r="AF34" s="523">
        <f t="shared" si="121"/>
        <v>0</v>
      </c>
      <c r="AG34" s="521"/>
      <c r="AH34" s="522">
        <f t="shared" si="9"/>
        <v>0</v>
      </c>
      <c r="AI34" s="523">
        <f t="shared" si="122"/>
        <v>0</v>
      </c>
      <c r="AJ34" s="521"/>
      <c r="AK34" s="522">
        <f t="shared" si="10"/>
        <v>0</v>
      </c>
      <c r="AL34" s="523">
        <f t="shared" si="123"/>
        <v>0</v>
      </c>
      <c r="AM34" s="521"/>
      <c r="AN34" s="522">
        <f t="shared" si="11"/>
        <v>0</v>
      </c>
      <c r="AO34" s="523">
        <f t="shared" si="124"/>
        <v>0</v>
      </c>
      <c r="AP34" s="521">
        <v>42.723727848101277</v>
      </c>
      <c r="AQ34" s="522">
        <f t="shared" si="12"/>
        <v>1.3281024541670952</v>
      </c>
      <c r="AR34" s="523">
        <f t="shared" si="125"/>
        <v>0</v>
      </c>
      <c r="AS34" s="521"/>
      <c r="AT34" s="522">
        <f t="shared" si="13"/>
        <v>0</v>
      </c>
      <c r="AU34" s="523">
        <f t="shared" si="126"/>
        <v>0</v>
      </c>
      <c r="AV34" s="521"/>
      <c r="AW34" s="522">
        <f t="shared" si="14"/>
        <v>0</v>
      </c>
      <c r="AX34" s="523">
        <f t="shared" si="127"/>
        <v>0</v>
      </c>
      <c r="AY34" s="521">
        <v>53.668799999999976</v>
      </c>
      <c r="AZ34" s="522">
        <f t="shared" si="15"/>
        <v>1.6683390842115073</v>
      </c>
      <c r="BA34" s="523">
        <f t="shared" si="128"/>
        <v>0</v>
      </c>
      <c r="BB34" s="521"/>
      <c r="BC34" s="522">
        <f t="shared" si="16"/>
        <v>0</v>
      </c>
      <c r="BD34" s="523">
        <f t="shared" si="129"/>
        <v>0</v>
      </c>
      <c r="BE34" s="521"/>
      <c r="BF34" s="522">
        <f t="shared" si="17"/>
        <v>0</v>
      </c>
      <c r="BG34" s="523">
        <f t="shared" si="130"/>
        <v>0</v>
      </c>
      <c r="BH34" s="521"/>
      <c r="BI34" s="522">
        <f t="shared" si="18"/>
        <v>0</v>
      </c>
      <c r="BJ34" s="523">
        <f t="shared" si="131"/>
        <v>0</v>
      </c>
      <c r="BK34" s="521"/>
      <c r="BL34" s="522">
        <f t="shared" si="19"/>
        <v>0</v>
      </c>
      <c r="BM34" s="523">
        <f t="shared" si="132"/>
        <v>0</v>
      </c>
      <c r="BN34" s="521"/>
      <c r="BO34" s="522">
        <f t="shared" si="20"/>
        <v>0</v>
      </c>
      <c r="BP34" s="523">
        <f t="shared" si="133"/>
        <v>0</v>
      </c>
      <c r="BQ34" s="521"/>
      <c r="BR34" s="522">
        <f t="shared" si="21"/>
        <v>0</v>
      </c>
      <c r="BS34" s="523">
        <f t="shared" si="134"/>
        <v>0</v>
      </c>
      <c r="BT34" s="521"/>
      <c r="BU34" s="522">
        <f t="shared" si="22"/>
        <v>0</v>
      </c>
      <c r="BV34" s="523">
        <f t="shared" si="135"/>
        <v>0</v>
      </c>
      <c r="BW34" s="521"/>
      <c r="BX34" s="522">
        <f t="shared" si="23"/>
        <v>0</v>
      </c>
      <c r="BY34" s="523">
        <f t="shared" si="136"/>
        <v>0</v>
      </c>
      <c r="BZ34" s="521"/>
      <c r="CA34" s="522">
        <f t="shared" si="24"/>
        <v>0</v>
      </c>
      <c r="CB34" s="523">
        <f t="shared" si="137"/>
        <v>0</v>
      </c>
      <c r="CC34" s="521"/>
      <c r="CD34" s="522">
        <f t="shared" si="25"/>
        <v>0</v>
      </c>
      <c r="CE34" s="523">
        <f t="shared" si="138"/>
        <v>0</v>
      </c>
      <c r="CF34" s="521">
        <v>1</v>
      </c>
      <c r="CG34" s="522">
        <f t="shared" si="26"/>
        <v>3.1085827971028011E-2</v>
      </c>
      <c r="CH34" s="523">
        <f t="shared" si="139"/>
        <v>0</v>
      </c>
      <c r="CI34" s="521"/>
      <c r="CJ34" s="522">
        <f t="shared" si="27"/>
        <v>0</v>
      </c>
      <c r="CK34" s="523">
        <f t="shared" si="140"/>
        <v>0</v>
      </c>
      <c r="CL34" s="521"/>
      <c r="CM34" s="522">
        <f t="shared" si="28"/>
        <v>0</v>
      </c>
      <c r="CN34" s="523">
        <f t="shared" si="141"/>
        <v>0</v>
      </c>
      <c r="CO34" s="521"/>
      <c r="CP34" s="522">
        <f t="shared" si="29"/>
        <v>0</v>
      </c>
      <c r="CQ34" s="523">
        <f t="shared" si="142"/>
        <v>0</v>
      </c>
      <c r="CR34" s="521"/>
      <c r="CS34" s="522">
        <f t="shared" si="30"/>
        <v>0</v>
      </c>
      <c r="CT34" s="523">
        <f t="shared" si="143"/>
        <v>0</v>
      </c>
      <c r="CU34" s="521"/>
      <c r="CV34" s="522">
        <f t="shared" si="31"/>
        <v>0</v>
      </c>
      <c r="CW34" s="523">
        <f t="shared" si="144"/>
        <v>0</v>
      </c>
      <c r="CX34" s="521"/>
      <c r="CY34" s="522">
        <f t="shared" si="32"/>
        <v>0</v>
      </c>
      <c r="CZ34" s="523">
        <f t="shared" si="145"/>
        <v>0</v>
      </c>
      <c r="DA34" s="521">
        <v>101.73879069767446</v>
      </c>
      <c r="DB34" s="522">
        <f t="shared" si="33"/>
        <v>3.1626345456083333</v>
      </c>
      <c r="DC34" s="523">
        <f t="shared" si="146"/>
        <v>0</v>
      </c>
      <c r="DD34" s="521"/>
      <c r="DE34" s="522">
        <f t="shared" si="34"/>
        <v>0</v>
      </c>
      <c r="DF34" s="523">
        <f t="shared" si="147"/>
        <v>0</v>
      </c>
      <c r="DG34" s="521"/>
      <c r="DH34" s="522">
        <f t="shared" si="35"/>
        <v>0</v>
      </c>
      <c r="DI34" s="523">
        <f t="shared" si="203"/>
        <v>0</v>
      </c>
      <c r="DJ34" s="521"/>
      <c r="DK34" s="522">
        <f t="shared" si="36"/>
        <v>0</v>
      </c>
      <c r="DL34" s="523">
        <f t="shared" si="148"/>
        <v>0</v>
      </c>
      <c r="DM34" s="521"/>
      <c r="DN34" s="522">
        <f t="shared" si="37"/>
        <v>0</v>
      </c>
      <c r="DO34" s="523">
        <f t="shared" si="149"/>
        <v>0</v>
      </c>
      <c r="DP34" s="521"/>
      <c r="DQ34" s="522">
        <f t="shared" si="38"/>
        <v>0</v>
      </c>
      <c r="DR34" s="523">
        <f t="shared" si="150"/>
        <v>0</v>
      </c>
      <c r="DS34" s="521"/>
      <c r="DT34" s="522">
        <f t="shared" si="39"/>
        <v>0</v>
      </c>
      <c r="DU34" s="523">
        <f t="shared" si="151"/>
        <v>0</v>
      </c>
      <c r="DV34" s="521"/>
      <c r="DW34" s="522">
        <f t="shared" si="40"/>
        <v>0</v>
      </c>
      <c r="DX34" s="523">
        <f t="shared" si="152"/>
        <v>0</v>
      </c>
      <c r="DY34" s="521"/>
      <c r="DZ34" s="522">
        <f t="shared" si="41"/>
        <v>0</v>
      </c>
      <c r="EA34" s="523">
        <f t="shared" si="153"/>
        <v>0</v>
      </c>
      <c r="EB34" s="521"/>
      <c r="EC34" s="522">
        <f t="shared" si="42"/>
        <v>0</v>
      </c>
      <c r="ED34" s="523">
        <f t="shared" si="154"/>
        <v>0</v>
      </c>
      <c r="EE34" s="521">
        <v>14.534883720930281</v>
      </c>
      <c r="EF34" s="522">
        <f t="shared" si="43"/>
        <v>0.45182889492773426</v>
      </c>
      <c r="EG34" s="523">
        <f t="shared" si="155"/>
        <v>0</v>
      </c>
      <c r="EH34" s="521">
        <v>35.226470588235316</v>
      </c>
      <c r="EI34" s="522">
        <f t="shared" si="44"/>
        <v>1.0950440047323609</v>
      </c>
      <c r="EJ34" s="523">
        <f t="shared" si="156"/>
        <v>0</v>
      </c>
      <c r="EK34" s="521"/>
      <c r="EL34" s="522">
        <f t="shared" si="45"/>
        <v>0</v>
      </c>
      <c r="EM34" s="523">
        <f t="shared" si="157"/>
        <v>0</v>
      </c>
      <c r="EN34" s="521">
        <v>4</v>
      </c>
      <c r="EO34" s="522">
        <f t="shared" si="46"/>
        <v>0.12434331188411205</v>
      </c>
      <c r="EP34" s="523">
        <f t="shared" si="158"/>
        <v>0</v>
      </c>
      <c r="EQ34" s="521"/>
      <c r="ER34" s="522">
        <f t="shared" si="47"/>
        <v>0</v>
      </c>
      <c r="ES34" s="523">
        <f t="shared" si="159"/>
        <v>0</v>
      </c>
      <c r="ET34" s="521"/>
      <c r="EU34" s="522">
        <f t="shared" si="48"/>
        <v>0</v>
      </c>
      <c r="EV34" s="523">
        <f t="shared" si="160"/>
        <v>0</v>
      </c>
      <c r="EW34" s="521"/>
      <c r="EX34" s="522">
        <f t="shared" si="49"/>
        <v>0</v>
      </c>
      <c r="EY34" s="523">
        <f t="shared" si="161"/>
        <v>0</v>
      </c>
      <c r="EZ34" s="521"/>
      <c r="FA34" s="522">
        <f t="shared" si="50"/>
        <v>0</v>
      </c>
      <c r="FB34" s="523">
        <f t="shared" si="162"/>
        <v>0</v>
      </c>
      <c r="FC34" s="521"/>
      <c r="FD34" s="522">
        <f t="shared" si="51"/>
        <v>0</v>
      </c>
      <c r="FE34" s="523">
        <f t="shared" si="163"/>
        <v>0</v>
      </c>
      <c r="FF34" s="521"/>
      <c r="FG34" s="522">
        <f t="shared" si="52"/>
        <v>0</v>
      </c>
      <c r="FH34" s="523">
        <f t="shared" si="164"/>
        <v>0</v>
      </c>
      <c r="FI34" s="521"/>
      <c r="FJ34" s="522">
        <f t="shared" si="53"/>
        <v>0</v>
      </c>
      <c r="FK34" s="523">
        <f t="shared" si="165"/>
        <v>0</v>
      </c>
      <c r="FL34" s="521"/>
      <c r="FM34" s="522">
        <f t="shared" si="54"/>
        <v>0</v>
      </c>
      <c r="FN34" s="523">
        <f t="shared" si="166"/>
        <v>0</v>
      </c>
      <c r="FO34" s="521"/>
      <c r="FP34" s="522">
        <f t="shared" si="55"/>
        <v>0</v>
      </c>
      <c r="FQ34" s="523">
        <f t="shared" si="167"/>
        <v>0</v>
      </c>
      <c r="FR34" s="521"/>
      <c r="FS34" s="522">
        <f t="shared" si="56"/>
        <v>0</v>
      </c>
      <c r="FT34" s="523">
        <f t="shared" si="168"/>
        <v>0</v>
      </c>
      <c r="FU34" s="521"/>
      <c r="FV34" s="522">
        <f t="shared" si="57"/>
        <v>0</v>
      </c>
      <c r="FW34" s="523">
        <f t="shared" si="169"/>
        <v>0</v>
      </c>
      <c r="FX34" s="521"/>
      <c r="FY34" s="522">
        <f t="shared" si="58"/>
        <v>0</v>
      </c>
      <c r="FZ34" s="523">
        <f t="shared" si="170"/>
        <v>0</v>
      </c>
      <c r="GA34" s="521"/>
      <c r="GB34" s="522">
        <f t="shared" si="59"/>
        <v>0</v>
      </c>
      <c r="GC34" s="523">
        <f t="shared" si="171"/>
        <v>0</v>
      </c>
      <c r="GD34" s="521"/>
      <c r="GE34" s="522">
        <f t="shared" si="60"/>
        <v>0</v>
      </c>
      <c r="GF34" s="523">
        <f t="shared" si="172"/>
        <v>0</v>
      </c>
      <c r="GG34" s="521"/>
      <c r="GH34" s="522">
        <f t="shared" si="61"/>
        <v>0</v>
      </c>
      <c r="GI34" s="523">
        <f t="shared" si="173"/>
        <v>0</v>
      </c>
      <c r="GJ34" s="521"/>
      <c r="GK34" s="522">
        <f t="shared" si="62"/>
        <v>0</v>
      </c>
      <c r="GL34" s="523">
        <f t="shared" si="174"/>
        <v>0</v>
      </c>
      <c r="GM34" s="521"/>
      <c r="GN34" s="522">
        <f t="shared" si="63"/>
        <v>0</v>
      </c>
      <c r="GO34" s="523">
        <f t="shared" si="175"/>
        <v>0</v>
      </c>
      <c r="GP34" s="521"/>
      <c r="GQ34" s="522">
        <f t="shared" si="64"/>
        <v>0</v>
      </c>
      <c r="GR34" s="523">
        <f t="shared" si="176"/>
        <v>0</v>
      </c>
      <c r="GS34" s="521"/>
      <c r="GT34" s="522">
        <f t="shared" si="65"/>
        <v>0</v>
      </c>
      <c r="GU34" s="523">
        <f t="shared" si="177"/>
        <v>0</v>
      </c>
      <c r="GV34" s="521"/>
      <c r="GW34" s="522">
        <f t="shared" si="66"/>
        <v>0</v>
      </c>
      <c r="GX34" s="523">
        <f t="shared" si="178"/>
        <v>0</v>
      </c>
      <c r="GY34" s="521"/>
      <c r="GZ34" s="522">
        <f t="shared" si="67"/>
        <v>0</v>
      </c>
      <c r="HA34" s="523">
        <f t="shared" si="179"/>
        <v>0</v>
      </c>
      <c r="HB34" s="521"/>
      <c r="HC34" s="522">
        <f t="shared" si="68"/>
        <v>0</v>
      </c>
      <c r="HD34" s="523">
        <f t="shared" si="180"/>
        <v>0</v>
      </c>
      <c r="HE34" s="521"/>
      <c r="HF34" s="522">
        <f t="shared" si="69"/>
        <v>0</v>
      </c>
      <c r="HG34" s="523">
        <f t="shared" si="181"/>
        <v>0</v>
      </c>
      <c r="HH34" s="521"/>
      <c r="HI34" s="522">
        <f t="shared" si="70"/>
        <v>0</v>
      </c>
      <c r="HJ34" s="523">
        <f t="shared" si="182"/>
        <v>0</v>
      </c>
      <c r="HK34" s="521"/>
      <c r="HL34" s="522">
        <f t="shared" si="71"/>
        <v>0</v>
      </c>
      <c r="HM34" s="523">
        <f t="shared" si="183"/>
        <v>0</v>
      </c>
      <c r="HN34" s="521"/>
      <c r="HO34" s="522">
        <f t="shared" si="72"/>
        <v>0</v>
      </c>
      <c r="HP34" s="523">
        <f t="shared" si="184"/>
        <v>0</v>
      </c>
      <c r="HQ34" s="521"/>
      <c r="HR34" s="522">
        <f t="shared" si="73"/>
        <v>0</v>
      </c>
      <c r="HS34" s="523">
        <f t="shared" si="185"/>
        <v>0</v>
      </c>
      <c r="HT34" s="521"/>
      <c r="HU34" s="522">
        <f t="shared" si="74"/>
        <v>0</v>
      </c>
      <c r="HV34" s="523">
        <f t="shared" si="186"/>
        <v>0</v>
      </c>
      <c r="HW34" s="521"/>
      <c r="HX34" s="522">
        <f t="shared" si="75"/>
        <v>0</v>
      </c>
      <c r="HY34" s="523">
        <f t="shared" si="187"/>
        <v>0</v>
      </c>
      <c r="HZ34" s="521"/>
      <c r="IA34" s="522">
        <f t="shared" si="76"/>
        <v>0</v>
      </c>
      <c r="IB34" s="523">
        <f t="shared" si="188"/>
        <v>0</v>
      </c>
      <c r="IC34" s="521"/>
      <c r="ID34" s="522">
        <f t="shared" si="77"/>
        <v>0</v>
      </c>
      <c r="IE34" s="523">
        <f t="shared" si="189"/>
        <v>0</v>
      </c>
      <c r="IF34" s="521"/>
      <c r="IG34" s="522">
        <f t="shared" si="78"/>
        <v>0</v>
      </c>
      <c r="IH34" s="523">
        <f t="shared" si="190"/>
        <v>0</v>
      </c>
      <c r="II34" s="521"/>
      <c r="IJ34" s="522">
        <f t="shared" si="79"/>
        <v>0</v>
      </c>
      <c r="IK34" s="523">
        <f t="shared" si="191"/>
        <v>0</v>
      </c>
      <c r="IL34" s="521"/>
      <c r="IM34" s="522">
        <f t="shared" si="80"/>
        <v>0</v>
      </c>
      <c r="IN34" s="523">
        <f t="shared" si="192"/>
        <v>0</v>
      </c>
      <c r="IO34" s="521"/>
      <c r="IP34" s="522">
        <f t="shared" si="81"/>
        <v>0</v>
      </c>
      <c r="IQ34" s="523">
        <f t="shared" si="193"/>
        <v>0</v>
      </c>
      <c r="IR34" s="521"/>
      <c r="IS34" s="522">
        <f t="shared" si="82"/>
        <v>0</v>
      </c>
      <c r="IT34" s="523">
        <f t="shared" si="194"/>
        <v>0</v>
      </c>
      <c r="IU34" s="521"/>
      <c r="IV34" s="522">
        <f t="shared" si="83"/>
        <v>0</v>
      </c>
      <c r="IW34" s="523">
        <f t="shared" si="195"/>
        <v>0</v>
      </c>
      <c r="IX34" s="521"/>
      <c r="IY34" s="522">
        <f t="shared" si="84"/>
        <v>0</v>
      </c>
      <c r="IZ34" s="523">
        <f t="shared" si="196"/>
        <v>0</v>
      </c>
      <c r="JA34" s="521"/>
      <c r="JB34" s="522">
        <f t="shared" si="85"/>
        <v>0</v>
      </c>
      <c r="JC34" s="523">
        <f t="shared" si="197"/>
        <v>0</v>
      </c>
      <c r="JD34" s="521"/>
      <c r="JE34" s="522">
        <f t="shared" si="86"/>
        <v>0</v>
      </c>
      <c r="JF34" s="523">
        <f t="shared" si="198"/>
        <v>0</v>
      </c>
      <c r="JG34" s="521"/>
      <c r="JH34" s="522">
        <f t="shared" si="87"/>
        <v>0</v>
      </c>
      <c r="JI34" s="523">
        <f t="shared" si="199"/>
        <v>0</v>
      </c>
      <c r="JJ34" s="521"/>
      <c r="JK34" s="523" t="str">
        <f t="shared" si="88"/>
        <v>0</v>
      </c>
      <c r="JL34" s="523" t="str">
        <f t="shared" si="89"/>
        <v>0</v>
      </c>
      <c r="JM34" s="521"/>
      <c r="JN34" s="523" t="str">
        <f t="shared" si="90"/>
        <v>0</v>
      </c>
      <c r="JO34" s="523" t="str">
        <f t="shared" si="91"/>
        <v>0</v>
      </c>
      <c r="JP34" s="521"/>
      <c r="JQ34" s="523" t="str">
        <f t="shared" si="92"/>
        <v>0</v>
      </c>
      <c r="JR34" s="523" t="str">
        <f t="shared" si="93"/>
        <v>0</v>
      </c>
      <c r="JS34" s="521"/>
      <c r="JT34" s="523" t="str">
        <f t="shared" si="94"/>
        <v>0</v>
      </c>
      <c r="JU34" s="523" t="str">
        <f t="shared" si="95"/>
        <v>0</v>
      </c>
      <c r="JV34" s="521"/>
      <c r="JW34" s="523" t="str">
        <f t="shared" si="96"/>
        <v>0</v>
      </c>
      <c r="JX34" s="523" t="str">
        <f t="shared" si="97"/>
        <v>0</v>
      </c>
      <c r="JY34" s="521"/>
      <c r="JZ34" s="523" t="str">
        <f t="shared" si="98"/>
        <v>0</v>
      </c>
      <c r="KA34" s="523" t="str">
        <f t="shared" si="99"/>
        <v>0</v>
      </c>
      <c r="KB34" s="521"/>
      <c r="KC34" s="523" t="str">
        <f t="shared" si="100"/>
        <v>0</v>
      </c>
      <c r="KD34" s="523" t="str">
        <f t="shared" si="101"/>
        <v>0</v>
      </c>
      <c r="KE34" s="521"/>
      <c r="KF34" s="523" t="str">
        <f t="shared" si="102"/>
        <v>0</v>
      </c>
      <c r="KG34" s="523" t="str">
        <f t="shared" si="103"/>
        <v>0</v>
      </c>
      <c r="KH34" s="521"/>
      <c r="KI34" s="523" t="str">
        <f t="shared" si="104"/>
        <v>0</v>
      </c>
      <c r="KJ34" s="523" t="str">
        <f t="shared" si="105"/>
        <v>0</v>
      </c>
      <c r="KK34" s="521"/>
      <c r="KL34" s="523" t="str">
        <f t="shared" si="106"/>
        <v>0</v>
      </c>
      <c r="KM34" s="523" t="str">
        <f t="shared" si="107"/>
        <v>0</v>
      </c>
      <c r="KN34" s="521"/>
      <c r="KO34" s="523" t="str">
        <f t="shared" si="108"/>
        <v>0</v>
      </c>
      <c r="KP34" s="523" t="str">
        <f t="shared" si="109"/>
        <v>0</v>
      </c>
      <c r="KQ34" s="521"/>
      <c r="KR34" s="523" t="str">
        <f t="shared" si="110"/>
        <v>0</v>
      </c>
      <c r="KS34" s="523" t="str">
        <f t="shared" si="111"/>
        <v>0</v>
      </c>
      <c r="KT34" s="523">
        <f t="shared" si="201"/>
        <v>0</v>
      </c>
      <c r="KU34" s="523">
        <f t="shared" si="202"/>
        <v>0</v>
      </c>
      <c r="KV34" s="260">
        <f t="shared" si="204"/>
        <v>269.57337285494134</v>
      </c>
    </row>
    <row r="35" spans="1:308" ht="15" customHeight="1">
      <c r="A35" s="261">
        <f t="shared" si="200"/>
        <v>46049</v>
      </c>
      <c r="B35" s="262" t="str">
        <f>+Report1!B35</f>
        <v>Toilet</v>
      </c>
      <c r="C35" s="262" t="str">
        <f>+Report1!C35</f>
        <v>13</v>
      </c>
      <c r="D35" s="263">
        <f>+Report1!P35</f>
        <v>29.414000000000001</v>
      </c>
      <c r="E35" s="554">
        <f>+Report1!R35</f>
        <v>28.209</v>
      </c>
      <c r="F35" s="521"/>
      <c r="G35" s="522">
        <f t="shared" si="0"/>
        <v>0</v>
      </c>
      <c r="H35" s="523">
        <f t="shared" si="113"/>
        <v>0</v>
      </c>
      <c r="I35" s="521"/>
      <c r="J35" s="522">
        <f t="shared" si="1"/>
        <v>0</v>
      </c>
      <c r="K35" s="523">
        <f t="shared" si="114"/>
        <v>0</v>
      </c>
      <c r="L35" s="521"/>
      <c r="M35" s="522">
        <f t="shared" si="2"/>
        <v>0</v>
      </c>
      <c r="N35" s="523">
        <f t="shared" si="115"/>
        <v>0</v>
      </c>
      <c r="O35" s="521">
        <v>8.9999999999999858</v>
      </c>
      <c r="P35" s="522">
        <f t="shared" si="3"/>
        <v>0.31904711262363028</v>
      </c>
      <c r="Q35" s="523">
        <f t="shared" si="116"/>
        <v>0</v>
      </c>
      <c r="R35" s="521"/>
      <c r="S35" s="522">
        <f t="shared" si="4"/>
        <v>0</v>
      </c>
      <c r="T35" s="523">
        <f t="shared" si="117"/>
        <v>0</v>
      </c>
      <c r="U35" s="521">
        <v>5.125</v>
      </c>
      <c r="V35" s="522">
        <f t="shared" si="5"/>
        <v>0.18167960579956752</v>
      </c>
      <c r="W35" s="523">
        <f t="shared" si="118"/>
        <v>0</v>
      </c>
      <c r="X35" s="521"/>
      <c r="Y35" s="522">
        <f t="shared" si="6"/>
        <v>0</v>
      </c>
      <c r="Z35" s="523">
        <f t="shared" si="119"/>
        <v>0</v>
      </c>
      <c r="AA35" s="521"/>
      <c r="AB35" s="522">
        <f t="shared" si="7"/>
        <v>0</v>
      </c>
      <c r="AC35" s="523">
        <f t="shared" si="120"/>
        <v>0</v>
      </c>
      <c r="AD35" s="521"/>
      <c r="AE35" s="522">
        <f t="shared" si="8"/>
        <v>0</v>
      </c>
      <c r="AF35" s="523">
        <f t="shared" si="121"/>
        <v>0</v>
      </c>
      <c r="AG35" s="521"/>
      <c r="AH35" s="522">
        <f t="shared" si="9"/>
        <v>0</v>
      </c>
      <c r="AI35" s="523">
        <f t="shared" si="122"/>
        <v>0</v>
      </c>
      <c r="AJ35" s="521"/>
      <c r="AK35" s="522">
        <f t="shared" si="10"/>
        <v>0</v>
      </c>
      <c r="AL35" s="523">
        <f t="shared" si="123"/>
        <v>0</v>
      </c>
      <c r="AM35" s="521"/>
      <c r="AN35" s="522">
        <f t="shared" si="11"/>
        <v>0</v>
      </c>
      <c r="AO35" s="523">
        <f t="shared" si="124"/>
        <v>0</v>
      </c>
      <c r="AP35" s="521">
        <v>39.87341772151899</v>
      </c>
      <c r="AQ35" s="522">
        <f t="shared" si="12"/>
        <v>1.4134998660540605</v>
      </c>
      <c r="AR35" s="523">
        <f t="shared" si="125"/>
        <v>0</v>
      </c>
      <c r="AS35" s="521"/>
      <c r="AT35" s="522">
        <f t="shared" si="13"/>
        <v>0</v>
      </c>
      <c r="AU35" s="523">
        <f t="shared" si="126"/>
        <v>0</v>
      </c>
      <c r="AV35" s="521"/>
      <c r="AW35" s="522">
        <f t="shared" si="14"/>
        <v>0</v>
      </c>
      <c r="AX35" s="523">
        <f t="shared" si="127"/>
        <v>0</v>
      </c>
      <c r="AY35" s="521">
        <v>30.333333333333343</v>
      </c>
      <c r="AZ35" s="522">
        <f t="shared" si="15"/>
        <v>1.075306935138904</v>
      </c>
      <c r="BA35" s="523">
        <f t="shared" si="128"/>
        <v>0</v>
      </c>
      <c r="BB35" s="521"/>
      <c r="BC35" s="522">
        <f t="shared" si="16"/>
        <v>0</v>
      </c>
      <c r="BD35" s="523">
        <f t="shared" si="129"/>
        <v>0</v>
      </c>
      <c r="BE35" s="521"/>
      <c r="BF35" s="522">
        <f t="shared" si="17"/>
        <v>0</v>
      </c>
      <c r="BG35" s="523">
        <f t="shared" si="130"/>
        <v>0</v>
      </c>
      <c r="BH35" s="521"/>
      <c r="BI35" s="522">
        <f t="shared" si="18"/>
        <v>0</v>
      </c>
      <c r="BJ35" s="523">
        <f t="shared" si="131"/>
        <v>0</v>
      </c>
      <c r="BK35" s="521"/>
      <c r="BL35" s="522">
        <f t="shared" si="19"/>
        <v>0</v>
      </c>
      <c r="BM35" s="523">
        <f t="shared" si="132"/>
        <v>0</v>
      </c>
      <c r="BN35" s="521"/>
      <c r="BO35" s="522">
        <f t="shared" si="20"/>
        <v>0</v>
      </c>
      <c r="BP35" s="523">
        <f t="shared" si="133"/>
        <v>0</v>
      </c>
      <c r="BQ35" s="521"/>
      <c r="BR35" s="522">
        <f t="shared" si="21"/>
        <v>0</v>
      </c>
      <c r="BS35" s="523">
        <f t="shared" si="134"/>
        <v>0</v>
      </c>
      <c r="BT35" s="521"/>
      <c r="BU35" s="522">
        <f t="shared" si="22"/>
        <v>0</v>
      </c>
      <c r="BV35" s="523">
        <f t="shared" si="135"/>
        <v>0</v>
      </c>
      <c r="BW35" s="521"/>
      <c r="BX35" s="522">
        <f t="shared" si="23"/>
        <v>0</v>
      </c>
      <c r="BY35" s="523">
        <f t="shared" si="136"/>
        <v>0</v>
      </c>
      <c r="BZ35" s="521"/>
      <c r="CA35" s="522">
        <f t="shared" si="24"/>
        <v>0</v>
      </c>
      <c r="CB35" s="523">
        <f t="shared" si="137"/>
        <v>0</v>
      </c>
      <c r="CC35" s="521"/>
      <c r="CD35" s="522">
        <f t="shared" si="25"/>
        <v>0</v>
      </c>
      <c r="CE35" s="523">
        <f t="shared" si="138"/>
        <v>0</v>
      </c>
      <c r="CF35" s="521">
        <v>0.99999999999999911</v>
      </c>
      <c r="CG35" s="522">
        <f t="shared" si="26"/>
        <v>3.5449679180403385E-2</v>
      </c>
      <c r="CH35" s="523">
        <f t="shared" si="139"/>
        <v>0</v>
      </c>
      <c r="CI35" s="521"/>
      <c r="CJ35" s="522">
        <f t="shared" si="27"/>
        <v>0</v>
      </c>
      <c r="CK35" s="523">
        <f t="shared" si="140"/>
        <v>0</v>
      </c>
      <c r="CL35" s="521"/>
      <c r="CM35" s="522">
        <f t="shared" si="28"/>
        <v>0</v>
      </c>
      <c r="CN35" s="523">
        <f t="shared" si="141"/>
        <v>0</v>
      </c>
      <c r="CO35" s="521"/>
      <c r="CP35" s="522">
        <f t="shared" si="29"/>
        <v>0</v>
      </c>
      <c r="CQ35" s="523">
        <f t="shared" si="142"/>
        <v>0</v>
      </c>
      <c r="CR35" s="521"/>
      <c r="CS35" s="522">
        <f t="shared" si="30"/>
        <v>0</v>
      </c>
      <c r="CT35" s="523">
        <f t="shared" si="143"/>
        <v>0</v>
      </c>
      <c r="CU35" s="521"/>
      <c r="CV35" s="522">
        <f t="shared" si="31"/>
        <v>0</v>
      </c>
      <c r="CW35" s="523">
        <f t="shared" si="144"/>
        <v>0</v>
      </c>
      <c r="CX35" s="521"/>
      <c r="CY35" s="522">
        <f t="shared" si="32"/>
        <v>0</v>
      </c>
      <c r="CZ35" s="523">
        <f t="shared" si="145"/>
        <v>0</v>
      </c>
      <c r="DA35" s="521">
        <v>130.81395348837214</v>
      </c>
      <c r="DB35" s="522">
        <f t="shared" si="33"/>
        <v>4.6373126834830067</v>
      </c>
      <c r="DC35" s="523">
        <f t="shared" si="146"/>
        <v>0</v>
      </c>
      <c r="DD35" s="521"/>
      <c r="DE35" s="522">
        <f t="shared" si="34"/>
        <v>0</v>
      </c>
      <c r="DF35" s="523">
        <f t="shared" si="147"/>
        <v>0</v>
      </c>
      <c r="DG35" s="521"/>
      <c r="DH35" s="522">
        <f t="shared" si="35"/>
        <v>0</v>
      </c>
      <c r="DI35" s="523">
        <f t="shared" si="203"/>
        <v>0</v>
      </c>
      <c r="DJ35" s="521"/>
      <c r="DK35" s="522">
        <f t="shared" si="36"/>
        <v>0</v>
      </c>
      <c r="DL35" s="523">
        <f t="shared" si="148"/>
        <v>0</v>
      </c>
      <c r="DM35" s="521"/>
      <c r="DN35" s="522">
        <f t="shared" si="37"/>
        <v>0</v>
      </c>
      <c r="DO35" s="523">
        <f t="shared" si="149"/>
        <v>0</v>
      </c>
      <c r="DP35" s="521"/>
      <c r="DQ35" s="522">
        <f t="shared" si="38"/>
        <v>0</v>
      </c>
      <c r="DR35" s="523">
        <f t="shared" si="150"/>
        <v>0</v>
      </c>
      <c r="DS35" s="521"/>
      <c r="DT35" s="522">
        <f t="shared" si="39"/>
        <v>0</v>
      </c>
      <c r="DU35" s="523">
        <f t="shared" si="151"/>
        <v>0</v>
      </c>
      <c r="DV35" s="521"/>
      <c r="DW35" s="522">
        <f t="shared" si="40"/>
        <v>0</v>
      </c>
      <c r="DX35" s="523">
        <f t="shared" si="152"/>
        <v>0</v>
      </c>
      <c r="DY35" s="521"/>
      <c r="DZ35" s="522">
        <f t="shared" si="41"/>
        <v>0</v>
      </c>
      <c r="EA35" s="523">
        <f t="shared" si="153"/>
        <v>0</v>
      </c>
      <c r="EB35" s="521"/>
      <c r="EC35" s="522">
        <f t="shared" si="42"/>
        <v>0</v>
      </c>
      <c r="ED35" s="523">
        <f t="shared" si="154"/>
        <v>0</v>
      </c>
      <c r="EE35" s="521">
        <v>21.80232558139528</v>
      </c>
      <c r="EF35" s="522">
        <f t="shared" si="43"/>
        <v>0.77288544724716512</v>
      </c>
      <c r="EG35" s="523">
        <f t="shared" si="155"/>
        <v>0</v>
      </c>
      <c r="EH35" s="521">
        <v>35.223529411764702</v>
      </c>
      <c r="EI35" s="522">
        <f t="shared" si="44"/>
        <v>1.2486628172485625</v>
      </c>
      <c r="EJ35" s="523">
        <f t="shared" si="156"/>
        <v>0</v>
      </c>
      <c r="EK35" s="521"/>
      <c r="EL35" s="522">
        <f t="shared" si="45"/>
        <v>0</v>
      </c>
      <c r="EM35" s="523">
        <f t="shared" si="157"/>
        <v>0</v>
      </c>
      <c r="EN35" s="521">
        <v>4</v>
      </c>
      <c r="EO35" s="522">
        <f t="shared" si="46"/>
        <v>0.14179871672161368</v>
      </c>
      <c r="EP35" s="523">
        <f t="shared" si="158"/>
        <v>0</v>
      </c>
      <c r="EQ35" s="521"/>
      <c r="ER35" s="522">
        <f t="shared" si="47"/>
        <v>0</v>
      </c>
      <c r="ES35" s="523">
        <f t="shared" si="159"/>
        <v>0</v>
      </c>
      <c r="ET35" s="521"/>
      <c r="EU35" s="522">
        <f t="shared" si="48"/>
        <v>0</v>
      </c>
      <c r="EV35" s="523">
        <f t="shared" si="160"/>
        <v>0</v>
      </c>
      <c r="EW35" s="521"/>
      <c r="EX35" s="522">
        <f t="shared" si="49"/>
        <v>0</v>
      </c>
      <c r="EY35" s="523">
        <f t="shared" si="161"/>
        <v>0</v>
      </c>
      <c r="EZ35" s="521"/>
      <c r="FA35" s="522">
        <f t="shared" si="50"/>
        <v>0</v>
      </c>
      <c r="FB35" s="523">
        <f t="shared" si="162"/>
        <v>0</v>
      </c>
      <c r="FC35" s="521"/>
      <c r="FD35" s="522">
        <f t="shared" si="51"/>
        <v>0</v>
      </c>
      <c r="FE35" s="523">
        <f t="shared" si="163"/>
        <v>0</v>
      </c>
      <c r="FF35" s="521"/>
      <c r="FG35" s="522">
        <f t="shared" si="52"/>
        <v>0</v>
      </c>
      <c r="FH35" s="523">
        <f t="shared" si="164"/>
        <v>0</v>
      </c>
      <c r="FI35" s="521"/>
      <c r="FJ35" s="522">
        <f t="shared" si="53"/>
        <v>0</v>
      </c>
      <c r="FK35" s="523">
        <f t="shared" si="165"/>
        <v>0</v>
      </c>
      <c r="FL35" s="521"/>
      <c r="FM35" s="522">
        <f t="shared" si="54"/>
        <v>0</v>
      </c>
      <c r="FN35" s="523">
        <f t="shared" si="166"/>
        <v>0</v>
      </c>
      <c r="FO35" s="521"/>
      <c r="FP35" s="522">
        <f t="shared" si="55"/>
        <v>0</v>
      </c>
      <c r="FQ35" s="523">
        <f t="shared" si="167"/>
        <v>0</v>
      </c>
      <c r="FR35" s="521"/>
      <c r="FS35" s="522">
        <f t="shared" si="56"/>
        <v>0</v>
      </c>
      <c r="FT35" s="523">
        <f t="shared" si="168"/>
        <v>0</v>
      </c>
      <c r="FU35" s="521"/>
      <c r="FV35" s="522">
        <f t="shared" si="57"/>
        <v>0</v>
      </c>
      <c r="FW35" s="523">
        <f t="shared" si="169"/>
        <v>0</v>
      </c>
      <c r="FX35" s="521"/>
      <c r="FY35" s="522">
        <f t="shared" si="58"/>
        <v>0</v>
      </c>
      <c r="FZ35" s="523">
        <f t="shared" si="170"/>
        <v>0</v>
      </c>
      <c r="GA35" s="521"/>
      <c r="GB35" s="522">
        <f t="shared" si="59"/>
        <v>0</v>
      </c>
      <c r="GC35" s="523">
        <f t="shared" si="171"/>
        <v>0</v>
      </c>
      <c r="GD35" s="521"/>
      <c r="GE35" s="522">
        <f t="shared" si="60"/>
        <v>0</v>
      </c>
      <c r="GF35" s="523">
        <f t="shared" si="172"/>
        <v>0</v>
      </c>
      <c r="GG35" s="521"/>
      <c r="GH35" s="522">
        <f t="shared" si="61"/>
        <v>0</v>
      </c>
      <c r="GI35" s="523">
        <f t="shared" si="173"/>
        <v>0</v>
      </c>
      <c r="GJ35" s="521"/>
      <c r="GK35" s="522">
        <f t="shared" si="62"/>
        <v>0</v>
      </c>
      <c r="GL35" s="523">
        <f t="shared" si="174"/>
        <v>0</v>
      </c>
      <c r="GM35" s="521"/>
      <c r="GN35" s="522">
        <f t="shared" si="63"/>
        <v>0</v>
      </c>
      <c r="GO35" s="523">
        <f t="shared" si="175"/>
        <v>0</v>
      </c>
      <c r="GP35" s="521"/>
      <c r="GQ35" s="522">
        <f t="shared" si="64"/>
        <v>0</v>
      </c>
      <c r="GR35" s="523">
        <f t="shared" si="176"/>
        <v>0</v>
      </c>
      <c r="GS35" s="521"/>
      <c r="GT35" s="522">
        <f t="shared" si="65"/>
        <v>0</v>
      </c>
      <c r="GU35" s="523">
        <f t="shared" si="177"/>
        <v>0</v>
      </c>
      <c r="GV35" s="521"/>
      <c r="GW35" s="522">
        <f t="shared" si="66"/>
        <v>0</v>
      </c>
      <c r="GX35" s="523">
        <f t="shared" si="178"/>
        <v>0</v>
      </c>
      <c r="GY35" s="521"/>
      <c r="GZ35" s="522">
        <f t="shared" si="67"/>
        <v>0</v>
      </c>
      <c r="HA35" s="523">
        <f t="shared" si="179"/>
        <v>0</v>
      </c>
      <c r="HB35" s="521"/>
      <c r="HC35" s="522">
        <f t="shared" si="68"/>
        <v>0</v>
      </c>
      <c r="HD35" s="523">
        <f t="shared" si="180"/>
        <v>0</v>
      </c>
      <c r="HE35" s="521"/>
      <c r="HF35" s="522">
        <f t="shared" si="69"/>
        <v>0</v>
      </c>
      <c r="HG35" s="523">
        <f t="shared" si="181"/>
        <v>0</v>
      </c>
      <c r="HH35" s="521"/>
      <c r="HI35" s="522">
        <f t="shared" si="70"/>
        <v>0</v>
      </c>
      <c r="HJ35" s="523">
        <f t="shared" si="182"/>
        <v>0</v>
      </c>
      <c r="HK35" s="521"/>
      <c r="HL35" s="522">
        <f t="shared" si="71"/>
        <v>0</v>
      </c>
      <c r="HM35" s="523">
        <f t="shared" si="183"/>
        <v>0</v>
      </c>
      <c r="HN35" s="521"/>
      <c r="HO35" s="522">
        <f t="shared" si="72"/>
        <v>0</v>
      </c>
      <c r="HP35" s="523">
        <f t="shared" si="184"/>
        <v>0</v>
      </c>
      <c r="HQ35" s="521"/>
      <c r="HR35" s="522">
        <f t="shared" si="73"/>
        <v>0</v>
      </c>
      <c r="HS35" s="523">
        <f t="shared" si="185"/>
        <v>0</v>
      </c>
      <c r="HT35" s="521"/>
      <c r="HU35" s="522">
        <f t="shared" si="74"/>
        <v>0</v>
      </c>
      <c r="HV35" s="523">
        <f t="shared" si="186"/>
        <v>0</v>
      </c>
      <c r="HW35" s="521"/>
      <c r="HX35" s="522">
        <f t="shared" si="75"/>
        <v>0</v>
      </c>
      <c r="HY35" s="523">
        <f t="shared" si="187"/>
        <v>0</v>
      </c>
      <c r="HZ35" s="521"/>
      <c r="IA35" s="522">
        <f t="shared" si="76"/>
        <v>0</v>
      </c>
      <c r="IB35" s="523">
        <f t="shared" si="188"/>
        <v>0</v>
      </c>
      <c r="IC35" s="521"/>
      <c r="ID35" s="522">
        <f t="shared" si="77"/>
        <v>0</v>
      </c>
      <c r="IE35" s="523">
        <f t="shared" si="189"/>
        <v>0</v>
      </c>
      <c r="IF35" s="521"/>
      <c r="IG35" s="522">
        <f t="shared" si="78"/>
        <v>0</v>
      </c>
      <c r="IH35" s="523">
        <f t="shared" si="190"/>
        <v>0</v>
      </c>
      <c r="II35" s="521"/>
      <c r="IJ35" s="522">
        <f t="shared" si="79"/>
        <v>0</v>
      </c>
      <c r="IK35" s="523">
        <f t="shared" si="191"/>
        <v>0</v>
      </c>
      <c r="IL35" s="521"/>
      <c r="IM35" s="522">
        <f t="shared" si="80"/>
        <v>0</v>
      </c>
      <c r="IN35" s="523">
        <f t="shared" si="192"/>
        <v>0</v>
      </c>
      <c r="IO35" s="521"/>
      <c r="IP35" s="522">
        <f t="shared" si="81"/>
        <v>0</v>
      </c>
      <c r="IQ35" s="523">
        <f t="shared" si="193"/>
        <v>0</v>
      </c>
      <c r="IR35" s="521"/>
      <c r="IS35" s="522">
        <f t="shared" si="82"/>
        <v>0</v>
      </c>
      <c r="IT35" s="523">
        <f t="shared" si="194"/>
        <v>0</v>
      </c>
      <c r="IU35" s="521"/>
      <c r="IV35" s="522">
        <f t="shared" si="83"/>
        <v>0</v>
      </c>
      <c r="IW35" s="523">
        <f t="shared" si="195"/>
        <v>0</v>
      </c>
      <c r="IX35" s="521"/>
      <c r="IY35" s="522">
        <f t="shared" si="84"/>
        <v>0</v>
      </c>
      <c r="IZ35" s="523">
        <f t="shared" si="196"/>
        <v>0</v>
      </c>
      <c r="JA35" s="521"/>
      <c r="JB35" s="522">
        <f t="shared" si="85"/>
        <v>0</v>
      </c>
      <c r="JC35" s="523">
        <f t="shared" si="197"/>
        <v>0</v>
      </c>
      <c r="JD35" s="521"/>
      <c r="JE35" s="522">
        <f t="shared" si="86"/>
        <v>0</v>
      </c>
      <c r="JF35" s="523">
        <f t="shared" si="198"/>
        <v>0</v>
      </c>
      <c r="JG35" s="521"/>
      <c r="JH35" s="522">
        <f t="shared" si="87"/>
        <v>0</v>
      </c>
      <c r="JI35" s="523">
        <f t="shared" si="199"/>
        <v>0</v>
      </c>
      <c r="JJ35" s="521"/>
      <c r="JK35" s="523" t="str">
        <f t="shared" si="88"/>
        <v>0</v>
      </c>
      <c r="JL35" s="523" t="str">
        <f t="shared" si="89"/>
        <v>0</v>
      </c>
      <c r="JM35" s="521"/>
      <c r="JN35" s="523" t="str">
        <f t="shared" si="90"/>
        <v>0</v>
      </c>
      <c r="JO35" s="523" t="str">
        <f t="shared" si="91"/>
        <v>0</v>
      </c>
      <c r="JP35" s="521"/>
      <c r="JQ35" s="523" t="str">
        <f t="shared" si="92"/>
        <v>0</v>
      </c>
      <c r="JR35" s="523" t="str">
        <f t="shared" si="93"/>
        <v>0</v>
      </c>
      <c r="JS35" s="521"/>
      <c r="JT35" s="523" t="str">
        <f t="shared" si="94"/>
        <v>0</v>
      </c>
      <c r="JU35" s="523" t="str">
        <f t="shared" si="95"/>
        <v>0</v>
      </c>
      <c r="JV35" s="521"/>
      <c r="JW35" s="523" t="str">
        <f t="shared" si="96"/>
        <v>0</v>
      </c>
      <c r="JX35" s="523" t="str">
        <f t="shared" si="97"/>
        <v>0</v>
      </c>
      <c r="JY35" s="521"/>
      <c r="JZ35" s="523" t="str">
        <f t="shared" si="98"/>
        <v>0</v>
      </c>
      <c r="KA35" s="523" t="str">
        <f t="shared" si="99"/>
        <v>0</v>
      </c>
      <c r="KB35" s="521"/>
      <c r="KC35" s="523" t="str">
        <f t="shared" si="100"/>
        <v>0</v>
      </c>
      <c r="KD35" s="523" t="str">
        <f t="shared" si="101"/>
        <v>0</v>
      </c>
      <c r="KE35" s="521"/>
      <c r="KF35" s="523" t="str">
        <f t="shared" si="102"/>
        <v>0</v>
      </c>
      <c r="KG35" s="523" t="str">
        <f t="shared" si="103"/>
        <v>0</v>
      </c>
      <c r="KH35" s="521"/>
      <c r="KI35" s="523" t="str">
        <f t="shared" si="104"/>
        <v>0</v>
      </c>
      <c r="KJ35" s="523" t="str">
        <f t="shared" si="105"/>
        <v>0</v>
      </c>
      <c r="KK35" s="521"/>
      <c r="KL35" s="523" t="str">
        <f t="shared" si="106"/>
        <v>0</v>
      </c>
      <c r="KM35" s="523" t="str">
        <f t="shared" si="107"/>
        <v>0</v>
      </c>
      <c r="KN35" s="521"/>
      <c r="KO35" s="523" t="str">
        <f t="shared" si="108"/>
        <v>0</v>
      </c>
      <c r="KP35" s="523" t="str">
        <f t="shared" si="109"/>
        <v>0</v>
      </c>
      <c r="KQ35" s="521"/>
      <c r="KR35" s="523" t="str">
        <f t="shared" si="110"/>
        <v>0</v>
      </c>
      <c r="KS35" s="523" t="str">
        <f t="shared" si="111"/>
        <v>0</v>
      </c>
      <c r="KT35" s="523">
        <f t="shared" si="201"/>
        <v>0</v>
      </c>
      <c r="KU35" s="523">
        <f t="shared" si="202"/>
        <v>0</v>
      </c>
      <c r="KV35" s="260">
        <f t="shared" si="204"/>
        <v>277.17155953638439</v>
      </c>
    </row>
    <row r="36" spans="1:308" ht="15" customHeight="1">
      <c r="A36" s="261">
        <f t="shared" si="200"/>
        <v>46050</v>
      </c>
      <c r="B36" s="262" t="str">
        <f>+Report1!B36</f>
        <v>Toilet</v>
      </c>
      <c r="C36" s="262" t="str">
        <f>+Report1!C36</f>
        <v>13</v>
      </c>
      <c r="D36" s="263">
        <f>+Report1!P36</f>
        <v>26.457000000000001</v>
      </c>
      <c r="E36" s="554">
        <f>+Report1!R36</f>
        <v>26.655999999999999</v>
      </c>
      <c r="F36" s="521"/>
      <c r="G36" s="522">
        <f t="shared" si="0"/>
        <v>0</v>
      </c>
      <c r="H36" s="523">
        <f t="shared" si="113"/>
        <v>0</v>
      </c>
      <c r="I36" s="521"/>
      <c r="J36" s="522">
        <f t="shared" si="1"/>
        <v>0</v>
      </c>
      <c r="K36" s="523">
        <f t="shared" si="114"/>
        <v>0</v>
      </c>
      <c r="L36" s="521"/>
      <c r="M36" s="522">
        <f t="shared" si="2"/>
        <v>0</v>
      </c>
      <c r="N36" s="523">
        <f t="shared" si="115"/>
        <v>0</v>
      </c>
      <c r="O36" s="521">
        <v>9</v>
      </c>
      <c r="P36" s="522">
        <f t="shared" si="3"/>
        <v>0.33763505402160865</v>
      </c>
      <c r="Q36" s="523">
        <f t="shared" si="116"/>
        <v>0</v>
      </c>
      <c r="R36" s="521"/>
      <c r="S36" s="522">
        <f t="shared" si="4"/>
        <v>0</v>
      </c>
      <c r="T36" s="523">
        <f t="shared" si="117"/>
        <v>0</v>
      </c>
      <c r="U36" s="521">
        <v>5.125</v>
      </c>
      <c r="V36" s="522">
        <f t="shared" si="5"/>
        <v>0.19226440576230494</v>
      </c>
      <c r="W36" s="523">
        <f t="shared" si="118"/>
        <v>0</v>
      </c>
      <c r="X36" s="521"/>
      <c r="Y36" s="522">
        <f t="shared" si="6"/>
        <v>0</v>
      </c>
      <c r="Z36" s="523">
        <f t="shared" si="119"/>
        <v>0</v>
      </c>
      <c r="AA36" s="521">
        <v>6.2500000000000142</v>
      </c>
      <c r="AB36" s="522">
        <f t="shared" si="7"/>
        <v>0.23446878751500655</v>
      </c>
      <c r="AC36" s="523">
        <f t="shared" si="120"/>
        <v>0</v>
      </c>
      <c r="AD36" s="521"/>
      <c r="AE36" s="522">
        <f t="shared" si="8"/>
        <v>0</v>
      </c>
      <c r="AF36" s="523">
        <f t="shared" si="121"/>
        <v>0</v>
      </c>
      <c r="AG36" s="521"/>
      <c r="AH36" s="522">
        <f t="shared" si="9"/>
        <v>0</v>
      </c>
      <c r="AI36" s="523">
        <f t="shared" si="122"/>
        <v>0</v>
      </c>
      <c r="AJ36" s="521"/>
      <c r="AK36" s="522">
        <f t="shared" si="10"/>
        <v>0</v>
      </c>
      <c r="AL36" s="523">
        <f t="shared" si="123"/>
        <v>0</v>
      </c>
      <c r="AM36" s="521"/>
      <c r="AN36" s="522">
        <f t="shared" si="11"/>
        <v>0</v>
      </c>
      <c r="AO36" s="523">
        <f t="shared" si="124"/>
        <v>0</v>
      </c>
      <c r="AP36" s="521">
        <v>37.025316455696213</v>
      </c>
      <c r="AQ36" s="522">
        <f t="shared" si="12"/>
        <v>1.3890049690762385</v>
      </c>
      <c r="AR36" s="523">
        <f t="shared" si="125"/>
        <v>0</v>
      </c>
      <c r="AS36" s="521"/>
      <c r="AT36" s="522">
        <f t="shared" si="13"/>
        <v>0</v>
      </c>
      <c r="AU36" s="523">
        <f t="shared" si="126"/>
        <v>0</v>
      </c>
      <c r="AV36" s="521"/>
      <c r="AW36" s="522">
        <f t="shared" si="14"/>
        <v>0</v>
      </c>
      <c r="AX36" s="523">
        <f t="shared" si="127"/>
        <v>0</v>
      </c>
      <c r="AY36" s="521">
        <v>32.666666666666657</v>
      </c>
      <c r="AZ36" s="522">
        <f t="shared" si="15"/>
        <v>1.225490196078431</v>
      </c>
      <c r="BA36" s="523">
        <f t="shared" si="128"/>
        <v>0</v>
      </c>
      <c r="BB36" s="521"/>
      <c r="BC36" s="522">
        <f t="shared" si="16"/>
        <v>0</v>
      </c>
      <c r="BD36" s="523">
        <f t="shared" si="129"/>
        <v>0</v>
      </c>
      <c r="BE36" s="521"/>
      <c r="BF36" s="522">
        <f t="shared" si="17"/>
        <v>0</v>
      </c>
      <c r="BG36" s="523">
        <f t="shared" si="130"/>
        <v>0</v>
      </c>
      <c r="BH36" s="521"/>
      <c r="BI36" s="522">
        <f t="shared" si="18"/>
        <v>0</v>
      </c>
      <c r="BJ36" s="523">
        <f t="shared" si="131"/>
        <v>0</v>
      </c>
      <c r="BK36" s="521"/>
      <c r="BL36" s="522">
        <f t="shared" si="19"/>
        <v>0</v>
      </c>
      <c r="BM36" s="523">
        <f t="shared" si="132"/>
        <v>0</v>
      </c>
      <c r="BN36" s="521"/>
      <c r="BO36" s="522">
        <f t="shared" si="20"/>
        <v>0</v>
      </c>
      <c r="BP36" s="523">
        <f t="shared" si="133"/>
        <v>0</v>
      </c>
      <c r="BQ36" s="521"/>
      <c r="BR36" s="522">
        <f t="shared" si="21"/>
        <v>0</v>
      </c>
      <c r="BS36" s="523">
        <f t="shared" si="134"/>
        <v>0</v>
      </c>
      <c r="BT36" s="521"/>
      <c r="BU36" s="522">
        <f t="shared" si="22"/>
        <v>0</v>
      </c>
      <c r="BV36" s="523">
        <f t="shared" si="135"/>
        <v>0</v>
      </c>
      <c r="BW36" s="521"/>
      <c r="BX36" s="522">
        <f t="shared" si="23"/>
        <v>0</v>
      </c>
      <c r="BY36" s="523">
        <f t="shared" si="136"/>
        <v>0</v>
      </c>
      <c r="BZ36" s="521"/>
      <c r="CA36" s="522">
        <f t="shared" si="24"/>
        <v>0</v>
      </c>
      <c r="CB36" s="523">
        <f t="shared" si="137"/>
        <v>0</v>
      </c>
      <c r="CC36" s="521"/>
      <c r="CD36" s="522">
        <f t="shared" si="25"/>
        <v>0</v>
      </c>
      <c r="CE36" s="523">
        <f t="shared" si="138"/>
        <v>0</v>
      </c>
      <c r="CF36" s="521">
        <v>1.0000000000000036</v>
      </c>
      <c r="CG36" s="522">
        <f t="shared" si="26"/>
        <v>3.7515006002401097E-2</v>
      </c>
      <c r="CH36" s="523">
        <f t="shared" si="139"/>
        <v>0</v>
      </c>
      <c r="CI36" s="521"/>
      <c r="CJ36" s="522">
        <f t="shared" si="27"/>
        <v>0</v>
      </c>
      <c r="CK36" s="523">
        <f t="shared" si="140"/>
        <v>0</v>
      </c>
      <c r="CL36" s="521"/>
      <c r="CM36" s="522">
        <f t="shared" si="28"/>
        <v>0</v>
      </c>
      <c r="CN36" s="523">
        <f t="shared" si="141"/>
        <v>0</v>
      </c>
      <c r="CO36" s="521"/>
      <c r="CP36" s="522">
        <f t="shared" si="29"/>
        <v>0</v>
      </c>
      <c r="CQ36" s="523">
        <f t="shared" si="142"/>
        <v>0</v>
      </c>
      <c r="CR36" s="521"/>
      <c r="CS36" s="522">
        <f t="shared" si="30"/>
        <v>0</v>
      </c>
      <c r="CT36" s="523">
        <f t="shared" si="143"/>
        <v>0</v>
      </c>
      <c r="CU36" s="521"/>
      <c r="CV36" s="522">
        <f t="shared" si="31"/>
        <v>0</v>
      </c>
      <c r="CW36" s="523">
        <f t="shared" si="144"/>
        <v>0</v>
      </c>
      <c r="CX36" s="521"/>
      <c r="CY36" s="522">
        <f t="shared" si="32"/>
        <v>0</v>
      </c>
      <c r="CZ36" s="523">
        <f t="shared" si="145"/>
        <v>0</v>
      </c>
      <c r="DA36" s="521">
        <v>145.34883720930225</v>
      </c>
      <c r="DB36" s="522">
        <f t="shared" si="33"/>
        <v>5.4527625003489737</v>
      </c>
      <c r="DC36" s="523">
        <f t="shared" si="146"/>
        <v>0</v>
      </c>
      <c r="DD36" s="521"/>
      <c r="DE36" s="522">
        <f t="shared" si="34"/>
        <v>0</v>
      </c>
      <c r="DF36" s="523">
        <f t="shared" si="147"/>
        <v>0</v>
      </c>
      <c r="DG36" s="521"/>
      <c r="DH36" s="522">
        <f t="shared" si="35"/>
        <v>0</v>
      </c>
      <c r="DI36" s="523">
        <f t="shared" si="203"/>
        <v>0</v>
      </c>
      <c r="DJ36" s="521"/>
      <c r="DK36" s="522">
        <f t="shared" si="36"/>
        <v>0</v>
      </c>
      <c r="DL36" s="523">
        <f t="shared" si="148"/>
        <v>0</v>
      </c>
      <c r="DM36" s="521"/>
      <c r="DN36" s="522">
        <f t="shared" si="37"/>
        <v>0</v>
      </c>
      <c r="DO36" s="523">
        <f t="shared" si="149"/>
        <v>0</v>
      </c>
      <c r="DP36" s="521"/>
      <c r="DQ36" s="522">
        <f t="shared" si="38"/>
        <v>0</v>
      </c>
      <c r="DR36" s="523">
        <f t="shared" si="150"/>
        <v>0</v>
      </c>
      <c r="DS36" s="521"/>
      <c r="DT36" s="522">
        <f t="shared" si="39"/>
        <v>0</v>
      </c>
      <c r="DU36" s="523">
        <f t="shared" si="151"/>
        <v>0</v>
      </c>
      <c r="DV36" s="521"/>
      <c r="DW36" s="522">
        <f t="shared" si="40"/>
        <v>0</v>
      </c>
      <c r="DX36" s="523">
        <f t="shared" si="152"/>
        <v>0</v>
      </c>
      <c r="DY36" s="521"/>
      <c r="DZ36" s="522">
        <f t="shared" si="41"/>
        <v>0</v>
      </c>
      <c r="EA36" s="523">
        <f t="shared" si="153"/>
        <v>0</v>
      </c>
      <c r="EB36" s="521"/>
      <c r="EC36" s="522">
        <f t="shared" si="42"/>
        <v>0</v>
      </c>
      <c r="ED36" s="523">
        <f t="shared" si="154"/>
        <v>0</v>
      </c>
      <c r="EE36" s="521">
        <v>21.802325581395394</v>
      </c>
      <c r="EF36" s="522">
        <f t="shared" si="43"/>
        <v>0.81791437505234821</v>
      </c>
      <c r="EG36" s="523">
        <f t="shared" si="155"/>
        <v>0</v>
      </c>
      <c r="EH36" s="521">
        <v>23.482352941176487</v>
      </c>
      <c r="EI36" s="522">
        <f t="shared" si="44"/>
        <v>0.88094061153873382</v>
      </c>
      <c r="EJ36" s="523">
        <f t="shared" si="156"/>
        <v>0</v>
      </c>
      <c r="EK36" s="521"/>
      <c r="EL36" s="522">
        <f t="shared" si="45"/>
        <v>0</v>
      </c>
      <c r="EM36" s="523">
        <f t="shared" si="157"/>
        <v>0</v>
      </c>
      <c r="EN36" s="521">
        <v>3</v>
      </c>
      <c r="EO36" s="522">
        <f t="shared" si="46"/>
        <v>0.11254501800720289</v>
      </c>
      <c r="EP36" s="523">
        <f t="shared" si="158"/>
        <v>0</v>
      </c>
      <c r="EQ36" s="521"/>
      <c r="ER36" s="522">
        <f t="shared" si="47"/>
        <v>0</v>
      </c>
      <c r="ES36" s="523">
        <f t="shared" si="159"/>
        <v>0</v>
      </c>
      <c r="ET36" s="521"/>
      <c r="EU36" s="522">
        <f t="shared" si="48"/>
        <v>0</v>
      </c>
      <c r="EV36" s="523">
        <f t="shared" si="160"/>
        <v>0</v>
      </c>
      <c r="EW36" s="521"/>
      <c r="EX36" s="522">
        <f t="shared" si="49"/>
        <v>0</v>
      </c>
      <c r="EY36" s="523">
        <f t="shared" si="161"/>
        <v>0</v>
      </c>
      <c r="EZ36" s="521"/>
      <c r="FA36" s="522">
        <f t="shared" si="50"/>
        <v>0</v>
      </c>
      <c r="FB36" s="523">
        <f t="shared" si="162"/>
        <v>0</v>
      </c>
      <c r="FC36" s="521"/>
      <c r="FD36" s="522">
        <f t="shared" si="51"/>
        <v>0</v>
      </c>
      <c r="FE36" s="523">
        <f t="shared" si="163"/>
        <v>0</v>
      </c>
      <c r="FF36" s="521"/>
      <c r="FG36" s="522">
        <f t="shared" si="52"/>
        <v>0</v>
      </c>
      <c r="FH36" s="523">
        <f t="shared" si="164"/>
        <v>0</v>
      </c>
      <c r="FI36" s="521"/>
      <c r="FJ36" s="522">
        <f t="shared" si="53"/>
        <v>0</v>
      </c>
      <c r="FK36" s="523">
        <f t="shared" si="165"/>
        <v>0</v>
      </c>
      <c r="FL36" s="521"/>
      <c r="FM36" s="522">
        <f t="shared" si="54"/>
        <v>0</v>
      </c>
      <c r="FN36" s="523">
        <f t="shared" si="166"/>
        <v>0</v>
      </c>
      <c r="FO36" s="521"/>
      <c r="FP36" s="522">
        <f t="shared" si="55"/>
        <v>0</v>
      </c>
      <c r="FQ36" s="523">
        <f t="shared" si="167"/>
        <v>0</v>
      </c>
      <c r="FR36" s="521"/>
      <c r="FS36" s="522">
        <f t="shared" si="56"/>
        <v>0</v>
      </c>
      <c r="FT36" s="523">
        <f t="shared" si="168"/>
        <v>0</v>
      </c>
      <c r="FU36" s="521"/>
      <c r="FV36" s="522">
        <f t="shared" si="57"/>
        <v>0</v>
      </c>
      <c r="FW36" s="523">
        <f t="shared" si="169"/>
        <v>0</v>
      </c>
      <c r="FX36" s="521"/>
      <c r="FY36" s="522">
        <f t="shared" si="58"/>
        <v>0</v>
      </c>
      <c r="FZ36" s="523">
        <f t="shared" si="170"/>
        <v>0</v>
      </c>
      <c r="GA36" s="521"/>
      <c r="GB36" s="522">
        <f t="shared" si="59"/>
        <v>0</v>
      </c>
      <c r="GC36" s="523">
        <f t="shared" si="171"/>
        <v>0</v>
      </c>
      <c r="GD36" s="521"/>
      <c r="GE36" s="522">
        <f t="shared" si="60"/>
        <v>0</v>
      </c>
      <c r="GF36" s="523">
        <f t="shared" si="172"/>
        <v>0</v>
      </c>
      <c r="GG36" s="521"/>
      <c r="GH36" s="522">
        <f t="shared" si="61"/>
        <v>0</v>
      </c>
      <c r="GI36" s="523">
        <f t="shared" si="173"/>
        <v>0</v>
      </c>
      <c r="GJ36" s="521"/>
      <c r="GK36" s="522">
        <f t="shared" si="62"/>
        <v>0</v>
      </c>
      <c r="GL36" s="523">
        <f t="shared" si="174"/>
        <v>0</v>
      </c>
      <c r="GM36" s="521"/>
      <c r="GN36" s="522">
        <f t="shared" si="63"/>
        <v>0</v>
      </c>
      <c r="GO36" s="523">
        <f t="shared" si="175"/>
        <v>0</v>
      </c>
      <c r="GP36" s="521"/>
      <c r="GQ36" s="522">
        <f t="shared" si="64"/>
        <v>0</v>
      </c>
      <c r="GR36" s="523">
        <f t="shared" si="176"/>
        <v>0</v>
      </c>
      <c r="GS36" s="521"/>
      <c r="GT36" s="522">
        <f t="shared" si="65"/>
        <v>0</v>
      </c>
      <c r="GU36" s="523">
        <f t="shared" si="177"/>
        <v>0</v>
      </c>
      <c r="GV36" s="521"/>
      <c r="GW36" s="522">
        <f t="shared" si="66"/>
        <v>0</v>
      </c>
      <c r="GX36" s="523">
        <f t="shared" si="178"/>
        <v>0</v>
      </c>
      <c r="GY36" s="521"/>
      <c r="GZ36" s="522">
        <f t="shared" si="67"/>
        <v>0</v>
      </c>
      <c r="HA36" s="523">
        <f t="shared" si="179"/>
        <v>0</v>
      </c>
      <c r="HB36" s="521"/>
      <c r="HC36" s="522">
        <f t="shared" si="68"/>
        <v>0</v>
      </c>
      <c r="HD36" s="523">
        <f t="shared" si="180"/>
        <v>0</v>
      </c>
      <c r="HE36" s="521"/>
      <c r="HF36" s="522">
        <f t="shared" si="69"/>
        <v>0</v>
      </c>
      <c r="HG36" s="523">
        <f t="shared" si="181"/>
        <v>0</v>
      </c>
      <c r="HH36" s="521"/>
      <c r="HI36" s="522">
        <f t="shared" si="70"/>
        <v>0</v>
      </c>
      <c r="HJ36" s="523">
        <f t="shared" si="182"/>
        <v>0</v>
      </c>
      <c r="HK36" s="521"/>
      <c r="HL36" s="522">
        <f t="shared" si="71"/>
        <v>0</v>
      </c>
      <c r="HM36" s="523">
        <f t="shared" si="183"/>
        <v>0</v>
      </c>
      <c r="HN36" s="521"/>
      <c r="HO36" s="522">
        <f t="shared" si="72"/>
        <v>0</v>
      </c>
      <c r="HP36" s="523">
        <f t="shared" si="184"/>
        <v>0</v>
      </c>
      <c r="HQ36" s="521"/>
      <c r="HR36" s="522">
        <f t="shared" si="73"/>
        <v>0</v>
      </c>
      <c r="HS36" s="523">
        <f t="shared" si="185"/>
        <v>0</v>
      </c>
      <c r="HT36" s="521"/>
      <c r="HU36" s="522">
        <f t="shared" si="74"/>
        <v>0</v>
      </c>
      <c r="HV36" s="523">
        <f t="shared" si="186"/>
        <v>0</v>
      </c>
      <c r="HW36" s="521"/>
      <c r="HX36" s="522">
        <f t="shared" si="75"/>
        <v>0</v>
      </c>
      <c r="HY36" s="523">
        <f t="shared" si="187"/>
        <v>0</v>
      </c>
      <c r="HZ36" s="521"/>
      <c r="IA36" s="522">
        <f t="shared" si="76"/>
        <v>0</v>
      </c>
      <c r="IB36" s="523">
        <f t="shared" si="188"/>
        <v>0</v>
      </c>
      <c r="IC36" s="521"/>
      <c r="ID36" s="522">
        <f t="shared" si="77"/>
        <v>0</v>
      </c>
      <c r="IE36" s="523">
        <f t="shared" si="189"/>
        <v>0</v>
      </c>
      <c r="IF36" s="521"/>
      <c r="IG36" s="522">
        <f t="shared" si="78"/>
        <v>0</v>
      </c>
      <c r="IH36" s="523">
        <f t="shared" si="190"/>
        <v>0</v>
      </c>
      <c r="II36" s="521"/>
      <c r="IJ36" s="522">
        <f t="shared" si="79"/>
        <v>0</v>
      </c>
      <c r="IK36" s="523">
        <f t="shared" si="191"/>
        <v>0</v>
      </c>
      <c r="IL36" s="521"/>
      <c r="IM36" s="522">
        <f t="shared" si="80"/>
        <v>0</v>
      </c>
      <c r="IN36" s="523">
        <f t="shared" si="192"/>
        <v>0</v>
      </c>
      <c r="IO36" s="521"/>
      <c r="IP36" s="522">
        <f t="shared" si="81"/>
        <v>0</v>
      </c>
      <c r="IQ36" s="523">
        <f t="shared" si="193"/>
        <v>0</v>
      </c>
      <c r="IR36" s="521"/>
      <c r="IS36" s="522">
        <f t="shared" si="82"/>
        <v>0</v>
      </c>
      <c r="IT36" s="523">
        <f t="shared" si="194"/>
        <v>0</v>
      </c>
      <c r="IU36" s="521"/>
      <c r="IV36" s="522">
        <f t="shared" si="83"/>
        <v>0</v>
      </c>
      <c r="IW36" s="523">
        <f t="shared" si="195"/>
        <v>0</v>
      </c>
      <c r="IX36" s="521"/>
      <c r="IY36" s="522">
        <f t="shared" si="84"/>
        <v>0</v>
      </c>
      <c r="IZ36" s="523">
        <f t="shared" si="196"/>
        <v>0</v>
      </c>
      <c r="JA36" s="521"/>
      <c r="JB36" s="522">
        <f t="shared" si="85"/>
        <v>0</v>
      </c>
      <c r="JC36" s="523">
        <f t="shared" si="197"/>
        <v>0</v>
      </c>
      <c r="JD36" s="521"/>
      <c r="JE36" s="522">
        <f t="shared" si="86"/>
        <v>0</v>
      </c>
      <c r="JF36" s="523">
        <f t="shared" si="198"/>
        <v>0</v>
      </c>
      <c r="JG36" s="521"/>
      <c r="JH36" s="522">
        <f t="shared" si="87"/>
        <v>0</v>
      </c>
      <c r="JI36" s="523">
        <f t="shared" si="199"/>
        <v>0</v>
      </c>
      <c r="JJ36" s="521"/>
      <c r="JK36" s="523" t="str">
        <f t="shared" si="88"/>
        <v>0</v>
      </c>
      <c r="JL36" s="523" t="str">
        <f t="shared" si="89"/>
        <v>0</v>
      </c>
      <c r="JM36" s="521"/>
      <c r="JN36" s="523" t="str">
        <f t="shared" si="90"/>
        <v>0</v>
      </c>
      <c r="JO36" s="523" t="str">
        <f t="shared" si="91"/>
        <v>0</v>
      </c>
      <c r="JP36" s="521"/>
      <c r="JQ36" s="523" t="str">
        <f t="shared" si="92"/>
        <v>0</v>
      </c>
      <c r="JR36" s="523" t="str">
        <f t="shared" si="93"/>
        <v>0</v>
      </c>
      <c r="JS36" s="521"/>
      <c r="JT36" s="523" t="str">
        <f t="shared" si="94"/>
        <v>0</v>
      </c>
      <c r="JU36" s="523" t="str">
        <f t="shared" si="95"/>
        <v>0</v>
      </c>
      <c r="JV36" s="521"/>
      <c r="JW36" s="523" t="str">
        <f t="shared" si="96"/>
        <v>0</v>
      </c>
      <c r="JX36" s="523" t="str">
        <f t="shared" si="97"/>
        <v>0</v>
      </c>
      <c r="JY36" s="521"/>
      <c r="JZ36" s="523" t="str">
        <f t="shared" si="98"/>
        <v>0</v>
      </c>
      <c r="KA36" s="523" t="str">
        <f t="shared" si="99"/>
        <v>0</v>
      </c>
      <c r="KB36" s="521"/>
      <c r="KC36" s="523" t="str">
        <f t="shared" si="100"/>
        <v>0</v>
      </c>
      <c r="KD36" s="523" t="str">
        <f t="shared" si="101"/>
        <v>0</v>
      </c>
      <c r="KE36" s="521"/>
      <c r="KF36" s="523" t="str">
        <f t="shared" si="102"/>
        <v>0</v>
      </c>
      <c r="KG36" s="523" t="str">
        <f t="shared" si="103"/>
        <v>0</v>
      </c>
      <c r="KH36" s="521"/>
      <c r="KI36" s="523" t="str">
        <f t="shared" si="104"/>
        <v>0</v>
      </c>
      <c r="KJ36" s="523" t="str">
        <f t="shared" si="105"/>
        <v>0</v>
      </c>
      <c r="KK36" s="521"/>
      <c r="KL36" s="523" t="str">
        <f t="shared" si="106"/>
        <v>0</v>
      </c>
      <c r="KM36" s="523" t="str">
        <f t="shared" si="107"/>
        <v>0</v>
      </c>
      <c r="KN36" s="521"/>
      <c r="KO36" s="523" t="str">
        <f t="shared" si="108"/>
        <v>0</v>
      </c>
      <c r="KP36" s="523" t="str">
        <f t="shared" si="109"/>
        <v>0</v>
      </c>
      <c r="KQ36" s="521"/>
      <c r="KR36" s="523" t="str">
        <f t="shared" si="110"/>
        <v>0</v>
      </c>
      <c r="KS36" s="523" t="str">
        <f t="shared" si="111"/>
        <v>0</v>
      </c>
      <c r="KT36" s="523">
        <f t="shared" si="201"/>
        <v>0</v>
      </c>
      <c r="KU36" s="523">
        <f t="shared" si="202"/>
        <v>0</v>
      </c>
      <c r="KV36" s="260">
        <f t="shared" si="204"/>
        <v>284.70049885423703</v>
      </c>
    </row>
    <row r="37" spans="1:308" ht="15" customHeight="1">
      <c r="A37" s="261">
        <f t="shared" si="200"/>
        <v>46051</v>
      </c>
      <c r="B37" s="262" t="str">
        <f>+Report1!B37</f>
        <v>Toilet</v>
      </c>
      <c r="C37" s="262" t="str">
        <f>+Report1!C37</f>
        <v>13/12,5</v>
      </c>
      <c r="D37" s="263">
        <f>+Report1!P37</f>
        <v>27.646999999999998</v>
      </c>
      <c r="E37" s="554">
        <f>+Report1!R37</f>
        <v>28.093</v>
      </c>
      <c r="F37" s="521"/>
      <c r="G37" s="522">
        <f t="shared" si="0"/>
        <v>0</v>
      </c>
      <c r="H37" s="523">
        <f t="shared" si="113"/>
        <v>0</v>
      </c>
      <c r="I37" s="521"/>
      <c r="J37" s="522">
        <f t="shared" si="1"/>
        <v>0</v>
      </c>
      <c r="K37" s="523">
        <f t="shared" si="114"/>
        <v>0</v>
      </c>
      <c r="L37" s="521"/>
      <c r="M37" s="522">
        <f t="shared" si="2"/>
        <v>0</v>
      </c>
      <c r="N37" s="523">
        <f t="shared" si="115"/>
        <v>0</v>
      </c>
      <c r="O37" s="521">
        <v>9</v>
      </c>
      <c r="P37" s="522">
        <f t="shared" si="3"/>
        <v>0.32036450361299967</v>
      </c>
      <c r="Q37" s="523">
        <f t="shared" si="116"/>
        <v>0</v>
      </c>
      <c r="R37" s="521"/>
      <c r="S37" s="522">
        <f t="shared" si="4"/>
        <v>0</v>
      </c>
      <c r="T37" s="523">
        <f t="shared" si="117"/>
        <v>0</v>
      </c>
      <c r="U37" s="521">
        <v>7.6875</v>
      </c>
      <c r="V37" s="522">
        <f t="shared" si="5"/>
        <v>0.27364468016943722</v>
      </c>
      <c r="W37" s="523">
        <f t="shared" si="118"/>
        <v>0</v>
      </c>
      <c r="X37" s="521"/>
      <c r="Y37" s="522">
        <f t="shared" si="6"/>
        <v>0</v>
      </c>
      <c r="Z37" s="523">
        <f t="shared" si="119"/>
        <v>0</v>
      </c>
      <c r="AA37" s="521">
        <v>4.6874999999999858</v>
      </c>
      <c r="AB37" s="522">
        <f t="shared" si="7"/>
        <v>0.16685651229843682</v>
      </c>
      <c r="AC37" s="523">
        <f t="shared" si="120"/>
        <v>0</v>
      </c>
      <c r="AD37" s="521"/>
      <c r="AE37" s="522">
        <f t="shared" si="8"/>
        <v>0</v>
      </c>
      <c r="AF37" s="523">
        <f t="shared" si="121"/>
        <v>0</v>
      </c>
      <c r="AG37" s="521"/>
      <c r="AH37" s="522">
        <f t="shared" si="9"/>
        <v>0</v>
      </c>
      <c r="AI37" s="523">
        <f t="shared" si="122"/>
        <v>0</v>
      </c>
      <c r="AJ37" s="521"/>
      <c r="AK37" s="522">
        <f t="shared" si="10"/>
        <v>0</v>
      </c>
      <c r="AL37" s="523">
        <f t="shared" si="123"/>
        <v>0</v>
      </c>
      <c r="AM37" s="521"/>
      <c r="AN37" s="522">
        <f t="shared" si="11"/>
        <v>0</v>
      </c>
      <c r="AO37" s="523">
        <f t="shared" si="124"/>
        <v>0</v>
      </c>
      <c r="AP37" s="521">
        <v>34.177215189873436</v>
      </c>
      <c r="AQ37" s="522">
        <f t="shared" si="12"/>
        <v>1.216574064353164</v>
      </c>
      <c r="AR37" s="523">
        <f t="shared" si="125"/>
        <v>0</v>
      </c>
      <c r="AS37" s="521"/>
      <c r="AT37" s="522">
        <f t="shared" si="13"/>
        <v>0</v>
      </c>
      <c r="AU37" s="523">
        <f t="shared" si="126"/>
        <v>0</v>
      </c>
      <c r="AV37" s="521"/>
      <c r="AW37" s="522">
        <f t="shared" si="14"/>
        <v>0</v>
      </c>
      <c r="AX37" s="523">
        <f t="shared" si="127"/>
        <v>0</v>
      </c>
      <c r="AY37" s="521">
        <v>28</v>
      </c>
      <c r="AZ37" s="522">
        <f t="shared" si="15"/>
        <v>0.99668956679599896</v>
      </c>
      <c r="BA37" s="523">
        <f t="shared" si="128"/>
        <v>0</v>
      </c>
      <c r="BB37" s="521"/>
      <c r="BC37" s="522">
        <f t="shared" si="16"/>
        <v>0</v>
      </c>
      <c r="BD37" s="523">
        <f t="shared" si="129"/>
        <v>0</v>
      </c>
      <c r="BE37" s="521"/>
      <c r="BF37" s="522">
        <f t="shared" si="17"/>
        <v>0</v>
      </c>
      <c r="BG37" s="523">
        <f t="shared" si="130"/>
        <v>0</v>
      </c>
      <c r="BH37" s="521"/>
      <c r="BI37" s="522">
        <f t="shared" si="18"/>
        <v>0</v>
      </c>
      <c r="BJ37" s="523">
        <f t="shared" si="131"/>
        <v>0</v>
      </c>
      <c r="BK37" s="521"/>
      <c r="BL37" s="522">
        <f t="shared" si="19"/>
        <v>0</v>
      </c>
      <c r="BM37" s="523">
        <f t="shared" si="132"/>
        <v>0</v>
      </c>
      <c r="BN37" s="521"/>
      <c r="BO37" s="522">
        <f t="shared" si="20"/>
        <v>0</v>
      </c>
      <c r="BP37" s="523">
        <f t="shared" si="133"/>
        <v>0</v>
      </c>
      <c r="BQ37" s="521"/>
      <c r="BR37" s="522">
        <f t="shared" si="21"/>
        <v>0</v>
      </c>
      <c r="BS37" s="523">
        <f t="shared" si="134"/>
        <v>0</v>
      </c>
      <c r="BT37" s="521"/>
      <c r="BU37" s="522">
        <f t="shared" si="22"/>
        <v>0</v>
      </c>
      <c r="BV37" s="523">
        <f t="shared" si="135"/>
        <v>0</v>
      </c>
      <c r="BW37" s="521"/>
      <c r="BX37" s="522">
        <f t="shared" si="23"/>
        <v>0</v>
      </c>
      <c r="BY37" s="523">
        <f t="shared" si="136"/>
        <v>0</v>
      </c>
      <c r="BZ37" s="521"/>
      <c r="CA37" s="522">
        <f t="shared" si="24"/>
        <v>0</v>
      </c>
      <c r="CB37" s="523">
        <f t="shared" si="137"/>
        <v>0</v>
      </c>
      <c r="CC37" s="521"/>
      <c r="CD37" s="522">
        <f t="shared" si="25"/>
        <v>0</v>
      </c>
      <c r="CE37" s="523">
        <f t="shared" si="138"/>
        <v>0</v>
      </c>
      <c r="CF37" s="521">
        <v>1</v>
      </c>
      <c r="CG37" s="522">
        <f t="shared" si="26"/>
        <v>3.5596055956999967E-2</v>
      </c>
      <c r="CH37" s="523">
        <f t="shared" si="139"/>
        <v>0</v>
      </c>
      <c r="CI37" s="521"/>
      <c r="CJ37" s="522">
        <f t="shared" si="27"/>
        <v>0</v>
      </c>
      <c r="CK37" s="523">
        <f t="shared" si="140"/>
        <v>0</v>
      </c>
      <c r="CL37" s="521"/>
      <c r="CM37" s="522">
        <f t="shared" si="28"/>
        <v>0</v>
      </c>
      <c r="CN37" s="523">
        <f t="shared" si="141"/>
        <v>0</v>
      </c>
      <c r="CO37" s="521"/>
      <c r="CP37" s="522">
        <f t="shared" si="29"/>
        <v>0</v>
      </c>
      <c r="CQ37" s="523">
        <f t="shared" si="142"/>
        <v>0</v>
      </c>
      <c r="CR37" s="521"/>
      <c r="CS37" s="522">
        <f t="shared" si="30"/>
        <v>0</v>
      </c>
      <c r="CT37" s="523">
        <f t="shared" si="143"/>
        <v>0</v>
      </c>
      <c r="CU37" s="521"/>
      <c r="CV37" s="522">
        <f t="shared" si="31"/>
        <v>0</v>
      </c>
      <c r="CW37" s="523">
        <f t="shared" si="144"/>
        <v>0</v>
      </c>
      <c r="CX37" s="521"/>
      <c r="CY37" s="522">
        <f t="shared" si="32"/>
        <v>0</v>
      </c>
      <c r="CZ37" s="523">
        <f t="shared" si="145"/>
        <v>0</v>
      </c>
      <c r="DA37" s="521">
        <v>145.34883720930225</v>
      </c>
      <c r="DB37" s="522">
        <f t="shared" si="33"/>
        <v>5.1738453425872013</v>
      </c>
      <c r="DC37" s="523">
        <f t="shared" si="146"/>
        <v>0</v>
      </c>
      <c r="DD37" s="521"/>
      <c r="DE37" s="522">
        <f t="shared" si="34"/>
        <v>0</v>
      </c>
      <c r="DF37" s="523">
        <f t="shared" si="147"/>
        <v>0</v>
      </c>
      <c r="DG37" s="521"/>
      <c r="DH37" s="522">
        <f t="shared" si="35"/>
        <v>0</v>
      </c>
      <c r="DI37" s="523">
        <f t="shared" si="203"/>
        <v>0</v>
      </c>
      <c r="DJ37" s="521"/>
      <c r="DK37" s="522">
        <f t="shared" si="36"/>
        <v>0</v>
      </c>
      <c r="DL37" s="523">
        <f t="shared" si="148"/>
        <v>0</v>
      </c>
      <c r="DM37" s="521"/>
      <c r="DN37" s="522">
        <f t="shared" si="37"/>
        <v>0</v>
      </c>
      <c r="DO37" s="523">
        <f t="shared" si="149"/>
        <v>0</v>
      </c>
      <c r="DP37" s="521"/>
      <c r="DQ37" s="522">
        <f t="shared" si="38"/>
        <v>0</v>
      </c>
      <c r="DR37" s="523">
        <f t="shared" si="150"/>
        <v>0</v>
      </c>
      <c r="DS37" s="521"/>
      <c r="DT37" s="522">
        <f t="shared" si="39"/>
        <v>0</v>
      </c>
      <c r="DU37" s="523">
        <f t="shared" si="151"/>
        <v>0</v>
      </c>
      <c r="DV37" s="521"/>
      <c r="DW37" s="522">
        <f t="shared" si="40"/>
        <v>0</v>
      </c>
      <c r="DX37" s="523">
        <f t="shared" si="152"/>
        <v>0</v>
      </c>
      <c r="DY37" s="521"/>
      <c r="DZ37" s="522">
        <f t="shared" si="41"/>
        <v>0</v>
      </c>
      <c r="EA37" s="523">
        <f t="shared" si="153"/>
        <v>0</v>
      </c>
      <c r="EB37" s="521"/>
      <c r="EC37" s="522">
        <f t="shared" si="42"/>
        <v>0</v>
      </c>
      <c r="ED37" s="523">
        <f t="shared" si="154"/>
        <v>0</v>
      </c>
      <c r="EE37" s="521">
        <v>21.80232558139528</v>
      </c>
      <c r="EF37" s="522">
        <f t="shared" si="43"/>
        <v>0.77607680138807822</v>
      </c>
      <c r="EG37" s="523">
        <f t="shared" si="155"/>
        <v>0</v>
      </c>
      <c r="EH37" s="521">
        <v>23.482352941176487</v>
      </c>
      <c r="EI37" s="522">
        <f t="shared" si="44"/>
        <v>0.83587914929614093</v>
      </c>
      <c r="EJ37" s="523">
        <f t="shared" si="156"/>
        <v>0</v>
      </c>
      <c r="EK37" s="521"/>
      <c r="EL37" s="522">
        <f t="shared" si="45"/>
        <v>0</v>
      </c>
      <c r="EM37" s="523">
        <f t="shared" si="157"/>
        <v>0</v>
      </c>
      <c r="EN37" s="521">
        <v>3</v>
      </c>
      <c r="EO37" s="522">
        <f t="shared" si="46"/>
        <v>0.10678816787099989</v>
      </c>
      <c r="EP37" s="523">
        <f t="shared" si="158"/>
        <v>0</v>
      </c>
      <c r="EQ37" s="521"/>
      <c r="ER37" s="522">
        <f t="shared" si="47"/>
        <v>0</v>
      </c>
      <c r="ES37" s="523">
        <f t="shared" si="159"/>
        <v>0</v>
      </c>
      <c r="ET37" s="521"/>
      <c r="EU37" s="522">
        <f t="shared" si="48"/>
        <v>0</v>
      </c>
      <c r="EV37" s="523">
        <f t="shared" si="160"/>
        <v>0</v>
      </c>
      <c r="EW37" s="521"/>
      <c r="EX37" s="522">
        <f t="shared" si="49"/>
        <v>0</v>
      </c>
      <c r="EY37" s="523">
        <f t="shared" si="161"/>
        <v>0</v>
      </c>
      <c r="EZ37" s="521"/>
      <c r="FA37" s="522">
        <f t="shared" si="50"/>
        <v>0</v>
      </c>
      <c r="FB37" s="523">
        <f t="shared" si="162"/>
        <v>0</v>
      </c>
      <c r="FC37" s="521"/>
      <c r="FD37" s="522">
        <f t="shared" si="51"/>
        <v>0</v>
      </c>
      <c r="FE37" s="523">
        <f t="shared" si="163"/>
        <v>0</v>
      </c>
      <c r="FF37" s="521"/>
      <c r="FG37" s="522">
        <f t="shared" si="52"/>
        <v>0</v>
      </c>
      <c r="FH37" s="523">
        <f t="shared" si="164"/>
        <v>0</v>
      </c>
      <c r="FI37" s="521"/>
      <c r="FJ37" s="522">
        <f t="shared" si="53"/>
        <v>0</v>
      </c>
      <c r="FK37" s="523">
        <f t="shared" si="165"/>
        <v>0</v>
      </c>
      <c r="FL37" s="521"/>
      <c r="FM37" s="522">
        <f t="shared" si="54"/>
        <v>0</v>
      </c>
      <c r="FN37" s="523">
        <f t="shared" si="166"/>
        <v>0</v>
      </c>
      <c r="FO37" s="521"/>
      <c r="FP37" s="522">
        <f t="shared" si="55"/>
        <v>0</v>
      </c>
      <c r="FQ37" s="523">
        <f t="shared" si="167"/>
        <v>0</v>
      </c>
      <c r="FR37" s="521"/>
      <c r="FS37" s="522">
        <f t="shared" si="56"/>
        <v>0</v>
      </c>
      <c r="FT37" s="523">
        <f t="shared" si="168"/>
        <v>0</v>
      </c>
      <c r="FU37" s="521"/>
      <c r="FV37" s="522">
        <f t="shared" si="57"/>
        <v>0</v>
      </c>
      <c r="FW37" s="523">
        <f t="shared" si="169"/>
        <v>0</v>
      </c>
      <c r="FX37" s="521"/>
      <c r="FY37" s="522">
        <f t="shared" si="58"/>
        <v>0</v>
      </c>
      <c r="FZ37" s="523">
        <f t="shared" si="170"/>
        <v>0</v>
      </c>
      <c r="GA37" s="521"/>
      <c r="GB37" s="522">
        <f t="shared" si="59"/>
        <v>0</v>
      </c>
      <c r="GC37" s="523">
        <f t="shared" si="171"/>
        <v>0</v>
      </c>
      <c r="GD37" s="521"/>
      <c r="GE37" s="522">
        <f t="shared" si="60"/>
        <v>0</v>
      </c>
      <c r="GF37" s="523">
        <f t="shared" si="172"/>
        <v>0</v>
      </c>
      <c r="GG37" s="521"/>
      <c r="GH37" s="522">
        <f t="shared" si="61"/>
        <v>0</v>
      </c>
      <c r="GI37" s="523">
        <f t="shared" si="173"/>
        <v>0</v>
      </c>
      <c r="GJ37" s="521"/>
      <c r="GK37" s="522">
        <f t="shared" si="62"/>
        <v>0</v>
      </c>
      <c r="GL37" s="523">
        <f t="shared" si="174"/>
        <v>0</v>
      </c>
      <c r="GM37" s="521"/>
      <c r="GN37" s="522">
        <f t="shared" si="63"/>
        <v>0</v>
      </c>
      <c r="GO37" s="523">
        <f t="shared" si="175"/>
        <v>0</v>
      </c>
      <c r="GP37" s="521"/>
      <c r="GQ37" s="522">
        <f t="shared" si="64"/>
        <v>0</v>
      </c>
      <c r="GR37" s="523">
        <f t="shared" si="176"/>
        <v>0</v>
      </c>
      <c r="GS37" s="521"/>
      <c r="GT37" s="522">
        <f t="shared" si="65"/>
        <v>0</v>
      </c>
      <c r="GU37" s="523">
        <f t="shared" si="177"/>
        <v>0</v>
      </c>
      <c r="GV37" s="521"/>
      <c r="GW37" s="522">
        <f t="shared" si="66"/>
        <v>0</v>
      </c>
      <c r="GX37" s="523">
        <f t="shared" si="178"/>
        <v>0</v>
      </c>
      <c r="GY37" s="521"/>
      <c r="GZ37" s="522">
        <f t="shared" si="67"/>
        <v>0</v>
      </c>
      <c r="HA37" s="523">
        <f t="shared" si="179"/>
        <v>0</v>
      </c>
      <c r="HB37" s="521"/>
      <c r="HC37" s="522">
        <f t="shared" si="68"/>
        <v>0</v>
      </c>
      <c r="HD37" s="523">
        <f t="shared" si="180"/>
        <v>0</v>
      </c>
      <c r="HE37" s="521"/>
      <c r="HF37" s="522">
        <f t="shared" si="69"/>
        <v>0</v>
      </c>
      <c r="HG37" s="523">
        <f t="shared" si="181"/>
        <v>0</v>
      </c>
      <c r="HH37" s="521"/>
      <c r="HI37" s="522">
        <f t="shared" si="70"/>
        <v>0</v>
      </c>
      <c r="HJ37" s="523">
        <f t="shared" si="182"/>
        <v>0</v>
      </c>
      <c r="HK37" s="521"/>
      <c r="HL37" s="522">
        <f t="shared" si="71"/>
        <v>0</v>
      </c>
      <c r="HM37" s="523">
        <f t="shared" si="183"/>
        <v>0</v>
      </c>
      <c r="HN37" s="521"/>
      <c r="HO37" s="522">
        <f t="shared" si="72"/>
        <v>0</v>
      </c>
      <c r="HP37" s="523">
        <f t="shared" si="184"/>
        <v>0</v>
      </c>
      <c r="HQ37" s="521"/>
      <c r="HR37" s="522">
        <f t="shared" si="73"/>
        <v>0</v>
      </c>
      <c r="HS37" s="523">
        <f t="shared" si="185"/>
        <v>0</v>
      </c>
      <c r="HT37" s="521"/>
      <c r="HU37" s="522">
        <f t="shared" si="74"/>
        <v>0</v>
      </c>
      <c r="HV37" s="523">
        <f t="shared" si="186"/>
        <v>0</v>
      </c>
      <c r="HW37" s="521"/>
      <c r="HX37" s="522">
        <f t="shared" si="75"/>
        <v>0</v>
      </c>
      <c r="HY37" s="523">
        <f t="shared" si="187"/>
        <v>0</v>
      </c>
      <c r="HZ37" s="521"/>
      <c r="IA37" s="522">
        <f t="shared" si="76"/>
        <v>0</v>
      </c>
      <c r="IB37" s="523">
        <f t="shared" si="188"/>
        <v>0</v>
      </c>
      <c r="IC37" s="521"/>
      <c r="ID37" s="522">
        <f t="shared" si="77"/>
        <v>0</v>
      </c>
      <c r="IE37" s="523">
        <f t="shared" si="189"/>
        <v>0</v>
      </c>
      <c r="IF37" s="521"/>
      <c r="IG37" s="522">
        <f t="shared" si="78"/>
        <v>0</v>
      </c>
      <c r="IH37" s="523">
        <f t="shared" si="190"/>
        <v>0</v>
      </c>
      <c r="II37" s="521"/>
      <c r="IJ37" s="522">
        <f t="shared" si="79"/>
        <v>0</v>
      </c>
      <c r="IK37" s="523">
        <f t="shared" si="191"/>
        <v>0</v>
      </c>
      <c r="IL37" s="521"/>
      <c r="IM37" s="522">
        <f t="shared" si="80"/>
        <v>0</v>
      </c>
      <c r="IN37" s="523">
        <f t="shared" si="192"/>
        <v>0</v>
      </c>
      <c r="IO37" s="521"/>
      <c r="IP37" s="522">
        <f t="shared" si="81"/>
        <v>0</v>
      </c>
      <c r="IQ37" s="523">
        <f t="shared" si="193"/>
        <v>0</v>
      </c>
      <c r="IR37" s="521"/>
      <c r="IS37" s="522">
        <f t="shared" si="82"/>
        <v>0</v>
      </c>
      <c r="IT37" s="523">
        <f t="shared" si="194"/>
        <v>0</v>
      </c>
      <c r="IU37" s="521"/>
      <c r="IV37" s="522">
        <f t="shared" si="83"/>
        <v>0</v>
      </c>
      <c r="IW37" s="523">
        <f t="shared" si="195"/>
        <v>0</v>
      </c>
      <c r="IX37" s="521"/>
      <c r="IY37" s="522">
        <f t="shared" si="84"/>
        <v>0</v>
      </c>
      <c r="IZ37" s="523">
        <f t="shared" si="196"/>
        <v>0</v>
      </c>
      <c r="JA37" s="521"/>
      <c r="JB37" s="522">
        <f t="shared" si="85"/>
        <v>0</v>
      </c>
      <c r="JC37" s="523">
        <f t="shared" si="197"/>
        <v>0</v>
      </c>
      <c r="JD37" s="521"/>
      <c r="JE37" s="522">
        <f t="shared" si="86"/>
        <v>0</v>
      </c>
      <c r="JF37" s="523">
        <f t="shared" si="198"/>
        <v>0</v>
      </c>
      <c r="JG37" s="521"/>
      <c r="JH37" s="522">
        <f t="shared" si="87"/>
        <v>0</v>
      </c>
      <c r="JI37" s="523">
        <f t="shared" si="199"/>
        <v>0</v>
      </c>
      <c r="JJ37" s="521"/>
      <c r="JK37" s="523" t="str">
        <f t="shared" si="88"/>
        <v>0</v>
      </c>
      <c r="JL37" s="523" t="str">
        <f t="shared" si="89"/>
        <v>0</v>
      </c>
      <c r="JM37" s="521"/>
      <c r="JN37" s="523" t="str">
        <f t="shared" si="90"/>
        <v>0</v>
      </c>
      <c r="JO37" s="523" t="str">
        <f t="shared" si="91"/>
        <v>0</v>
      </c>
      <c r="JP37" s="521"/>
      <c r="JQ37" s="523" t="str">
        <f t="shared" si="92"/>
        <v>0</v>
      </c>
      <c r="JR37" s="523" t="str">
        <f t="shared" si="93"/>
        <v>0</v>
      </c>
      <c r="JS37" s="521"/>
      <c r="JT37" s="523" t="str">
        <f t="shared" si="94"/>
        <v>0</v>
      </c>
      <c r="JU37" s="523" t="str">
        <f t="shared" si="95"/>
        <v>0</v>
      </c>
      <c r="JV37" s="521"/>
      <c r="JW37" s="523" t="str">
        <f t="shared" si="96"/>
        <v>0</v>
      </c>
      <c r="JX37" s="523" t="str">
        <f t="shared" si="97"/>
        <v>0</v>
      </c>
      <c r="JY37" s="521"/>
      <c r="JZ37" s="523" t="str">
        <f t="shared" si="98"/>
        <v>0</v>
      </c>
      <c r="KA37" s="523" t="str">
        <f t="shared" si="99"/>
        <v>0</v>
      </c>
      <c r="KB37" s="521"/>
      <c r="KC37" s="523" t="str">
        <f t="shared" si="100"/>
        <v>0</v>
      </c>
      <c r="KD37" s="523" t="str">
        <f t="shared" si="101"/>
        <v>0</v>
      </c>
      <c r="KE37" s="521"/>
      <c r="KF37" s="523" t="str">
        <f t="shared" si="102"/>
        <v>0</v>
      </c>
      <c r="KG37" s="523" t="str">
        <f t="shared" si="103"/>
        <v>0</v>
      </c>
      <c r="KH37" s="521"/>
      <c r="KI37" s="523" t="str">
        <f t="shared" si="104"/>
        <v>0</v>
      </c>
      <c r="KJ37" s="523" t="str">
        <f t="shared" si="105"/>
        <v>0</v>
      </c>
      <c r="KK37" s="521"/>
      <c r="KL37" s="523" t="str">
        <f t="shared" si="106"/>
        <v>0</v>
      </c>
      <c r="KM37" s="523" t="str">
        <f t="shared" si="107"/>
        <v>0</v>
      </c>
      <c r="KN37" s="521"/>
      <c r="KO37" s="523" t="str">
        <f t="shared" si="108"/>
        <v>0</v>
      </c>
      <c r="KP37" s="523" t="str">
        <f t="shared" si="109"/>
        <v>0</v>
      </c>
      <c r="KQ37" s="521"/>
      <c r="KR37" s="523" t="str">
        <f t="shared" si="110"/>
        <v>0</v>
      </c>
      <c r="KS37" s="523" t="str">
        <f t="shared" si="111"/>
        <v>0</v>
      </c>
      <c r="KT37" s="523">
        <f t="shared" si="201"/>
        <v>0</v>
      </c>
      <c r="KU37" s="523">
        <f t="shared" si="202"/>
        <v>0</v>
      </c>
      <c r="KV37" s="260">
        <f t="shared" si="204"/>
        <v>278.18573092174745</v>
      </c>
    </row>
    <row r="38" spans="1:308" ht="15" customHeight="1">
      <c r="A38" s="261">
        <f t="shared" si="200"/>
        <v>46052</v>
      </c>
      <c r="B38" s="262" t="str">
        <f>+Report1!B38</f>
        <v>Toilet</v>
      </c>
      <c r="C38" s="262" t="str">
        <f>+Report1!C38</f>
        <v>12,5</v>
      </c>
      <c r="D38" s="263">
        <f>+Report1!P38</f>
        <v>35.176000000000002</v>
      </c>
      <c r="E38" s="554">
        <f>+Report1!R38</f>
        <v>33.451999999999998</v>
      </c>
      <c r="F38" s="521"/>
      <c r="G38" s="522">
        <f t="shared" si="0"/>
        <v>0</v>
      </c>
      <c r="H38" s="523">
        <f t="shared" si="113"/>
        <v>0</v>
      </c>
      <c r="I38" s="521"/>
      <c r="J38" s="522">
        <f t="shared" si="1"/>
        <v>0</v>
      </c>
      <c r="K38" s="523">
        <f t="shared" si="114"/>
        <v>0</v>
      </c>
      <c r="L38" s="521"/>
      <c r="M38" s="522">
        <f t="shared" si="2"/>
        <v>0</v>
      </c>
      <c r="N38" s="523">
        <f t="shared" si="115"/>
        <v>0</v>
      </c>
      <c r="O38" s="521">
        <v>9</v>
      </c>
      <c r="P38" s="522">
        <f t="shared" si="3"/>
        <v>0.2690422097333493</v>
      </c>
      <c r="Q38" s="523">
        <f t="shared" si="116"/>
        <v>0</v>
      </c>
      <c r="R38" s="521"/>
      <c r="S38" s="522">
        <f t="shared" si="4"/>
        <v>0</v>
      </c>
      <c r="T38" s="523">
        <f t="shared" si="117"/>
        <v>0</v>
      </c>
      <c r="U38" s="521">
        <v>7.6875</v>
      </c>
      <c r="V38" s="522">
        <f t="shared" si="5"/>
        <v>0.22980688748056918</v>
      </c>
      <c r="W38" s="523">
        <f t="shared" si="118"/>
        <v>0</v>
      </c>
      <c r="X38" s="521"/>
      <c r="Y38" s="522">
        <f t="shared" si="6"/>
        <v>0</v>
      </c>
      <c r="Z38" s="523">
        <f t="shared" si="119"/>
        <v>0</v>
      </c>
      <c r="AA38" s="521"/>
      <c r="AB38" s="522">
        <f t="shared" si="7"/>
        <v>0</v>
      </c>
      <c r="AC38" s="523">
        <f t="shared" si="120"/>
        <v>0</v>
      </c>
      <c r="AD38" s="521"/>
      <c r="AE38" s="522">
        <f t="shared" si="8"/>
        <v>0</v>
      </c>
      <c r="AF38" s="523">
        <f t="shared" si="121"/>
        <v>0</v>
      </c>
      <c r="AG38" s="521"/>
      <c r="AH38" s="522">
        <f t="shared" si="9"/>
        <v>0</v>
      </c>
      <c r="AI38" s="523">
        <f t="shared" si="122"/>
        <v>0</v>
      </c>
      <c r="AJ38" s="521"/>
      <c r="AK38" s="522">
        <f t="shared" si="10"/>
        <v>0</v>
      </c>
      <c r="AL38" s="523">
        <f t="shared" si="123"/>
        <v>0</v>
      </c>
      <c r="AM38" s="521"/>
      <c r="AN38" s="522">
        <f t="shared" si="11"/>
        <v>0</v>
      </c>
      <c r="AO38" s="523">
        <f t="shared" si="124"/>
        <v>0</v>
      </c>
      <c r="AP38" s="521">
        <v>39.873417721518962</v>
      </c>
      <c r="AQ38" s="522">
        <f t="shared" si="12"/>
        <v>1.1919591570464834</v>
      </c>
      <c r="AR38" s="523">
        <f t="shared" si="125"/>
        <v>0</v>
      </c>
      <c r="AS38" s="521"/>
      <c r="AT38" s="522">
        <f t="shared" si="13"/>
        <v>0</v>
      </c>
      <c r="AU38" s="523">
        <f t="shared" si="126"/>
        <v>0</v>
      </c>
      <c r="AV38" s="521"/>
      <c r="AW38" s="522">
        <f t="shared" si="14"/>
        <v>0</v>
      </c>
      <c r="AX38" s="523">
        <f t="shared" si="127"/>
        <v>0</v>
      </c>
      <c r="AY38" s="521">
        <v>42</v>
      </c>
      <c r="AZ38" s="522">
        <f t="shared" si="15"/>
        <v>1.2555303120889634</v>
      </c>
      <c r="BA38" s="523">
        <f t="shared" si="128"/>
        <v>0</v>
      </c>
      <c r="BB38" s="521"/>
      <c r="BC38" s="522">
        <f t="shared" si="16"/>
        <v>0</v>
      </c>
      <c r="BD38" s="523">
        <f t="shared" si="129"/>
        <v>0</v>
      </c>
      <c r="BE38" s="521"/>
      <c r="BF38" s="522">
        <f t="shared" si="17"/>
        <v>0</v>
      </c>
      <c r="BG38" s="523">
        <f t="shared" si="130"/>
        <v>0</v>
      </c>
      <c r="BH38" s="521"/>
      <c r="BI38" s="522">
        <f t="shared" si="18"/>
        <v>0</v>
      </c>
      <c r="BJ38" s="523">
        <f t="shared" si="131"/>
        <v>0</v>
      </c>
      <c r="BK38" s="521"/>
      <c r="BL38" s="522">
        <f t="shared" si="19"/>
        <v>0</v>
      </c>
      <c r="BM38" s="523">
        <f t="shared" si="132"/>
        <v>0</v>
      </c>
      <c r="BN38" s="521"/>
      <c r="BO38" s="522">
        <f t="shared" si="20"/>
        <v>0</v>
      </c>
      <c r="BP38" s="523">
        <f t="shared" si="133"/>
        <v>0</v>
      </c>
      <c r="BQ38" s="521"/>
      <c r="BR38" s="522">
        <f t="shared" si="21"/>
        <v>0</v>
      </c>
      <c r="BS38" s="523">
        <f t="shared" si="134"/>
        <v>0</v>
      </c>
      <c r="BT38" s="521"/>
      <c r="BU38" s="522">
        <f t="shared" si="22"/>
        <v>0</v>
      </c>
      <c r="BV38" s="523">
        <f t="shared" si="135"/>
        <v>0</v>
      </c>
      <c r="BW38" s="521"/>
      <c r="BX38" s="522">
        <f t="shared" si="23"/>
        <v>0</v>
      </c>
      <c r="BY38" s="523">
        <f t="shared" si="136"/>
        <v>0</v>
      </c>
      <c r="BZ38" s="521"/>
      <c r="CA38" s="522">
        <f t="shared" si="24"/>
        <v>0</v>
      </c>
      <c r="CB38" s="523">
        <f t="shared" si="137"/>
        <v>0</v>
      </c>
      <c r="CC38" s="521"/>
      <c r="CD38" s="522">
        <f t="shared" si="25"/>
        <v>0</v>
      </c>
      <c r="CE38" s="523">
        <f t="shared" si="138"/>
        <v>0</v>
      </c>
      <c r="CF38" s="521">
        <v>1</v>
      </c>
      <c r="CG38" s="522">
        <f t="shared" si="26"/>
        <v>2.9893578859261031E-2</v>
      </c>
      <c r="CH38" s="523">
        <f t="shared" si="139"/>
        <v>0</v>
      </c>
      <c r="CI38" s="521"/>
      <c r="CJ38" s="522">
        <f t="shared" si="27"/>
        <v>0</v>
      </c>
      <c r="CK38" s="523">
        <f t="shared" si="140"/>
        <v>0</v>
      </c>
      <c r="CL38" s="521"/>
      <c r="CM38" s="522">
        <f t="shared" si="28"/>
        <v>0</v>
      </c>
      <c r="CN38" s="523">
        <f t="shared" si="141"/>
        <v>0</v>
      </c>
      <c r="CO38" s="521"/>
      <c r="CP38" s="522">
        <f t="shared" si="29"/>
        <v>0</v>
      </c>
      <c r="CQ38" s="523">
        <f t="shared" si="142"/>
        <v>0</v>
      </c>
      <c r="CR38" s="521"/>
      <c r="CS38" s="522">
        <f t="shared" si="30"/>
        <v>0</v>
      </c>
      <c r="CT38" s="523">
        <f t="shared" si="143"/>
        <v>0</v>
      </c>
      <c r="CU38" s="521"/>
      <c r="CV38" s="522">
        <f t="shared" si="31"/>
        <v>0</v>
      </c>
      <c r="CW38" s="523">
        <f t="shared" si="144"/>
        <v>0</v>
      </c>
      <c r="CX38" s="521"/>
      <c r="CY38" s="522">
        <f t="shared" si="32"/>
        <v>0</v>
      </c>
      <c r="CZ38" s="523">
        <f t="shared" si="145"/>
        <v>0</v>
      </c>
      <c r="DA38" s="521">
        <v>130.81395348837214</v>
      </c>
      <c r="DB38" s="522">
        <f t="shared" si="33"/>
        <v>3.9104972344963573</v>
      </c>
      <c r="DC38" s="523">
        <f t="shared" si="146"/>
        <v>0</v>
      </c>
      <c r="DD38" s="521"/>
      <c r="DE38" s="522">
        <f t="shared" si="34"/>
        <v>0</v>
      </c>
      <c r="DF38" s="523">
        <f t="shared" si="147"/>
        <v>0</v>
      </c>
      <c r="DG38" s="521"/>
      <c r="DH38" s="522">
        <f t="shared" si="35"/>
        <v>0</v>
      </c>
      <c r="DI38" s="523">
        <f t="shared" si="203"/>
        <v>0</v>
      </c>
      <c r="DJ38" s="521"/>
      <c r="DK38" s="522">
        <f t="shared" si="36"/>
        <v>0</v>
      </c>
      <c r="DL38" s="523">
        <f t="shared" si="148"/>
        <v>0</v>
      </c>
      <c r="DM38" s="521"/>
      <c r="DN38" s="522">
        <f t="shared" si="37"/>
        <v>0</v>
      </c>
      <c r="DO38" s="523">
        <f t="shared" si="149"/>
        <v>0</v>
      </c>
      <c r="DP38" s="521"/>
      <c r="DQ38" s="522">
        <f t="shared" si="38"/>
        <v>0</v>
      </c>
      <c r="DR38" s="523">
        <f t="shared" si="150"/>
        <v>0</v>
      </c>
      <c r="DS38" s="521"/>
      <c r="DT38" s="522">
        <f t="shared" si="39"/>
        <v>0</v>
      </c>
      <c r="DU38" s="523">
        <f t="shared" si="151"/>
        <v>0</v>
      </c>
      <c r="DV38" s="521"/>
      <c r="DW38" s="522">
        <f t="shared" si="40"/>
        <v>0</v>
      </c>
      <c r="DX38" s="523">
        <f t="shared" si="152"/>
        <v>0</v>
      </c>
      <c r="DY38" s="521"/>
      <c r="DZ38" s="522">
        <f t="shared" si="41"/>
        <v>0</v>
      </c>
      <c r="EA38" s="523">
        <f t="shared" si="153"/>
        <v>0</v>
      </c>
      <c r="EB38" s="521"/>
      <c r="EC38" s="522">
        <f t="shared" si="42"/>
        <v>0</v>
      </c>
      <c r="ED38" s="523">
        <f t="shared" si="154"/>
        <v>0</v>
      </c>
      <c r="EE38" s="521">
        <v>21.802325581395394</v>
      </c>
      <c r="EF38" s="522">
        <f t="shared" si="43"/>
        <v>0.65174953908272737</v>
      </c>
      <c r="EG38" s="523">
        <f t="shared" si="155"/>
        <v>0</v>
      </c>
      <c r="EH38" s="521">
        <v>23.482352941176487</v>
      </c>
      <c r="EI38" s="522">
        <f t="shared" si="44"/>
        <v>0.7019715694480595</v>
      </c>
      <c r="EJ38" s="523">
        <f t="shared" si="156"/>
        <v>0</v>
      </c>
      <c r="EK38" s="521"/>
      <c r="EL38" s="522">
        <f t="shared" si="45"/>
        <v>0</v>
      </c>
      <c r="EM38" s="523">
        <f t="shared" si="157"/>
        <v>0</v>
      </c>
      <c r="EN38" s="521">
        <v>4</v>
      </c>
      <c r="EO38" s="522">
        <f t="shared" si="46"/>
        <v>0.11957431543704412</v>
      </c>
      <c r="EP38" s="523">
        <f t="shared" si="158"/>
        <v>0</v>
      </c>
      <c r="EQ38" s="521"/>
      <c r="ER38" s="522">
        <f t="shared" si="47"/>
        <v>0</v>
      </c>
      <c r="ES38" s="523">
        <f t="shared" si="159"/>
        <v>0</v>
      </c>
      <c r="ET38" s="521"/>
      <c r="EU38" s="522">
        <f t="shared" si="48"/>
        <v>0</v>
      </c>
      <c r="EV38" s="523">
        <f t="shared" si="160"/>
        <v>0</v>
      </c>
      <c r="EW38" s="521"/>
      <c r="EX38" s="522">
        <f t="shared" si="49"/>
        <v>0</v>
      </c>
      <c r="EY38" s="523">
        <f t="shared" si="161"/>
        <v>0</v>
      </c>
      <c r="EZ38" s="521"/>
      <c r="FA38" s="522">
        <f t="shared" si="50"/>
        <v>0</v>
      </c>
      <c r="FB38" s="523">
        <f t="shared" si="162"/>
        <v>0</v>
      </c>
      <c r="FC38" s="521"/>
      <c r="FD38" s="522">
        <f t="shared" si="51"/>
        <v>0</v>
      </c>
      <c r="FE38" s="523">
        <f t="shared" si="163"/>
        <v>0</v>
      </c>
      <c r="FF38" s="521"/>
      <c r="FG38" s="522">
        <f t="shared" si="52"/>
        <v>0</v>
      </c>
      <c r="FH38" s="523">
        <f t="shared" si="164"/>
        <v>0</v>
      </c>
      <c r="FI38" s="521"/>
      <c r="FJ38" s="522">
        <f t="shared" si="53"/>
        <v>0</v>
      </c>
      <c r="FK38" s="523">
        <f t="shared" si="165"/>
        <v>0</v>
      </c>
      <c r="FL38" s="521"/>
      <c r="FM38" s="522">
        <f t="shared" si="54"/>
        <v>0</v>
      </c>
      <c r="FN38" s="523">
        <f t="shared" si="166"/>
        <v>0</v>
      </c>
      <c r="FO38" s="521"/>
      <c r="FP38" s="522">
        <f t="shared" si="55"/>
        <v>0</v>
      </c>
      <c r="FQ38" s="523">
        <f t="shared" si="167"/>
        <v>0</v>
      </c>
      <c r="FR38" s="521"/>
      <c r="FS38" s="522">
        <f t="shared" si="56"/>
        <v>0</v>
      </c>
      <c r="FT38" s="523">
        <f t="shared" si="168"/>
        <v>0</v>
      </c>
      <c r="FU38" s="521"/>
      <c r="FV38" s="522">
        <f t="shared" si="57"/>
        <v>0</v>
      </c>
      <c r="FW38" s="523">
        <f t="shared" si="169"/>
        <v>0</v>
      </c>
      <c r="FX38" s="521"/>
      <c r="FY38" s="522">
        <f t="shared" si="58"/>
        <v>0</v>
      </c>
      <c r="FZ38" s="523">
        <f t="shared" si="170"/>
        <v>0</v>
      </c>
      <c r="GA38" s="521"/>
      <c r="GB38" s="522">
        <f t="shared" si="59"/>
        <v>0</v>
      </c>
      <c r="GC38" s="523">
        <f t="shared" si="171"/>
        <v>0</v>
      </c>
      <c r="GD38" s="521"/>
      <c r="GE38" s="522">
        <f t="shared" si="60"/>
        <v>0</v>
      </c>
      <c r="GF38" s="523">
        <f t="shared" si="172"/>
        <v>0</v>
      </c>
      <c r="GG38" s="521"/>
      <c r="GH38" s="522">
        <f t="shared" si="61"/>
        <v>0</v>
      </c>
      <c r="GI38" s="523">
        <f t="shared" si="173"/>
        <v>0</v>
      </c>
      <c r="GJ38" s="521"/>
      <c r="GK38" s="522">
        <f t="shared" si="62"/>
        <v>0</v>
      </c>
      <c r="GL38" s="523">
        <f t="shared" si="174"/>
        <v>0</v>
      </c>
      <c r="GM38" s="521"/>
      <c r="GN38" s="522">
        <f t="shared" si="63"/>
        <v>0</v>
      </c>
      <c r="GO38" s="523">
        <f t="shared" si="175"/>
        <v>0</v>
      </c>
      <c r="GP38" s="521"/>
      <c r="GQ38" s="522">
        <f t="shared" si="64"/>
        <v>0</v>
      </c>
      <c r="GR38" s="523">
        <f t="shared" si="176"/>
        <v>0</v>
      </c>
      <c r="GS38" s="521"/>
      <c r="GT38" s="522">
        <f t="shared" si="65"/>
        <v>0</v>
      </c>
      <c r="GU38" s="523">
        <f t="shared" si="177"/>
        <v>0</v>
      </c>
      <c r="GV38" s="521"/>
      <c r="GW38" s="522">
        <f t="shared" si="66"/>
        <v>0</v>
      </c>
      <c r="GX38" s="523">
        <f t="shared" si="178"/>
        <v>0</v>
      </c>
      <c r="GY38" s="521"/>
      <c r="GZ38" s="522">
        <f t="shared" si="67"/>
        <v>0</v>
      </c>
      <c r="HA38" s="523">
        <f t="shared" si="179"/>
        <v>0</v>
      </c>
      <c r="HB38" s="521"/>
      <c r="HC38" s="522">
        <f t="shared" si="68"/>
        <v>0</v>
      </c>
      <c r="HD38" s="523">
        <f t="shared" si="180"/>
        <v>0</v>
      </c>
      <c r="HE38" s="521"/>
      <c r="HF38" s="522">
        <f t="shared" si="69"/>
        <v>0</v>
      </c>
      <c r="HG38" s="523">
        <f t="shared" si="181"/>
        <v>0</v>
      </c>
      <c r="HH38" s="521"/>
      <c r="HI38" s="522">
        <f t="shared" si="70"/>
        <v>0</v>
      </c>
      <c r="HJ38" s="523">
        <f t="shared" si="182"/>
        <v>0</v>
      </c>
      <c r="HK38" s="521"/>
      <c r="HL38" s="522">
        <f t="shared" si="71"/>
        <v>0</v>
      </c>
      <c r="HM38" s="523">
        <f t="shared" si="183"/>
        <v>0</v>
      </c>
      <c r="HN38" s="521"/>
      <c r="HO38" s="522">
        <f t="shared" si="72"/>
        <v>0</v>
      </c>
      <c r="HP38" s="523">
        <f t="shared" si="184"/>
        <v>0</v>
      </c>
      <c r="HQ38" s="521"/>
      <c r="HR38" s="522">
        <f t="shared" si="73"/>
        <v>0</v>
      </c>
      <c r="HS38" s="523">
        <f t="shared" si="185"/>
        <v>0</v>
      </c>
      <c r="HT38" s="521"/>
      <c r="HU38" s="522">
        <f t="shared" si="74"/>
        <v>0</v>
      </c>
      <c r="HV38" s="523">
        <f t="shared" si="186"/>
        <v>0</v>
      </c>
      <c r="HW38" s="521"/>
      <c r="HX38" s="522">
        <f t="shared" si="75"/>
        <v>0</v>
      </c>
      <c r="HY38" s="523">
        <f t="shared" si="187"/>
        <v>0</v>
      </c>
      <c r="HZ38" s="521"/>
      <c r="IA38" s="522">
        <f t="shared" si="76"/>
        <v>0</v>
      </c>
      <c r="IB38" s="523">
        <f t="shared" si="188"/>
        <v>0</v>
      </c>
      <c r="IC38" s="521"/>
      <c r="ID38" s="522">
        <f t="shared" si="77"/>
        <v>0</v>
      </c>
      <c r="IE38" s="523">
        <f t="shared" si="189"/>
        <v>0</v>
      </c>
      <c r="IF38" s="521"/>
      <c r="IG38" s="522">
        <f t="shared" si="78"/>
        <v>0</v>
      </c>
      <c r="IH38" s="523">
        <f t="shared" si="190"/>
        <v>0</v>
      </c>
      <c r="II38" s="521"/>
      <c r="IJ38" s="522">
        <f t="shared" si="79"/>
        <v>0</v>
      </c>
      <c r="IK38" s="523">
        <f t="shared" si="191"/>
        <v>0</v>
      </c>
      <c r="IL38" s="521"/>
      <c r="IM38" s="522">
        <f t="shared" si="80"/>
        <v>0</v>
      </c>
      <c r="IN38" s="523">
        <f t="shared" si="192"/>
        <v>0</v>
      </c>
      <c r="IO38" s="521"/>
      <c r="IP38" s="522">
        <f t="shared" si="81"/>
        <v>0</v>
      </c>
      <c r="IQ38" s="523">
        <f t="shared" si="193"/>
        <v>0</v>
      </c>
      <c r="IR38" s="521"/>
      <c r="IS38" s="522">
        <f t="shared" si="82"/>
        <v>0</v>
      </c>
      <c r="IT38" s="523">
        <f t="shared" si="194"/>
        <v>0</v>
      </c>
      <c r="IU38" s="521"/>
      <c r="IV38" s="522">
        <f t="shared" si="83"/>
        <v>0</v>
      </c>
      <c r="IW38" s="523">
        <f t="shared" si="195"/>
        <v>0</v>
      </c>
      <c r="IX38" s="521"/>
      <c r="IY38" s="522">
        <f t="shared" si="84"/>
        <v>0</v>
      </c>
      <c r="IZ38" s="523">
        <f t="shared" si="196"/>
        <v>0</v>
      </c>
      <c r="JA38" s="521"/>
      <c r="JB38" s="522">
        <f t="shared" si="85"/>
        <v>0</v>
      </c>
      <c r="JC38" s="523">
        <f t="shared" si="197"/>
        <v>0</v>
      </c>
      <c r="JD38" s="521"/>
      <c r="JE38" s="522">
        <f t="shared" si="86"/>
        <v>0</v>
      </c>
      <c r="JF38" s="523">
        <f t="shared" si="198"/>
        <v>0</v>
      </c>
      <c r="JG38" s="521"/>
      <c r="JH38" s="522">
        <f t="shared" si="87"/>
        <v>0</v>
      </c>
      <c r="JI38" s="523">
        <f t="shared" si="199"/>
        <v>0</v>
      </c>
      <c r="JJ38" s="521"/>
      <c r="JK38" s="523" t="str">
        <f t="shared" si="88"/>
        <v>0</v>
      </c>
      <c r="JL38" s="523" t="str">
        <f t="shared" si="89"/>
        <v>0</v>
      </c>
      <c r="JM38" s="521"/>
      <c r="JN38" s="523" t="str">
        <f t="shared" si="90"/>
        <v>0</v>
      </c>
      <c r="JO38" s="523" t="str">
        <f t="shared" si="91"/>
        <v>0</v>
      </c>
      <c r="JP38" s="521"/>
      <c r="JQ38" s="523" t="str">
        <f t="shared" si="92"/>
        <v>0</v>
      </c>
      <c r="JR38" s="523" t="str">
        <f t="shared" si="93"/>
        <v>0</v>
      </c>
      <c r="JS38" s="521"/>
      <c r="JT38" s="523" t="str">
        <f t="shared" si="94"/>
        <v>0</v>
      </c>
      <c r="JU38" s="523" t="str">
        <f t="shared" si="95"/>
        <v>0</v>
      </c>
      <c r="JV38" s="521"/>
      <c r="JW38" s="523" t="str">
        <f t="shared" si="96"/>
        <v>0</v>
      </c>
      <c r="JX38" s="523" t="str">
        <f t="shared" si="97"/>
        <v>0</v>
      </c>
      <c r="JY38" s="521"/>
      <c r="JZ38" s="523" t="str">
        <f t="shared" si="98"/>
        <v>0</v>
      </c>
      <c r="KA38" s="523" t="str">
        <f t="shared" si="99"/>
        <v>0</v>
      </c>
      <c r="KB38" s="521"/>
      <c r="KC38" s="523" t="str">
        <f t="shared" si="100"/>
        <v>0</v>
      </c>
      <c r="KD38" s="523" t="str">
        <f t="shared" si="101"/>
        <v>0</v>
      </c>
      <c r="KE38" s="521"/>
      <c r="KF38" s="523" t="str">
        <f t="shared" si="102"/>
        <v>0</v>
      </c>
      <c r="KG38" s="523" t="str">
        <f t="shared" si="103"/>
        <v>0</v>
      </c>
      <c r="KH38" s="521"/>
      <c r="KI38" s="523" t="str">
        <f t="shared" si="104"/>
        <v>0</v>
      </c>
      <c r="KJ38" s="523" t="str">
        <f t="shared" si="105"/>
        <v>0</v>
      </c>
      <c r="KK38" s="521"/>
      <c r="KL38" s="523" t="str">
        <f t="shared" si="106"/>
        <v>0</v>
      </c>
      <c r="KM38" s="523" t="str">
        <f t="shared" si="107"/>
        <v>0</v>
      </c>
      <c r="KN38" s="521"/>
      <c r="KO38" s="523" t="str">
        <f t="shared" si="108"/>
        <v>0</v>
      </c>
      <c r="KP38" s="523" t="str">
        <f t="shared" si="109"/>
        <v>0</v>
      </c>
      <c r="KQ38" s="521"/>
      <c r="KR38" s="523" t="str">
        <f t="shared" si="110"/>
        <v>0</v>
      </c>
      <c r="KS38" s="523" t="str">
        <f t="shared" si="111"/>
        <v>0</v>
      </c>
      <c r="KT38" s="523">
        <f t="shared" si="201"/>
        <v>0</v>
      </c>
      <c r="KU38" s="523">
        <f t="shared" si="202"/>
        <v>0</v>
      </c>
      <c r="KV38" s="260">
        <f t="shared" si="204"/>
        <v>279.65954973246301</v>
      </c>
    </row>
    <row r="39" spans="1:308" ht="15" customHeight="1">
      <c r="A39" s="261">
        <f t="shared" si="200"/>
        <v>46053</v>
      </c>
      <c r="B39" s="262" t="str">
        <f>+Report1!B39</f>
        <v>Toilet/Facial</v>
      </c>
      <c r="C39" s="262" t="str">
        <f>+Report1!C39</f>
        <v>12,5/13</v>
      </c>
      <c r="D39" s="263">
        <f>+Report1!P39</f>
        <v>38.762999999999998</v>
      </c>
      <c r="E39" s="554">
        <f>+Report1!R39</f>
        <v>36.99</v>
      </c>
      <c r="F39" s="521"/>
      <c r="G39" s="522">
        <f t="shared" si="0"/>
        <v>0</v>
      </c>
      <c r="H39" s="523">
        <f t="shared" si="113"/>
        <v>0</v>
      </c>
      <c r="I39" s="521">
        <v>172.36161395348847</v>
      </c>
      <c r="J39" s="522">
        <f t="shared" si="1"/>
        <v>4.6596813720867383</v>
      </c>
      <c r="K39" s="523">
        <f t="shared" si="114"/>
        <v>0</v>
      </c>
      <c r="L39" s="521"/>
      <c r="M39" s="522">
        <f t="shared" si="2"/>
        <v>0</v>
      </c>
      <c r="N39" s="523">
        <f t="shared" si="115"/>
        <v>0</v>
      </c>
      <c r="O39" s="521">
        <v>5.7408000000000072</v>
      </c>
      <c r="P39" s="522">
        <f t="shared" si="3"/>
        <v>0.15519870235198721</v>
      </c>
      <c r="Q39" s="523">
        <f t="shared" si="116"/>
        <v>0</v>
      </c>
      <c r="R39" s="521"/>
      <c r="S39" s="522">
        <f t="shared" si="4"/>
        <v>0</v>
      </c>
      <c r="T39" s="523">
        <f t="shared" si="117"/>
        <v>0</v>
      </c>
      <c r="U39" s="521">
        <v>7.3563000000000329</v>
      </c>
      <c r="V39" s="522">
        <f t="shared" si="5"/>
        <v>0.19887266828872757</v>
      </c>
      <c r="W39" s="523">
        <f t="shared" si="118"/>
        <v>0</v>
      </c>
      <c r="X39" s="521"/>
      <c r="Y39" s="522">
        <f t="shared" si="6"/>
        <v>0</v>
      </c>
      <c r="Z39" s="523">
        <f t="shared" si="119"/>
        <v>0</v>
      </c>
      <c r="AA39" s="521">
        <v>6.2500000000000098</v>
      </c>
      <c r="AB39" s="522">
        <f t="shared" si="7"/>
        <v>0.16896458502297945</v>
      </c>
      <c r="AC39" s="523">
        <f t="shared" si="120"/>
        <v>0</v>
      </c>
      <c r="AD39" s="521"/>
      <c r="AE39" s="522">
        <f t="shared" si="8"/>
        <v>0</v>
      </c>
      <c r="AF39" s="523">
        <f t="shared" si="121"/>
        <v>0</v>
      </c>
      <c r="AG39" s="521"/>
      <c r="AH39" s="522">
        <f t="shared" si="9"/>
        <v>0</v>
      </c>
      <c r="AI39" s="523">
        <f t="shared" si="122"/>
        <v>0</v>
      </c>
      <c r="AJ39" s="521"/>
      <c r="AK39" s="522">
        <f t="shared" si="10"/>
        <v>0</v>
      </c>
      <c r="AL39" s="523">
        <f t="shared" si="123"/>
        <v>0</v>
      </c>
      <c r="AM39" s="521"/>
      <c r="AN39" s="522">
        <f t="shared" si="11"/>
        <v>0</v>
      </c>
      <c r="AO39" s="523">
        <f t="shared" si="124"/>
        <v>0</v>
      </c>
      <c r="AP39" s="521">
        <v>46.306905063291111</v>
      </c>
      <c r="AQ39" s="522">
        <f t="shared" si="12"/>
        <v>1.2518763196347962</v>
      </c>
      <c r="AR39" s="523">
        <f t="shared" si="125"/>
        <v>0</v>
      </c>
      <c r="AS39" s="521"/>
      <c r="AT39" s="522">
        <f t="shared" si="13"/>
        <v>0</v>
      </c>
      <c r="AU39" s="523">
        <f t="shared" si="126"/>
        <v>0</v>
      </c>
      <c r="AV39" s="521"/>
      <c r="AW39" s="522">
        <f t="shared" si="14"/>
        <v>0</v>
      </c>
      <c r="AX39" s="523">
        <f t="shared" si="127"/>
        <v>0</v>
      </c>
      <c r="AY39" s="521">
        <v>51.322399999999959</v>
      </c>
      <c r="AZ39" s="522">
        <f t="shared" si="15"/>
        <v>1.3874668829413344</v>
      </c>
      <c r="BA39" s="523">
        <f t="shared" si="128"/>
        <v>0</v>
      </c>
      <c r="BB39" s="521"/>
      <c r="BC39" s="522">
        <f t="shared" si="16"/>
        <v>0</v>
      </c>
      <c r="BD39" s="523">
        <f t="shared" si="129"/>
        <v>0</v>
      </c>
      <c r="BE39" s="521"/>
      <c r="BF39" s="522">
        <f t="shared" si="17"/>
        <v>0</v>
      </c>
      <c r="BG39" s="523">
        <f t="shared" si="130"/>
        <v>0</v>
      </c>
      <c r="BH39" s="521"/>
      <c r="BI39" s="522">
        <f t="shared" si="18"/>
        <v>0</v>
      </c>
      <c r="BJ39" s="523">
        <f t="shared" si="131"/>
        <v>0</v>
      </c>
      <c r="BK39" s="521"/>
      <c r="BL39" s="522">
        <f t="shared" si="19"/>
        <v>0</v>
      </c>
      <c r="BM39" s="523">
        <f t="shared" si="132"/>
        <v>0</v>
      </c>
      <c r="BN39" s="521"/>
      <c r="BO39" s="522">
        <f t="shared" si="20"/>
        <v>0</v>
      </c>
      <c r="BP39" s="523">
        <f t="shared" si="133"/>
        <v>0</v>
      </c>
      <c r="BQ39" s="521"/>
      <c r="BR39" s="522">
        <f t="shared" si="21"/>
        <v>0</v>
      </c>
      <c r="BS39" s="523">
        <f t="shared" si="134"/>
        <v>0</v>
      </c>
      <c r="BT39" s="521"/>
      <c r="BU39" s="522">
        <f t="shared" si="22"/>
        <v>0</v>
      </c>
      <c r="BV39" s="523">
        <f t="shared" si="135"/>
        <v>0</v>
      </c>
      <c r="BW39" s="521"/>
      <c r="BX39" s="522">
        <f t="shared" si="23"/>
        <v>0</v>
      </c>
      <c r="BY39" s="523">
        <f t="shared" si="136"/>
        <v>0</v>
      </c>
      <c r="BZ39" s="521"/>
      <c r="CA39" s="522">
        <f t="shared" si="24"/>
        <v>0</v>
      </c>
      <c r="CB39" s="523">
        <f t="shared" si="137"/>
        <v>0</v>
      </c>
      <c r="CC39" s="521"/>
      <c r="CD39" s="522">
        <f t="shared" si="25"/>
        <v>0</v>
      </c>
      <c r="CE39" s="523">
        <f t="shared" si="138"/>
        <v>0</v>
      </c>
      <c r="CF39" s="521">
        <v>0.79999999999999982</v>
      </c>
      <c r="CG39" s="522">
        <f t="shared" si="26"/>
        <v>2.1627466882941329E-2</v>
      </c>
      <c r="CH39" s="523">
        <f t="shared" si="139"/>
        <v>0</v>
      </c>
      <c r="CI39" s="521"/>
      <c r="CJ39" s="522">
        <f t="shared" si="27"/>
        <v>0</v>
      </c>
      <c r="CK39" s="523">
        <f t="shared" si="140"/>
        <v>0</v>
      </c>
      <c r="CL39" s="521"/>
      <c r="CM39" s="522">
        <f t="shared" si="28"/>
        <v>0</v>
      </c>
      <c r="CN39" s="523">
        <f t="shared" si="141"/>
        <v>0</v>
      </c>
      <c r="CO39" s="521"/>
      <c r="CP39" s="522">
        <f t="shared" si="29"/>
        <v>0</v>
      </c>
      <c r="CQ39" s="523">
        <f t="shared" si="142"/>
        <v>0</v>
      </c>
      <c r="CR39" s="521"/>
      <c r="CS39" s="522">
        <f t="shared" si="30"/>
        <v>0</v>
      </c>
      <c r="CT39" s="523">
        <f t="shared" si="143"/>
        <v>0</v>
      </c>
      <c r="CU39" s="521"/>
      <c r="CV39" s="522">
        <f t="shared" si="31"/>
        <v>0</v>
      </c>
      <c r="CW39" s="523">
        <f t="shared" si="144"/>
        <v>0</v>
      </c>
      <c r="CX39" s="521"/>
      <c r="CY39" s="522">
        <f t="shared" si="32"/>
        <v>0</v>
      </c>
      <c r="CZ39" s="523">
        <f t="shared" si="145"/>
        <v>0</v>
      </c>
      <c r="DA39" s="521">
        <v>48.651627906976955</v>
      </c>
      <c r="DB39" s="522">
        <f t="shared" si="33"/>
        <v>1.3152643391991607</v>
      </c>
      <c r="DC39" s="523">
        <f t="shared" si="146"/>
        <v>0</v>
      </c>
      <c r="DD39" s="521"/>
      <c r="DE39" s="522">
        <f t="shared" si="34"/>
        <v>0</v>
      </c>
      <c r="DF39" s="523">
        <f t="shared" si="147"/>
        <v>0</v>
      </c>
      <c r="DG39" s="521"/>
      <c r="DH39" s="522">
        <f t="shared" si="35"/>
        <v>0</v>
      </c>
      <c r="DI39" s="523">
        <f t="shared" si="203"/>
        <v>0</v>
      </c>
      <c r="DJ39" s="521"/>
      <c r="DK39" s="522">
        <f t="shared" si="36"/>
        <v>0</v>
      </c>
      <c r="DL39" s="523">
        <f t="shared" si="148"/>
        <v>0</v>
      </c>
      <c r="DM39" s="521"/>
      <c r="DN39" s="522">
        <f t="shared" si="37"/>
        <v>0</v>
      </c>
      <c r="DO39" s="523">
        <f t="shared" si="149"/>
        <v>0</v>
      </c>
      <c r="DP39" s="521"/>
      <c r="DQ39" s="522">
        <f t="shared" si="38"/>
        <v>0</v>
      </c>
      <c r="DR39" s="523">
        <f t="shared" si="150"/>
        <v>0</v>
      </c>
      <c r="DS39" s="521"/>
      <c r="DT39" s="522">
        <f t="shared" si="39"/>
        <v>0</v>
      </c>
      <c r="DU39" s="523">
        <f t="shared" si="151"/>
        <v>0</v>
      </c>
      <c r="DV39" s="521"/>
      <c r="DW39" s="522">
        <f t="shared" si="40"/>
        <v>0</v>
      </c>
      <c r="DX39" s="523">
        <f t="shared" si="152"/>
        <v>0</v>
      </c>
      <c r="DY39" s="521"/>
      <c r="DZ39" s="522">
        <f t="shared" si="41"/>
        <v>0</v>
      </c>
      <c r="EA39" s="523">
        <f t="shared" si="153"/>
        <v>0</v>
      </c>
      <c r="EB39" s="521"/>
      <c r="EC39" s="522">
        <f t="shared" si="42"/>
        <v>0</v>
      </c>
      <c r="ED39" s="523">
        <f t="shared" si="154"/>
        <v>0</v>
      </c>
      <c r="EE39" s="521">
        <v>33.914728682170541</v>
      </c>
      <c r="EF39" s="522">
        <f t="shared" si="43"/>
        <v>0.91686208927197999</v>
      </c>
      <c r="EG39" s="523">
        <f t="shared" si="155"/>
        <v>0</v>
      </c>
      <c r="EH39" s="521">
        <v>28.072941176470295</v>
      </c>
      <c r="EI39" s="522">
        <f t="shared" si="44"/>
        <v>0.75893325700108927</v>
      </c>
      <c r="EJ39" s="523">
        <f t="shared" si="156"/>
        <v>0</v>
      </c>
      <c r="EK39" s="521"/>
      <c r="EL39" s="522">
        <f t="shared" si="45"/>
        <v>0</v>
      </c>
      <c r="EM39" s="523">
        <f t="shared" si="157"/>
        <v>0</v>
      </c>
      <c r="EN39" s="521">
        <v>3</v>
      </c>
      <c r="EO39" s="522">
        <f t="shared" si="46"/>
        <v>8.1103000811030002E-2</v>
      </c>
      <c r="EP39" s="523">
        <f t="shared" si="158"/>
        <v>0</v>
      </c>
      <c r="EQ39" s="521"/>
      <c r="ER39" s="522">
        <f t="shared" si="47"/>
        <v>0</v>
      </c>
      <c r="ES39" s="523">
        <f t="shared" si="159"/>
        <v>0</v>
      </c>
      <c r="ET39" s="521"/>
      <c r="EU39" s="522">
        <f t="shared" si="48"/>
        <v>0</v>
      </c>
      <c r="EV39" s="523">
        <f t="shared" si="160"/>
        <v>0</v>
      </c>
      <c r="EW39" s="521"/>
      <c r="EX39" s="522">
        <f t="shared" si="49"/>
        <v>0</v>
      </c>
      <c r="EY39" s="523">
        <f t="shared" si="161"/>
        <v>0</v>
      </c>
      <c r="EZ39" s="521"/>
      <c r="FA39" s="522">
        <f t="shared" si="50"/>
        <v>0</v>
      </c>
      <c r="FB39" s="523">
        <f t="shared" si="162"/>
        <v>0</v>
      </c>
      <c r="FC39" s="521"/>
      <c r="FD39" s="522">
        <f t="shared" si="51"/>
        <v>0</v>
      </c>
      <c r="FE39" s="523">
        <f t="shared" si="163"/>
        <v>0</v>
      </c>
      <c r="FF39" s="521"/>
      <c r="FG39" s="522">
        <f t="shared" si="52"/>
        <v>0</v>
      </c>
      <c r="FH39" s="523">
        <f t="shared" si="164"/>
        <v>0</v>
      </c>
      <c r="FI39" s="521"/>
      <c r="FJ39" s="522">
        <f t="shared" si="53"/>
        <v>0</v>
      </c>
      <c r="FK39" s="523">
        <f t="shared" si="165"/>
        <v>0</v>
      </c>
      <c r="FL39" s="521"/>
      <c r="FM39" s="522">
        <f t="shared" si="54"/>
        <v>0</v>
      </c>
      <c r="FN39" s="523">
        <f t="shared" si="166"/>
        <v>0</v>
      </c>
      <c r="FO39" s="521"/>
      <c r="FP39" s="522">
        <f t="shared" si="55"/>
        <v>0</v>
      </c>
      <c r="FQ39" s="523">
        <f t="shared" si="167"/>
        <v>0</v>
      </c>
      <c r="FR39" s="521"/>
      <c r="FS39" s="522">
        <f t="shared" si="56"/>
        <v>0</v>
      </c>
      <c r="FT39" s="523">
        <f t="shared" si="168"/>
        <v>0</v>
      </c>
      <c r="FU39" s="521"/>
      <c r="FV39" s="522">
        <f t="shared" si="57"/>
        <v>0</v>
      </c>
      <c r="FW39" s="523">
        <f t="shared" si="169"/>
        <v>0</v>
      </c>
      <c r="FX39" s="521"/>
      <c r="FY39" s="522">
        <f t="shared" si="58"/>
        <v>0</v>
      </c>
      <c r="FZ39" s="523">
        <f t="shared" si="170"/>
        <v>0</v>
      </c>
      <c r="GA39" s="521"/>
      <c r="GB39" s="522">
        <f t="shared" si="59"/>
        <v>0</v>
      </c>
      <c r="GC39" s="523">
        <f t="shared" si="171"/>
        <v>0</v>
      </c>
      <c r="GD39" s="521"/>
      <c r="GE39" s="522">
        <f t="shared" si="60"/>
        <v>0</v>
      </c>
      <c r="GF39" s="523">
        <f t="shared" si="172"/>
        <v>0</v>
      </c>
      <c r="GG39" s="521"/>
      <c r="GH39" s="522">
        <f t="shared" si="61"/>
        <v>0</v>
      </c>
      <c r="GI39" s="523">
        <f t="shared" si="173"/>
        <v>0</v>
      </c>
      <c r="GJ39" s="521"/>
      <c r="GK39" s="522">
        <f t="shared" si="62"/>
        <v>0</v>
      </c>
      <c r="GL39" s="523">
        <f t="shared" si="174"/>
        <v>0</v>
      </c>
      <c r="GM39" s="521"/>
      <c r="GN39" s="522">
        <f t="shared" si="63"/>
        <v>0</v>
      </c>
      <c r="GO39" s="523">
        <f t="shared" si="175"/>
        <v>0</v>
      </c>
      <c r="GP39" s="521"/>
      <c r="GQ39" s="522">
        <f t="shared" si="64"/>
        <v>0</v>
      </c>
      <c r="GR39" s="523">
        <f t="shared" si="176"/>
        <v>0</v>
      </c>
      <c r="GS39" s="521"/>
      <c r="GT39" s="522">
        <f t="shared" si="65"/>
        <v>0</v>
      </c>
      <c r="GU39" s="523">
        <f t="shared" si="177"/>
        <v>0</v>
      </c>
      <c r="GV39" s="521"/>
      <c r="GW39" s="522">
        <f t="shared" si="66"/>
        <v>0</v>
      </c>
      <c r="GX39" s="523">
        <f t="shared" si="178"/>
        <v>0</v>
      </c>
      <c r="GY39" s="521"/>
      <c r="GZ39" s="522">
        <f t="shared" si="67"/>
        <v>0</v>
      </c>
      <c r="HA39" s="523">
        <f t="shared" si="179"/>
        <v>0</v>
      </c>
      <c r="HB39" s="521"/>
      <c r="HC39" s="522">
        <f t="shared" si="68"/>
        <v>0</v>
      </c>
      <c r="HD39" s="523">
        <f t="shared" si="180"/>
        <v>0</v>
      </c>
      <c r="HE39" s="521"/>
      <c r="HF39" s="522">
        <f t="shared" si="69"/>
        <v>0</v>
      </c>
      <c r="HG39" s="523">
        <f t="shared" si="181"/>
        <v>0</v>
      </c>
      <c r="HH39" s="521"/>
      <c r="HI39" s="522">
        <f t="shared" si="70"/>
        <v>0</v>
      </c>
      <c r="HJ39" s="523">
        <f t="shared" si="182"/>
        <v>0</v>
      </c>
      <c r="HK39" s="521"/>
      <c r="HL39" s="522">
        <f t="shared" si="71"/>
        <v>0</v>
      </c>
      <c r="HM39" s="523">
        <f t="shared" si="183"/>
        <v>0</v>
      </c>
      <c r="HN39" s="521"/>
      <c r="HO39" s="522">
        <f t="shared" si="72"/>
        <v>0</v>
      </c>
      <c r="HP39" s="523">
        <f t="shared" si="184"/>
        <v>0</v>
      </c>
      <c r="HQ39" s="521"/>
      <c r="HR39" s="522">
        <f t="shared" si="73"/>
        <v>0</v>
      </c>
      <c r="HS39" s="523">
        <f t="shared" si="185"/>
        <v>0</v>
      </c>
      <c r="HT39" s="521"/>
      <c r="HU39" s="522">
        <f t="shared" si="74"/>
        <v>0</v>
      </c>
      <c r="HV39" s="523">
        <f t="shared" si="186"/>
        <v>0</v>
      </c>
      <c r="HW39" s="521"/>
      <c r="HX39" s="522">
        <f t="shared" si="75"/>
        <v>0</v>
      </c>
      <c r="HY39" s="523">
        <f t="shared" si="187"/>
        <v>0</v>
      </c>
      <c r="HZ39" s="521"/>
      <c r="IA39" s="522">
        <f t="shared" si="76"/>
        <v>0</v>
      </c>
      <c r="IB39" s="523">
        <f t="shared" si="188"/>
        <v>0</v>
      </c>
      <c r="IC39" s="521"/>
      <c r="ID39" s="522">
        <f t="shared" si="77"/>
        <v>0</v>
      </c>
      <c r="IE39" s="523">
        <f t="shared" si="189"/>
        <v>0</v>
      </c>
      <c r="IF39" s="521"/>
      <c r="IG39" s="522">
        <f t="shared" si="78"/>
        <v>0</v>
      </c>
      <c r="IH39" s="523">
        <f t="shared" si="190"/>
        <v>0</v>
      </c>
      <c r="II39" s="521"/>
      <c r="IJ39" s="522">
        <f t="shared" si="79"/>
        <v>0</v>
      </c>
      <c r="IK39" s="523">
        <f t="shared" si="191"/>
        <v>0</v>
      </c>
      <c r="IL39" s="521"/>
      <c r="IM39" s="522">
        <f t="shared" si="80"/>
        <v>0</v>
      </c>
      <c r="IN39" s="523">
        <f t="shared" si="192"/>
        <v>0</v>
      </c>
      <c r="IO39" s="521"/>
      <c r="IP39" s="522">
        <f t="shared" si="81"/>
        <v>0</v>
      </c>
      <c r="IQ39" s="523">
        <f t="shared" si="193"/>
        <v>0</v>
      </c>
      <c r="IR39" s="521"/>
      <c r="IS39" s="522">
        <f t="shared" si="82"/>
        <v>0</v>
      </c>
      <c r="IT39" s="523">
        <f t="shared" si="194"/>
        <v>0</v>
      </c>
      <c r="IU39" s="521"/>
      <c r="IV39" s="522">
        <f t="shared" si="83"/>
        <v>0</v>
      </c>
      <c r="IW39" s="523">
        <f t="shared" si="195"/>
        <v>0</v>
      </c>
      <c r="IX39" s="521"/>
      <c r="IY39" s="522">
        <f t="shared" si="84"/>
        <v>0</v>
      </c>
      <c r="IZ39" s="523">
        <f t="shared" si="196"/>
        <v>0</v>
      </c>
      <c r="JA39" s="521"/>
      <c r="JB39" s="522">
        <f t="shared" si="85"/>
        <v>0</v>
      </c>
      <c r="JC39" s="523">
        <f t="shared" si="197"/>
        <v>0</v>
      </c>
      <c r="JD39" s="521"/>
      <c r="JE39" s="522">
        <f t="shared" si="86"/>
        <v>0</v>
      </c>
      <c r="JF39" s="523">
        <f t="shared" si="198"/>
        <v>0</v>
      </c>
      <c r="JG39" s="521"/>
      <c r="JH39" s="522">
        <f t="shared" si="87"/>
        <v>0</v>
      </c>
      <c r="JI39" s="523">
        <f t="shared" si="199"/>
        <v>0</v>
      </c>
      <c r="JJ39" s="521"/>
      <c r="JK39" s="523" t="str">
        <f t="shared" si="88"/>
        <v>0</v>
      </c>
      <c r="JL39" s="523" t="str">
        <f t="shared" si="89"/>
        <v>0</v>
      </c>
      <c r="JM39" s="521"/>
      <c r="JN39" s="523" t="str">
        <f t="shared" si="90"/>
        <v>0</v>
      </c>
      <c r="JO39" s="523" t="str">
        <f t="shared" si="91"/>
        <v>0</v>
      </c>
      <c r="JP39" s="521"/>
      <c r="JQ39" s="523" t="str">
        <f t="shared" si="92"/>
        <v>0</v>
      </c>
      <c r="JR39" s="523" t="str">
        <f t="shared" si="93"/>
        <v>0</v>
      </c>
      <c r="JS39" s="521"/>
      <c r="JT39" s="523" t="str">
        <f t="shared" si="94"/>
        <v>0</v>
      </c>
      <c r="JU39" s="523" t="str">
        <f t="shared" si="95"/>
        <v>0</v>
      </c>
      <c r="JV39" s="521"/>
      <c r="JW39" s="523" t="str">
        <f t="shared" si="96"/>
        <v>0</v>
      </c>
      <c r="JX39" s="523" t="str">
        <f t="shared" si="97"/>
        <v>0</v>
      </c>
      <c r="JY39" s="521"/>
      <c r="JZ39" s="523" t="str">
        <f t="shared" si="98"/>
        <v>0</v>
      </c>
      <c r="KA39" s="523" t="str">
        <f t="shared" si="99"/>
        <v>0</v>
      </c>
      <c r="KB39" s="521"/>
      <c r="KC39" s="523" t="str">
        <f t="shared" si="100"/>
        <v>0</v>
      </c>
      <c r="KD39" s="523" t="str">
        <f t="shared" si="101"/>
        <v>0</v>
      </c>
      <c r="KE39" s="521"/>
      <c r="KF39" s="523" t="str">
        <f t="shared" si="102"/>
        <v>0</v>
      </c>
      <c r="KG39" s="523" t="str">
        <f t="shared" si="103"/>
        <v>0</v>
      </c>
      <c r="KH39" s="521"/>
      <c r="KI39" s="523" t="str">
        <f t="shared" si="104"/>
        <v>0</v>
      </c>
      <c r="KJ39" s="523" t="str">
        <f t="shared" si="105"/>
        <v>0</v>
      </c>
      <c r="KK39" s="521"/>
      <c r="KL39" s="523" t="str">
        <f t="shared" si="106"/>
        <v>0</v>
      </c>
      <c r="KM39" s="523" t="str">
        <f t="shared" si="107"/>
        <v>0</v>
      </c>
      <c r="KN39" s="521"/>
      <c r="KO39" s="523" t="str">
        <f t="shared" si="108"/>
        <v>0</v>
      </c>
      <c r="KP39" s="523" t="str">
        <f t="shared" si="109"/>
        <v>0</v>
      </c>
      <c r="KQ39" s="521"/>
      <c r="KR39" s="523" t="str">
        <f t="shared" si="110"/>
        <v>0</v>
      </c>
      <c r="KS39" s="523" t="str">
        <f t="shared" si="111"/>
        <v>0</v>
      </c>
      <c r="KT39" s="523">
        <f t="shared" si="201"/>
        <v>0</v>
      </c>
      <c r="KU39" s="523">
        <f t="shared" si="202"/>
        <v>0</v>
      </c>
      <c r="KV39" s="260">
        <f t="shared" si="204"/>
        <v>403.77731678239741</v>
      </c>
    </row>
    <row r="40" spans="1:308" ht="15" customHeight="1" thickBot="1">
      <c r="A40" s="264"/>
      <c r="B40" s="265"/>
      <c r="C40" s="266"/>
      <c r="D40" s="266"/>
      <c r="E40" s="554"/>
      <c r="F40" s="521"/>
      <c r="G40" s="522"/>
      <c r="H40" s="523"/>
      <c r="I40" s="521"/>
      <c r="J40" s="522"/>
      <c r="K40" s="523"/>
      <c r="L40" s="521"/>
      <c r="M40" s="522"/>
      <c r="N40" s="523"/>
      <c r="O40" s="521"/>
      <c r="P40" s="522"/>
      <c r="Q40" s="523"/>
      <c r="R40" s="521"/>
      <c r="S40" s="522"/>
      <c r="T40" s="523"/>
      <c r="U40" s="521"/>
      <c r="V40" s="522"/>
      <c r="W40" s="523"/>
      <c r="X40" s="521"/>
      <c r="Y40" s="522"/>
      <c r="Z40" s="523"/>
      <c r="AA40" s="521"/>
      <c r="AB40" s="522"/>
      <c r="AC40" s="523"/>
      <c r="AD40" s="521"/>
      <c r="AE40" s="522"/>
      <c r="AF40" s="523"/>
      <c r="AG40" s="521"/>
      <c r="AH40" s="522"/>
      <c r="AI40" s="523"/>
      <c r="AJ40" s="521"/>
      <c r="AK40" s="522"/>
      <c r="AL40" s="523"/>
      <c r="AM40" s="521"/>
      <c r="AN40" s="522"/>
      <c r="AO40" s="523"/>
      <c r="AP40" s="521"/>
      <c r="AQ40" s="522"/>
      <c r="AR40" s="523"/>
      <c r="AS40" s="521"/>
      <c r="AT40" s="522"/>
      <c r="AU40" s="523"/>
      <c r="AV40" s="521"/>
      <c r="AW40" s="522"/>
      <c r="AX40" s="523"/>
      <c r="AY40" s="521"/>
      <c r="AZ40" s="522"/>
      <c r="BA40" s="523"/>
      <c r="BB40" s="521"/>
      <c r="BC40" s="522"/>
      <c r="BD40" s="523"/>
      <c r="BE40" s="521"/>
      <c r="BF40" s="522"/>
      <c r="BG40" s="523"/>
      <c r="BH40" s="521"/>
      <c r="BI40" s="522"/>
      <c r="BJ40" s="523"/>
      <c r="BK40" s="521"/>
      <c r="BL40" s="522"/>
      <c r="BM40" s="523"/>
      <c r="BN40" s="521"/>
      <c r="BO40" s="522"/>
      <c r="BP40" s="523"/>
      <c r="BQ40" s="521"/>
      <c r="BR40" s="522"/>
      <c r="BS40" s="523"/>
      <c r="BT40" s="521"/>
      <c r="BU40" s="522"/>
      <c r="BV40" s="523"/>
      <c r="BW40" s="521"/>
      <c r="BX40" s="522"/>
      <c r="BY40" s="523"/>
      <c r="BZ40" s="521"/>
      <c r="CA40" s="522"/>
      <c r="CB40" s="523"/>
      <c r="CC40" s="521"/>
      <c r="CD40" s="522"/>
      <c r="CE40" s="523"/>
      <c r="CF40" s="521"/>
      <c r="CG40" s="522"/>
      <c r="CH40" s="523"/>
      <c r="CI40" s="521"/>
      <c r="CJ40" s="522"/>
      <c r="CK40" s="523"/>
      <c r="CL40" s="521"/>
      <c r="CM40" s="522"/>
      <c r="CN40" s="523"/>
      <c r="CO40" s="521"/>
      <c r="CP40" s="522"/>
      <c r="CQ40" s="523"/>
      <c r="CR40" s="521"/>
      <c r="CS40" s="522"/>
      <c r="CT40" s="523"/>
      <c r="CU40" s="521"/>
      <c r="CV40" s="522"/>
      <c r="CW40" s="523"/>
      <c r="CX40" s="521"/>
      <c r="CY40" s="522"/>
      <c r="CZ40" s="523"/>
      <c r="DA40" s="521"/>
      <c r="DB40" s="522"/>
      <c r="DC40" s="523"/>
      <c r="DD40" s="521"/>
      <c r="DE40" s="522"/>
      <c r="DF40" s="523"/>
      <c r="DG40" s="521"/>
      <c r="DH40" s="522"/>
      <c r="DI40" s="523"/>
      <c r="DJ40" s="521"/>
      <c r="DK40" s="522"/>
      <c r="DL40" s="523"/>
      <c r="DM40" s="521"/>
      <c r="DN40" s="522"/>
      <c r="DO40" s="523"/>
      <c r="DP40" s="521"/>
      <c r="DQ40" s="522"/>
      <c r="DR40" s="523"/>
      <c r="DS40" s="521"/>
      <c r="DT40" s="522"/>
      <c r="DU40" s="523"/>
      <c r="DV40" s="521"/>
      <c r="DW40" s="522"/>
      <c r="DX40" s="523"/>
      <c r="DY40" s="521"/>
      <c r="DZ40" s="522"/>
      <c r="EA40" s="523"/>
      <c r="EB40" s="521"/>
      <c r="EC40" s="522"/>
      <c r="ED40" s="523"/>
      <c r="EE40" s="521"/>
      <c r="EF40" s="522"/>
      <c r="EG40" s="523"/>
      <c r="EH40" s="521"/>
      <c r="EI40" s="522"/>
      <c r="EJ40" s="523"/>
      <c r="EK40" s="521"/>
      <c r="EL40" s="522"/>
      <c r="EM40" s="523"/>
      <c r="EN40" s="521"/>
      <c r="EO40" s="522"/>
      <c r="EP40" s="523"/>
      <c r="EQ40" s="521"/>
      <c r="ER40" s="522"/>
      <c r="ES40" s="523"/>
      <c r="ET40" s="521"/>
      <c r="EU40" s="522"/>
      <c r="EV40" s="523"/>
      <c r="EW40" s="521"/>
      <c r="EX40" s="522"/>
      <c r="EY40" s="523"/>
      <c r="EZ40" s="521"/>
      <c r="FA40" s="522"/>
      <c r="FB40" s="523"/>
      <c r="FC40" s="521"/>
      <c r="FD40" s="522"/>
      <c r="FE40" s="523"/>
      <c r="FF40" s="521"/>
      <c r="FG40" s="522"/>
      <c r="FH40" s="523"/>
      <c r="FI40" s="521"/>
      <c r="FJ40" s="522"/>
      <c r="FK40" s="523"/>
      <c r="FL40" s="521"/>
      <c r="FM40" s="522"/>
      <c r="FN40" s="523"/>
      <c r="FO40" s="521"/>
      <c r="FP40" s="522"/>
      <c r="FQ40" s="523"/>
      <c r="FR40" s="521"/>
      <c r="FS40" s="522"/>
      <c r="FT40" s="523"/>
      <c r="FU40" s="521"/>
      <c r="FV40" s="522"/>
      <c r="FW40" s="523"/>
      <c r="FX40" s="521"/>
      <c r="FY40" s="522"/>
      <c r="FZ40" s="523"/>
      <c r="GA40" s="521"/>
      <c r="GB40" s="522"/>
      <c r="GC40" s="523"/>
      <c r="GD40" s="521"/>
      <c r="GE40" s="522"/>
      <c r="GF40" s="523"/>
      <c r="GG40" s="521"/>
      <c r="GH40" s="522"/>
      <c r="GI40" s="523"/>
      <c r="GJ40" s="521"/>
      <c r="GK40" s="522"/>
      <c r="GL40" s="523"/>
      <c r="GM40" s="521"/>
      <c r="GN40" s="522"/>
      <c r="GO40" s="523"/>
      <c r="GP40" s="521"/>
      <c r="GQ40" s="522"/>
      <c r="GR40" s="523"/>
      <c r="GS40" s="521"/>
      <c r="GT40" s="522"/>
      <c r="GU40" s="523"/>
      <c r="GV40" s="521"/>
      <c r="GW40" s="522"/>
      <c r="GX40" s="523"/>
      <c r="GY40" s="521"/>
      <c r="GZ40" s="522"/>
      <c r="HA40" s="523"/>
      <c r="HB40" s="521"/>
      <c r="HC40" s="522"/>
      <c r="HD40" s="523"/>
      <c r="HE40" s="521"/>
      <c r="HF40" s="522"/>
      <c r="HG40" s="523"/>
      <c r="HH40" s="521"/>
      <c r="HI40" s="522"/>
      <c r="HJ40" s="523"/>
      <c r="HK40" s="521"/>
      <c r="HL40" s="522"/>
      <c r="HM40" s="523"/>
      <c r="HN40" s="521"/>
      <c r="HO40" s="522"/>
      <c r="HP40" s="523"/>
      <c r="HQ40" s="521"/>
      <c r="HR40" s="522"/>
      <c r="HS40" s="523"/>
      <c r="HT40" s="521"/>
      <c r="HU40" s="522"/>
      <c r="HV40" s="523"/>
      <c r="HW40" s="521"/>
      <c r="HX40" s="522"/>
      <c r="HY40" s="523"/>
      <c r="HZ40" s="521"/>
      <c r="IA40" s="522"/>
      <c r="IB40" s="523"/>
      <c r="IC40" s="521"/>
      <c r="ID40" s="522"/>
      <c r="IE40" s="523"/>
      <c r="IF40" s="521"/>
      <c r="IG40" s="522"/>
      <c r="IH40" s="523"/>
      <c r="II40" s="521"/>
      <c r="IJ40" s="522"/>
      <c r="IK40" s="523"/>
      <c r="IL40" s="521"/>
      <c r="IM40" s="522"/>
      <c r="IN40" s="523"/>
      <c r="IO40" s="521"/>
      <c r="IP40" s="522"/>
      <c r="IQ40" s="523"/>
      <c r="IR40" s="521"/>
      <c r="IS40" s="522"/>
      <c r="IT40" s="523"/>
      <c r="IU40" s="521"/>
      <c r="IV40" s="522"/>
      <c r="IW40" s="523"/>
      <c r="IX40" s="521"/>
      <c r="IY40" s="522"/>
      <c r="IZ40" s="523"/>
      <c r="JA40" s="521"/>
      <c r="JB40" s="522"/>
      <c r="JC40" s="523"/>
      <c r="JD40" s="521"/>
      <c r="JE40" s="522"/>
      <c r="JF40" s="523"/>
      <c r="JG40" s="521"/>
      <c r="JH40" s="522"/>
      <c r="JI40" s="523"/>
      <c r="JJ40" s="521"/>
      <c r="JK40" s="523"/>
      <c r="JL40" s="523"/>
      <c r="JM40" s="521"/>
      <c r="JN40" s="523"/>
      <c r="JO40" s="523"/>
      <c r="JP40" s="521"/>
      <c r="JQ40" s="523"/>
      <c r="JR40" s="523"/>
      <c r="JS40" s="521"/>
      <c r="JT40" s="523"/>
      <c r="JU40" s="523"/>
      <c r="JV40" s="521"/>
      <c r="JW40" s="523"/>
      <c r="JX40" s="523"/>
      <c r="JY40" s="521"/>
      <c r="JZ40" s="523"/>
      <c r="KA40" s="523"/>
      <c r="KB40" s="521"/>
      <c r="KC40" s="523"/>
      <c r="KD40" s="523"/>
      <c r="KE40" s="521"/>
      <c r="KF40" s="523"/>
      <c r="KG40" s="523"/>
      <c r="KH40" s="521"/>
      <c r="KI40" s="523"/>
      <c r="KJ40" s="523"/>
      <c r="KK40" s="521"/>
      <c r="KL40" s="523"/>
      <c r="KM40" s="523"/>
      <c r="KN40" s="521"/>
      <c r="KO40" s="523"/>
      <c r="KP40" s="523"/>
      <c r="KQ40" s="521"/>
      <c r="KR40" s="523"/>
      <c r="KS40" s="523"/>
      <c r="KT40" s="523"/>
      <c r="KU40" s="523"/>
      <c r="KV40" s="260"/>
    </row>
    <row r="41" spans="1:308" s="526" customFormat="1" ht="15" customHeight="1" thickTop="1" thickBot="1">
      <c r="A41" s="717" t="s">
        <v>27</v>
      </c>
      <c r="B41" s="718"/>
      <c r="C41" s="719"/>
      <c r="D41" s="555">
        <f>SUM(D9:D40)</f>
        <v>1194.7179999999996</v>
      </c>
      <c r="E41" s="554">
        <v>0</v>
      </c>
      <c r="F41" s="524">
        <f>SUM(F9:F39)</f>
        <v>0</v>
      </c>
      <c r="G41" s="524">
        <f>IFERROR((F41/$L$41),0)</f>
        <v>0</v>
      </c>
      <c r="H41" s="524">
        <f>IFERROR(((F41*H$8)/$L$41),0)</f>
        <v>0</v>
      </c>
      <c r="I41" s="524">
        <f>SUM(I9:I39)</f>
        <v>4858.4081255813953</v>
      </c>
      <c r="J41" s="524">
        <f>IFERROR((I41/$L$41),0)</f>
        <v>0</v>
      </c>
      <c r="K41" s="524">
        <f>IFERROR(((I41*K$8)/$L$41),0)</f>
        <v>0</v>
      </c>
      <c r="L41" s="524">
        <f>SUM(L9:L39)</f>
        <v>0</v>
      </c>
      <c r="M41" s="524">
        <f>IFERROR((L41/$L$41),0)</f>
        <v>0</v>
      </c>
      <c r="N41" s="524">
        <f>IFERROR(((L41*N$8)/$L$41),0)</f>
        <v>0</v>
      </c>
      <c r="O41" s="524">
        <f>SUM(O9:O39)</f>
        <v>239.74080000000001</v>
      </c>
      <c r="P41" s="524">
        <f>IFERROR((O41/$L$41),0)</f>
        <v>0</v>
      </c>
      <c r="Q41" s="524">
        <f>IFERROR(((O41*Q$8)/$L$41),0)</f>
        <v>0</v>
      </c>
      <c r="R41" s="524">
        <f>SUM(R9:R39)</f>
        <v>0</v>
      </c>
      <c r="S41" s="524">
        <f>IFERROR((R41/$L$41),0)</f>
        <v>0</v>
      </c>
      <c r="T41" s="524">
        <f>IFERROR(((R41*T$8)/$L$41),0)</f>
        <v>0</v>
      </c>
      <c r="U41" s="524">
        <f>SUM(U9:U39)</f>
        <v>214.91880000000003</v>
      </c>
      <c r="V41" s="524">
        <f>IFERROR((U41/$L$41),0)</f>
        <v>0</v>
      </c>
      <c r="W41" s="524">
        <f>IFERROR(((U41*W$8)/$L$41),0)</f>
        <v>0</v>
      </c>
      <c r="X41" s="524">
        <f>SUM(X9:X39)</f>
        <v>0</v>
      </c>
      <c r="Y41" s="524">
        <f>IFERROR((X41/$L$41),0)</f>
        <v>0</v>
      </c>
      <c r="Z41" s="524">
        <f>IFERROR(((X41*Z$8)/$L$41),0)</f>
        <v>0</v>
      </c>
      <c r="AA41" s="524">
        <f>SUM(AA9:AA39)</f>
        <v>189.0625</v>
      </c>
      <c r="AB41" s="524">
        <f>IFERROR((AA41/$L$41),0)</f>
        <v>0</v>
      </c>
      <c r="AC41" s="524">
        <f>IFERROR(((AA41*AC$8)/$L$41),0)</f>
        <v>0</v>
      </c>
      <c r="AD41" s="524">
        <f>SUM(AD9:AD39)</f>
        <v>0</v>
      </c>
      <c r="AE41" s="524">
        <f>IFERROR((AD41/$L$41),0)</f>
        <v>0</v>
      </c>
      <c r="AF41" s="524">
        <f>IFERROR(((AD41*AF$8)/$L$41),0)</f>
        <v>0</v>
      </c>
      <c r="AG41" s="524">
        <f>SUM(AG9:AG39)</f>
        <v>0</v>
      </c>
      <c r="AH41" s="524">
        <f>IFERROR((AG41/$L$41),0)</f>
        <v>0</v>
      </c>
      <c r="AI41" s="524">
        <f>IFERROR(((AG41*AI$8)/$L$41),0)</f>
        <v>0</v>
      </c>
      <c r="AJ41" s="524">
        <f>SUM(AJ9:AJ39)</f>
        <v>0</v>
      </c>
      <c r="AK41" s="524">
        <f>IFERROR((AJ41/$L$41),0)</f>
        <v>0</v>
      </c>
      <c r="AL41" s="524">
        <f>IFERROR(((AJ41*AL$8)/$L$41),0)</f>
        <v>0</v>
      </c>
      <c r="AM41" s="524">
        <f>SUM(AM9:AM39)</f>
        <v>45.569620253164544</v>
      </c>
      <c r="AN41" s="524">
        <f>IFERROR((AM41/$L$41),0)</f>
        <v>0</v>
      </c>
      <c r="AO41" s="524">
        <f>IFERROR(((AM41*AO$8)/$L$41),0)</f>
        <v>0</v>
      </c>
      <c r="AP41" s="524">
        <f>SUM(AP9:AP39)</f>
        <v>1319.4081708860765</v>
      </c>
      <c r="AQ41" s="524">
        <f>IFERROR((AP41/$L$41),0)</f>
        <v>0</v>
      </c>
      <c r="AR41" s="524">
        <f>IFERROR(((AP41*AR$8)/$L$41),0)</f>
        <v>0</v>
      </c>
      <c r="AS41" s="524">
        <f>SUM(AS9:AS39)</f>
        <v>0</v>
      </c>
      <c r="AT41" s="524">
        <f>IFERROR((AS41/$L$41),0)</f>
        <v>0</v>
      </c>
      <c r="AU41" s="524">
        <f>IFERROR(((AS41*AU$8)/$L$41),0)</f>
        <v>0</v>
      </c>
      <c r="AV41" s="524">
        <f>SUM(AV9:AV39)</f>
        <v>0</v>
      </c>
      <c r="AW41" s="524">
        <f>IFERROR((AV41/$L$41),0)</f>
        <v>0</v>
      </c>
      <c r="AX41" s="524">
        <f>IFERROR(((AV41*AX$8)/$L$41),0)</f>
        <v>0</v>
      </c>
      <c r="AY41" s="524">
        <f>SUM(AY9:AY39)</f>
        <v>1586.6557333333335</v>
      </c>
      <c r="AZ41" s="524">
        <f>IFERROR((AY41/$L$41),0)</f>
        <v>0</v>
      </c>
      <c r="BA41" s="524">
        <f>IFERROR(((AY41*BA$8)/$L$41),0)</f>
        <v>0</v>
      </c>
      <c r="BB41" s="524">
        <f>SUM(BB9:BB39)</f>
        <v>0</v>
      </c>
      <c r="BC41" s="524">
        <f>IFERROR((BB41/$L$41),0)</f>
        <v>0</v>
      </c>
      <c r="BD41" s="524">
        <f>IFERROR(((BB41*BD$8)/$L$41),0)</f>
        <v>0</v>
      </c>
      <c r="BE41" s="524">
        <f>SUM(BE9:BE39)</f>
        <v>0</v>
      </c>
      <c r="BF41" s="524">
        <f>IFERROR((BE41/$L$41),0)</f>
        <v>0</v>
      </c>
      <c r="BG41" s="524">
        <f>IFERROR(((BE41*BG$8)/$L$41),0)</f>
        <v>0</v>
      </c>
      <c r="BH41" s="524">
        <f>SUM(BH9:BH39)</f>
        <v>0</v>
      </c>
      <c r="BI41" s="524">
        <f>IFERROR((BH41/$L$41),0)</f>
        <v>0</v>
      </c>
      <c r="BJ41" s="524">
        <f>IFERROR(((BH41*BJ$8)/$L$41),0)</f>
        <v>0</v>
      </c>
      <c r="BK41" s="524">
        <f>SUM(BK9:BK39)</f>
        <v>0</v>
      </c>
      <c r="BL41" s="524">
        <f>IFERROR((BK41/$L$41),0)</f>
        <v>0</v>
      </c>
      <c r="BM41" s="524">
        <f>IFERROR(((BK41*BM$8)/$L$41),0)</f>
        <v>0</v>
      </c>
      <c r="BN41" s="524">
        <f>SUM(BN9:BN39)</f>
        <v>0</v>
      </c>
      <c r="BO41" s="524">
        <f>IFERROR((BN41/$L$41),0)</f>
        <v>0</v>
      </c>
      <c r="BP41" s="524">
        <f>IFERROR(((BN41*BP$8)/$L$41),0)</f>
        <v>0</v>
      </c>
      <c r="BQ41" s="524">
        <f>SUM(BQ9:BQ39)</f>
        <v>746.44052835443051</v>
      </c>
      <c r="BR41" s="524">
        <f>IFERROR((BQ41/$L$41),0)</f>
        <v>0</v>
      </c>
      <c r="BS41" s="524">
        <f>IFERROR(((BQ41*BS$8)/$L$41),0)</f>
        <v>0</v>
      </c>
      <c r="BT41" s="524">
        <f>SUM(BT9:BT39)</f>
        <v>0</v>
      </c>
      <c r="BU41" s="524">
        <f>IFERROR((BT41/$L$41),0)</f>
        <v>0</v>
      </c>
      <c r="BV41" s="524">
        <f>IFERROR(((BT41*BV$8)/$L$41),0)</f>
        <v>0</v>
      </c>
      <c r="BW41" s="524">
        <f>SUM(BW9:BW39)</f>
        <v>0</v>
      </c>
      <c r="BX41" s="524">
        <f>IFERROR((BW41/$L$41),0)</f>
        <v>0</v>
      </c>
      <c r="BY41" s="524">
        <f>IFERROR(((BW41*BY$8)/$L$41),0)</f>
        <v>0</v>
      </c>
      <c r="BZ41" s="524">
        <f>SUM(BZ9:BZ39)</f>
        <v>84.883720930232556</v>
      </c>
      <c r="CA41" s="524">
        <f>IFERROR((BZ41/$L$41),0)</f>
        <v>0</v>
      </c>
      <c r="CB41" s="524">
        <f>IFERROR(((BZ41*CB$8)/$L$41),0)</f>
        <v>0</v>
      </c>
      <c r="CC41" s="524">
        <f>SUM(CC9:CC39)</f>
        <v>0</v>
      </c>
      <c r="CD41" s="524">
        <f>IFERROR((CC41/$L$41),0)</f>
        <v>0</v>
      </c>
      <c r="CE41" s="524">
        <f>IFERROR(((CC41*CE$8)/$L$41),0)</f>
        <v>0</v>
      </c>
      <c r="CF41" s="524">
        <f>SUM(CF9:CF39)</f>
        <v>34.200000000000003</v>
      </c>
      <c r="CG41" s="524">
        <f>IFERROR((CF41/$L$41),0)</f>
        <v>0</v>
      </c>
      <c r="CH41" s="524">
        <f>IFERROR(((CF41*CH$8)/$L$41),0)</f>
        <v>0</v>
      </c>
      <c r="CI41" s="524">
        <f>SUM(CI9:CI39)</f>
        <v>0</v>
      </c>
      <c r="CJ41" s="524">
        <f>IFERROR((CI41/$L$41),0)</f>
        <v>0</v>
      </c>
      <c r="CK41" s="524">
        <f>IFERROR(((CI41*CK$8)/$L$41),0)</f>
        <v>0</v>
      </c>
      <c r="CL41" s="524">
        <f>SUM(CL9:CL39)</f>
        <v>0</v>
      </c>
      <c r="CM41" s="524">
        <f>IFERROR((CL41/$L$41),0)</f>
        <v>0</v>
      </c>
      <c r="CN41" s="524">
        <f>IFERROR(((CL41*CN$8)/$L$41),0)</f>
        <v>0</v>
      </c>
      <c r="CO41" s="524">
        <f>SUM(CO9:CO39)</f>
        <v>0</v>
      </c>
      <c r="CP41" s="524">
        <f>IFERROR((CO41/$L$41),0)</f>
        <v>0</v>
      </c>
      <c r="CQ41" s="524">
        <f>IFERROR(((CO41*CQ$8)/$L$41),0)</f>
        <v>0</v>
      </c>
      <c r="CR41" s="524">
        <f>SUM(CR9:CR39)</f>
        <v>1</v>
      </c>
      <c r="CS41" s="524">
        <f>IFERROR((CR41/$L$41),0)</f>
        <v>0</v>
      </c>
      <c r="CT41" s="524">
        <f>IFERROR(((CR41*CT$8)/$L$41),0)</f>
        <v>0</v>
      </c>
      <c r="CU41" s="524">
        <f>SUM(CU9:CU39)</f>
        <v>0</v>
      </c>
      <c r="CV41" s="524">
        <f>IFERROR((CU41/$L$41),0)</f>
        <v>0</v>
      </c>
      <c r="CW41" s="524">
        <f>IFERROR(((CU41*CW$8)/$L$41),0)</f>
        <v>0</v>
      </c>
      <c r="CX41" s="524">
        <f>SUM(CX9:CX39)</f>
        <v>0</v>
      </c>
      <c r="CY41" s="524">
        <f>IFERROR((CX41/$L$41),0)</f>
        <v>0</v>
      </c>
      <c r="CZ41" s="524">
        <f>IFERROR(((CX41*CZ$8)/$L$41),0)</f>
        <v>0</v>
      </c>
      <c r="DA41" s="524">
        <f>SUM(DA9:DA39)</f>
        <v>1371.326046511628</v>
      </c>
      <c r="DB41" s="524">
        <f>IFERROR((DA41/$L$41),0)</f>
        <v>0</v>
      </c>
      <c r="DC41" s="524">
        <f>IFERROR(((DA41*DC$8)/$L$41),0)</f>
        <v>0</v>
      </c>
      <c r="DD41" s="524">
        <f>SUM(DD9:DD39)</f>
        <v>0</v>
      </c>
      <c r="DE41" s="524">
        <f>IFERROR((DD41/$L$41),0)</f>
        <v>0</v>
      </c>
      <c r="DF41" s="524">
        <f>IFERROR(((DD41*DF$8)/$L$41),0)</f>
        <v>0</v>
      </c>
      <c r="DG41" s="524">
        <f>SUM(DG14:DG39)</f>
        <v>0</v>
      </c>
      <c r="DH41" s="524">
        <f>IFERROR((DG41/$L$41),0)</f>
        <v>0</v>
      </c>
      <c r="DI41" s="524">
        <f>IFERROR(((DG41*DI$8)/$L$41),0)</f>
        <v>0</v>
      </c>
      <c r="DJ41" s="524">
        <f>SUM(DJ9:DJ39)</f>
        <v>0</v>
      </c>
      <c r="DK41" s="524">
        <f>IFERROR((DJ41/$L$41),0)</f>
        <v>0</v>
      </c>
      <c r="DL41" s="524">
        <f>IFERROR(((DJ41*DL$8)/$L$41),0)</f>
        <v>0</v>
      </c>
      <c r="DM41" s="524">
        <f>SUM(DM9:DM39)</f>
        <v>0</v>
      </c>
      <c r="DN41" s="524">
        <f>IFERROR((DM41/$L$41),0)</f>
        <v>0</v>
      </c>
      <c r="DO41" s="524">
        <f>IFERROR(((DM41*DO$8)/$L$41),0)</f>
        <v>0</v>
      </c>
      <c r="DP41" s="524">
        <f>SUM(DP9:DP39)</f>
        <v>0</v>
      </c>
      <c r="DQ41" s="524">
        <f>IFERROR((DP41/$L$41),0)</f>
        <v>0</v>
      </c>
      <c r="DR41" s="524">
        <f>IFERROR(((DP41*DR$8)/$L$41),0)</f>
        <v>0</v>
      </c>
      <c r="DS41" s="524">
        <f>SUM(DS9:DS39)</f>
        <v>0</v>
      </c>
      <c r="DT41" s="524">
        <f>IFERROR((DS41/$L$41),0)</f>
        <v>0</v>
      </c>
      <c r="DU41" s="524">
        <f>IFERROR(((DS41*DU$8)/$L$41),0)</f>
        <v>0</v>
      </c>
      <c r="DV41" s="524">
        <f>SUM(DV9:DV39)</f>
        <v>0</v>
      </c>
      <c r="DW41" s="524">
        <f>IFERROR((DV41/$L$41),0)</f>
        <v>0</v>
      </c>
      <c r="DX41" s="524">
        <f>IFERROR(((DV41*DX$8)/$L$41),0)</f>
        <v>0</v>
      </c>
      <c r="DY41" s="524">
        <f>SUM(DY9:DY39)</f>
        <v>0</v>
      </c>
      <c r="DZ41" s="524">
        <f>IFERROR((DY41/$L$41),0)</f>
        <v>0</v>
      </c>
      <c r="EA41" s="524">
        <f>IFERROR(((DY41*EA$8)/$L$41),0)</f>
        <v>0</v>
      </c>
      <c r="EB41" s="524">
        <f>SUM(EB9:EB39)</f>
        <v>0</v>
      </c>
      <c r="EC41" s="524">
        <f>IFERROR((EB41/$L$41),0)</f>
        <v>0</v>
      </c>
      <c r="ED41" s="524">
        <f>IFERROR(((EB41*ED$8)/$L$41),0)</f>
        <v>0</v>
      </c>
      <c r="EE41" s="524">
        <f>SUM(EE9:EE39)</f>
        <v>833.33493798449604</v>
      </c>
      <c r="EF41" s="524">
        <f>IFERROR((EE41/$L$41),0)</f>
        <v>0</v>
      </c>
      <c r="EG41" s="524">
        <f>IFERROR(((EE41*EG$8)/$L$41),0)</f>
        <v>0</v>
      </c>
      <c r="EH41" s="524">
        <f>SUM(EH9:EH39)</f>
        <v>1460.4964705882348</v>
      </c>
      <c r="EI41" s="524">
        <f>IFERROR((EH41/$L$41),0)</f>
        <v>0</v>
      </c>
      <c r="EJ41" s="524">
        <f>IFERROR(((EH41*EJ$8)/$L$41),0)</f>
        <v>0</v>
      </c>
      <c r="EK41" s="524">
        <f>SUM(EK9:EK39)</f>
        <v>569.76744186046517</v>
      </c>
      <c r="EL41" s="524">
        <f>IFERROR((EK41/$L$41),0)</f>
        <v>0</v>
      </c>
      <c r="EM41" s="524">
        <f>IFERROR(((EK41*EM$8)/$L$41),0)</f>
        <v>0</v>
      </c>
      <c r="EN41" s="524">
        <f>SUM(EN9:EN39)</f>
        <v>78</v>
      </c>
      <c r="EO41" s="524">
        <f>IFERROR((EN41/$L$41),0)</f>
        <v>0</v>
      </c>
      <c r="EP41" s="524">
        <f>IFERROR(((EN41*EP$8)/$L$41),0)</f>
        <v>0</v>
      </c>
      <c r="EQ41" s="524">
        <f>SUM(EQ9:EQ39)</f>
        <v>0</v>
      </c>
      <c r="ER41" s="524">
        <f>IFERROR((EQ41/$L$41),0)</f>
        <v>0</v>
      </c>
      <c r="ES41" s="524">
        <f>IFERROR(((EQ41*ES$8)/$L$41),0)</f>
        <v>0</v>
      </c>
      <c r="ET41" s="524">
        <f>SUM(ET9:ET39)</f>
        <v>0</v>
      </c>
      <c r="EU41" s="524">
        <f>IFERROR((ET41/$L$41),0)</f>
        <v>0</v>
      </c>
      <c r="EV41" s="524">
        <f>IFERROR(((ET41*EV$8)/$L$41),0)</f>
        <v>0</v>
      </c>
      <c r="EW41" s="524">
        <f>SUM(EW9:EW39)</f>
        <v>0</v>
      </c>
      <c r="EX41" s="524">
        <f>IFERROR((EW41/$L$41),0)</f>
        <v>0</v>
      </c>
      <c r="EY41" s="524">
        <f>IFERROR(((EW41*EY$8)/$L$41),0)</f>
        <v>0</v>
      </c>
      <c r="EZ41" s="524">
        <f>SUM(EZ9:EZ39)</f>
        <v>0</v>
      </c>
      <c r="FA41" s="524">
        <f>IFERROR((EZ41/$L$41),0)</f>
        <v>0</v>
      </c>
      <c r="FB41" s="524">
        <f>IFERROR(((EZ41*FB$8)/$L$41),0)</f>
        <v>0</v>
      </c>
      <c r="FC41" s="524">
        <f>SUM(FC9:FC39)</f>
        <v>0</v>
      </c>
      <c r="FD41" s="524">
        <f>IFERROR((FC41/$L$41),0)</f>
        <v>0</v>
      </c>
      <c r="FE41" s="524">
        <f>IFERROR(((FC41*FE$8)/$L$41),0)</f>
        <v>0</v>
      </c>
      <c r="FF41" s="524">
        <f>SUM(FF9:FF39)</f>
        <v>0</v>
      </c>
      <c r="FG41" s="524">
        <f>IFERROR((FF41/$L$41),0)</f>
        <v>0</v>
      </c>
      <c r="FH41" s="524">
        <f>IFERROR(((FF41*FH$8)/$L$41),0)</f>
        <v>0</v>
      </c>
      <c r="FI41" s="524">
        <f>SUM(FI9:FI39)</f>
        <v>0</v>
      </c>
      <c r="FJ41" s="524">
        <f>IFERROR((FI41/$L$41),0)</f>
        <v>0</v>
      </c>
      <c r="FK41" s="524">
        <f>IFERROR(((FI41*FK$8)/$L$41),0)</f>
        <v>0</v>
      </c>
      <c r="FL41" s="524">
        <f>SUM(FL9:FL39)</f>
        <v>0</v>
      </c>
      <c r="FM41" s="524">
        <f>IFERROR((FL41/$L$41),0)</f>
        <v>0</v>
      </c>
      <c r="FN41" s="524">
        <f>IFERROR(((FL41*FN$8)/$L$41),0)</f>
        <v>0</v>
      </c>
      <c r="FO41" s="524">
        <f>SUM(FO9:FO39)</f>
        <v>0</v>
      </c>
      <c r="FP41" s="524">
        <f>IFERROR((FO41/$L$41),0)</f>
        <v>0</v>
      </c>
      <c r="FQ41" s="524">
        <f>IFERROR(((FO41*FQ$8)/$L$41),0)</f>
        <v>0</v>
      </c>
      <c r="FR41" s="524">
        <f>SUM(FR9:FR39)</f>
        <v>0</v>
      </c>
      <c r="FS41" s="524">
        <f>IFERROR((FR41/$L$41),0)</f>
        <v>0</v>
      </c>
      <c r="FT41" s="524">
        <f>IFERROR(((FR41*FT$8)/$L$41),0)</f>
        <v>0</v>
      </c>
      <c r="FU41" s="524">
        <f>SUM(FU9:FU39)</f>
        <v>0</v>
      </c>
      <c r="FV41" s="524">
        <f>IFERROR((FU41/$L$41),0)</f>
        <v>0</v>
      </c>
      <c r="FW41" s="524">
        <f>IFERROR(((FU41*FW$8)/$L$41),0)</f>
        <v>0</v>
      </c>
      <c r="FX41" s="524">
        <f>SUM(FX9:FX39)</f>
        <v>0</v>
      </c>
      <c r="FY41" s="524">
        <f>IFERROR((FX41/$L$41),0)</f>
        <v>0</v>
      </c>
      <c r="FZ41" s="524">
        <f>IFERROR(((FX41*FZ$8)/$L$41),0)</f>
        <v>0</v>
      </c>
      <c r="GA41" s="524">
        <f>SUM(GA9:GA39)</f>
        <v>0</v>
      </c>
      <c r="GB41" s="524">
        <f>IFERROR((GA41/$L$41),0)</f>
        <v>0</v>
      </c>
      <c r="GC41" s="524">
        <f>IFERROR(((GA41*GC$8)/$L$41),0)</f>
        <v>0</v>
      </c>
      <c r="GD41" s="524">
        <f>SUM(GD9:GD39)</f>
        <v>0</v>
      </c>
      <c r="GE41" s="524">
        <f>IFERROR((GD41/$L$41),0)</f>
        <v>0</v>
      </c>
      <c r="GF41" s="524">
        <f>IFERROR(((GD41*GF$8)/$L$41),0)</f>
        <v>0</v>
      </c>
      <c r="GG41" s="524">
        <f>SUM(GG9:GG39)</f>
        <v>0</v>
      </c>
      <c r="GH41" s="524">
        <f>IFERROR((GG41/$L$41),0)</f>
        <v>0</v>
      </c>
      <c r="GI41" s="524">
        <f>IFERROR(((GG41*GI$8)/$L$41),0)</f>
        <v>0</v>
      </c>
      <c r="GJ41" s="524">
        <f>SUM(GJ9:GJ39)</f>
        <v>0</v>
      </c>
      <c r="GK41" s="524">
        <f>IFERROR((GJ41/$L$41),0)</f>
        <v>0</v>
      </c>
      <c r="GL41" s="524">
        <f>IFERROR(((GJ41*GL$8)/$L$41),0)</f>
        <v>0</v>
      </c>
      <c r="GM41" s="524">
        <f>SUM(GM9:GM39)</f>
        <v>0</v>
      </c>
      <c r="GN41" s="524">
        <f>IFERROR((GM41/$L$41),0)</f>
        <v>0</v>
      </c>
      <c r="GO41" s="524">
        <f>IFERROR(((GM41*GO$8)/$L$41),0)</f>
        <v>0</v>
      </c>
      <c r="GP41" s="524">
        <f>SUM(GP9:GP39)</f>
        <v>0</v>
      </c>
      <c r="GQ41" s="524">
        <f>IFERROR((GP41/$L$41),0)</f>
        <v>0</v>
      </c>
      <c r="GR41" s="524">
        <f>IFERROR(((GP41*GR$8)/$L$41),0)</f>
        <v>0</v>
      </c>
      <c r="GS41" s="524">
        <f>SUM(GS9:GS39)</f>
        <v>0</v>
      </c>
      <c r="GT41" s="524">
        <f>IFERROR((GS41/$L$41),0)</f>
        <v>0</v>
      </c>
      <c r="GU41" s="524">
        <f>IFERROR(((GS41*GU$8)/$L$41),0)</f>
        <v>0</v>
      </c>
      <c r="GV41" s="524">
        <f>SUM(GV9:GV39)</f>
        <v>0</v>
      </c>
      <c r="GW41" s="524">
        <f>IFERROR((GV41/$L$41),0)</f>
        <v>0</v>
      </c>
      <c r="GX41" s="524">
        <f>IFERROR(((GV41*GX$8)/$L$41),0)</f>
        <v>0</v>
      </c>
      <c r="GY41" s="524">
        <f>SUM(GY9:GY39)</f>
        <v>0</v>
      </c>
      <c r="GZ41" s="524">
        <f>IFERROR((GY41/$L$41),0)</f>
        <v>0</v>
      </c>
      <c r="HA41" s="524">
        <f>IFERROR(((GY41*HA$8)/$L$41),0)</f>
        <v>0</v>
      </c>
      <c r="HB41" s="524">
        <f>SUM(HB9:HB39)</f>
        <v>0</v>
      </c>
      <c r="HC41" s="524">
        <f>IFERROR((HB41/$L$41),0)</f>
        <v>0</v>
      </c>
      <c r="HD41" s="524">
        <f>IFERROR(((HB41*HD$8)/$L$41),0)</f>
        <v>0</v>
      </c>
      <c r="HE41" s="524">
        <f>SUM(HE9:HE39)</f>
        <v>0</v>
      </c>
      <c r="HF41" s="524">
        <f>IFERROR((HE41/$L$41),0)</f>
        <v>0</v>
      </c>
      <c r="HG41" s="524">
        <f>IFERROR(((HE41*HG$8)/$L$41),0)</f>
        <v>0</v>
      </c>
      <c r="HH41" s="524">
        <f>SUM(HH9:HH39)</f>
        <v>0</v>
      </c>
      <c r="HI41" s="524">
        <f>IFERROR((HH41/$L$41),0)</f>
        <v>0</v>
      </c>
      <c r="HJ41" s="524">
        <f>IFERROR(((HH41*HJ$8)/$L$41),0)</f>
        <v>0</v>
      </c>
      <c r="HK41" s="524">
        <f>SUM(HK9:HK39)</f>
        <v>0</v>
      </c>
      <c r="HL41" s="524">
        <f>IFERROR((HK41/$L$41),0)</f>
        <v>0</v>
      </c>
      <c r="HM41" s="524">
        <f>IFERROR(((HK41*HM$8)/$L$41),0)</f>
        <v>0</v>
      </c>
      <c r="HN41" s="524">
        <f>SUM(HN9:HN39)</f>
        <v>0</v>
      </c>
      <c r="HO41" s="524">
        <f>IFERROR((HN41/$L$41),0)</f>
        <v>0</v>
      </c>
      <c r="HP41" s="524">
        <f>IFERROR(((HN41*HP$8)/$L$41),0)</f>
        <v>0</v>
      </c>
      <c r="HQ41" s="524">
        <f>SUM(HQ9:HQ39)</f>
        <v>0</v>
      </c>
      <c r="HR41" s="524">
        <f>IFERROR((HQ41/$L$41),0)</f>
        <v>0</v>
      </c>
      <c r="HS41" s="524">
        <f>IFERROR(((HQ41*HS$8)/$L$41),0)</f>
        <v>0</v>
      </c>
      <c r="HT41" s="524">
        <f>SUM(HT9:HT39)</f>
        <v>0</v>
      </c>
      <c r="HU41" s="524">
        <f>IFERROR((HT41/$L$41),0)</f>
        <v>0</v>
      </c>
      <c r="HV41" s="524">
        <f>IFERROR(((HT41*HV$8)/$L$41),0)</f>
        <v>0</v>
      </c>
      <c r="HW41" s="524">
        <f>SUM(HW9:HW39)</f>
        <v>0</v>
      </c>
      <c r="HX41" s="524">
        <f>IFERROR((HW41/$L$41),0)</f>
        <v>0</v>
      </c>
      <c r="HY41" s="524">
        <f>IFERROR(((HW41*HY$8)/$L$41),0)</f>
        <v>0</v>
      </c>
      <c r="HZ41" s="524">
        <f>SUM(HZ9:HZ39)</f>
        <v>0</v>
      </c>
      <c r="IA41" s="524">
        <f>IFERROR((HZ41/$L$41),0)</f>
        <v>0</v>
      </c>
      <c r="IB41" s="524">
        <f>IFERROR(((HZ41*IB$8)/$L$41),0)</f>
        <v>0</v>
      </c>
      <c r="IC41" s="524">
        <f>SUM(IC9:IC39)</f>
        <v>0</v>
      </c>
      <c r="ID41" s="524">
        <f>IFERROR((IC41/$L$41),0)</f>
        <v>0</v>
      </c>
      <c r="IE41" s="524">
        <f>IFERROR(((IC41*IE$8)/$L$41),0)</f>
        <v>0</v>
      </c>
      <c r="IF41" s="524">
        <f>SUM(IF9:IF39)</f>
        <v>0</v>
      </c>
      <c r="IG41" s="524">
        <f>IFERROR((IF41/$L$41),0)</f>
        <v>0</v>
      </c>
      <c r="IH41" s="524">
        <f>IFERROR(((IF41*IH$8)/$L$41),0)</f>
        <v>0</v>
      </c>
      <c r="II41" s="524">
        <f>SUM(II9:II39)</f>
        <v>0</v>
      </c>
      <c r="IJ41" s="524">
        <f>IFERROR((II41/$L$41),0)</f>
        <v>0</v>
      </c>
      <c r="IK41" s="524">
        <f>IFERROR(((II41*IK$8)/$L$41),0)</f>
        <v>0</v>
      </c>
      <c r="IL41" s="524">
        <f>SUM(IL9:IL39)</f>
        <v>0</v>
      </c>
      <c r="IM41" s="524">
        <f>IFERROR((IL41/$L$41),0)</f>
        <v>0</v>
      </c>
      <c r="IN41" s="524">
        <f>IFERROR(((IL41*IN$8)/$L$41),0)</f>
        <v>0</v>
      </c>
      <c r="IO41" s="524">
        <f>SUM(IO9:IO39)</f>
        <v>0</v>
      </c>
      <c r="IP41" s="524">
        <f>IFERROR((IO41/$L$41),0)</f>
        <v>0</v>
      </c>
      <c r="IQ41" s="524">
        <f>IFERROR(((IO41*IQ$8)/$L$41),0)</f>
        <v>0</v>
      </c>
      <c r="IR41" s="524">
        <f>SUM(IR9:IR39)</f>
        <v>0</v>
      </c>
      <c r="IS41" s="524">
        <f>IFERROR((IR41/$L$41),0)</f>
        <v>0</v>
      </c>
      <c r="IT41" s="524">
        <f>IFERROR(((IR41*IT$8)/$L$41),0)</f>
        <v>0</v>
      </c>
      <c r="IU41" s="524">
        <f>SUM(IU9:IU39)</f>
        <v>0</v>
      </c>
      <c r="IV41" s="524">
        <f>IFERROR((IU41/$L$41),0)</f>
        <v>0</v>
      </c>
      <c r="IW41" s="524">
        <f>IFERROR(((IU41*IW$8)/$L$41),0)</f>
        <v>0</v>
      </c>
      <c r="IX41" s="524">
        <f>SUM(IX9:IX39)</f>
        <v>0</v>
      </c>
      <c r="IY41" s="524">
        <f>IFERROR((IX41/$L$41),0)</f>
        <v>0</v>
      </c>
      <c r="IZ41" s="524">
        <f>IFERROR(((IX41*IZ$8)/$L$41),0)</f>
        <v>0</v>
      </c>
      <c r="JA41" s="524">
        <f>SUM(JA9:JA39)</f>
        <v>0</v>
      </c>
      <c r="JB41" s="524">
        <f>IFERROR((JA41/$L$41),0)</f>
        <v>0</v>
      </c>
      <c r="JC41" s="524">
        <f>IFERROR(((JA41*JC$8)/$L$41),0)</f>
        <v>0</v>
      </c>
      <c r="JD41" s="524">
        <f>SUM(JD9:JD39)</f>
        <v>0</v>
      </c>
      <c r="JE41" s="524">
        <f>IFERROR((JD41/$L$41),0)</f>
        <v>0</v>
      </c>
      <c r="JF41" s="524">
        <f>IFERROR(((JD41*JF$8)/$L$41),0)</f>
        <v>0</v>
      </c>
      <c r="JG41" s="524">
        <f>SUM(JG9:JG39)</f>
        <v>0</v>
      </c>
      <c r="JH41" s="524">
        <f>IFERROR((JG41/$L$41),0)</f>
        <v>0</v>
      </c>
      <c r="JI41" s="524">
        <f>IFERROR(((JG41*JI$8)/$L$41),0)</f>
        <v>0</v>
      </c>
      <c r="JJ41" s="524">
        <f>SUM(JJ9:JJ39)</f>
        <v>0</v>
      </c>
      <c r="JK41" s="524">
        <f>IFERROR((JJ41/$L$41),0)</f>
        <v>0</v>
      </c>
      <c r="JL41" s="524">
        <f>IFERROR(((JJ41*JL$8)/$L$41),0)</f>
        <v>0</v>
      </c>
      <c r="JM41" s="524">
        <f>SUM(JM9:JM39)</f>
        <v>0</v>
      </c>
      <c r="JN41" s="524">
        <f>IFERROR((JM41/$L$41),0)</f>
        <v>0</v>
      </c>
      <c r="JO41" s="524">
        <f>IFERROR(((JM41*JO$8)/$L$41),0)</f>
        <v>0</v>
      </c>
      <c r="JP41" s="524">
        <f>SUM(JP9:JP39)</f>
        <v>0</v>
      </c>
      <c r="JQ41" s="524">
        <f>IFERROR((JP41/$L$41),0)</f>
        <v>0</v>
      </c>
      <c r="JR41" s="524">
        <f>IFERROR(((JP41*JR$8)/$L$41),0)</f>
        <v>0</v>
      </c>
      <c r="JS41" s="524">
        <f>SUM(JS9:JS39)</f>
        <v>0</v>
      </c>
      <c r="JT41" s="524">
        <f>IFERROR((JS41/$L$41),0)</f>
        <v>0</v>
      </c>
      <c r="JU41" s="524">
        <f>IFERROR(((JS41*JU$8)/$L$41),0)</f>
        <v>0</v>
      </c>
      <c r="JV41" s="524">
        <f>SUM(JV9:JV39)</f>
        <v>0</v>
      </c>
      <c r="JW41" s="524">
        <f>IFERROR((JV41/$L$41),0)</f>
        <v>0</v>
      </c>
      <c r="JX41" s="524">
        <f>IFERROR(((JV41*JX$8)/$L$41),0)</f>
        <v>0</v>
      </c>
      <c r="JY41" s="524">
        <f>SUM(JY9:JY39)</f>
        <v>0</v>
      </c>
      <c r="JZ41" s="524">
        <f>IFERROR((JY41/$L$41),0)</f>
        <v>0</v>
      </c>
      <c r="KA41" s="524">
        <f>IFERROR(((JY41*KA$8)/$L$41),0)</f>
        <v>0</v>
      </c>
      <c r="KB41" s="524">
        <f>SUM(KB9:KB39)</f>
        <v>0</v>
      </c>
      <c r="KC41" s="524">
        <f>IFERROR((KB41/$L$41),0)</f>
        <v>0</v>
      </c>
      <c r="KD41" s="524">
        <f>IFERROR(((KB41*KD$8)/$L$41),0)</f>
        <v>0</v>
      </c>
      <c r="KE41" s="524">
        <f>SUM(KE9:KE39)</f>
        <v>0</v>
      </c>
      <c r="KF41" s="524">
        <f>IFERROR((KE41/$L$41),0)</f>
        <v>0</v>
      </c>
      <c r="KG41" s="524">
        <f>IFERROR(((KE41*KG$8)/$L$41),0)</f>
        <v>0</v>
      </c>
      <c r="KH41" s="524">
        <f>SUM(KH9:KH39)</f>
        <v>0</v>
      </c>
      <c r="KI41" s="524">
        <f>IFERROR((KH41/$L$41),0)</f>
        <v>0</v>
      </c>
      <c r="KJ41" s="524">
        <f>IFERROR(((KH41*KJ$8)/$L$41),0)</f>
        <v>0</v>
      </c>
      <c r="KK41" s="524">
        <f>SUM(KK9:KK39)</f>
        <v>0</v>
      </c>
      <c r="KL41" s="524">
        <f>IFERROR((KK41/$L$41),0)</f>
        <v>0</v>
      </c>
      <c r="KM41" s="524">
        <f>IFERROR(((KK41*KM$8)/$L$41),0)</f>
        <v>0</v>
      </c>
      <c r="KN41" s="524">
        <f>SUM(KN9:KN39)</f>
        <v>0</v>
      </c>
      <c r="KO41" s="524">
        <f>IFERROR((KN41/$L$41),0)</f>
        <v>0</v>
      </c>
      <c r="KP41" s="524">
        <f>IFERROR(((KN41*KP$8)/$L$41),0)</f>
        <v>0</v>
      </c>
      <c r="KQ41" s="524">
        <f>SUM(KQ9:KQ39)</f>
        <v>0</v>
      </c>
      <c r="KR41" s="524">
        <f>IFERROR((KQ41/$L$41),0)</f>
        <v>0</v>
      </c>
      <c r="KS41" s="524">
        <f>IFERROR(((KQ41*KS$8)/$L$41),0)</f>
        <v>0</v>
      </c>
      <c r="KT41" s="525">
        <f t="shared" si="201"/>
        <v>0</v>
      </c>
      <c r="KU41" s="525">
        <f t="shared" si="202"/>
        <v>0</v>
      </c>
      <c r="KV41" s="260">
        <f t="shared" si="204"/>
        <v>13063.445454422992</v>
      </c>
    </row>
    <row r="43" spans="1:308" ht="15" customHeight="1">
      <c r="A43" s="267" t="s">
        <v>136</v>
      </c>
      <c r="B43" s="268" t="s">
        <v>137</v>
      </c>
      <c r="C43" s="269" t="s">
        <v>147</v>
      </c>
      <c r="D43" s="257"/>
      <c r="E43" s="257"/>
    </row>
    <row r="44" spans="1:308" ht="15" customHeight="1">
      <c r="A44" s="270"/>
      <c r="B44" s="268" t="s">
        <v>138</v>
      </c>
      <c r="C44" s="269" t="s">
        <v>144</v>
      </c>
      <c r="D44" s="257"/>
      <c r="E44" s="257"/>
    </row>
    <row r="45" spans="1:308" ht="15" customHeight="1">
      <c r="A45" s="270"/>
      <c r="B45" s="271" t="s">
        <v>139</v>
      </c>
      <c r="C45" s="269" t="s">
        <v>140</v>
      </c>
      <c r="D45" s="257"/>
      <c r="E45" s="257"/>
    </row>
  </sheetData>
  <mergeCells count="210"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B1" activePane="topRight" state="frozen"/>
      <selection pane="topRight" activeCell="I14" sqref="I14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21" width="9.140625" customWidth="1"/>
    <col min="22" max="22" width="9.28515625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3600</v>
      </c>
      <c r="D1">
        <v>5010</v>
      </c>
      <c r="E1">
        <v>4840</v>
      </c>
      <c r="F1">
        <v>4110</v>
      </c>
      <c r="G1">
        <v>4690</v>
      </c>
      <c r="H1">
        <v>4770</v>
      </c>
      <c r="I1">
        <v>4050</v>
      </c>
      <c r="K1">
        <v>5310</v>
      </c>
      <c r="L1">
        <v>4130</v>
      </c>
      <c r="M1">
        <v>4670</v>
      </c>
      <c r="N1">
        <v>4400</v>
      </c>
      <c r="O1">
        <v>3480</v>
      </c>
      <c r="P1">
        <v>4320</v>
      </c>
      <c r="Q1">
        <v>3070</v>
      </c>
      <c r="R1">
        <v>4580</v>
      </c>
      <c r="S1">
        <v>3570</v>
      </c>
      <c r="T1">
        <v>3320</v>
      </c>
      <c r="U1">
        <v>4150</v>
      </c>
      <c r="V1">
        <v>5020</v>
      </c>
      <c r="W1">
        <v>4570</v>
      </c>
      <c r="X1">
        <v>3590</v>
      </c>
      <c r="Y1">
        <v>4070</v>
      </c>
      <c r="Z1">
        <v>3810</v>
      </c>
      <c r="AA1">
        <v>3840</v>
      </c>
      <c r="AB1">
        <v>4850</v>
      </c>
      <c r="AC1">
        <v>3600</v>
      </c>
      <c r="AD1">
        <v>6030</v>
      </c>
      <c r="AE1">
        <v>3960</v>
      </c>
      <c r="AF1">
        <v>4290</v>
      </c>
    </row>
    <row r="2" spans="1:35" ht="15">
      <c r="A2" s="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455" t="s">
        <v>255</v>
      </c>
      <c r="AH2" s="456" t="s">
        <v>256</v>
      </c>
      <c r="AI2" s="482" t="s">
        <v>276</v>
      </c>
    </row>
    <row r="3" spans="1:35">
      <c r="A3" s="437" t="s">
        <v>196</v>
      </c>
      <c r="B3" s="5">
        <f>865/1000</f>
        <v>0.86499999999999999</v>
      </c>
      <c r="C3" s="5">
        <f>3865/1000</f>
        <v>3.8650000000000002</v>
      </c>
      <c r="D3" s="5">
        <f>2569/1000</f>
        <v>2.569</v>
      </c>
      <c r="E3" s="5">
        <f>3220/1000</f>
        <v>3.22</v>
      </c>
      <c r="F3" s="5">
        <f>2198/1000</f>
        <v>2.198</v>
      </c>
      <c r="G3" s="5">
        <f>4403/1000</f>
        <v>4.4029999999999996</v>
      </c>
      <c r="H3" s="5">
        <f>3807/1000</f>
        <v>3.8069999999999999</v>
      </c>
      <c r="I3" s="5">
        <f>3089/1000</f>
        <v>3.089</v>
      </c>
      <c r="J3" s="5"/>
      <c r="K3" s="5">
        <f>3803/1000</f>
        <v>3.8029999999999999</v>
      </c>
      <c r="L3" s="5">
        <f>2320/1000</f>
        <v>2.3199999999999998</v>
      </c>
      <c r="M3" s="5">
        <f>1956/1000</f>
        <v>1.956</v>
      </c>
      <c r="N3" s="5">
        <f>2515/1000</f>
        <v>2.5150000000000001</v>
      </c>
      <c r="O3" s="5">
        <f>2911/1000</f>
        <v>2.911</v>
      </c>
      <c r="P3" s="5">
        <f>1500/1000</f>
        <v>1.5</v>
      </c>
      <c r="Q3" s="5">
        <f>4996/1000</f>
        <v>4.9960000000000004</v>
      </c>
      <c r="R3" s="5">
        <f>5068/1000</f>
        <v>5.0679999999999996</v>
      </c>
      <c r="S3" s="5">
        <f>3995/1000</f>
        <v>3.9950000000000001</v>
      </c>
      <c r="T3" s="5">
        <f>2801/1000</f>
        <v>2.8010000000000002</v>
      </c>
      <c r="U3" s="5">
        <f>1938/1000</f>
        <v>1.9379999999999999</v>
      </c>
      <c r="V3" s="5">
        <f>2804/1000</f>
        <v>2.8039999999999998</v>
      </c>
      <c r="W3" s="5">
        <f>2404/1000</f>
        <v>2.4039999999999999</v>
      </c>
      <c r="X3" s="5">
        <f>647/1000</f>
        <v>0.64700000000000002</v>
      </c>
      <c r="Y3" s="5">
        <f>2185/1000</f>
        <v>2.1850000000000001</v>
      </c>
      <c r="Z3" s="5">
        <f>3208/1000</f>
        <v>3.2080000000000002</v>
      </c>
      <c r="AA3" s="5">
        <f>1006/1000</f>
        <v>1.006</v>
      </c>
      <c r="AB3" s="5">
        <f>2817/1000</f>
        <v>2.8170000000000002</v>
      </c>
      <c r="AC3" s="5">
        <f>2281/1000</f>
        <v>2.2810000000000001</v>
      </c>
      <c r="AD3" s="5">
        <f>1073/1000</f>
        <v>1.073</v>
      </c>
      <c r="AE3" s="5">
        <f>2368/1000</f>
        <v>2.3679999999999999</v>
      </c>
      <c r="AF3" s="5">
        <f>2970/1000</f>
        <v>2.97</v>
      </c>
      <c r="AG3" s="5">
        <f>+AF3</f>
        <v>2.97</v>
      </c>
      <c r="AH3" s="457">
        <f>+AG3/Efficiency1!$K$167</f>
        <v>2.1297034520600926E-3</v>
      </c>
      <c r="AI3" s="720">
        <f>SUM(AH3:AH4)</f>
        <v>2.9113117896848403E-3</v>
      </c>
    </row>
    <row r="4" spans="1:35">
      <c r="A4" s="437" t="s">
        <v>197</v>
      </c>
      <c r="B4" s="5">
        <f>1898/1000</f>
        <v>1.8979999999999999</v>
      </c>
      <c r="C4" s="5">
        <f>185/1000</f>
        <v>0.185</v>
      </c>
      <c r="D4" s="5">
        <f>1151/1000</f>
        <v>1.151</v>
      </c>
      <c r="E4" s="5">
        <f>675/1000</f>
        <v>0.67500000000000004</v>
      </c>
      <c r="F4" s="5">
        <f>1480/1000</f>
        <v>1.48</v>
      </c>
      <c r="G4" s="5">
        <f>1122/1000</f>
        <v>1.1220000000000001</v>
      </c>
      <c r="H4" s="5">
        <f>618/1000</f>
        <v>0.61799999999999999</v>
      </c>
      <c r="I4" s="5">
        <f>562/1000</f>
        <v>0.56200000000000006</v>
      </c>
      <c r="J4" s="5"/>
      <c r="K4" s="5">
        <f>925/1000</f>
        <v>0.92500000000000004</v>
      </c>
      <c r="L4" s="5">
        <f>729/1000</f>
        <v>0.72899999999999998</v>
      </c>
      <c r="M4" s="438">
        <f>1512/1000</f>
        <v>1.512</v>
      </c>
      <c r="N4" s="438">
        <f>592/1000</f>
        <v>0.59199999999999997</v>
      </c>
      <c r="O4" s="438">
        <f>1117/1000</f>
        <v>1.117</v>
      </c>
      <c r="P4" s="5">
        <f>880/1000</f>
        <v>0.88</v>
      </c>
      <c r="Q4" s="5">
        <f>1474/1000</f>
        <v>1.474</v>
      </c>
      <c r="R4" s="5">
        <f>351/1000</f>
        <v>0.35099999999999998</v>
      </c>
      <c r="S4" s="5">
        <f>682/1000</f>
        <v>0.68200000000000005</v>
      </c>
      <c r="T4" s="5"/>
      <c r="U4" s="5">
        <f>1699/1000</f>
        <v>1.6990000000000001</v>
      </c>
      <c r="V4" s="5">
        <f>823/1000</f>
        <v>0.82299999999999995</v>
      </c>
      <c r="W4" s="438">
        <f>875/1000</f>
        <v>0.875</v>
      </c>
      <c r="X4" s="5">
        <f>1839/1000</f>
        <v>1.839</v>
      </c>
      <c r="Y4" s="5">
        <f>1389/1000</f>
        <v>1.389</v>
      </c>
      <c r="Z4" s="5">
        <f>1395/1000</f>
        <v>1.395</v>
      </c>
      <c r="AA4" s="5">
        <f>1073/1000</f>
        <v>1.073</v>
      </c>
      <c r="AB4" s="5">
        <f>570/1000</f>
        <v>0.56999999999999995</v>
      </c>
      <c r="AC4" s="5">
        <f>738/1000</f>
        <v>0.73799999999999999</v>
      </c>
      <c r="AD4" s="5">
        <f>1118/1000</f>
        <v>1.1180000000000001</v>
      </c>
      <c r="AE4" s="5">
        <v>0</v>
      </c>
      <c r="AF4" s="5">
        <f>1090/1000</f>
        <v>1.0900000000000001</v>
      </c>
      <c r="AG4" s="5">
        <f>+AF4</f>
        <v>1.0900000000000001</v>
      </c>
      <c r="AH4" s="457">
        <f>+AG4/Efficiency1!$K$167</f>
        <v>7.8160833762474775E-4</v>
      </c>
      <c r="AI4" s="721"/>
    </row>
    <row r="5" spans="1:35">
      <c r="A5" s="483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5"/>
      <c r="N5" s="485"/>
      <c r="O5" s="485"/>
      <c r="P5" s="484"/>
      <c r="Q5" s="484"/>
      <c r="R5" s="484"/>
      <c r="S5" s="484"/>
      <c r="T5" s="484"/>
      <c r="U5" s="484"/>
      <c r="V5" s="484"/>
      <c r="W5" s="485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6"/>
    </row>
    <row r="6" spans="1:35">
      <c r="A6" s="437" t="s">
        <v>198</v>
      </c>
      <c r="B6" s="438">
        <v>0.48799999999999999</v>
      </c>
      <c r="C6" s="5">
        <v>0.47</v>
      </c>
      <c r="D6" s="5">
        <v>1.26</v>
      </c>
      <c r="E6" s="5">
        <v>0.59399999999999997</v>
      </c>
      <c r="F6" s="5">
        <v>0.63500000000000001</v>
      </c>
      <c r="G6" s="5">
        <v>0.4</v>
      </c>
      <c r="H6" s="5">
        <v>0.68899999999999995</v>
      </c>
      <c r="I6" s="5">
        <v>0.81</v>
      </c>
      <c r="J6" s="5">
        <v>0.187</v>
      </c>
      <c r="K6" s="5">
        <v>0.44</v>
      </c>
      <c r="L6" s="5">
        <v>0.57499999999999996</v>
      </c>
      <c r="M6" s="5">
        <v>0.77800000000000002</v>
      </c>
      <c r="N6" s="5">
        <v>0.58099999999999996</v>
      </c>
      <c r="O6" s="5">
        <v>0.375</v>
      </c>
      <c r="P6" s="5">
        <v>0.26</v>
      </c>
      <c r="Q6" s="5">
        <v>0.56200000000000006</v>
      </c>
      <c r="R6" s="5">
        <v>0.76500000000000001</v>
      </c>
      <c r="S6" s="5">
        <v>1.198</v>
      </c>
      <c r="T6" s="5">
        <v>0.57199999999999995</v>
      </c>
      <c r="U6" s="5">
        <v>0.36799999999999999</v>
      </c>
      <c r="V6" s="5">
        <v>0.51400000000000001</v>
      </c>
      <c r="W6" s="438">
        <v>0.9</v>
      </c>
      <c r="X6" s="5">
        <v>0.61699999999999999</v>
      </c>
      <c r="Y6" s="5">
        <v>0.57799999999999996</v>
      </c>
      <c r="Z6" s="5">
        <v>0.55200000000000005</v>
      </c>
      <c r="AA6" s="5">
        <v>0.39</v>
      </c>
      <c r="AB6" s="438">
        <v>0.59499999999999997</v>
      </c>
      <c r="AC6" s="5">
        <v>0.28899999999999998</v>
      </c>
      <c r="AD6" s="5">
        <v>0.47199999999999998</v>
      </c>
      <c r="AE6" s="5">
        <v>0.372</v>
      </c>
      <c r="AF6" s="5">
        <v>0.46600000000000003</v>
      </c>
      <c r="AG6" s="5">
        <f t="shared" ref="AG6:AG37" si="0">+SUM(B6:AC6)</f>
        <v>16.442</v>
      </c>
      <c r="AH6" s="487">
        <f t="shared" ref="AH6:AH36" si="1">+AG6/$AG$39</f>
        <v>0.4358267507819541</v>
      </c>
    </row>
    <row r="7" spans="1:35">
      <c r="A7" s="437" t="s">
        <v>220</v>
      </c>
      <c r="B7" s="5">
        <v>0.748</v>
      </c>
      <c r="C7" s="5">
        <v>0.59</v>
      </c>
      <c r="D7" s="5">
        <v>0.56999999999999995</v>
      </c>
      <c r="E7" s="5">
        <v>0.39800000000000002</v>
      </c>
      <c r="F7" s="5">
        <v>0.69699999999999995</v>
      </c>
      <c r="G7" s="5">
        <v>0.85399999999999998</v>
      </c>
      <c r="H7" s="5">
        <v>0.60899999999999999</v>
      </c>
      <c r="I7" s="5">
        <v>0.44700000000000001</v>
      </c>
      <c r="J7" s="5">
        <v>0.51100000000000001</v>
      </c>
      <c r="K7" s="5">
        <v>0.66600000000000004</v>
      </c>
      <c r="L7" s="5">
        <v>0.28599999999999998</v>
      </c>
      <c r="M7" s="5">
        <v>0.91</v>
      </c>
      <c r="N7" s="5">
        <v>0.55600000000000005</v>
      </c>
      <c r="O7" s="5">
        <v>0.77</v>
      </c>
      <c r="P7" s="5">
        <v>0.28299999999999997</v>
      </c>
      <c r="Q7" s="5">
        <v>0.36099999999999999</v>
      </c>
      <c r="R7" s="469">
        <v>0.97399999999999998</v>
      </c>
      <c r="S7" s="5">
        <v>0.82299999999999995</v>
      </c>
      <c r="T7" s="5">
        <v>0.94899999999999995</v>
      </c>
      <c r="U7" s="5">
        <v>0.40799999999999997</v>
      </c>
      <c r="V7" s="5">
        <v>0.23799999999999999</v>
      </c>
      <c r="W7" s="5">
        <v>0.33700000000000002</v>
      </c>
      <c r="X7" s="5">
        <v>0.17899999999999999</v>
      </c>
      <c r="Y7" s="5">
        <v>0.505</v>
      </c>
      <c r="Z7" s="5">
        <v>0.17899999999999999</v>
      </c>
      <c r="AA7" s="5">
        <v>0.17399999999999999</v>
      </c>
      <c r="AB7" s="438"/>
      <c r="AC7" s="5">
        <v>0.32200000000000001</v>
      </c>
      <c r="AD7" s="5">
        <v>0.188</v>
      </c>
      <c r="AE7" s="5">
        <v>0.17</v>
      </c>
      <c r="AF7" s="5">
        <v>0.187</v>
      </c>
      <c r="AG7" s="5">
        <f t="shared" si="0"/>
        <v>14.343999999999999</v>
      </c>
      <c r="AH7" s="457">
        <f t="shared" si="1"/>
        <v>0.3802152361766421</v>
      </c>
    </row>
    <row r="8" spans="1:35">
      <c r="A8" s="439" t="s">
        <v>199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  <c r="O8" s="6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f t="shared" si="0"/>
        <v>0</v>
      </c>
      <c r="AH8" s="457">
        <f t="shared" si="1"/>
        <v>0</v>
      </c>
    </row>
    <row r="9" spans="1:35">
      <c r="A9" s="437" t="s">
        <v>200</v>
      </c>
      <c r="B9" s="5"/>
      <c r="C9" s="5"/>
      <c r="D9" s="5"/>
      <c r="E9" s="5"/>
      <c r="F9" s="5"/>
      <c r="G9" s="5">
        <v>0.22600000000000001</v>
      </c>
      <c r="H9" s="5"/>
      <c r="I9" s="5"/>
      <c r="J9" s="5"/>
      <c r="K9" s="5"/>
      <c r="L9" s="5"/>
      <c r="M9" s="5"/>
      <c r="N9" s="6"/>
      <c r="O9" s="6"/>
      <c r="P9" s="5">
        <v>0.249</v>
      </c>
      <c r="Q9" s="5"/>
      <c r="R9" s="5"/>
      <c r="S9" s="5"/>
      <c r="T9" s="5"/>
      <c r="U9" s="5"/>
      <c r="V9" s="5"/>
      <c r="W9" s="5">
        <v>0.25</v>
      </c>
      <c r="X9" s="5"/>
      <c r="Y9" s="5"/>
      <c r="Z9" s="5"/>
      <c r="AA9" s="5"/>
      <c r="AB9" s="5"/>
      <c r="AC9" s="5"/>
      <c r="AD9" s="5"/>
      <c r="AE9" s="5"/>
      <c r="AF9" s="5"/>
      <c r="AG9" s="5">
        <f t="shared" si="0"/>
        <v>0.72499999999999998</v>
      </c>
      <c r="AH9" s="457">
        <f t="shared" si="1"/>
        <v>1.9217515771616393E-2</v>
      </c>
    </row>
    <row r="10" spans="1:35">
      <c r="A10" s="437" t="s">
        <v>201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0.28399999999999997</v>
      </c>
      <c r="R10" s="5"/>
      <c r="S10" s="5"/>
      <c r="T10" s="5"/>
      <c r="U10" s="5"/>
      <c r="V10" s="5"/>
      <c r="W10" s="5"/>
      <c r="X10" s="5">
        <v>0.26300000000000001</v>
      </c>
      <c r="Y10" s="5"/>
      <c r="Z10" s="5"/>
      <c r="AA10" s="5"/>
      <c r="AB10" s="5"/>
      <c r="AC10" s="5"/>
      <c r="AD10" s="5"/>
      <c r="AE10" s="5"/>
      <c r="AF10" s="5"/>
      <c r="AG10" s="5">
        <f t="shared" si="0"/>
        <v>0.54699999999999993</v>
      </c>
      <c r="AH10" s="457">
        <f t="shared" si="1"/>
        <v>1.4499284313205745E-2</v>
      </c>
    </row>
    <row r="11" spans="1:35">
      <c r="A11" s="437" t="s">
        <v>202</v>
      </c>
      <c r="B11" s="5"/>
      <c r="C11" s="5"/>
      <c r="D11" s="5"/>
      <c r="E11" s="5"/>
      <c r="F11" s="5">
        <v>0.22600000000000001</v>
      </c>
      <c r="G11" s="5">
        <v>0.216</v>
      </c>
      <c r="H11" s="5"/>
      <c r="I11" s="5"/>
      <c r="J11" s="5"/>
      <c r="K11" s="5">
        <v>0.41</v>
      </c>
      <c r="L11" s="5"/>
      <c r="M11" s="5">
        <v>0.10100000000000001</v>
      </c>
      <c r="N11" s="5">
        <v>0.20799999999999999</v>
      </c>
      <c r="O11" s="5">
        <v>0.21099999999999999</v>
      </c>
      <c r="P11" s="5">
        <v>0.32900000000000001</v>
      </c>
      <c r="Q11" s="5">
        <v>0.219</v>
      </c>
      <c r="R11" s="5"/>
      <c r="S11" s="5"/>
      <c r="T11" s="5"/>
      <c r="U11" s="5">
        <f>50/1000</f>
        <v>0.05</v>
      </c>
      <c r="V11" s="5">
        <v>0.25900000000000001</v>
      </c>
      <c r="W11" s="5">
        <f>50/1000</f>
        <v>0.05</v>
      </c>
      <c r="X11" s="5"/>
      <c r="Y11" s="5"/>
      <c r="Z11" s="5">
        <v>0.2</v>
      </c>
      <c r="AA11" s="5"/>
      <c r="AB11" s="5"/>
      <c r="AC11" s="5"/>
      <c r="AD11" s="5"/>
      <c r="AE11" s="5"/>
      <c r="AF11" s="5">
        <v>0.25700000000000001</v>
      </c>
      <c r="AG11" s="5">
        <f t="shared" si="0"/>
        <v>2.4790000000000001</v>
      </c>
      <c r="AH11" s="457">
        <f t="shared" si="1"/>
        <v>6.5710650479775229E-2</v>
      </c>
    </row>
    <row r="12" spans="1:35">
      <c r="A12" s="437" t="s">
        <v>203</v>
      </c>
      <c r="B12" s="5">
        <v>0.17</v>
      </c>
      <c r="C12" s="5"/>
      <c r="D12" s="5"/>
      <c r="E12" s="5"/>
      <c r="F12" s="5">
        <v>0.27700000000000002</v>
      </c>
      <c r="G12" s="5">
        <v>0.27400000000000002</v>
      </c>
      <c r="H12" s="5">
        <v>0.57899999999999996</v>
      </c>
      <c r="I12" s="5"/>
      <c r="J12" s="5"/>
      <c r="K12" s="5"/>
      <c r="L12" s="5"/>
      <c r="M12" s="5">
        <v>0.27400000000000002</v>
      </c>
      <c r="N12" s="5">
        <v>0.5</v>
      </c>
      <c r="O12" s="5"/>
      <c r="P12" s="5"/>
      <c r="Q12" s="5"/>
      <c r="R12" s="5">
        <v>0.245</v>
      </c>
      <c r="S12" s="5"/>
      <c r="T12" s="5"/>
      <c r="U12" s="5"/>
      <c r="V12" s="5">
        <v>0.28699999999999998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0.35399999999999998</v>
      </c>
      <c r="AG12" s="5">
        <f t="shared" si="0"/>
        <v>2.6059999999999999</v>
      </c>
      <c r="AH12" s="457">
        <f t="shared" si="1"/>
        <v>6.9077029104596302E-2</v>
      </c>
    </row>
    <row r="13" spans="1:35">
      <c r="A13" s="437" t="s">
        <v>204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438"/>
      <c r="AC13" s="5"/>
      <c r="AD13" s="5"/>
      <c r="AE13" s="5"/>
      <c r="AF13" s="5"/>
      <c r="AG13" s="5">
        <f t="shared" si="0"/>
        <v>0</v>
      </c>
      <c r="AH13" s="457">
        <f t="shared" si="1"/>
        <v>0</v>
      </c>
    </row>
    <row r="14" spans="1:35">
      <c r="A14" s="437" t="s">
        <v>205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f t="shared" si="0"/>
        <v>0</v>
      </c>
      <c r="AH14" s="457">
        <f t="shared" si="1"/>
        <v>0</v>
      </c>
    </row>
    <row r="15" spans="1:35">
      <c r="A15" s="437" t="s">
        <v>277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f t="shared" si="0"/>
        <v>0</v>
      </c>
      <c r="AH15" s="457">
        <f t="shared" si="1"/>
        <v>0</v>
      </c>
    </row>
    <row r="16" spans="1:35">
      <c r="A16" s="437" t="s">
        <v>278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f t="shared" si="0"/>
        <v>0</v>
      </c>
      <c r="AH16" s="457">
        <f t="shared" si="1"/>
        <v>0</v>
      </c>
    </row>
    <row r="17" spans="1:34">
      <c r="A17" s="437" t="s">
        <v>206</v>
      </c>
      <c r="B17" s="5">
        <v>0.17799999999999999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f t="shared" si="0"/>
        <v>0.17799999999999999</v>
      </c>
      <c r="AH17" s="457">
        <f t="shared" si="1"/>
        <v>4.7182314584106452E-3</v>
      </c>
    </row>
    <row r="18" spans="1:34">
      <c r="A18" s="437" t="s">
        <v>207</v>
      </c>
      <c r="B18" s="5"/>
      <c r="C18" s="5"/>
      <c r="D18" s="5"/>
      <c r="E18" s="5"/>
      <c r="F18" s="5"/>
      <c r="G18" s="5"/>
      <c r="H18" s="5"/>
      <c r="I18" s="5"/>
      <c r="J18" s="5">
        <v>0.255</v>
      </c>
      <c r="K18" s="5"/>
      <c r="L18" s="5"/>
      <c r="M18" s="5"/>
      <c r="N18" s="5"/>
      <c r="O18" s="43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f t="shared" si="0"/>
        <v>0.255</v>
      </c>
      <c r="AH18" s="457">
        <f t="shared" si="1"/>
        <v>6.7592641679478345E-3</v>
      </c>
    </row>
    <row r="19" spans="1:34">
      <c r="A19" s="437" t="s">
        <v>279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f t="shared" si="0"/>
        <v>0</v>
      </c>
      <c r="AH19" s="457">
        <f t="shared" si="1"/>
        <v>0</v>
      </c>
    </row>
    <row r="20" spans="1:34">
      <c r="A20" s="437" t="s">
        <v>280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f t="shared" si="0"/>
        <v>0</v>
      </c>
      <c r="AH20" s="457">
        <f t="shared" si="1"/>
        <v>0</v>
      </c>
    </row>
    <row r="21" spans="1:34">
      <c r="A21" s="437" t="s">
        <v>208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f t="shared" si="0"/>
        <v>0</v>
      </c>
      <c r="AH21" s="457">
        <f t="shared" si="1"/>
        <v>0</v>
      </c>
    </row>
    <row r="22" spans="1:34">
      <c r="A22" s="437" t="s">
        <v>286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f t="shared" si="0"/>
        <v>0</v>
      </c>
      <c r="AH22" s="457">
        <f t="shared" si="1"/>
        <v>0</v>
      </c>
    </row>
    <row r="23" spans="1:34">
      <c r="A23" s="437" t="s">
        <v>209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f t="shared" si="0"/>
        <v>0</v>
      </c>
      <c r="AH23" s="457">
        <f t="shared" si="1"/>
        <v>0</v>
      </c>
    </row>
    <row r="24" spans="1:34">
      <c r="A24" s="437" t="s">
        <v>281</v>
      </c>
      <c r="B24" s="5"/>
      <c r="C24" s="5"/>
      <c r="D24" s="5"/>
      <c r="E24" s="5"/>
      <c r="F24" s="5"/>
      <c r="G24" s="5"/>
      <c r="H24" s="5"/>
      <c r="I24" s="5"/>
      <c r="J24" s="5">
        <v>0.15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f t="shared" si="0"/>
        <v>0.15</v>
      </c>
      <c r="AH24" s="457">
        <f t="shared" si="1"/>
        <v>3.9760377458516669E-3</v>
      </c>
    </row>
    <row r="25" spans="1:34">
      <c r="A25" s="437" t="s">
        <v>210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f t="shared" si="0"/>
        <v>0</v>
      </c>
      <c r="AH25" s="457">
        <f t="shared" si="1"/>
        <v>0</v>
      </c>
    </row>
    <row r="26" spans="1:34">
      <c r="A26" s="437" t="s">
        <v>211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f t="shared" si="0"/>
        <v>0</v>
      </c>
      <c r="AH26" s="457">
        <f t="shared" si="1"/>
        <v>0</v>
      </c>
    </row>
    <row r="27" spans="1:34">
      <c r="A27" s="437" t="s">
        <v>212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f t="shared" si="0"/>
        <v>0</v>
      </c>
      <c r="AH27" s="457">
        <f t="shared" si="1"/>
        <v>0</v>
      </c>
    </row>
    <row r="28" spans="1:34">
      <c r="A28" s="437" t="s">
        <v>213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f t="shared" si="0"/>
        <v>0</v>
      </c>
      <c r="AH28" s="457">
        <f t="shared" si="1"/>
        <v>0</v>
      </c>
    </row>
    <row r="29" spans="1:34">
      <c r="A29" s="437" t="s">
        <v>282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f t="shared" si="0"/>
        <v>0</v>
      </c>
      <c r="AH29" s="457">
        <f t="shared" si="1"/>
        <v>0</v>
      </c>
    </row>
    <row r="30" spans="1:34">
      <c r="A30" s="437" t="s">
        <v>283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f t="shared" si="0"/>
        <v>0</v>
      </c>
      <c r="AH30" s="457">
        <f t="shared" si="1"/>
        <v>0</v>
      </c>
    </row>
    <row r="31" spans="1:34">
      <c r="A31" s="437" t="s">
        <v>214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f t="shared" si="0"/>
        <v>0</v>
      </c>
      <c r="AH31" s="457">
        <f t="shared" si="1"/>
        <v>0</v>
      </c>
    </row>
    <row r="32" spans="1:34">
      <c r="A32" s="437" t="s">
        <v>215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f t="shared" si="0"/>
        <v>0</v>
      </c>
      <c r="AH32" s="457">
        <f t="shared" si="1"/>
        <v>0</v>
      </c>
    </row>
    <row r="33" spans="1:34">
      <c r="A33" s="437" t="s">
        <v>216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f t="shared" si="0"/>
        <v>0</v>
      </c>
      <c r="AH33" s="457">
        <f t="shared" si="1"/>
        <v>0</v>
      </c>
    </row>
    <row r="34" spans="1:34">
      <c r="A34" s="440" t="s">
        <v>217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f t="shared" si="0"/>
        <v>0</v>
      </c>
      <c r="AH34" s="457">
        <f t="shared" si="1"/>
        <v>0</v>
      </c>
    </row>
    <row r="35" spans="1:34">
      <c r="A35" s="440" t="s">
        <v>218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f t="shared" si="0"/>
        <v>0</v>
      </c>
      <c r="AH35" s="457">
        <f t="shared" si="1"/>
        <v>0</v>
      </c>
    </row>
    <row r="36" spans="1:34">
      <c r="A36" s="440" t="s">
        <v>219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f t="shared" si="0"/>
        <v>0</v>
      </c>
      <c r="AH36" s="457">
        <f t="shared" si="1"/>
        <v>0</v>
      </c>
    </row>
    <row r="37" spans="1:34">
      <c r="A37" s="440" t="s">
        <v>379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f t="shared" si="0"/>
        <v>0</v>
      </c>
      <c r="AH37" s="457">
        <f>+AG37/$AG$39</f>
        <v>0</v>
      </c>
    </row>
    <row r="38" spans="1:34">
      <c r="A38" s="488" t="s">
        <v>284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489">
        <f>+AG39/Efficiency1!$K$167</f>
        <v>2.7052253344248836E-2</v>
      </c>
    </row>
    <row r="39" spans="1:34">
      <c r="A39" s="440" t="s">
        <v>2</v>
      </c>
      <c r="B39" s="5">
        <f>SUM(B3:B37)</f>
        <v>4.3469999999999995</v>
      </c>
      <c r="C39" s="5">
        <f t="shared" ref="C39:AC39" si="2">SUM(C3:C37)</f>
        <v>5.1099999999999994</v>
      </c>
      <c r="D39" s="5">
        <f t="shared" si="2"/>
        <v>5.55</v>
      </c>
      <c r="E39" s="5">
        <f t="shared" si="2"/>
        <v>4.8870000000000005</v>
      </c>
      <c r="F39" s="5">
        <f>SUM(F3:F37)</f>
        <v>5.5129999999999999</v>
      </c>
      <c r="G39" s="5">
        <f>SUM(G3:G37)</f>
        <v>7.4950000000000001</v>
      </c>
      <c r="H39" s="5">
        <f t="shared" si="2"/>
        <v>6.3019999999999996</v>
      </c>
      <c r="I39" s="5">
        <f t="shared" si="2"/>
        <v>4.9080000000000004</v>
      </c>
      <c r="J39" s="5">
        <f t="shared" si="2"/>
        <v>1.103</v>
      </c>
      <c r="K39" s="5">
        <f t="shared" si="2"/>
        <v>6.2440000000000007</v>
      </c>
      <c r="L39" s="5">
        <f t="shared" si="2"/>
        <v>3.9099999999999997</v>
      </c>
      <c r="M39" s="5">
        <f t="shared" si="2"/>
        <v>5.5310000000000006</v>
      </c>
      <c r="N39" s="5">
        <f t="shared" si="2"/>
        <v>4.952</v>
      </c>
      <c r="O39" s="6">
        <f t="shared" si="2"/>
        <v>5.3840000000000003</v>
      </c>
      <c r="P39" s="5">
        <f t="shared" si="2"/>
        <v>3.5009999999999999</v>
      </c>
      <c r="Q39" s="5">
        <f t="shared" si="2"/>
        <v>7.8960000000000008</v>
      </c>
      <c r="R39" s="5">
        <f>SUM(R3:R37)</f>
        <v>7.4029999999999996</v>
      </c>
      <c r="S39" s="5">
        <f t="shared" si="2"/>
        <v>6.6980000000000004</v>
      </c>
      <c r="T39" s="5">
        <f t="shared" si="2"/>
        <v>4.3220000000000001</v>
      </c>
      <c r="U39" s="5">
        <f t="shared" si="2"/>
        <v>4.4630000000000001</v>
      </c>
      <c r="V39" s="5">
        <f t="shared" si="2"/>
        <v>4.9249999999999998</v>
      </c>
      <c r="W39" s="5">
        <f t="shared" si="2"/>
        <v>4.8159999999999998</v>
      </c>
      <c r="X39" s="5">
        <f t="shared" si="2"/>
        <v>3.5449999999999995</v>
      </c>
      <c r="Y39" s="5">
        <f t="shared" si="2"/>
        <v>4.657</v>
      </c>
      <c r="Z39" s="5">
        <f t="shared" si="2"/>
        <v>5.5339999999999998</v>
      </c>
      <c r="AA39" s="5">
        <f t="shared" si="2"/>
        <v>2.6429999999999998</v>
      </c>
      <c r="AB39" s="5">
        <f t="shared" si="2"/>
        <v>3.9820000000000002</v>
      </c>
      <c r="AC39" s="5">
        <f t="shared" si="2"/>
        <v>3.6300000000000003</v>
      </c>
      <c r="AD39" s="5">
        <f>SUM(AD3:AD37)</f>
        <v>2.851</v>
      </c>
      <c r="AE39" s="5">
        <f t="shared" ref="AE39:AF39" si="3">SUM(AE3:AE37)</f>
        <v>2.9099999999999997</v>
      </c>
      <c r="AF39" s="5">
        <f t="shared" si="3"/>
        <v>5.3240000000000007</v>
      </c>
      <c r="AG39" s="16">
        <f>SUM(AG6:AG38)</f>
        <v>37.725999999999999</v>
      </c>
      <c r="AH39" s="458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zoomScale="85" zoomScaleNormal="85" workbookViewId="0">
      <pane xSplit="5" ySplit="9" topLeftCell="AM10" activePane="bottomRight" state="frozen"/>
      <selection activeCell="DK16" sqref="DK16"/>
      <selection pane="topRight" activeCell="DK16" sqref="DK16"/>
      <selection pane="bottomLeft" activeCell="DK16" sqref="DK16"/>
      <selection pane="bottomRight" activeCell="BD37" sqref="BD37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2.28515625" hidden="1" customWidth="1"/>
    <col min="8" max="8" width="8.85546875" hidden="1" customWidth="1"/>
    <col min="9" max="9" width="12.285156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3.5703125" bestFit="1" customWidth="1"/>
    <col min="20" max="20" width="8.28515625" bestFit="1" customWidth="1"/>
    <col min="21" max="21" width="14.42578125" bestFit="1" customWidth="1"/>
    <col min="22" max="22" width="8" bestFit="1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4.28515625" bestFit="1" customWidth="1"/>
    <col min="40" max="40" width="8.140625" customWidth="1"/>
    <col min="41" max="41" width="13.140625" bestFit="1" customWidth="1"/>
    <col min="42" max="42" width="9.425781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3.28515625" hidden="1" customWidth="1"/>
    <col min="48" max="48" width="8.85546875" hidden="1" customWidth="1"/>
    <col min="49" max="49" width="15.28515625" hidden="1" customWidth="1"/>
    <col min="50" max="50" width="7.7109375" hidden="1" customWidth="1"/>
    <col min="51" max="51" width="10.28515625" hidden="1" customWidth="1"/>
    <col min="52" max="52" width="8.140625" hidden="1" customWidth="1"/>
    <col min="53" max="53" width="11.42578125" hidden="1" customWidth="1"/>
    <col min="54" max="54" width="7.7109375" hidden="1" customWidth="1"/>
    <col min="55" max="55" width="14.140625" customWidth="1"/>
    <col min="56" max="56" width="9.28515625" customWidth="1"/>
    <col min="57" max="57" width="14.42578125" customWidth="1"/>
    <col min="58" max="58" width="10" customWidth="1"/>
    <col min="59" max="59" width="15.42578125" hidden="1" customWidth="1"/>
    <col min="60" max="60" width="8.7109375" hidden="1" customWidth="1"/>
    <col min="61" max="61" width="12.85546875" hidden="1" customWidth="1"/>
    <col min="62" max="62" width="8.42578125" hidden="1" customWidth="1"/>
    <col min="63" max="63" width="14.28515625" bestFit="1" customWidth="1"/>
    <col min="64" max="64" width="14.42578125" bestFit="1" customWidth="1"/>
    <col min="65" max="65" width="8.85546875" bestFit="1" customWidth="1"/>
    <col min="66" max="66" width="10.28515625" bestFit="1" customWidth="1"/>
    <col min="67" max="67" width="13.28515625" bestFit="1" customWidth="1"/>
    <col min="68" max="68" width="10.42578125" bestFit="1" customWidth="1"/>
    <col min="70" max="70" width="15.42578125" bestFit="1" customWidth="1"/>
    <col min="71" max="71" width="10.42578125" bestFit="1" customWidth="1"/>
    <col min="74" max="74" width="10.42578125" bestFit="1" customWidth="1"/>
  </cols>
  <sheetData>
    <row r="1" spans="1:66" ht="15.75">
      <c r="A1" s="147"/>
      <c r="AE1" s="250"/>
    </row>
    <row r="2" spans="1:66" ht="15.75">
      <c r="A2" s="147"/>
      <c r="AE2" s="250"/>
      <c r="AI2" s="18"/>
    </row>
    <row r="3" spans="1:66" ht="15">
      <c r="A3" s="149"/>
      <c r="AE3" s="250"/>
    </row>
    <row r="4" spans="1:66" ht="15.75">
      <c r="A4" s="150" t="s">
        <v>288</v>
      </c>
      <c r="G4" s="13"/>
      <c r="AA4" s="13"/>
      <c r="AE4" s="250"/>
      <c r="AV4" s="18"/>
    </row>
    <row r="5" spans="1:66" ht="15.75">
      <c r="A5" s="150"/>
      <c r="G5" s="13"/>
      <c r="AA5" s="13"/>
      <c r="AE5" s="13"/>
    </row>
    <row r="6" spans="1:66" ht="18">
      <c r="A6" s="251"/>
      <c r="AA6" s="13"/>
      <c r="AE6" s="13"/>
      <c r="BD6" s="13"/>
      <c r="BE6" s="13"/>
      <c r="BF6" s="13"/>
      <c r="BL6" s="13"/>
    </row>
    <row r="7" spans="1:66" ht="16.5" thickBot="1">
      <c r="A7" s="252"/>
      <c r="B7" s="252"/>
      <c r="C7" s="252"/>
      <c r="D7" s="252"/>
      <c r="E7" s="252"/>
      <c r="F7" s="252"/>
      <c r="G7" s="252">
        <v>250</v>
      </c>
      <c r="L7">
        <v>250.69399999999999</v>
      </c>
      <c r="S7" s="252"/>
      <c r="T7" s="252"/>
      <c r="U7" s="253"/>
      <c r="V7" s="253"/>
      <c r="W7" s="252">
        <v>248.881</v>
      </c>
      <c r="X7" s="252"/>
      <c r="Y7" s="252"/>
      <c r="Z7" s="252"/>
      <c r="AA7" s="443">
        <v>250.69</v>
      </c>
      <c r="AB7" s="252"/>
      <c r="AC7" s="252"/>
      <c r="AD7" s="252"/>
      <c r="AE7" s="443">
        <v>251.53399999999999</v>
      </c>
      <c r="AF7" s="252"/>
      <c r="AG7" s="252"/>
      <c r="AH7" s="252"/>
      <c r="AI7" s="252">
        <v>238.345</v>
      </c>
      <c r="AJ7" s="252"/>
      <c r="AK7" s="252"/>
      <c r="AL7" s="252"/>
      <c r="AM7" s="252"/>
      <c r="AN7" s="252"/>
      <c r="AO7" s="252"/>
      <c r="AP7" s="252"/>
      <c r="AQ7" s="252">
        <v>251.53399999999999</v>
      </c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3"/>
      <c r="BD7" s="253"/>
      <c r="BE7" s="252"/>
      <c r="BF7" s="252"/>
      <c r="BG7" s="252"/>
      <c r="BH7" s="252"/>
      <c r="BI7" s="252"/>
      <c r="BJ7" s="252"/>
      <c r="BK7" s="252"/>
      <c r="BL7" s="252"/>
      <c r="BM7" s="252"/>
      <c r="BN7" s="252"/>
    </row>
    <row r="8" spans="1:66" ht="38.25" customHeight="1" thickTop="1">
      <c r="A8" s="536" t="s">
        <v>28</v>
      </c>
      <c r="B8" s="536" t="s">
        <v>4</v>
      </c>
      <c r="C8" s="536" t="s">
        <v>5</v>
      </c>
      <c r="D8" s="538" t="s">
        <v>40</v>
      </c>
      <c r="E8" s="540" t="s">
        <v>38</v>
      </c>
      <c r="F8" s="541"/>
      <c r="G8" s="722" t="s">
        <v>377</v>
      </c>
      <c r="H8" s="723"/>
      <c r="I8" s="723"/>
      <c r="J8" s="724"/>
      <c r="K8" s="722" t="s">
        <v>717</v>
      </c>
      <c r="L8" s="723"/>
      <c r="M8" s="723"/>
      <c r="N8" s="724"/>
      <c r="O8" s="722" t="s">
        <v>41</v>
      </c>
      <c r="P8" s="723"/>
      <c r="Q8" s="723"/>
      <c r="R8" s="724"/>
      <c r="S8" s="722" t="s">
        <v>42</v>
      </c>
      <c r="T8" s="723"/>
      <c r="U8" s="723"/>
      <c r="V8" s="724"/>
      <c r="W8" s="722" t="s">
        <v>392</v>
      </c>
      <c r="X8" s="723"/>
      <c r="Y8" s="723"/>
      <c r="Z8" s="724"/>
      <c r="AA8" s="722" t="s">
        <v>172</v>
      </c>
      <c r="AB8" s="723"/>
      <c r="AC8" s="723"/>
      <c r="AD8" s="724"/>
      <c r="AE8" s="722" t="s">
        <v>227</v>
      </c>
      <c r="AF8" s="723"/>
      <c r="AG8" s="723"/>
      <c r="AH8" s="724"/>
      <c r="AI8" s="722" t="s">
        <v>381</v>
      </c>
      <c r="AJ8" s="723"/>
      <c r="AK8" s="723"/>
      <c r="AL8" s="724"/>
      <c r="AM8" s="722" t="s">
        <v>88</v>
      </c>
      <c r="AN8" s="723"/>
      <c r="AO8" s="723"/>
      <c r="AP8" s="724"/>
      <c r="AQ8" s="722" t="s">
        <v>418</v>
      </c>
      <c r="AR8" s="723"/>
      <c r="AS8" s="723"/>
      <c r="AT8" s="724"/>
      <c r="AU8" s="722" t="s">
        <v>145</v>
      </c>
      <c r="AV8" s="723"/>
      <c r="AW8" s="723"/>
      <c r="AX8" s="724"/>
      <c r="AY8" s="722" t="s">
        <v>146</v>
      </c>
      <c r="AZ8" s="723"/>
      <c r="BA8" s="723"/>
      <c r="BB8" s="724"/>
      <c r="BC8" s="722" t="s">
        <v>89</v>
      </c>
      <c r="BD8" s="723"/>
      <c r="BE8" s="723"/>
      <c r="BF8" s="724"/>
      <c r="BG8" s="532" t="s">
        <v>43</v>
      </c>
      <c r="BH8" s="533"/>
      <c r="BI8" s="533"/>
      <c r="BJ8" s="534"/>
      <c r="BK8" s="722" t="s">
        <v>44</v>
      </c>
      <c r="BL8" s="724"/>
      <c r="BM8" s="722" t="s">
        <v>45</v>
      </c>
      <c r="BN8" s="724"/>
    </row>
    <row r="9" spans="1:66">
      <c r="A9" s="537"/>
      <c r="B9" s="537"/>
      <c r="C9" s="537"/>
      <c r="D9" s="539"/>
      <c r="E9" s="2" t="s">
        <v>36</v>
      </c>
      <c r="F9" s="535" t="s">
        <v>37</v>
      </c>
      <c r="G9" s="8" t="s">
        <v>36</v>
      </c>
      <c r="H9" s="8" t="s">
        <v>10</v>
      </c>
      <c r="I9" s="539" t="s">
        <v>37</v>
      </c>
      <c r="J9" s="539" t="s">
        <v>10</v>
      </c>
      <c r="K9" s="8" t="s">
        <v>36</v>
      </c>
      <c r="L9" s="8" t="s">
        <v>10</v>
      </c>
      <c r="M9" s="539" t="s">
        <v>37</v>
      </c>
      <c r="N9" s="539" t="s">
        <v>10</v>
      </c>
      <c r="O9" s="8" t="s">
        <v>36</v>
      </c>
      <c r="P9" s="8" t="s">
        <v>10</v>
      </c>
      <c r="Q9" s="539" t="s">
        <v>37</v>
      </c>
      <c r="R9" s="539" t="s">
        <v>10</v>
      </c>
      <c r="S9" s="539" t="s">
        <v>36</v>
      </c>
      <c r="T9" s="539" t="s">
        <v>10</v>
      </c>
      <c r="U9" s="539" t="s">
        <v>37</v>
      </c>
      <c r="V9" s="539" t="s">
        <v>10</v>
      </c>
      <c r="W9" s="539" t="s">
        <v>36</v>
      </c>
      <c r="X9" s="539" t="s">
        <v>10</v>
      </c>
      <c r="Y9" s="539" t="s">
        <v>37</v>
      </c>
      <c r="Z9" s="539" t="s">
        <v>10</v>
      </c>
      <c r="AA9" s="539" t="s">
        <v>36</v>
      </c>
      <c r="AB9" s="539" t="s">
        <v>10</v>
      </c>
      <c r="AC9" s="539" t="s">
        <v>37</v>
      </c>
      <c r="AD9" s="539" t="s">
        <v>10</v>
      </c>
      <c r="AE9" s="539" t="s">
        <v>36</v>
      </c>
      <c r="AF9" s="539" t="s">
        <v>10</v>
      </c>
      <c r="AG9" s="539" t="s">
        <v>37</v>
      </c>
      <c r="AH9" s="539" t="s">
        <v>10</v>
      </c>
      <c r="AI9" s="539" t="s">
        <v>36</v>
      </c>
      <c r="AJ9" s="539" t="s">
        <v>10</v>
      </c>
      <c r="AK9" s="539" t="s">
        <v>37</v>
      </c>
      <c r="AL9" s="539" t="s">
        <v>10</v>
      </c>
      <c r="AM9" s="539" t="s">
        <v>36</v>
      </c>
      <c r="AN9" s="539" t="s">
        <v>10</v>
      </c>
      <c r="AO9" s="539" t="s">
        <v>37</v>
      </c>
      <c r="AP9" s="539" t="s">
        <v>10</v>
      </c>
      <c r="AQ9" s="539" t="s">
        <v>36</v>
      </c>
      <c r="AR9" s="539" t="s">
        <v>10</v>
      </c>
      <c r="AS9" s="539" t="s">
        <v>37</v>
      </c>
      <c r="AT9" s="539" t="s">
        <v>10</v>
      </c>
      <c r="AU9" s="539" t="s">
        <v>36</v>
      </c>
      <c r="AV9" s="539" t="s">
        <v>10</v>
      </c>
      <c r="AW9" s="539" t="s">
        <v>37</v>
      </c>
      <c r="AX9" s="539" t="s">
        <v>10</v>
      </c>
      <c r="AY9" s="539" t="s">
        <v>36</v>
      </c>
      <c r="AZ9" s="539" t="s">
        <v>10</v>
      </c>
      <c r="BA9" s="539" t="s">
        <v>37</v>
      </c>
      <c r="BB9" s="539" t="s">
        <v>10</v>
      </c>
      <c r="BC9" s="539" t="s">
        <v>36</v>
      </c>
      <c r="BD9" s="539" t="s">
        <v>10</v>
      </c>
      <c r="BE9" s="539" t="s">
        <v>37</v>
      </c>
      <c r="BF9" s="539" t="s">
        <v>10</v>
      </c>
      <c r="BG9" s="539" t="s">
        <v>36</v>
      </c>
      <c r="BH9" s="539" t="s">
        <v>10</v>
      </c>
      <c r="BI9" s="539" t="s">
        <v>37</v>
      </c>
      <c r="BJ9" s="539" t="s">
        <v>10</v>
      </c>
      <c r="BK9" s="539" t="s">
        <v>36</v>
      </c>
      <c r="BL9" s="539" t="s">
        <v>37</v>
      </c>
      <c r="BM9" s="539" t="s">
        <v>36</v>
      </c>
      <c r="BN9" s="539" t="s">
        <v>37</v>
      </c>
    </row>
    <row r="10" spans="1:66">
      <c r="A10" s="15">
        <f>+Chem!A9</f>
        <v>46023</v>
      </c>
      <c r="B10" s="5" t="str">
        <f>+Chem!B9</f>
        <v>Toilet</v>
      </c>
      <c r="C10" s="15" t="str">
        <f>+Chem!C9</f>
        <v>13</v>
      </c>
      <c r="D10" s="7">
        <f>+Chem!D9</f>
        <v>39.061999999999998</v>
      </c>
      <c r="E10" s="6">
        <f>+Chem!E9</f>
        <v>39.265999999999998</v>
      </c>
      <c r="F10" s="6">
        <f>+E10</f>
        <v>39.265999999999998</v>
      </c>
      <c r="G10" s="95">
        <f>26.25*G7</f>
        <v>6562.5</v>
      </c>
      <c r="H10" s="9">
        <f t="shared" ref="H10:H40" si="0">G10/BK10*100</f>
        <v>15.73055200394648</v>
      </c>
      <c r="I10" s="7">
        <f>G10</f>
        <v>6562.5</v>
      </c>
      <c r="J10" s="9">
        <f t="shared" ref="J10:J40" si="1">I10/BL10*100</f>
        <v>15.73055200394648</v>
      </c>
      <c r="K10" s="95">
        <v>0</v>
      </c>
      <c r="L10" s="9">
        <f t="shared" ref="L10:L40" si="2">+K10/BK10*100</f>
        <v>0</v>
      </c>
      <c r="M10" s="9">
        <f>+K10</f>
        <v>0</v>
      </c>
      <c r="N10" s="9">
        <f t="shared" ref="N10:N40" si="3">+M10/BL10*100</f>
        <v>0</v>
      </c>
      <c r="O10" s="95"/>
      <c r="P10" s="9">
        <f t="shared" ref="P10:P40" si="4">+O10/BK10*100</f>
        <v>0</v>
      </c>
      <c r="Q10" s="9">
        <f>+O10</f>
        <v>0</v>
      </c>
      <c r="R10" s="9">
        <f t="shared" ref="R10:R40" si="5">+Q10/BL10*100</f>
        <v>0</v>
      </c>
      <c r="S10" s="9">
        <f>G10+K10+O10</f>
        <v>6562.5</v>
      </c>
      <c r="T10" s="9">
        <f t="shared" ref="T10:T40" si="6">S10/BK10*100</f>
        <v>15.73055200394648</v>
      </c>
      <c r="U10" s="9">
        <f>S10</f>
        <v>6562.5</v>
      </c>
      <c r="V10" s="9">
        <f t="shared" ref="V10:V40" si="7">U10/BL10*100</f>
        <v>15.73055200394648</v>
      </c>
      <c r="W10" s="95"/>
      <c r="X10" s="9">
        <f>W10/BK10*100</f>
        <v>0</v>
      </c>
      <c r="Y10" s="9">
        <f>W10</f>
        <v>0</v>
      </c>
      <c r="Z10" s="9">
        <f>Y10/BL10*100</f>
        <v>0</v>
      </c>
      <c r="AA10" s="95">
        <f>70*AA7</f>
        <v>17548.3</v>
      </c>
      <c r="AB10" s="9">
        <f t="shared" ref="AB10:AB40" si="8">AA10/BK10*100</f>
        <v>42.063915539939664</v>
      </c>
      <c r="AC10" s="9">
        <f>AA10</f>
        <v>17548.3</v>
      </c>
      <c r="AD10" s="9">
        <f t="shared" ref="AD10:AD40" si="9">AC10/BL10*100</f>
        <v>42.063915539939664</v>
      </c>
      <c r="AE10" s="95"/>
      <c r="AF10" s="9">
        <f t="shared" ref="AF10:AF40" si="10">AE10/BK10*100</f>
        <v>0</v>
      </c>
      <c r="AG10" s="9">
        <f>AE10</f>
        <v>0</v>
      </c>
      <c r="AH10" s="9">
        <f t="shared" ref="AH10:AH40" si="11">AG10/BL10*100</f>
        <v>0</v>
      </c>
      <c r="AI10" s="95"/>
      <c r="AJ10" s="9">
        <f t="shared" ref="AJ10:AJ40" si="12">AI10/BK10*100</f>
        <v>0</v>
      </c>
      <c r="AK10" s="9">
        <f>AI10</f>
        <v>0</v>
      </c>
      <c r="AL10" s="9">
        <f t="shared" ref="AL10:AL40" si="13">AK10/BL10</f>
        <v>0</v>
      </c>
      <c r="AM10" s="9">
        <f>AA10+AE10+AI10+W10</f>
        <v>17548.3</v>
      </c>
      <c r="AN10" s="9">
        <f t="shared" ref="AN10:AN39" si="14">AM10/BK10*100</f>
        <v>42.063915539939664</v>
      </c>
      <c r="AO10" s="9">
        <f>AM10</f>
        <v>17548.3</v>
      </c>
      <c r="AP10" s="9">
        <f t="shared" ref="AP10:AP39" si="15">AO10/BL10*100</f>
        <v>42.063915539939664</v>
      </c>
      <c r="AQ10" s="95">
        <f>70*AQ7</f>
        <v>17607.38</v>
      </c>
      <c r="AR10" s="9">
        <f t="shared" ref="AR10:AR39" si="16">+AQ10/BK10*100</f>
        <v>42.205532456113858</v>
      </c>
      <c r="AS10" s="9">
        <f>+AQ10</f>
        <v>17607.38</v>
      </c>
      <c r="AT10" s="9">
        <f t="shared" ref="AT10:AT39" si="17">+AS10/BL10*100</f>
        <v>42.205532456113858</v>
      </c>
      <c r="AU10" s="95">
        <f>14*AV6</f>
        <v>0</v>
      </c>
      <c r="AV10" s="9">
        <f t="shared" ref="AV10:AV39" si="18">AU10/BK10*100</f>
        <v>0</v>
      </c>
      <c r="AW10" s="9">
        <f>AU10</f>
        <v>0</v>
      </c>
      <c r="AX10" s="9">
        <f t="shared" ref="AX10:AX39" si="19">AW10/BL10*100</f>
        <v>0</v>
      </c>
      <c r="AY10" s="95"/>
      <c r="AZ10" s="14">
        <f t="shared" ref="AZ10:AZ39" si="20">AY10/BK10*100</f>
        <v>0</v>
      </c>
      <c r="BA10" s="9">
        <f>AY10</f>
        <v>0</v>
      </c>
      <c r="BB10" s="9">
        <f t="shared" ref="BB10:BB39" si="21">BA10/BL10*100</f>
        <v>0</v>
      </c>
      <c r="BC10" s="9">
        <f>AQ10+AU10+AY10</f>
        <v>17607.38</v>
      </c>
      <c r="BD10" s="9">
        <f t="shared" ref="BD10:BD39" si="22">BC10/BK10*100</f>
        <v>42.205532456113858</v>
      </c>
      <c r="BE10" s="9">
        <f>BC10</f>
        <v>17607.38</v>
      </c>
      <c r="BF10" s="9">
        <f t="shared" ref="BF10:BF39" si="23">BE10/BL10*100</f>
        <v>42.205532456113858</v>
      </c>
      <c r="BG10" s="95">
        <v>0</v>
      </c>
      <c r="BH10" s="9">
        <f t="shared" ref="BH10:BH39" si="24">BG10/BK10*100</f>
        <v>0</v>
      </c>
      <c r="BI10" s="9">
        <f>BG10</f>
        <v>0</v>
      </c>
      <c r="BJ10" s="9">
        <f t="shared" ref="BJ10:BJ39" si="25">BI10/BL10*100</f>
        <v>0</v>
      </c>
      <c r="BK10" s="9">
        <f>S10+AM10+BC10+BG10</f>
        <v>41718.18</v>
      </c>
      <c r="BL10" s="9">
        <f>BK10</f>
        <v>41718.18</v>
      </c>
      <c r="BM10" s="509">
        <f t="shared" ref="BM10:BM40" si="26">BK10/1000/E10</f>
        <v>1.0624504660520553</v>
      </c>
      <c r="BN10" s="9">
        <f t="shared" ref="BN10:BN40" si="27">(BL10/1000)/F10</f>
        <v>1.0624504660520553</v>
      </c>
    </row>
    <row r="11" spans="1:66">
      <c r="A11" s="15">
        <f>+Chem!A10</f>
        <v>46024</v>
      </c>
      <c r="B11" s="5" t="str">
        <f>+Chem!B10</f>
        <v>Toilet</v>
      </c>
      <c r="C11" s="15" t="str">
        <f>+Chem!C10</f>
        <v>13</v>
      </c>
      <c r="D11" s="7">
        <f>+Chem!D10</f>
        <v>38.975999999999999</v>
      </c>
      <c r="E11" s="6">
        <f>+Chem!E10</f>
        <v>36.225000000000001</v>
      </c>
      <c r="F11" s="6">
        <f t="shared" ref="F11:F39" si="28">+E11+F10</f>
        <v>75.491</v>
      </c>
      <c r="G11" s="95">
        <f>27.75*G7</f>
        <v>6937.5</v>
      </c>
      <c r="H11" s="9">
        <f t="shared" si="0"/>
        <v>15.73055200394648</v>
      </c>
      <c r="I11" s="7">
        <f t="shared" ref="I11:I39" si="29">G11+I10</f>
        <v>13500</v>
      </c>
      <c r="J11" s="9">
        <f t="shared" si="1"/>
        <v>15.730552003946482</v>
      </c>
      <c r="K11" s="95"/>
      <c r="L11" s="9">
        <f t="shared" si="2"/>
        <v>0</v>
      </c>
      <c r="M11" s="9">
        <f t="shared" ref="M11:M39" si="30">+K11+M10</f>
        <v>0</v>
      </c>
      <c r="N11" s="9">
        <f t="shared" si="3"/>
        <v>0</v>
      </c>
      <c r="O11" s="95"/>
      <c r="P11" s="9">
        <f t="shared" si="4"/>
        <v>0</v>
      </c>
      <c r="Q11" s="9">
        <f t="shared" ref="Q11:Q39" si="31">+O11+Q10</f>
        <v>0</v>
      </c>
      <c r="R11" s="9">
        <f t="shared" si="5"/>
        <v>0</v>
      </c>
      <c r="S11" s="9">
        <f t="shared" ref="S11:S40" si="32">G11+K11+O11</f>
        <v>6937.5</v>
      </c>
      <c r="T11" s="9">
        <f t="shared" si="6"/>
        <v>15.73055200394648</v>
      </c>
      <c r="U11" s="9">
        <f t="shared" ref="U11:U39" si="33">S11+U10</f>
        <v>13500</v>
      </c>
      <c r="V11" s="9">
        <f t="shared" si="7"/>
        <v>15.730552003946482</v>
      </c>
      <c r="W11" s="95"/>
      <c r="X11" s="9"/>
      <c r="Y11" s="9"/>
      <c r="Z11" s="9"/>
      <c r="AA11" s="95">
        <f>74*AA7</f>
        <v>18551.060000000001</v>
      </c>
      <c r="AB11" s="9">
        <f t="shared" si="8"/>
        <v>42.063915539939664</v>
      </c>
      <c r="AC11" s="9">
        <f t="shared" ref="AC11:AC39" si="34">AA11+AC10</f>
        <v>36099.360000000001</v>
      </c>
      <c r="AD11" s="9">
        <f t="shared" si="9"/>
        <v>42.063915539939664</v>
      </c>
      <c r="AE11" s="95"/>
      <c r="AF11" s="9">
        <f t="shared" si="10"/>
        <v>0</v>
      </c>
      <c r="AG11" s="9">
        <f t="shared" ref="AG11:AG39" si="35">AE11+AG10</f>
        <v>0</v>
      </c>
      <c r="AH11" s="9">
        <f t="shared" si="11"/>
        <v>0</v>
      </c>
      <c r="AI11" s="95"/>
      <c r="AJ11" s="9">
        <f t="shared" si="12"/>
        <v>0</v>
      </c>
      <c r="AK11" s="9">
        <f t="shared" ref="AK11:AK39" si="36">AI11+AK10</f>
        <v>0</v>
      </c>
      <c r="AL11" s="9">
        <f t="shared" si="13"/>
        <v>0</v>
      </c>
      <c r="AM11" s="9">
        <f t="shared" ref="AM11:AM40" si="37">AA11+AE11+AI11+W11</f>
        <v>18551.060000000001</v>
      </c>
      <c r="AN11" s="9">
        <f t="shared" si="14"/>
        <v>42.063915539939664</v>
      </c>
      <c r="AO11" s="9">
        <f t="shared" ref="AO11:AO39" si="38">AM11+AO10</f>
        <v>36099.360000000001</v>
      </c>
      <c r="AP11" s="9">
        <f t="shared" si="15"/>
        <v>42.063915539939664</v>
      </c>
      <c r="AQ11" s="95">
        <f>74*AQ7</f>
        <v>18613.516</v>
      </c>
      <c r="AR11" s="9">
        <f t="shared" si="16"/>
        <v>42.205532456113851</v>
      </c>
      <c r="AS11" s="9">
        <f t="shared" ref="AS11:AS39" si="39">+AQ11+AS10</f>
        <v>36220.896000000001</v>
      </c>
      <c r="AT11" s="9">
        <f t="shared" si="17"/>
        <v>42.205532456113858</v>
      </c>
      <c r="AU11" s="95"/>
      <c r="AV11" s="9">
        <f t="shared" si="18"/>
        <v>0</v>
      </c>
      <c r="AW11" s="9">
        <f t="shared" ref="AW11:AW39" si="40">AU11+AW10</f>
        <v>0</v>
      </c>
      <c r="AX11" s="9">
        <f t="shared" si="19"/>
        <v>0</v>
      </c>
      <c r="AY11" s="95"/>
      <c r="AZ11" s="14">
        <f t="shared" si="20"/>
        <v>0</v>
      </c>
      <c r="BA11" s="9">
        <f t="shared" ref="BA11:BA39" si="41">AY11+BA10</f>
        <v>0</v>
      </c>
      <c r="BB11" s="9">
        <f t="shared" si="21"/>
        <v>0</v>
      </c>
      <c r="BC11" s="9">
        <f t="shared" ref="BC11:BC39" si="42">AQ11+AU11+AY11</f>
        <v>18613.516</v>
      </c>
      <c r="BD11" s="9">
        <f t="shared" si="22"/>
        <v>42.205532456113851</v>
      </c>
      <c r="BE11" s="9">
        <f t="shared" ref="BE11:BE39" si="43">BC11+BE10</f>
        <v>36220.896000000001</v>
      </c>
      <c r="BF11" s="9">
        <f t="shared" si="23"/>
        <v>42.205532456113858</v>
      </c>
      <c r="BG11" s="95">
        <v>0</v>
      </c>
      <c r="BH11" s="9">
        <f t="shared" si="24"/>
        <v>0</v>
      </c>
      <c r="BI11" s="9">
        <f t="shared" ref="BI11:BI39" si="44">BG11+BI10</f>
        <v>0</v>
      </c>
      <c r="BJ11" s="9">
        <f t="shared" si="25"/>
        <v>0</v>
      </c>
      <c r="BK11" s="9">
        <f t="shared" ref="BK11:BK40" si="45">S11+AM11+BC11+BG11</f>
        <v>44102.076000000001</v>
      </c>
      <c r="BL11" s="9">
        <f t="shared" ref="BL11:BL39" si="46">BK11+BL10</f>
        <v>85820.255999999994</v>
      </c>
      <c r="BM11" s="509">
        <f t="shared" si="26"/>
        <v>1.217448612836439</v>
      </c>
      <c r="BN11" s="9">
        <f t="shared" si="27"/>
        <v>1.1368276483289399</v>
      </c>
    </row>
    <row r="12" spans="1:66">
      <c r="A12" s="15">
        <f>+Chem!A11</f>
        <v>46025</v>
      </c>
      <c r="B12" s="5" t="str">
        <f>+Chem!B11</f>
        <v>Toilet/Facial</v>
      </c>
      <c r="C12" s="15" t="str">
        <f>+Chem!C11</f>
        <v>13/12</v>
      </c>
      <c r="D12" s="7">
        <f>+Chem!D11</f>
        <v>38.978999999999999</v>
      </c>
      <c r="E12" s="6">
        <f>+Chem!E11</f>
        <v>38.095999999999997</v>
      </c>
      <c r="F12" s="6">
        <f t="shared" si="28"/>
        <v>113.58699999999999</v>
      </c>
      <c r="G12" s="95">
        <f>20*G7</f>
        <v>5000</v>
      </c>
      <c r="H12" s="9">
        <f t="shared" si="0"/>
        <v>11.85829545635654</v>
      </c>
      <c r="I12" s="7">
        <f t="shared" si="29"/>
        <v>18500</v>
      </c>
      <c r="J12" s="9">
        <f t="shared" si="1"/>
        <v>14.454837898290949</v>
      </c>
      <c r="K12" s="95"/>
      <c r="L12" s="9">
        <f t="shared" si="2"/>
        <v>0</v>
      </c>
      <c r="M12" s="9">
        <f t="shared" si="30"/>
        <v>0</v>
      </c>
      <c r="N12" s="9">
        <f t="shared" si="3"/>
        <v>0</v>
      </c>
      <c r="O12" s="95"/>
      <c r="P12" s="9">
        <f t="shared" si="4"/>
        <v>0</v>
      </c>
      <c r="Q12" s="9">
        <f t="shared" si="31"/>
        <v>0</v>
      </c>
      <c r="R12" s="9">
        <f t="shared" si="5"/>
        <v>0</v>
      </c>
      <c r="S12" s="9">
        <f t="shared" si="32"/>
        <v>5000</v>
      </c>
      <c r="T12" s="9">
        <f t="shared" si="6"/>
        <v>11.85829545635654</v>
      </c>
      <c r="U12" s="9">
        <f t="shared" si="33"/>
        <v>18500</v>
      </c>
      <c r="V12" s="9">
        <f t="shared" si="7"/>
        <v>14.454837898290949</v>
      </c>
      <c r="W12" s="95"/>
      <c r="X12" s="9"/>
      <c r="Y12" s="9"/>
      <c r="Z12" s="9"/>
      <c r="AA12" s="95">
        <f>74*AA7</f>
        <v>18551.060000000001</v>
      </c>
      <c r="AB12" s="9">
        <f t="shared" si="8"/>
        <v>43.996790101719512</v>
      </c>
      <c r="AC12" s="9">
        <f t="shared" si="34"/>
        <v>54650.42</v>
      </c>
      <c r="AD12" s="9">
        <f t="shared" si="9"/>
        <v>42.700700658027976</v>
      </c>
      <c r="AE12" s="95"/>
      <c r="AF12" s="9">
        <f t="shared" si="10"/>
        <v>0</v>
      </c>
      <c r="AG12" s="9">
        <f t="shared" si="35"/>
        <v>0</v>
      </c>
      <c r="AH12" s="9">
        <f t="shared" si="11"/>
        <v>0</v>
      </c>
      <c r="AI12" s="95"/>
      <c r="AJ12" s="9">
        <f t="shared" si="12"/>
        <v>0</v>
      </c>
      <c r="AK12" s="9">
        <f t="shared" si="36"/>
        <v>0</v>
      </c>
      <c r="AL12" s="9">
        <f t="shared" si="13"/>
        <v>0</v>
      </c>
      <c r="AM12" s="9">
        <f t="shared" si="37"/>
        <v>18551.060000000001</v>
      </c>
      <c r="AN12" s="9">
        <f t="shared" si="14"/>
        <v>43.996790101719512</v>
      </c>
      <c r="AO12" s="9">
        <f t="shared" si="38"/>
        <v>54650.42</v>
      </c>
      <c r="AP12" s="9">
        <f t="shared" si="15"/>
        <v>42.700700658027976</v>
      </c>
      <c r="AQ12" s="95">
        <f>74*AQ7</f>
        <v>18613.516</v>
      </c>
      <c r="AR12" s="9">
        <f t="shared" si="16"/>
        <v>44.144914441923952</v>
      </c>
      <c r="AS12" s="9">
        <f t="shared" si="39"/>
        <v>54834.411999999997</v>
      </c>
      <c r="AT12" s="9">
        <f t="shared" si="17"/>
        <v>42.844461443681077</v>
      </c>
      <c r="AU12" s="95"/>
      <c r="AV12" s="9">
        <f t="shared" si="18"/>
        <v>0</v>
      </c>
      <c r="AW12" s="9">
        <f t="shared" si="40"/>
        <v>0</v>
      </c>
      <c r="AX12" s="9">
        <f t="shared" si="19"/>
        <v>0</v>
      </c>
      <c r="AY12" s="95"/>
      <c r="AZ12" s="14">
        <f t="shared" si="20"/>
        <v>0</v>
      </c>
      <c r="BA12" s="9">
        <f t="shared" si="41"/>
        <v>0</v>
      </c>
      <c r="BB12" s="9">
        <f t="shared" si="21"/>
        <v>0</v>
      </c>
      <c r="BC12" s="9">
        <f t="shared" si="42"/>
        <v>18613.516</v>
      </c>
      <c r="BD12" s="9">
        <f t="shared" si="22"/>
        <v>44.144914441923952</v>
      </c>
      <c r="BE12" s="9">
        <f t="shared" si="43"/>
        <v>54834.411999999997</v>
      </c>
      <c r="BF12" s="9">
        <f t="shared" si="23"/>
        <v>42.844461443681077</v>
      </c>
      <c r="BG12" s="95">
        <v>0</v>
      </c>
      <c r="BH12" s="9">
        <f t="shared" si="24"/>
        <v>0</v>
      </c>
      <c r="BI12" s="9">
        <f t="shared" si="44"/>
        <v>0</v>
      </c>
      <c r="BJ12" s="9">
        <f t="shared" si="25"/>
        <v>0</v>
      </c>
      <c r="BK12" s="9">
        <f t="shared" si="45"/>
        <v>42164.576000000001</v>
      </c>
      <c r="BL12" s="9">
        <f t="shared" si="46"/>
        <v>127984.83199999999</v>
      </c>
      <c r="BM12" s="509">
        <f t="shared" si="26"/>
        <v>1.1067979840403195</v>
      </c>
      <c r="BN12" s="9">
        <f t="shared" si="27"/>
        <v>1.1267559843996233</v>
      </c>
    </row>
    <row r="13" spans="1:66">
      <c r="A13" s="15">
        <f>+Chem!A12</f>
        <v>46026</v>
      </c>
      <c r="B13" s="5" t="str">
        <f>+Chem!B12</f>
        <v>Facial</v>
      </c>
      <c r="C13" s="15" t="str">
        <f>+Chem!C12</f>
        <v>12</v>
      </c>
      <c r="D13" s="7">
        <f>+Chem!D12</f>
        <v>39.433999999999997</v>
      </c>
      <c r="E13" s="6">
        <f>+Chem!E12</f>
        <v>37.954000000000001</v>
      </c>
      <c r="F13" s="6">
        <f t="shared" si="28"/>
        <v>151.541</v>
      </c>
      <c r="G13" s="95">
        <f>19*G7</f>
        <v>4750</v>
      </c>
      <c r="H13" s="9">
        <f t="shared" si="0"/>
        <v>11.067353255749712</v>
      </c>
      <c r="I13" s="7">
        <f t="shared" si="29"/>
        <v>23250</v>
      </c>
      <c r="J13" s="9">
        <f t="shared" si="1"/>
        <v>13.604140096171967</v>
      </c>
      <c r="K13" s="95"/>
      <c r="L13" s="9">
        <f t="shared" si="2"/>
        <v>0</v>
      </c>
      <c r="M13" s="9">
        <f t="shared" si="30"/>
        <v>0</v>
      </c>
      <c r="N13" s="9">
        <f t="shared" si="3"/>
        <v>0</v>
      </c>
      <c r="O13" s="95"/>
      <c r="P13" s="9">
        <f t="shared" si="4"/>
        <v>0</v>
      </c>
      <c r="Q13" s="9">
        <f t="shared" si="31"/>
        <v>0</v>
      </c>
      <c r="R13" s="9">
        <f t="shared" si="5"/>
        <v>0</v>
      </c>
      <c r="S13" s="9">
        <f t="shared" si="32"/>
        <v>4750</v>
      </c>
      <c r="T13" s="9">
        <f t="shared" si="6"/>
        <v>11.067353255749712</v>
      </c>
      <c r="U13" s="9">
        <f t="shared" si="33"/>
        <v>23250</v>
      </c>
      <c r="V13" s="9">
        <f t="shared" si="7"/>
        <v>13.604140096171967</v>
      </c>
      <c r="W13" s="95"/>
      <c r="X13" s="9"/>
      <c r="Y13" s="9"/>
      <c r="Z13" s="9"/>
      <c r="AA13" s="95">
        <f>76*AA7</f>
        <v>19052.439999999999</v>
      </c>
      <c r="AB13" s="9">
        <f t="shared" si="8"/>
        <v>44.391596602942322</v>
      </c>
      <c r="AC13" s="9">
        <f t="shared" si="34"/>
        <v>73702.86</v>
      </c>
      <c r="AD13" s="9">
        <f t="shared" si="9"/>
        <v>43.125334749615014</v>
      </c>
      <c r="AE13" s="95"/>
      <c r="AF13" s="9">
        <f t="shared" si="10"/>
        <v>0</v>
      </c>
      <c r="AG13" s="9">
        <f t="shared" si="35"/>
        <v>0</v>
      </c>
      <c r="AH13" s="9">
        <f t="shared" si="11"/>
        <v>0</v>
      </c>
      <c r="AI13" s="95"/>
      <c r="AJ13" s="9">
        <f t="shared" si="12"/>
        <v>0</v>
      </c>
      <c r="AK13" s="9">
        <f t="shared" si="36"/>
        <v>0</v>
      </c>
      <c r="AL13" s="9">
        <f t="shared" si="13"/>
        <v>0</v>
      </c>
      <c r="AM13" s="9">
        <f t="shared" si="37"/>
        <v>19052.439999999999</v>
      </c>
      <c r="AN13" s="9">
        <f t="shared" si="14"/>
        <v>44.391596602942322</v>
      </c>
      <c r="AO13" s="9">
        <f t="shared" si="38"/>
        <v>73702.86</v>
      </c>
      <c r="AP13" s="9">
        <f t="shared" si="15"/>
        <v>43.125334749615014</v>
      </c>
      <c r="AQ13" s="95">
        <f>76*AQ7</f>
        <v>19116.583999999999</v>
      </c>
      <c r="AR13" s="9">
        <f t="shared" si="16"/>
        <v>44.541050141307963</v>
      </c>
      <c r="AS13" s="9">
        <f t="shared" si="39"/>
        <v>73950.995999999999</v>
      </c>
      <c r="AT13" s="9">
        <f t="shared" si="17"/>
        <v>43.270525154213018</v>
      </c>
      <c r="AU13" s="95"/>
      <c r="AV13" s="9">
        <f t="shared" si="18"/>
        <v>0</v>
      </c>
      <c r="AW13" s="9">
        <f t="shared" si="40"/>
        <v>0</v>
      </c>
      <c r="AX13" s="9">
        <f t="shared" si="19"/>
        <v>0</v>
      </c>
      <c r="AY13" s="95"/>
      <c r="AZ13" s="14">
        <f t="shared" si="20"/>
        <v>0</v>
      </c>
      <c r="BA13" s="9">
        <f t="shared" si="41"/>
        <v>0</v>
      </c>
      <c r="BB13" s="9">
        <f t="shared" si="21"/>
        <v>0</v>
      </c>
      <c r="BC13" s="9">
        <f t="shared" si="42"/>
        <v>19116.583999999999</v>
      </c>
      <c r="BD13" s="9">
        <f t="shared" si="22"/>
        <v>44.541050141307963</v>
      </c>
      <c r="BE13" s="9">
        <f t="shared" si="43"/>
        <v>73950.995999999999</v>
      </c>
      <c r="BF13" s="9">
        <f t="shared" si="23"/>
        <v>43.270525154213018</v>
      </c>
      <c r="BG13" s="95">
        <v>0</v>
      </c>
      <c r="BH13" s="9">
        <f t="shared" si="24"/>
        <v>0</v>
      </c>
      <c r="BI13" s="9">
        <f t="shared" si="44"/>
        <v>0</v>
      </c>
      <c r="BJ13" s="9">
        <f t="shared" si="25"/>
        <v>0</v>
      </c>
      <c r="BK13" s="9">
        <f t="shared" si="45"/>
        <v>42919.023999999998</v>
      </c>
      <c r="BL13" s="9">
        <f t="shared" si="46"/>
        <v>170903.856</v>
      </c>
      <c r="BM13" s="509">
        <f t="shared" si="26"/>
        <v>1.1308168835959318</v>
      </c>
      <c r="BN13" s="9">
        <f t="shared" si="27"/>
        <v>1.1277730515174111</v>
      </c>
    </row>
    <row r="14" spans="1:66">
      <c r="A14" s="15">
        <f>+Chem!A13</f>
        <v>46027</v>
      </c>
      <c r="B14" s="5" t="str">
        <f>+Chem!B13</f>
        <v>Facial</v>
      </c>
      <c r="C14" s="15" t="str">
        <f>+Chem!C13</f>
        <v>12/13,5/12,5</v>
      </c>
      <c r="D14" s="7">
        <f>+Chem!D13</f>
        <v>41.802999999999997</v>
      </c>
      <c r="E14" s="6">
        <f>+Chem!E13</f>
        <v>40.939</v>
      </c>
      <c r="F14" s="6">
        <f t="shared" si="28"/>
        <v>192.48</v>
      </c>
      <c r="G14" s="96">
        <f>25.25*G7</f>
        <v>6312.5</v>
      </c>
      <c r="H14" s="86">
        <f t="shared" si="0"/>
        <v>14.519145675757954</v>
      </c>
      <c r="I14" s="7">
        <f t="shared" si="29"/>
        <v>29562.5</v>
      </c>
      <c r="J14" s="86">
        <f t="shared" si="1"/>
        <v>13.789705886715709</v>
      </c>
      <c r="K14" s="96"/>
      <c r="L14" s="86">
        <f t="shared" si="2"/>
        <v>0</v>
      </c>
      <c r="M14" s="86">
        <f t="shared" si="30"/>
        <v>0</v>
      </c>
      <c r="N14" s="86">
        <f t="shared" si="3"/>
        <v>0</v>
      </c>
      <c r="O14" s="96"/>
      <c r="P14" s="86">
        <f t="shared" si="4"/>
        <v>0</v>
      </c>
      <c r="Q14" s="86">
        <f t="shared" si="31"/>
        <v>0</v>
      </c>
      <c r="R14" s="86">
        <f t="shared" si="5"/>
        <v>0</v>
      </c>
      <c r="S14" s="9">
        <f t="shared" si="32"/>
        <v>6312.5</v>
      </c>
      <c r="T14" s="86">
        <f t="shared" si="6"/>
        <v>14.519145675757954</v>
      </c>
      <c r="U14" s="86">
        <f t="shared" si="33"/>
        <v>29562.5</v>
      </c>
      <c r="V14" s="86">
        <f t="shared" si="7"/>
        <v>13.789705886715709</v>
      </c>
      <c r="W14" s="96"/>
      <c r="X14" s="86"/>
      <c r="Y14" s="86"/>
      <c r="Z14" s="86"/>
      <c r="AA14" s="96">
        <f>74*AA7</f>
        <v>18551.060000000001</v>
      </c>
      <c r="AB14" s="86">
        <f t="shared" si="8"/>
        <v>42.668600804709136</v>
      </c>
      <c r="AC14" s="86">
        <f t="shared" si="34"/>
        <v>92253.92</v>
      </c>
      <c r="AD14" s="86">
        <f t="shared" si="9"/>
        <v>43.032707778320507</v>
      </c>
      <c r="AE14" s="96"/>
      <c r="AF14" s="86">
        <f t="shared" si="10"/>
        <v>0</v>
      </c>
      <c r="AG14" s="86">
        <f t="shared" si="35"/>
        <v>0</v>
      </c>
      <c r="AH14" s="86">
        <f t="shared" si="11"/>
        <v>0</v>
      </c>
      <c r="AI14" s="96"/>
      <c r="AJ14" s="86">
        <f t="shared" si="12"/>
        <v>0</v>
      </c>
      <c r="AK14" s="86">
        <f t="shared" si="36"/>
        <v>0</v>
      </c>
      <c r="AL14" s="86">
        <f t="shared" si="13"/>
        <v>0</v>
      </c>
      <c r="AM14" s="9">
        <f t="shared" si="37"/>
        <v>18551.060000000001</v>
      </c>
      <c r="AN14" s="86">
        <f t="shared" si="14"/>
        <v>42.668600804709136</v>
      </c>
      <c r="AO14" s="86">
        <f t="shared" si="38"/>
        <v>92253.92</v>
      </c>
      <c r="AP14" s="86">
        <f t="shared" si="15"/>
        <v>43.032707778320507</v>
      </c>
      <c r="AQ14" s="96">
        <f>74*AQ7</f>
        <v>18613.516</v>
      </c>
      <c r="AR14" s="86">
        <f t="shared" si="16"/>
        <v>42.812253519532909</v>
      </c>
      <c r="AS14" s="86">
        <f t="shared" si="39"/>
        <v>92564.512000000002</v>
      </c>
      <c r="AT14" s="86">
        <f t="shared" si="17"/>
        <v>43.177586334963785</v>
      </c>
      <c r="AU14" s="96"/>
      <c r="AV14" s="86">
        <f t="shared" si="18"/>
        <v>0</v>
      </c>
      <c r="AW14" s="86">
        <f t="shared" si="40"/>
        <v>0</v>
      </c>
      <c r="AX14" s="86">
        <f t="shared" si="19"/>
        <v>0</v>
      </c>
      <c r="AY14" s="96"/>
      <c r="AZ14" s="87">
        <f t="shared" si="20"/>
        <v>0</v>
      </c>
      <c r="BA14" s="86">
        <f t="shared" si="41"/>
        <v>0</v>
      </c>
      <c r="BB14" s="86">
        <f t="shared" si="21"/>
        <v>0</v>
      </c>
      <c r="BC14" s="86">
        <f t="shared" si="42"/>
        <v>18613.516</v>
      </c>
      <c r="BD14" s="86">
        <f t="shared" si="22"/>
        <v>42.812253519532909</v>
      </c>
      <c r="BE14" s="86">
        <f t="shared" si="43"/>
        <v>92564.512000000002</v>
      </c>
      <c r="BF14" s="86">
        <f t="shared" si="23"/>
        <v>43.177586334963785</v>
      </c>
      <c r="BG14" s="96">
        <v>0</v>
      </c>
      <c r="BH14" s="86">
        <f t="shared" si="24"/>
        <v>0</v>
      </c>
      <c r="BI14" s="86">
        <f t="shared" si="44"/>
        <v>0</v>
      </c>
      <c r="BJ14" s="86">
        <f t="shared" si="25"/>
        <v>0</v>
      </c>
      <c r="BK14" s="86">
        <f t="shared" si="45"/>
        <v>43477.076000000001</v>
      </c>
      <c r="BL14" s="86">
        <f t="shared" si="46"/>
        <v>214380.932</v>
      </c>
      <c r="BM14" s="509">
        <f t="shared" si="26"/>
        <v>1.0619965314248028</v>
      </c>
      <c r="BN14" s="86">
        <f t="shared" si="27"/>
        <v>1.1137828969243559</v>
      </c>
    </row>
    <row r="15" spans="1:66">
      <c r="A15" s="15">
        <f>+Chem!A14</f>
        <v>46028</v>
      </c>
      <c r="B15" s="5" t="str">
        <f>+Chem!B14</f>
        <v>Facial</v>
      </c>
      <c r="C15" s="15" t="str">
        <f>+Chem!C14</f>
        <v>12,5/12</v>
      </c>
      <c r="D15" s="7">
        <f>+Chem!D14</f>
        <v>40.860999999999997</v>
      </c>
      <c r="E15" s="6">
        <f>+Chem!E14</f>
        <v>36.616999999999997</v>
      </c>
      <c r="F15" s="6">
        <f t="shared" si="28"/>
        <v>229.09699999999998</v>
      </c>
      <c r="G15" s="96">
        <f>26.25*G7</f>
        <v>6562.5</v>
      </c>
      <c r="H15" s="86">
        <f t="shared" si="0"/>
        <v>15.73055200394648</v>
      </c>
      <c r="I15" s="7">
        <f t="shared" si="29"/>
        <v>36125</v>
      </c>
      <c r="J15" s="86">
        <f t="shared" si="1"/>
        <v>14.105866950448466</v>
      </c>
      <c r="K15" s="96"/>
      <c r="L15" s="86">
        <f t="shared" si="2"/>
        <v>0</v>
      </c>
      <c r="M15" s="86">
        <f t="shared" si="30"/>
        <v>0</v>
      </c>
      <c r="N15" s="86">
        <f t="shared" si="3"/>
        <v>0</v>
      </c>
      <c r="O15" s="96"/>
      <c r="P15" s="86">
        <f t="shared" si="4"/>
        <v>0</v>
      </c>
      <c r="Q15" s="86">
        <f t="shared" si="31"/>
        <v>0</v>
      </c>
      <c r="R15" s="86">
        <f t="shared" si="5"/>
        <v>0</v>
      </c>
      <c r="S15" s="9">
        <f t="shared" si="32"/>
        <v>6562.5</v>
      </c>
      <c r="T15" s="86">
        <f t="shared" si="6"/>
        <v>15.73055200394648</v>
      </c>
      <c r="U15" s="86">
        <f t="shared" si="33"/>
        <v>36125</v>
      </c>
      <c r="V15" s="86">
        <f t="shared" si="7"/>
        <v>14.105866950448466</v>
      </c>
      <c r="W15" s="96"/>
      <c r="X15" s="86"/>
      <c r="Y15" s="86"/>
      <c r="Z15" s="86"/>
      <c r="AA15" s="96">
        <f>70*AA7</f>
        <v>17548.3</v>
      </c>
      <c r="AB15" s="86">
        <f t="shared" si="8"/>
        <v>42.063915539939664</v>
      </c>
      <c r="AC15" s="86">
        <f t="shared" si="34"/>
        <v>109802.22</v>
      </c>
      <c r="AD15" s="86">
        <f t="shared" si="9"/>
        <v>42.874892904743852</v>
      </c>
      <c r="AE15" s="96"/>
      <c r="AF15" s="86">
        <f t="shared" si="10"/>
        <v>0</v>
      </c>
      <c r="AG15" s="86">
        <f t="shared" si="35"/>
        <v>0</v>
      </c>
      <c r="AH15" s="86">
        <f t="shared" si="11"/>
        <v>0</v>
      </c>
      <c r="AI15" s="96"/>
      <c r="AJ15" s="86">
        <f t="shared" si="12"/>
        <v>0</v>
      </c>
      <c r="AK15" s="86">
        <f t="shared" si="36"/>
        <v>0</v>
      </c>
      <c r="AL15" s="86">
        <f t="shared" si="13"/>
        <v>0</v>
      </c>
      <c r="AM15" s="9">
        <f t="shared" si="37"/>
        <v>17548.3</v>
      </c>
      <c r="AN15" s="86">
        <f t="shared" si="14"/>
        <v>42.063915539939664</v>
      </c>
      <c r="AO15" s="86">
        <f t="shared" si="38"/>
        <v>109802.22</v>
      </c>
      <c r="AP15" s="86">
        <f t="shared" si="15"/>
        <v>42.874892904743852</v>
      </c>
      <c r="AQ15" s="96">
        <f>70*AQ7</f>
        <v>17607.38</v>
      </c>
      <c r="AR15" s="86">
        <f t="shared" si="16"/>
        <v>42.205532456113858</v>
      </c>
      <c r="AS15" s="86">
        <f t="shared" si="39"/>
        <v>110171.89200000001</v>
      </c>
      <c r="AT15" s="86">
        <f t="shared" si="17"/>
        <v>43.019240144807689</v>
      </c>
      <c r="AU15" s="96"/>
      <c r="AV15" s="86">
        <f t="shared" si="18"/>
        <v>0</v>
      </c>
      <c r="AW15" s="86">
        <f t="shared" si="40"/>
        <v>0</v>
      </c>
      <c r="AX15" s="86">
        <f t="shared" si="19"/>
        <v>0</v>
      </c>
      <c r="AY15" s="96"/>
      <c r="AZ15" s="87">
        <f t="shared" si="20"/>
        <v>0</v>
      </c>
      <c r="BA15" s="86">
        <f t="shared" si="41"/>
        <v>0</v>
      </c>
      <c r="BB15" s="86">
        <f t="shared" si="21"/>
        <v>0</v>
      </c>
      <c r="BC15" s="86">
        <f t="shared" si="42"/>
        <v>17607.38</v>
      </c>
      <c r="BD15" s="86">
        <f t="shared" si="22"/>
        <v>42.205532456113858</v>
      </c>
      <c r="BE15" s="86">
        <f t="shared" si="43"/>
        <v>110171.89200000001</v>
      </c>
      <c r="BF15" s="86">
        <f t="shared" si="23"/>
        <v>43.019240144807689</v>
      </c>
      <c r="BG15" s="96">
        <v>0</v>
      </c>
      <c r="BH15" s="86">
        <f t="shared" si="24"/>
        <v>0</v>
      </c>
      <c r="BI15" s="86">
        <f t="shared" si="44"/>
        <v>0</v>
      </c>
      <c r="BJ15" s="86">
        <f t="shared" si="25"/>
        <v>0</v>
      </c>
      <c r="BK15" s="86">
        <f t="shared" si="45"/>
        <v>41718.18</v>
      </c>
      <c r="BL15" s="86">
        <f t="shared" si="46"/>
        <v>256099.11199999999</v>
      </c>
      <c r="BM15" s="509">
        <f t="shared" si="26"/>
        <v>1.1393117950678648</v>
      </c>
      <c r="BN15" s="86">
        <f t="shared" si="27"/>
        <v>1.1178632282395666</v>
      </c>
    </row>
    <row r="16" spans="1:66">
      <c r="A16" s="15">
        <f>+Chem!A15</f>
        <v>46029</v>
      </c>
      <c r="B16" s="5" t="str">
        <f>+Chem!B15</f>
        <v>Facial</v>
      </c>
      <c r="C16" s="15" t="str">
        <f>+Chem!C15</f>
        <v>12</v>
      </c>
      <c r="D16" s="7">
        <f>+Chem!D15</f>
        <v>39.362000000000002</v>
      </c>
      <c r="E16" s="6">
        <f>+Chem!E15</f>
        <v>37.741</v>
      </c>
      <c r="F16" s="6">
        <f t="shared" si="28"/>
        <v>266.83799999999997</v>
      </c>
      <c r="G16" s="96">
        <f>24.75*G7</f>
        <v>6187.5</v>
      </c>
      <c r="H16" s="86">
        <f t="shared" si="0"/>
        <v>15.73055200394648</v>
      </c>
      <c r="I16" s="7">
        <f t="shared" si="29"/>
        <v>42312.5</v>
      </c>
      <c r="J16" s="86">
        <f t="shared" si="1"/>
        <v>14.322179067392909</v>
      </c>
      <c r="K16" s="96"/>
      <c r="L16" s="86">
        <f t="shared" si="2"/>
        <v>0</v>
      </c>
      <c r="M16" s="86">
        <f t="shared" si="30"/>
        <v>0</v>
      </c>
      <c r="N16" s="86">
        <f t="shared" si="3"/>
        <v>0</v>
      </c>
      <c r="O16" s="96"/>
      <c r="P16" s="86">
        <f t="shared" si="4"/>
        <v>0</v>
      </c>
      <c r="Q16" s="86">
        <f t="shared" si="31"/>
        <v>0</v>
      </c>
      <c r="R16" s="86">
        <f t="shared" si="5"/>
        <v>0</v>
      </c>
      <c r="S16" s="9">
        <f t="shared" si="32"/>
        <v>6187.5</v>
      </c>
      <c r="T16" s="86">
        <f t="shared" si="6"/>
        <v>15.73055200394648</v>
      </c>
      <c r="U16" s="86">
        <f t="shared" si="33"/>
        <v>42312.5</v>
      </c>
      <c r="V16" s="86">
        <f t="shared" si="7"/>
        <v>14.322179067392909</v>
      </c>
      <c r="W16" s="96"/>
      <c r="X16" s="86"/>
      <c r="Y16" s="86"/>
      <c r="Z16" s="86"/>
      <c r="AA16" s="96">
        <f>66*AA7</f>
        <v>16545.54</v>
      </c>
      <c r="AB16" s="86">
        <f t="shared" si="8"/>
        <v>42.063915539939664</v>
      </c>
      <c r="AC16" s="86">
        <f t="shared" si="34"/>
        <v>126347.76000000001</v>
      </c>
      <c r="AD16" s="86">
        <f t="shared" si="9"/>
        <v>42.766918605234459</v>
      </c>
      <c r="AE16" s="96"/>
      <c r="AF16" s="86">
        <f t="shared" si="10"/>
        <v>0</v>
      </c>
      <c r="AG16" s="86">
        <f t="shared" si="35"/>
        <v>0</v>
      </c>
      <c r="AH16" s="86">
        <f t="shared" si="11"/>
        <v>0</v>
      </c>
      <c r="AI16" s="96"/>
      <c r="AJ16" s="86">
        <f t="shared" si="12"/>
        <v>0</v>
      </c>
      <c r="AK16" s="86">
        <f t="shared" si="36"/>
        <v>0</v>
      </c>
      <c r="AL16" s="86">
        <f t="shared" si="13"/>
        <v>0</v>
      </c>
      <c r="AM16" s="9">
        <f t="shared" si="37"/>
        <v>16545.54</v>
      </c>
      <c r="AN16" s="86">
        <f t="shared" si="14"/>
        <v>42.063915539939664</v>
      </c>
      <c r="AO16" s="86">
        <f t="shared" si="38"/>
        <v>126347.76000000001</v>
      </c>
      <c r="AP16" s="86">
        <f t="shared" si="15"/>
        <v>42.766918605234459</v>
      </c>
      <c r="AQ16" s="96">
        <f>66*AQ7</f>
        <v>16601.243999999999</v>
      </c>
      <c r="AR16" s="86">
        <f t="shared" si="16"/>
        <v>42.205532456113851</v>
      </c>
      <c r="AS16" s="86">
        <f t="shared" si="39"/>
        <v>126773.136</v>
      </c>
      <c r="AT16" s="86">
        <f t="shared" si="17"/>
        <v>42.910902327372632</v>
      </c>
      <c r="AU16" s="96"/>
      <c r="AV16" s="86">
        <f t="shared" si="18"/>
        <v>0</v>
      </c>
      <c r="AW16" s="86">
        <f t="shared" si="40"/>
        <v>0</v>
      </c>
      <c r="AX16" s="86">
        <f t="shared" si="19"/>
        <v>0</v>
      </c>
      <c r="AY16" s="96"/>
      <c r="AZ16" s="87">
        <f t="shared" si="20"/>
        <v>0</v>
      </c>
      <c r="BA16" s="86">
        <f t="shared" si="41"/>
        <v>0</v>
      </c>
      <c r="BB16" s="86">
        <f t="shared" si="21"/>
        <v>0</v>
      </c>
      <c r="BC16" s="86">
        <f t="shared" si="42"/>
        <v>16601.243999999999</v>
      </c>
      <c r="BD16" s="86">
        <f t="shared" si="22"/>
        <v>42.205532456113851</v>
      </c>
      <c r="BE16" s="86">
        <f t="shared" si="43"/>
        <v>126773.136</v>
      </c>
      <c r="BF16" s="86">
        <f t="shared" si="23"/>
        <v>42.910902327372632</v>
      </c>
      <c r="BG16" s="96">
        <v>0</v>
      </c>
      <c r="BH16" s="86">
        <f t="shared" si="24"/>
        <v>0</v>
      </c>
      <c r="BI16" s="86">
        <f t="shared" si="44"/>
        <v>0</v>
      </c>
      <c r="BJ16" s="86">
        <f t="shared" si="25"/>
        <v>0</v>
      </c>
      <c r="BK16" s="86">
        <f t="shared" si="45"/>
        <v>39334.284</v>
      </c>
      <c r="BL16" s="86">
        <f t="shared" si="46"/>
        <v>295433.39600000001</v>
      </c>
      <c r="BM16" s="509">
        <f t="shared" si="26"/>
        <v>1.0422162634800349</v>
      </c>
      <c r="BN16" s="86">
        <f t="shared" si="27"/>
        <v>1.1071638822056831</v>
      </c>
    </row>
    <row r="17" spans="1:75">
      <c r="A17" s="15">
        <f>+Chem!A16</f>
        <v>46030</v>
      </c>
      <c r="B17" s="5" t="str">
        <f>+Chem!B16</f>
        <v>Facial</v>
      </c>
      <c r="C17" s="15" t="str">
        <f>+Chem!C16</f>
        <v>12</v>
      </c>
      <c r="D17" s="7">
        <f>+Chem!D16</f>
        <v>37.32</v>
      </c>
      <c r="E17" s="6">
        <f>+Chem!E16</f>
        <v>36.515000000000001</v>
      </c>
      <c r="F17" s="6">
        <f t="shared" si="28"/>
        <v>303.35299999999995</v>
      </c>
      <c r="G17" s="96">
        <f>20.75*G7</f>
        <v>5187.5</v>
      </c>
      <c r="H17" s="86">
        <f t="shared" si="0"/>
        <v>13.532273095279413</v>
      </c>
      <c r="I17" s="7">
        <f t="shared" si="29"/>
        <v>47500</v>
      </c>
      <c r="J17" s="86">
        <f t="shared" si="1"/>
        <v>14.231455843777324</v>
      </c>
      <c r="K17" s="96"/>
      <c r="L17" s="86">
        <f t="shared" si="2"/>
        <v>0</v>
      </c>
      <c r="M17" s="86">
        <f t="shared" si="30"/>
        <v>0</v>
      </c>
      <c r="N17" s="86">
        <f t="shared" si="3"/>
        <v>0</v>
      </c>
      <c r="O17" s="96"/>
      <c r="P17" s="86">
        <f t="shared" si="4"/>
        <v>0</v>
      </c>
      <c r="Q17" s="86">
        <f t="shared" si="31"/>
        <v>0</v>
      </c>
      <c r="R17" s="86">
        <f t="shared" si="5"/>
        <v>0</v>
      </c>
      <c r="S17" s="9">
        <f t="shared" si="32"/>
        <v>5187.5</v>
      </c>
      <c r="T17" s="86">
        <f t="shared" si="6"/>
        <v>13.532273095279413</v>
      </c>
      <c r="U17" s="86">
        <f t="shared" si="33"/>
        <v>47500</v>
      </c>
      <c r="V17" s="86">
        <f t="shared" si="7"/>
        <v>14.231455843777324</v>
      </c>
      <c r="W17" s="96"/>
      <c r="X17" s="86"/>
      <c r="Y17" s="86"/>
      <c r="Z17" s="86"/>
      <c r="AA17" s="96">
        <f>66*AA7</f>
        <v>16545.54</v>
      </c>
      <c r="AB17" s="86">
        <f t="shared" si="8"/>
        <v>43.161207862914566</v>
      </c>
      <c r="AC17" s="86">
        <f t="shared" si="34"/>
        <v>142893.30000000002</v>
      </c>
      <c r="AD17" s="86">
        <f t="shared" si="9"/>
        <v>42.812203985718455</v>
      </c>
      <c r="AE17" s="96"/>
      <c r="AF17" s="86">
        <f t="shared" si="10"/>
        <v>0</v>
      </c>
      <c r="AG17" s="86">
        <f t="shared" si="35"/>
        <v>0</v>
      </c>
      <c r="AH17" s="86">
        <f t="shared" si="11"/>
        <v>0</v>
      </c>
      <c r="AI17" s="96"/>
      <c r="AJ17" s="86">
        <f t="shared" si="12"/>
        <v>0</v>
      </c>
      <c r="AK17" s="86">
        <f t="shared" si="36"/>
        <v>0</v>
      </c>
      <c r="AL17" s="86">
        <f t="shared" si="13"/>
        <v>0</v>
      </c>
      <c r="AM17" s="9">
        <f t="shared" si="37"/>
        <v>16545.54</v>
      </c>
      <c r="AN17" s="86">
        <f t="shared" si="14"/>
        <v>43.161207862914566</v>
      </c>
      <c r="AO17" s="86">
        <f t="shared" si="38"/>
        <v>142893.30000000002</v>
      </c>
      <c r="AP17" s="86">
        <f t="shared" si="15"/>
        <v>42.812203985718455</v>
      </c>
      <c r="AQ17" s="96">
        <f>66*AQ7</f>
        <v>16601.243999999999</v>
      </c>
      <c r="AR17" s="86">
        <f t="shared" si="16"/>
        <v>43.30651904180602</v>
      </c>
      <c r="AS17" s="86">
        <f t="shared" si="39"/>
        <v>143374.38</v>
      </c>
      <c r="AT17" s="86">
        <f t="shared" si="17"/>
        <v>42.956340170504227</v>
      </c>
      <c r="AU17" s="96"/>
      <c r="AV17" s="86">
        <f t="shared" si="18"/>
        <v>0</v>
      </c>
      <c r="AW17" s="86">
        <f t="shared" si="40"/>
        <v>0</v>
      </c>
      <c r="AX17" s="86">
        <f t="shared" si="19"/>
        <v>0</v>
      </c>
      <c r="AY17" s="96"/>
      <c r="AZ17" s="87">
        <f t="shared" si="20"/>
        <v>0</v>
      </c>
      <c r="BA17" s="86">
        <f t="shared" si="41"/>
        <v>0</v>
      </c>
      <c r="BB17" s="86">
        <f t="shared" si="21"/>
        <v>0</v>
      </c>
      <c r="BC17" s="86">
        <f t="shared" si="42"/>
        <v>16601.243999999999</v>
      </c>
      <c r="BD17" s="86">
        <f t="shared" si="22"/>
        <v>43.30651904180602</v>
      </c>
      <c r="BE17" s="86">
        <f t="shared" si="43"/>
        <v>143374.38</v>
      </c>
      <c r="BF17" s="86">
        <f t="shared" si="23"/>
        <v>42.956340170504227</v>
      </c>
      <c r="BG17" s="96">
        <v>0</v>
      </c>
      <c r="BH17" s="86">
        <f t="shared" si="24"/>
        <v>0</v>
      </c>
      <c r="BI17" s="86">
        <f t="shared" si="44"/>
        <v>0</v>
      </c>
      <c r="BJ17" s="86">
        <f t="shared" si="25"/>
        <v>0</v>
      </c>
      <c r="BK17" s="86">
        <f t="shared" si="45"/>
        <v>38334.284</v>
      </c>
      <c r="BL17" s="86">
        <f t="shared" si="46"/>
        <v>333767.67999999999</v>
      </c>
      <c r="BM17" s="509">
        <f t="shared" si="26"/>
        <v>1.0498229220868136</v>
      </c>
      <c r="BN17" s="86">
        <f t="shared" si="27"/>
        <v>1.1002616753419285</v>
      </c>
    </row>
    <row r="18" spans="1:75">
      <c r="A18" s="15">
        <f>+Chem!A17</f>
        <v>46031</v>
      </c>
      <c r="B18" s="5" t="str">
        <f>+Chem!B17</f>
        <v>Facial</v>
      </c>
      <c r="C18" s="15" t="str">
        <f>+Chem!C17</f>
        <v>12/13,5</v>
      </c>
      <c r="D18" s="7">
        <f>+Chem!D17</f>
        <v>25.249000000000002</v>
      </c>
      <c r="E18" s="6">
        <f>+Chem!E17</f>
        <v>25.311</v>
      </c>
      <c r="F18" s="6">
        <f t="shared" si="28"/>
        <v>328.66399999999993</v>
      </c>
      <c r="G18" s="95">
        <f>11.5*G7</f>
        <v>2875</v>
      </c>
      <c r="H18" s="9">
        <f t="shared" si="0"/>
        <v>13.719834021981514</v>
      </c>
      <c r="I18" s="7">
        <f t="shared" si="29"/>
        <v>50375</v>
      </c>
      <c r="J18" s="9">
        <f t="shared" si="1"/>
        <v>14.201232047302836</v>
      </c>
      <c r="K18" s="95"/>
      <c r="L18" s="9">
        <f t="shared" si="2"/>
        <v>0</v>
      </c>
      <c r="M18" s="9">
        <f t="shared" si="30"/>
        <v>0</v>
      </c>
      <c r="N18" s="9">
        <f t="shared" si="3"/>
        <v>0</v>
      </c>
      <c r="O18" s="95"/>
      <c r="P18" s="9">
        <f t="shared" si="4"/>
        <v>0</v>
      </c>
      <c r="Q18" s="9">
        <f t="shared" si="31"/>
        <v>0</v>
      </c>
      <c r="R18" s="9">
        <f t="shared" si="5"/>
        <v>0</v>
      </c>
      <c r="S18" s="9">
        <f t="shared" si="32"/>
        <v>2875</v>
      </c>
      <c r="T18" s="9">
        <f t="shared" si="6"/>
        <v>13.719834021981514</v>
      </c>
      <c r="U18" s="9">
        <f t="shared" si="33"/>
        <v>50375</v>
      </c>
      <c r="V18" s="9">
        <f t="shared" si="7"/>
        <v>14.201232047302836</v>
      </c>
      <c r="W18" s="95"/>
      <c r="X18" s="9"/>
      <c r="Y18" s="9"/>
      <c r="Z18" s="9"/>
      <c r="AA18" s="95">
        <f>36*AA7</f>
        <v>9024.84</v>
      </c>
      <c r="AB18" s="9">
        <f t="shared" si="8"/>
        <v>43.067584999979012</v>
      </c>
      <c r="AC18" s="9">
        <f t="shared" si="34"/>
        <v>151918.14000000001</v>
      </c>
      <c r="AD18" s="9">
        <f t="shared" si="9"/>
        <v>42.827290488032538</v>
      </c>
      <c r="AE18" s="95"/>
      <c r="AF18" s="9">
        <f t="shared" si="10"/>
        <v>0</v>
      </c>
      <c r="AG18" s="9">
        <f t="shared" si="35"/>
        <v>0</v>
      </c>
      <c r="AH18" s="9">
        <f t="shared" si="11"/>
        <v>0</v>
      </c>
      <c r="AI18" s="95"/>
      <c r="AJ18" s="9">
        <f t="shared" si="12"/>
        <v>0</v>
      </c>
      <c r="AK18" s="9">
        <f t="shared" si="36"/>
        <v>0</v>
      </c>
      <c r="AL18" s="9">
        <f t="shared" si="13"/>
        <v>0</v>
      </c>
      <c r="AM18" s="9">
        <f t="shared" si="37"/>
        <v>9024.84</v>
      </c>
      <c r="AN18" s="9">
        <f t="shared" si="14"/>
        <v>43.067584999979012</v>
      </c>
      <c r="AO18" s="9">
        <f t="shared" si="38"/>
        <v>151918.14000000001</v>
      </c>
      <c r="AP18" s="9">
        <f t="shared" si="15"/>
        <v>42.827290488032538</v>
      </c>
      <c r="AQ18" s="95">
        <f>36*AQ7</f>
        <v>9055.2240000000002</v>
      </c>
      <c r="AR18" s="9">
        <f t="shared" si="16"/>
        <v>43.21258097803949</v>
      </c>
      <c r="AS18" s="9">
        <f t="shared" si="39"/>
        <v>152429.60399999999</v>
      </c>
      <c r="AT18" s="9">
        <f t="shared" si="17"/>
        <v>42.971477464664623</v>
      </c>
      <c r="AU18" s="95"/>
      <c r="AV18" s="9">
        <f t="shared" si="18"/>
        <v>0</v>
      </c>
      <c r="AW18" s="9">
        <f t="shared" si="40"/>
        <v>0</v>
      </c>
      <c r="AX18" s="9">
        <f t="shared" si="19"/>
        <v>0</v>
      </c>
      <c r="AY18" s="95"/>
      <c r="AZ18" s="14">
        <f t="shared" si="20"/>
        <v>0</v>
      </c>
      <c r="BA18" s="9">
        <f t="shared" si="41"/>
        <v>0</v>
      </c>
      <c r="BB18" s="9">
        <f t="shared" si="21"/>
        <v>0</v>
      </c>
      <c r="BC18" s="9">
        <f t="shared" si="42"/>
        <v>9055.2240000000002</v>
      </c>
      <c r="BD18" s="9">
        <f t="shared" si="22"/>
        <v>43.21258097803949</v>
      </c>
      <c r="BE18" s="9">
        <f t="shared" si="43"/>
        <v>152429.60399999999</v>
      </c>
      <c r="BF18" s="9">
        <f t="shared" si="23"/>
        <v>42.971477464664623</v>
      </c>
      <c r="BG18" s="95">
        <v>0</v>
      </c>
      <c r="BH18" s="9">
        <f t="shared" si="24"/>
        <v>0</v>
      </c>
      <c r="BI18" s="9">
        <f t="shared" si="44"/>
        <v>0</v>
      </c>
      <c r="BJ18" s="9">
        <f t="shared" si="25"/>
        <v>0</v>
      </c>
      <c r="BK18" s="9">
        <f t="shared" si="45"/>
        <v>20955.063999999998</v>
      </c>
      <c r="BL18" s="9">
        <f t="shared" si="46"/>
        <v>354722.74400000001</v>
      </c>
      <c r="BM18" s="509">
        <f t="shared" si="26"/>
        <v>0.82790344119157677</v>
      </c>
      <c r="BN18" s="9">
        <f t="shared" si="27"/>
        <v>1.0792868826521922</v>
      </c>
    </row>
    <row r="19" spans="1:75">
      <c r="A19" s="15">
        <f>+Chem!A18</f>
        <v>46032</v>
      </c>
      <c r="B19" s="5" t="str">
        <f>+Chem!B18</f>
        <v>Facial</v>
      </c>
      <c r="C19" s="15" t="str">
        <f>+Chem!C18</f>
        <v>12/13,5</v>
      </c>
      <c r="D19" s="7">
        <f>+Chem!D18</f>
        <v>35.371000000000002</v>
      </c>
      <c r="E19" s="6">
        <f>+Chem!E18</f>
        <v>31.187999999999999</v>
      </c>
      <c r="F19" s="6">
        <f t="shared" si="28"/>
        <v>359.85199999999992</v>
      </c>
      <c r="G19" s="95">
        <f>16.5*G7</f>
        <v>4125</v>
      </c>
      <c r="H19" s="9">
        <f t="shared" si="0"/>
        <v>11.06735325574971</v>
      </c>
      <c r="I19" s="7">
        <f t="shared" si="29"/>
        <v>54500</v>
      </c>
      <c r="J19" s="9">
        <f t="shared" si="1"/>
        <v>13.903255302584224</v>
      </c>
      <c r="K19" s="95"/>
      <c r="L19" s="9">
        <f t="shared" si="2"/>
        <v>0</v>
      </c>
      <c r="M19" s="9">
        <f t="shared" si="30"/>
        <v>0</v>
      </c>
      <c r="N19" s="9">
        <f t="shared" si="3"/>
        <v>0</v>
      </c>
      <c r="O19" s="95"/>
      <c r="P19" s="9">
        <f t="shared" si="4"/>
        <v>0</v>
      </c>
      <c r="Q19" s="9">
        <f t="shared" si="31"/>
        <v>0</v>
      </c>
      <c r="R19" s="9">
        <f t="shared" si="5"/>
        <v>0</v>
      </c>
      <c r="S19" s="9">
        <f t="shared" si="32"/>
        <v>4125</v>
      </c>
      <c r="T19" s="9">
        <f t="shared" si="6"/>
        <v>11.06735325574971</v>
      </c>
      <c r="U19" s="9">
        <f t="shared" si="33"/>
        <v>54500</v>
      </c>
      <c r="V19" s="9">
        <f t="shared" si="7"/>
        <v>13.903255302584224</v>
      </c>
      <c r="W19" s="95"/>
      <c r="X19" s="9"/>
      <c r="Y19" s="9"/>
      <c r="Z19" s="9"/>
      <c r="AA19" s="95">
        <f>66*AA7</f>
        <v>16545.54</v>
      </c>
      <c r="AB19" s="9">
        <f t="shared" si="8"/>
        <v>44.391596602942322</v>
      </c>
      <c r="AC19" s="9">
        <f t="shared" si="34"/>
        <v>168463.68000000002</v>
      </c>
      <c r="AD19" s="9">
        <f t="shared" si="9"/>
        <v>42.976028481703707</v>
      </c>
      <c r="AE19" s="95"/>
      <c r="AF19" s="9">
        <f t="shared" si="10"/>
        <v>0</v>
      </c>
      <c r="AG19" s="9">
        <f t="shared" si="35"/>
        <v>0</v>
      </c>
      <c r="AH19" s="9">
        <f t="shared" si="11"/>
        <v>0</v>
      </c>
      <c r="AI19" s="95"/>
      <c r="AJ19" s="9">
        <f t="shared" si="12"/>
        <v>0</v>
      </c>
      <c r="AK19" s="9">
        <f t="shared" si="36"/>
        <v>0</v>
      </c>
      <c r="AL19" s="9">
        <f t="shared" si="13"/>
        <v>0</v>
      </c>
      <c r="AM19" s="9">
        <f t="shared" si="37"/>
        <v>16545.54</v>
      </c>
      <c r="AN19" s="9">
        <f t="shared" si="14"/>
        <v>44.391596602942322</v>
      </c>
      <c r="AO19" s="9">
        <f t="shared" si="38"/>
        <v>168463.68000000002</v>
      </c>
      <c r="AP19" s="9">
        <f t="shared" si="15"/>
        <v>42.976028481703707</v>
      </c>
      <c r="AQ19" s="95">
        <f>66*AQ7</f>
        <v>16601.243999999999</v>
      </c>
      <c r="AR19" s="9">
        <f t="shared" si="16"/>
        <v>44.541050141307963</v>
      </c>
      <c r="AS19" s="9">
        <f t="shared" si="39"/>
        <v>169030.848</v>
      </c>
      <c r="AT19" s="9">
        <f t="shared" si="17"/>
        <v>43.120716215712072</v>
      </c>
      <c r="AU19" s="95"/>
      <c r="AV19" s="9">
        <f t="shared" si="18"/>
        <v>0</v>
      </c>
      <c r="AW19" s="9">
        <f t="shared" si="40"/>
        <v>0</v>
      </c>
      <c r="AX19" s="9">
        <f t="shared" si="19"/>
        <v>0</v>
      </c>
      <c r="AY19" s="95"/>
      <c r="AZ19" s="14">
        <f t="shared" si="20"/>
        <v>0</v>
      </c>
      <c r="BA19" s="9">
        <f t="shared" si="41"/>
        <v>0</v>
      </c>
      <c r="BB19" s="9">
        <f t="shared" si="21"/>
        <v>0</v>
      </c>
      <c r="BC19" s="9">
        <f t="shared" si="42"/>
        <v>16601.243999999999</v>
      </c>
      <c r="BD19" s="9">
        <f t="shared" si="22"/>
        <v>44.541050141307963</v>
      </c>
      <c r="BE19" s="9">
        <f t="shared" si="43"/>
        <v>169030.848</v>
      </c>
      <c r="BF19" s="9">
        <f t="shared" si="23"/>
        <v>43.120716215712072</v>
      </c>
      <c r="BG19" s="95"/>
      <c r="BH19" s="9">
        <f t="shared" si="24"/>
        <v>0</v>
      </c>
      <c r="BI19" s="9">
        <f t="shared" si="44"/>
        <v>0</v>
      </c>
      <c r="BJ19" s="9">
        <f t="shared" si="25"/>
        <v>0</v>
      </c>
      <c r="BK19" s="9">
        <f t="shared" si="45"/>
        <v>37271.784</v>
      </c>
      <c r="BL19" s="9">
        <f t="shared" si="46"/>
        <v>391994.52799999999</v>
      </c>
      <c r="BM19" s="509">
        <f t="shared" si="26"/>
        <v>1.1950681031165833</v>
      </c>
      <c r="BN19" s="9">
        <f t="shared" si="27"/>
        <v>1.0893215210697733</v>
      </c>
    </row>
    <row r="20" spans="1:75">
      <c r="A20" s="15">
        <f>+Chem!A19</f>
        <v>46033</v>
      </c>
      <c r="B20" s="5" t="str">
        <f>+Chem!B19</f>
        <v>Facial</v>
      </c>
      <c r="C20" s="15" t="str">
        <f>+Chem!C19</f>
        <v>13,5</v>
      </c>
      <c r="D20" s="7">
        <f>+Chem!D19</f>
        <v>43.920999999999999</v>
      </c>
      <c r="E20" s="6">
        <f>+Chem!E19</f>
        <v>45.264000000000003</v>
      </c>
      <c r="F20" s="6">
        <f t="shared" si="28"/>
        <v>405.11599999999993</v>
      </c>
      <c r="G20" s="95">
        <f>21*G7</f>
        <v>5250</v>
      </c>
      <c r="H20" s="9">
        <f t="shared" si="0"/>
        <v>11.067353255749712</v>
      </c>
      <c r="I20" s="7">
        <f t="shared" si="29"/>
        <v>59750</v>
      </c>
      <c r="J20" s="9">
        <f t="shared" si="1"/>
        <v>13.597118370327266</v>
      </c>
      <c r="K20" s="95"/>
      <c r="L20" s="9">
        <f t="shared" si="2"/>
        <v>0</v>
      </c>
      <c r="M20" s="9">
        <f t="shared" si="30"/>
        <v>0</v>
      </c>
      <c r="N20" s="9">
        <f t="shared" si="3"/>
        <v>0</v>
      </c>
      <c r="O20" s="95"/>
      <c r="P20" s="9">
        <f t="shared" si="4"/>
        <v>0</v>
      </c>
      <c r="Q20" s="9">
        <f t="shared" si="31"/>
        <v>0</v>
      </c>
      <c r="R20" s="9">
        <f t="shared" si="5"/>
        <v>0</v>
      </c>
      <c r="S20" s="9">
        <f t="shared" si="32"/>
        <v>5250</v>
      </c>
      <c r="T20" s="9">
        <f t="shared" si="6"/>
        <v>11.067353255749712</v>
      </c>
      <c r="U20" s="9">
        <f t="shared" si="33"/>
        <v>59750</v>
      </c>
      <c r="V20" s="9">
        <f t="shared" si="7"/>
        <v>13.597118370327266</v>
      </c>
      <c r="W20" s="95"/>
      <c r="X20" s="9"/>
      <c r="Y20" s="9"/>
      <c r="Z20" s="9"/>
      <c r="AA20" s="95">
        <f>84*AA7</f>
        <v>21057.96</v>
      </c>
      <c r="AB20" s="9">
        <f t="shared" si="8"/>
        <v>44.391596602942322</v>
      </c>
      <c r="AC20" s="9">
        <f t="shared" si="34"/>
        <v>189521.64</v>
      </c>
      <c r="AD20" s="9">
        <f t="shared" si="9"/>
        <v>43.128839712444368</v>
      </c>
      <c r="AE20" s="95"/>
      <c r="AF20" s="9">
        <f t="shared" si="10"/>
        <v>0</v>
      </c>
      <c r="AG20" s="9">
        <f t="shared" si="35"/>
        <v>0</v>
      </c>
      <c r="AH20" s="9">
        <f t="shared" si="11"/>
        <v>0</v>
      </c>
      <c r="AI20" s="95"/>
      <c r="AJ20" s="9">
        <f t="shared" si="12"/>
        <v>0</v>
      </c>
      <c r="AK20" s="9">
        <f t="shared" si="36"/>
        <v>0</v>
      </c>
      <c r="AL20" s="9">
        <f t="shared" si="13"/>
        <v>0</v>
      </c>
      <c r="AM20" s="9">
        <f t="shared" si="37"/>
        <v>21057.96</v>
      </c>
      <c r="AN20" s="9">
        <f t="shared" si="14"/>
        <v>44.391596602942322</v>
      </c>
      <c r="AO20" s="9">
        <f t="shared" si="38"/>
        <v>189521.64</v>
      </c>
      <c r="AP20" s="9">
        <f t="shared" si="15"/>
        <v>43.128839712444368</v>
      </c>
      <c r="AQ20" s="95">
        <f>84*AQ7</f>
        <v>21128.856</v>
      </c>
      <c r="AR20" s="9">
        <f t="shared" si="16"/>
        <v>44.54105014130797</v>
      </c>
      <c r="AS20" s="9">
        <f t="shared" si="39"/>
        <v>190159.704</v>
      </c>
      <c r="AT20" s="9">
        <f t="shared" si="17"/>
        <v>43.274041917228374</v>
      </c>
      <c r="AU20" s="95"/>
      <c r="AV20" s="9">
        <f t="shared" si="18"/>
        <v>0</v>
      </c>
      <c r="AW20" s="9">
        <f t="shared" si="40"/>
        <v>0</v>
      </c>
      <c r="AX20" s="9">
        <f t="shared" si="19"/>
        <v>0</v>
      </c>
      <c r="AY20" s="95"/>
      <c r="AZ20" s="14">
        <f t="shared" si="20"/>
        <v>0</v>
      </c>
      <c r="BA20" s="9">
        <f t="shared" si="41"/>
        <v>0</v>
      </c>
      <c r="BB20" s="9">
        <f t="shared" si="21"/>
        <v>0</v>
      </c>
      <c r="BC20" s="9">
        <f t="shared" si="42"/>
        <v>21128.856</v>
      </c>
      <c r="BD20" s="9">
        <f t="shared" si="22"/>
        <v>44.54105014130797</v>
      </c>
      <c r="BE20" s="9">
        <f t="shared" si="43"/>
        <v>190159.704</v>
      </c>
      <c r="BF20" s="9">
        <f t="shared" si="23"/>
        <v>43.274041917228374</v>
      </c>
      <c r="BG20" s="95"/>
      <c r="BH20" s="9">
        <f t="shared" si="24"/>
        <v>0</v>
      </c>
      <c r="BI20" s="9">
        <f t="shared" si="44"/>
        <v>0</v>
      </c>
      <c r="BJ20" s="9">
        <f t="shared" si="25"/>
        <v>0</v>
      </c>
      <c r="BK20" s="9">
        <f t="shared" si="45"/>
        <v>47436.815999999999</v>
      </c>
      <c r="BL20" s="9">
        <f t="shared" si="46"/>
        <v>439431.34399999998</v>
      </c>
      <c r="BM20" s="509">
        <f t="shared" si="26"/>
        <v>1.0480031813361612</v>
      </c>
      <c r="BN20" s="9">
        <f t="shared" si="27"/>
        <v>1.084704983264053</v>
      </c>
    </row>
    <row r="21" spans="1:75">
      <c r="A21" s="15">
        <f>+Chem!A20</f>
        <v>46034</v>
      </c>
      <c r="B21" s="5" t="str">
        <f>+Chem!B20</f>
        <v>Facial</v>
      </c>
      <c r="C21" s="15" t="str">
        <f>+Chem!C20</f>
        <v>13,5/12</v>
      </c>
      <c r="D21" s="7">
        <f>+Chem!D20</f>
        <v>40.608999999999995</v>
      </c>
      <c r="E21" s="6">
        <f>+Chem!E20</f>
        <v>38.9</v>
      </c>
      <c r="F21" s="6">
        <f t="shared" si="28"/>
        <v>444.01599999999991</v>
      </c>
      <c r="G21" s="95">
        <f>19*G7</f>
        <v>4750</v>
      </c>
      <c r="H21" s="9">
        <f t="shared" si="0"/>
        <v>11.332573184087559</v>
      </c>
      <c r="I21" s="7">
        <f t="shared" si="29"/>
        <v>64500</v>
      </c>
      <c r="J21" s="9">
        <f t="shared" si="1"/>
        <v>13.399926605797344</v>
      </c>
      <c r="K21" s="95"/>
      <c r="L21" s="9">
        <f t="shared" si="2"/>
        <v>0</v>
      </c>
      <c r="M21" s="9">
        <f t="shared" si="30"/>
        <v>0</v>
      </c>
      <c r="N21" s="9">
        <f t="shared" si="3"/>
        <v>0</v>
      </c>
      <c r="O21" s="95"/>
      <c r="P21" s="9">
        <f t="shared" si="4"/>
        <v>0</v>
      </c>
      <c r="Q21" s="9">
        <f t="shared" si="31"/>
        <v>0</v>
      </c>
      <c r="R21" s="9">
        <f t="shared" si="5"/>
        <v>0</v>
      </c>
      <c r="S21" s="9">
        <f t="shared" si="32"/>
        <v>4750</v>
      </c>
      <c r="T21" s="9">
        <f t="shared" si="6"/>
        <v>11.332573184087559</v>
      </c>
      <c r="U21" s="9">
        <f t="shared" si="33"/>
        <v>64500</v>
      </c>
      <c r="V21" s="9">
        <f t="shared" si="7"/>
        <v>13.399926605797344</v>
      </c>
      <c r="W21" s="95"/>
      <c r="X21" s="9"/>
      <c r="Y21" s="9"/>
      <c r="Z21" s="9"/>
      <c r="AA21" s="95">
        <f>74*AA7</f>
        <v>18551.060000000001</v>
      </c>
      <c r="AB21" s="9">
        <f t="shared" si="8"/>
        <v>44.259209493136709</v>
      </c>
      <c r="AC21" s="9">
        <f t="shared" si="34"/>
        <v>208072.7</v>
      </c>
      <c r="AD21" s="9">
        <f t="shared" si="9"/>
        <v>43.227269901861845</v>
      </c>
      <c r="AE21" s="95"/>
      <c r="AF21" s="9">
        <f t="shared" si="10"/>
        <v>0</v>
      </c>
      <c r="AG21" s="9">
        <f t="shared" si="35"/>
        <v>0</v>
      </c>
      <c r="AH21" s="9">
        <f t="shared" si="11"/>
        <v>0</v>
      </c>
      <c r="AI21" s="95"/>
      <c r="AJ21" s="9">
        <f t="shared" si="12"/>
        <v>0</v>
      </c>
      <c r="AK21" s="9">
        <f t="shared" si="36"/>
        <v>0</v>
      </c>
      <c r="AL21" s="9">
        <f t="shared" si="13"/>
        <v>0</v>
      </c>
      <c r="AM21" s="9">
        <f t="shared" si="37"/>
        <v>18551.060000000001</v>
      </c>
      <c r="AN21" s="9">
        <f t="shared" si="14"/>
        <v>44.259209493136709</v>
      </c>
      <c r="AO21" s="9">
        <f t="shared" si="38"/>
        <v>208072.7</v>
      </c>
      <c r="AP21" s="9">
        <f t="shared" si="15"/>
        <v>43.227269901861845</v>
      </c>
      <c r="AQ21" s="95">
        <f>74*AQ7</f>
        <v>18613.516</v>
      </c>
      <c r="AR21" s="9">
        <f t="shared" si="16"/>
        <v>44.408217322775734</v>
      </c>
      <c r="AS21" s="9">
        <f t="shared" si="39"/>
        <v>208773.22</v>
      </c>
      <c r="AT21" s="9">
        <f t="shared" si="17"/>
        <v>43.372803492340815</v>
      </c>
      <c r="AU21" s="95"/>
      <c r="AV21" s="9">
        <f t="shared" si="18"/>
        <v>0</v>
      </c>
      <c r="AW21" s="9">
        <f t="shared" si="40"/>
        <v>0</v>
      </c>
      <c r="AX21" s="9">
        <f t="shared" si="19"/>
        <v>0</v>
      </c>
      <c r="AY21" s="95"/>
      <c r="AZ21" s="14">
        <f t="shared" si="20"/>
        <v>0</v>
      </c>
      <c r="BA21" s="9">
        <f t="shared" si="41"/>
        <v>0</v>
      </c>
      <c r="BB21" s="9">
        <f t="shared" si="21"/>
        <v>0</v>
      </c>
      <c r="BC21" s="9">
        <f t="shared" si="42"/>
        <v>18613.516</v>
      </c>
      <c r="BD21" s="9">
        <f t="shared" si="22"/>
        <v>44.408217322775734</v>
      </c>
      <c r="BE21" s="9">
        <f t="shared" si="43"/>
        <v>208773.22</v>
      </c>
      <c r="BF21" s="9">
        <f t="shared" si="23"/>
        <v>43.372803492340815</v>
      </c>
      <c r="BG21" s="95"/>
      <c r="BH21" s="9">
        <f t="shared" si="24"/>
        <v>0</v>
      </c>
      <c r="BI21" s="9">
        <f t="shared" si="44"/>
        <v>0</v>
      </c>
      <c r="BJ21" s="9">
        <f t="shared" si="25"/>
        <v>0</v>
      </c>
      <c r="BK21" s="9">
        <f t="shared" si="45"/>
        <v>41914.576000000001</v>
      </c>
      <c r="BL21" s="9">
        <f t="shared" si="46"/>
        <v>481345.92</v>
      </c>
      <c r="BM21" s="509">
        <f t="shared" si="26"/>
        <v>1.0774955269922881</v>
      </c>
      <c r="BN21" s="9">
        <f t="shared" si="27"/>
        <v>1.0840733667255236</v>
      </c>
      <c r="BR21" s="13"/>
      <c r="BS21" s="13"/>
      <c r="BV21" s="13"/>
      <c r="BW21" s="13"/>
    </row>
    <row r="22" spans="1:75">
      <c r="A22" s="15">
        <f>+Chem!A21</f>
        <v>46035</v>
      </c>
      <c r="B22" s="5" t="str">
        <f>+Chem!B21</f>
        <v>Facial</v>
      </c>
      <c r="C22" s="15" t="str">
        <f>+Chem!C21</f>
        <v>12/14</v>
      </c>
      <c r="D22" s="7">
        <f>+Chem!D21</f>
        <v>41.491</v>
      </c>
      <c r="E22" s="6">
        <f>+Chem!E21</f>
        <v>38.96</v>
      </c>
      <c r="F22" s="6">
        <f t="shared" si="28"/>
        <v>482.97599999999989</v>
      </c>
      <c r="G22" s="95">
        <f>24.5*G7</f>
        <v>6125</v>
      </c>
      <c r="H22" s="9">
        <f t="shared" si="0"/>
        <v>14.837449383101248</v>
      </c>
      <c r="I22" s="7">
        <f t="shared" si="29"/>
        <v>70625</v>
      </c>
      <c r="J22" s="9">
        <f t="shared" si="1"/>
        <v>13.513472142443572</v>
      </c>
      <c r="K22" s="95"/>
      <c r="L22" s="9">
        <f t="shared" si="2"/>
        <v>0</v>
      </c>
      <c r="M22" s="9">
        <f t="shared" si="30"/>
        <v>0</v>
      </c>
      <c r="N22" s="9">
        <f t="shared" si="3"/>
        <v>0</v>
      </c>
      <c r="O22" s="95"/>
      <c r="P22" s="9">
        <f t="shared" si="4"/>
        <v>0</v>
      </c>
      <c r="Q22" s="9">
        <f t="shared" si="31"/>
        <v>0</v>
      </c>
      <c r="R22" s="9">
        <f t="shared" si="5"/>
        <v>0</v>
      </c>
      <c r="S22" s="9">
        <f t="shared" si="32"/>
        <v>6125</v>
      </c>
      <c r="T22" s="9">
        <f t="shared" si="6"/>
        <v>14.837449383101248</v>
      </c>
      <c r="U22" s="9">
        <f t="shared" si="33"/>
        <v>70625</v>
      </c>
      <c r="V22" s="9">
        <f t="shared" si="7"/>
        <v>13.513472142443572</v>
      </c>
      <c r="W22" s="95"/>
      <c r="X22" s="9"/>
      <c r="Y22" s="9"/>
      <c r="Z22" s="9"/>
      <c r="AA22" s="95">
        <f>70*AA7</f>
        <v>17548.3</v>
      </c>
      <c r="AB22" s="9">
        <f t="shared" si="8"/>
        <v>42.5097164097103</v>
      </c>
      <c r="AC22" s="9">
        <f t="shared" si="34"/>
        <v>225621</v>
      </c>
      <c r="AD22" s="9">
        <f t="shared" si="9"/>
        <v>43.170592541596619</v>
      </c>
      <c r="AE22" s="95"/>
      <c r="AF22" s="9">
        <f t="shared" si="10"/>
        <v>0</v>
      </c>
      <c r="AG22" s="9">
        <f t="shared" si="35"/>
        <v>0</v>
      </c>
      <c r="AH22" s="9">
        <f t="shared" si="11"/>
        <v>0</v>
      </c>
      <c r="AI22" s="95"/>
      <c r="AJ22" s="9">
        <f t="shared" si="12"/>
        <v>0</v>
      </c>
      <c r="AK22" s="9">
        <f t="shared" si="36"/>
        <v>0</v>
      </c>
      <c r="AL22" s="9">
        <f t="shared" si="13"/>
        <v>0</v>
      </c>
      <c r="AM22" s="9">
        <f t="shared" si="37"/>
        <v>17548.3</v>
      </c>
      <c r="AN22" s="9">
        <f t="shared" si="14"/>
        <v>42.5097164097103</v>
      </c>
      <c r="AO22" s="9">
        <f t="shared" si="38"/>
        <v>225621</v>
      </c>
      <c r="AP22" s="9">
        <f t="shared" si="15"/>
        <v>43.170592541596619</v>
      </c>
      <c r="AQ22" s="95">
        <f>70*AQ7</f>
        <v>17607.38</v>
      </c>
      <c r="AR22" s="9">
        <f t="shared" si="16"/>
        <v>42.652834207188448</v>
      </c>
      <c r="AS22" s="9">
        <f t="shared" si="39"/>
        <v>226380.6</v>
      </c>
      <c r="AT22" s="9">
        <f t="shared" si="17"/>
        <v>43.315935315959806</v>
      </c>
      <c r="AU22" s="95"/>
      <c r="AV22" s="9">
        <f t="shared" si="18"/>
        <v>0</v>
      </c>
      <c r="AW22" s="9">
        <f t="shared" si="40"/>
        <v>0</v>
      </c>
      <c r="AX22" s="9">
        <f t="shared" si="19"/>
        <v>0</v>
      </c>
      <c r="AY22" s="95"/>
      <c r="AZ22" s="14">
        <f t="shared" si="20"/>
        <v>0</v>
      </c>
      <c r="BA22" s="9">
        <f t="shared" si="41"/>
        <v>0</v>
      </c>
      <c r="BB22" s="9">
        <f t="shared" si="21"/>
        <v>0</v>
      </c>
      <c r="BC22" s="9">
        <f t="shared" si="42"/>
        <v>17607.38</v>
      </c>
      <c r="BD22" s="9">
        <f t="shared" si="22"/>
        <v>42.652834207188448</v>
      </c>
      <c r="BE22" s="9">
        <f t="shared" si="43"/>
        <v>226380.6</v>
      </c>
      <c r="BF22" s="9">
        <f t="shared" si="23"/>
        <v>43.315935315959806</v>
      </c>
      <c r="BG22" s="95"/>
      <c r="BH22" s="9">
        <f t="shared" si="24"/>
        <v>0</v>
      </c>
      <c r="BI22" s="9">
        <f t="shared" si="44"/>
        <v>0</v>
      </c>
      <c r="BJ22" s="9">
        <f t="shared" si="25"/>
        <v>0</v>
      </c>
      <c r="BK22" s="9">
        <f t="shared" si="45"/>
        <v>41280.68</v>
      </c>
      <c r="BL22" s="9">
        <f t="shared" si="46"/>
        <v>522626.6</v>
      </c>
      <c r="BM22" s="509">
        <f t="shared" si="26"/>
        <v>1.0595657084188912</v>
      </c>
      <c r="BN22" s="9">
        <f t="shared" si="27"/>
        <v>1.0820964188696749</v>
      </c>
      <c r="BR22" s="13"/>
      <c r="BS22" s="13"/>
      <c r="BV22" s="13"/>
      <c r="BW22" s="13"/>
    </row>
    <row r="23" spans="1:75">
      <c r="A23" s="15">
        <f>+Chem!A22</f>
        <v>46036</v>
      </c>
      <c r="B23" s="5" t="str">
        <f>+Chem!B22</f>
        <v>Facial</v>
      </c>
      <c r="C23" s="15" t="str">
        <f>+Chem!C22</f>
        <v>12/13</v>
      </c>
      <c r="D23" s="7">
        <f>+Chem!D22</f>
        <v>40.244999999999997</v>
      </c>
      <c r="E23" s="6">
        <f>+Chem!E22</f>
        <v>38.073</v>
      </c>
      <c r="F23" s="6">
        <f t="shared" si="28"/>
        <v>521.04899999999986</v>
      </c>
      <c r="G23" s="95">
        <f>18.5*G7</f>
        <v>4625</v>
      </c>
      <c r="H23" s="9">
        <f t="shared" si="0"/>
        <v>11.06735325574971</v>
      </c>
      <c r="I23" s="7">
        <f t="shared" si="29"/>
        <v>75250</v>
      </c>
      <c r="J23" s="9">
        <f t="shared" si="1"/>
        <v>13.33236062320085</v>
      </c>
      <c r="K23" s="95"/>
      <c r="L23" s="9">
        <f t="shared" si="2"/>
        <v>0</v>
      </c>
      <c r="M23" s="9">
        <f t="shared" si="30"/>
        <v>0</v>
      </c>
      <c r="N23" s="9">
        <f t="shared" si="3"/>
        <v>0</v>
      </c>
      <c r="O23" s="95"/>
      <c r="P23" s="9">
        <f t="shared" si="4"/>
        <v>0</v>
      </c>
      <c r="Q23" s="9">
        <f t="shared" si="31"/>
        <v>0</v>
      </c>
      <c r="R23" s="9">
        <f t="shared" si="5"/>
        <v>0</v>
      </c>
      <c r="S23" s="9">
        <f t="shared" si="32"/>
        <v>4625</v>
      </c>
      <c r="T23" s="9">
        <f t="shared" si="6"/>
        <v>11.06735325574971</v>
      </c>
      <c r="U23" s="9">
        <f t="shared" si="33"/>
        <v>75250</v>
      </c>
      <c r="V23" s="9">
        <f t="shared" si="7"/>
        <v>13.33236062320085</v>
      </c>
      <c r="W23" s="95"/>
      <c r="X23" s="9"/>
      <c r="Y23" s="9"/>
      <c r="Z23" s="9"/>
      <c r="AA23" s="95">
        <f>74*AA7</f>
        <v>18551.060000000001</v>
      </c>
      <c r="AB23" s="9">
        <f t="shared" si="8"/>
        <v>44.391596602942322</v>
      </c>
      <c r="AC23" s="9">
        <f t="shared" si="34"/>
        <v>244172.06</v>
      </c>
      <c r="AD23" s="9">
        <f t="shared" si="9"/>
        <v>43.260996119997806</v>
      </c>
      <c r="AE23" s="95"/>
      <c r="AF23" s="9">
        <f t="shared" si="10"/>
        <v>0</v>
      </c>
      <c r="AG23" s="9">
        <f t="shared" si="35"/>
        <v>0</v>
      </c>
      <c r="AH23" s="9">
        <f t="shared" si="11"/>
        <v>0</v>
      </c>
      <c r="AI23" s="95"/>
      <c r="AJ23" s="9">
        <f t="shared" si="12"/>
        <v>0</v>
      </c>
      <c r="AK23" s="9">
        <f t="shared" si="36"/>
        <v>0</v>
      </c>
      <c r="AL23" s="9">
        <f t="shared" si="13"/>
        <v>0</v>
      </c>
      <c r="AM23" s="9">
        <f t="shared" si="37"/>
        <v>18551.060000000001</v>
      </c>
      <c r="AN23" s="9">
        <f t="shared" si="14"/>
        <v>44.391596602942322</v>
      </c>
      <c r="AO23" s="9">
        <f t="shared" si="38"/>
        <v>244172.06</v>
      </c>
      <c r="AP23" s="9">
        <f t="shared" si="15"/>
        <v>43.260996119997806</v>
      </c>
      <c r="AQ23" s="95">
        <f>74*AQ7</f>
        <v>18613.516</v>
      </c>
      <c r="AR23" s="9">
        <f t="shared" si="16"/>
        <v>44.541050141307963</v>
      </c>
      <c r="AS23" s="9">
        <f t="shared" si="39"/>
        <v>244994.11600000001</v>
      </c>
      <c r="AT23" s="9">
        <f t="shared" si="17"/>
        <v>43.406643256801345</v>
      </c>
      <c r="AU23" s="95"/>
      <c r="AV23" s="9">
        <f t="shared" si="18"/>
        <v>0</v>
      </c>
      <c r="AW23" s="9">
        <f t="shared" si="40"/>
        <v>0</v>
      </c>
      <c r="AX23" s="9">
        <f t="shared" si="19"/>
        <v>0</v>
      </c>
      <c r="AY23" s="95"/>
      <c r="AZ23" s="14">
        <f t="shared" si="20"/>
        <v>0</v>
      </c>
      <c r="BA23" s="9">
        <f t="shared" si="41"/>
        <v>0</v>
      </c>
      <c r="BB23" s="9">
        <f t="shared" si="21"/>
        <v>0</v>
      </c>
      <c r="BC23" s="9">
        <f t="shared" si="42"/>
        <v>18613.516</v>
      </c>
      <c r="BD23" s="9">
        <f t="shared" si="22"/>
        <v>44.541050141307963</v>
      </c>
      <c r="BE23" s="9">
        <f t="shared" si="43"/>
        <v>244994.11600000001</v>
      </c>
      <c r="BF23" s="9">
        <f t="shared" si="23"/>
        <v>43.406643256801345</v>
      </c>
      <c r="BG23" s="95"/>
      <c r="BH23" s="9">
        <f t="shared" si="24"/>
        <v>0</v>
      </c>
      <c r="BI23" s="9">
        <f t="shared" si="44"/>
        <v>0</v>
      </c>
      <c r="BJ23" s="9">
        <f t="shared" si="25"/>
        <v>0</v>
      </c>
      <c r="BK23" s="9">
        <f t="shared" si="45"/>
        <v>41789.576000000001</v>
      </c>
      <c r="BL23" s="9">
        <f t="shared" si="46"/>
        <v>564416.17599999998</v>
      </c>
      <c r="BM23" s="509">
        <f t="shared" si="26"/>
        <v>1.0976171039844511</v>
      </c>
      <c r="BN23" s="9">
        <f t="shared" si="27"/>
        <v>1.0832305138288338</v>
      </c>
      <c r="BV23" s="13"/>
      <c r="BW23" s="13"/>
    </row>
    <row r="24" spans="1:75">
      <c r="A24" s="15">
        <f>+Chem!A23</f>
        <v>46037</v>
      </c>
      <c r="B24" s="5" t="str">
        <f>+Chem!B23</f>
        <v>Facial</v>
      </c>
      <c r="C24" s="15" t="str">
        <f>+Chem!C23</f>
        <v>12/13/16</v>
      </c>
      <c r="D24" s="7">
        <f>+Chem!D23</f>
        <v>46.251999999999995</v>
      </c>
      <c r="E24" s="6">
        <f>+Chem!E23</f>
        <v>43.924999999999997</v>
      </c>
      <c r="F24" s="6">
        <f t="shared" si="28"/>
        <v>564.97399999999982</v>
      </c>
      <c r="G24" s="95">
        <f>37.5*G7</f>
        <v>9375</v>
      </c>
      <c r="H24" s="9">
        <f t="shared" si="0"/>
        <v>19.334798777026027</v>
      </c>
      <c r="I24" s="7">
        <f t="shared" si="29"/>
        <v>84625</v>
      </c>
      <c r="J24" s="9">
        <f t="shared" si="1"/>
        <v>13.807222104712405</v>
      </c>
      <c r="K24" s="95"/>
      <c r="L24" s="9">
        <f t="shared" si="2"/>
        <v>0</v>
      </c>
      <c r="M24" s="9">
        <f t="shared" si="30"/>
        <v>0</v>
      </c>
      <c r="N24" s="9">
        <f t="shared" si="3"/>
        <v>0</v>
      </c>
      <c r="O24" s="95"/>
      <c r="P24" s="9">
        <f t="shared" si="4"/>
        <v>0</v>
      </c>
      <c r="Q24" s="9">
        <f t="shared" si="31"/>
        <v>0</v>
      </c>
      <c r="R24" s="9">
        <f t="shared" si="5"/>
        <v>0</v>
      </c>
      <c r="S24" s="9">
        <f t="shared" si="32"/>
        <v>9375</v>
      </c>
      <c r="T24" s="9">
        <f t="shared" si="6"/>
        <v>19.334798777026027</v>
      </c>
      <c r="U24" s="9">
        <f t="shared" si="33"/>
        <v>84625</v>
      </c>
      <c r="V24" s="9">
        <f t="shared" si="7"/>
        <v>13.807222104712405</v>
      </c>
      <c r="W24" s="95"/>
      <c r="X24" s="9"/>
      <c r="Y24" s="9"/>
      <c r="Z24" s="9"/>
      <c r="AA24" s="95">
        <f>150*AA7</f>
        <v>37603.5</v>
      </c>
      <c r="AB24" s="9">
        <f t="shared" si="8"/>
        <v>77.552651286602483</v>
      </c>
      <c r="AC24" s="9">
        <f t="shared" si="34"/>
        <v>281775.56</v>
      </c>
      <c r="AD24" s="9">
        <f t="shared" si="9"/>
        <v>45.97385808685042</v>
      </c>
      <c r="AE24" s="95"/>
      <c r="AF24" s="9">
        <f t="shared" si="10"/>
        <v>0</v>
      </c>
      <c r="AG24" s="9">
        <f t="shared" si="35"/>
        <v>0</v>
      </c>
      <c r="AH24" s="9">
        <f t="shared" si="11"/>
        <v>0</v>
      </c>
      <c r="AI24" s="95"/>
      <c r="AJ24" s="9">
        <f t="shared" si="12"/>
        <v>0</v>
      </c>
      <c r="AK24" s="9">
        <f t="shared" si="36"/>
        <v>0</v>
      </c>
      <c r="AL24" s="9">
        <f t="shared" si="13"/>
        <v>0</v>
      </c>
      <c r="AM24" s="9">
        <f t="shared" si="37"/>
        <v>37603.5</v>
      </c>
      <c r="AN24" s="9">
        <f t="shared" si="14"/>
        <v>77.552651286602483</v>
      </c>
      <c r="AO24" s="9">
        <f t="shared" si="38"/>
        <v>281775.56</v>
      </c>
      <c r="AP24" s="9">
        <f t="shared" si="15"/>
        <v>45.97385808685042</v>
      </c>
      <c r="AQ24" s="95">
        <f>6*AQ7</f>
        <v>1509.204</v>
      </c>
      <c r="AR24" s="9">
        <f t="shared" si="16"/>
        <v>3.1125499363714977</v>
      </c>
      <c r="AS24" s="9">
        <f t="shared" si="39"/>
        <v>246503.32</v>
      </c>
      <c r="AT24" s="9">
        <f t="shared" si="17"/>
        <v>40.218919808437178</v>
      </c>
      <c r="AU24" s="95"/>
      <c r="AV24" s="9">
        <f t="shared" si="18"/>
        <v>0</v>
      </c>
      <c r="AW24" s="9">
        <f t="shared" si="40"/>
        <v>0</v>
      </c>
      <c r="AX24" s="9">
        <f t="shared" si="19"/>
        <v>0</v>
      </c>
      <c r="AY24" s="95"/>
      <c r="AZ24" s="14">
        <f t="shared" si="20"/>
        <v>0</v>
      </c>
      <c r="BA24" s="9">
        <f t="shared" si="41"/>
        <v>0</v>
      </c>
      <c r="BB24" s="9">
        <f t="shared" si="21"/>
        <v>0</v>
      </c>
      <c r="BC24" s="9">
        <f t="shared" si="42"/>
        <v>1509.204</v>
      </c>
      <c r="BD24" s="9">
        <f t="shared" si="22"/>
        <v>3.1125499363714977</v>
      </c>
      <c r="BE24" s="9">
        <f t="shared" si="43"/>
        <v>246503.32</v>
      </c>
      <c r="BF24" s="9">
        <f t="shared" si="23"/>
        <v>40.218919808437178</v>
      </c>
      <c r="BG24" s="95"/>
      <c r="BH24" s="9">
        <f t="shared" si="24"/>
        <v>0</v>
      </c>
      <c r="BI24" s="9">
        <f t="shared" si="44"/>
        <v>0</v>
      </c>
      <c r="BJ24" s="9">
        <f t="shared" si="25"/>
        <v>0</v>
      </c>
      <c r="BK24" s="9">
        <f t="shared" si="45"/>
        <v>48487.703999999998</v>
      </c>
      <c r="BL24" s="9">
        <f t="shared" si="46"/>
        <v>612903.88</v>
      </c>
      <c r="BM24" s="509">
        <f t="shared" si="26"/>
        <v>1.1038748776323279</v>
      </c>
      <c r="BN24" s="9">
        <f t="shared" si="27"/>
        <v>1.0848355499545115</v>
      </c>
      <c r="BV24" s="13"/>
      <c r="BW24" s="13"/>
    </row>
    <row r="25" spans="1:75">
      <c r="A25" s="15">
        <f>+Chem!A24</f>
        <v>46038</v>
      </c>
      <c r="B25" s="5" t="str">
        <f>+Chem!B24</f>
        <v>Facial</v>
      </c>
      <c r="C25" s="15" t="str">
        <f>+Chem!C24</f>
        <v>16/13</v>
      </c>
      <c r="D25" s="7">
        <f>+Chem!D24</f>
        <v>44.198</v>
      </c>
      <c r="E25" s="6">
        <f>+Chem!E24</f>
        <v>39.094000000000001</v>
      </c>
      <c r="F25" s="6">
        <f t="shared" si="28"/>
        <v>604.06799999999987</v>
      </c>
      <c r="G25" s="95">
        <f>25.5*G7</f>
        <v>6375</v>
      </c>
      <c r="H25" s="9">
        <f t="shared" si="0"/>
        <v>13.698066172553606</v>
      </c>
      <c r="I25" s="7">
        <f t="shared" si="29"/>
        <v>91000</v>
      </c>
      <c r="J25" s="9">
        <f t="shared" si="1"/>
        <v>13.799518556330884</v>
      </c>
      <c r="K25" s="95"/>
      <c r="L25" s="9">
        <f t="shared" si="2"/>
        <v>0</v>
      </c>
      <c r="M25" s="9">
        <f t="shared" si="30"/>
        <v>0</v>
      </c>
      <c r="N25" s="9">
        <f t="shared" si="3"/>
        <v>0</v>
      </c>
      <c r="O25" s="95"/>
      <c r="P25" s="9">
        <f t="shared" si="4"/>
        <v>0</v>
      </c>
      <c r="Q25" s="9">
        <f t="shared" si="31"/>
        <v>0</v>
      </c>
      <c r="R25" s="9">
        <f t="shared" si="5"/>
        <v>0</v>
      </c>
      <c r="S25" s="9">
        <f t="shared" si="32"/>
        <v>6375</v>
      </c>
      <c r="T25" s="9">
        <f t="shared" si="6"/>
        <v>13.698066172553606</v>
      </c>
      <c r="U25" s="9">
        <f t="shared" si="33"/>
        <v>91000</v>
      </c>
      <c r="V25" s="9">
        <f t="shared" si="7"/>
        <v>13.799518556330884</v>
      </c>
      <c r="W25" s="95"/>
      <c r="X25" s="9"/>
      <c r="Y25" s="9"/>
      <c r="Z25" s="9"/>
      <c r="AA25" s="95">
        <f>96*AA7</f>
        <v>24066.239999999998</v>
      </c>
      <c r="AB25" s="9">
        <f t="shared" si="8"/>
        <v>51.711521261891214</v>
      </c>
      <c r="AC25" s="9">
        <f t="shared" si="34"/>
        <v>305841.8</v>
      </c>
      <c r="AD25" s="9">
        <f t="shared" si="9"/>
        <v>46.378786751666361</v>
      </c>
      <c r="AE25" s="95"/>
      <c r="AF25" s="9">
        <f t="shared" si="10"/>
        <v>0</v>
      </c>
      <c r="AG25" s="9">
        <f t="shared" si="35"/>
        <v>0</v>
      </c>
      <c r="AH25" s="9">
        <f t="shared" si="11"/>
        <v>0</v>
      </c>
      <c r="AI25" s="95"/>
      <c r="AJ25" s="9">
        <f t="shared" si="12"/>
        <v>0</v>
      </c>
      <c r="AK25" s="9">
        <f t="shared" si="36"/>
        <v>0</v>
      </c>
      <c r="AL25" s="9">
        <f t="shared" si="13"/>
        <v>0</v>
      </c>
      <c r="AM25" s="9">
        <f t="shared" si="37"/>
        <v>24066.239999999998</v>
      </c>
      <c r="AN25" s="9">
        <f t="shared" si="14"/>
        <v>51.711521261891214</v>
      </c>
      <c r="AO25" s="9">
        <f t="shared" si="38"/>
        <v>305841.8</v>
      </c>
      <c r="AP25" s="9">
        <f t="shared" si="15"/>
        <v>46.378786751666361</v>
      </c>
      <c r="AQ25" s="95">
        <f>64*AQ7</f>
        <v>16098.175999999999</v>
      </c>
      <c r="AR25" s="9">
        <f t="shared" si="16"/>
        <v>34.590412565555184</v>
      </c>
      <c r="AS25" s="9">
        <f t="shared" si="39"/>
        <v>262601.49599999998</v>
      </c>
      <c r="AT25" s="9">
        <f t="shared" si="17"/>
        <v>39.821694692002751</v>
      </c>
      <c r="AU25" s="95"/>
      <c r="AV25" s="9">
        <f t="shared" si="18"/>
        <v>0</v>
      </c>
      <c r="AW25" s="9">
        <f t="shared" si="40"/>
        <v>0</v>
      </c>
      <c r="AX25" s="9">
        <f t="shared" si="19"/>
        <v>0</v>
      </c>
      <c r="AY25" s="95"/>
      <c r="AZ25" s="14">
        <f t="shared" si="20"/>
        <v>0</v>
      </c>
      <c r="BA25" s="9">
        <f t="shared" si="41"/>
        <v>0</v>
      </c>
      <c r="BB25" s="9">
        <f t="shared" si="21"/>
        <v>0</v>
      </c>
      <c r="BC25" s="9">
        <f t="shared" si="42"/>
        <v>16098.175999999999</v>
      </c>
      <c r="BD25" s="9">
        <f t="shared" si="22"/>
        <v>34.590412565555184</v>
      </c>
      <c r="BE25" s="9">
        <f t="shared" si="43"/>
        <v>262601.49599999998</v>
      </c>
      <c r="BF25" s="9">
        <f t="shared" si="23"/>
        <v>39.821694692002751</v>
      </c>
      <c r="BG25" s="95"/>
      <c r="BH25" s="9">
        <f t="shared" si="24"/>
        <v>0</v>
      </c>
      <c r="BI25" s="9">
        <f t="shared" si="44"/>
        <v>0</v>
      </c>
      <c r="BJ25" s="9">
        <f t="shared" si="25"/>
        <v>0</v>
      </c>
      <c r="BK25" s="9">
        <f t="shared" si="45"/>
        <v>46539.415999999997</v>
      </c>
      <c r="BL25" s="9">
        <f t="shared" si="46"/>
        <v>659443.29599999997</v>
      </c>
      <c r="BM25" s="509">
        <f t="shared" si="26"/>
        <v>1.1904490714687674</v>
      </c>
      <c r="BN25" s="9">
        <f t="shared" si="27"/>
        <v>1.091670633107531</v>
      </c>
      <c r="BV25" s="13"/>
      <c r="BW25" s="13"/>
    </row>
    <row r="26" spans="1:75">
      <c r="A26" s="15">
        <f>+Chem!A25</f>
        <v>46039</v>
      </c>
      <c r="B26" s="5" t="str">
        <f>+Chem!B25</f>
        <v>Facial</v>
      </c>
      <c r="C26" s="15" t="str">
        <f>+Chem!C25</f>
        <v>13</v>
      </c>
      <c r="D26" s="7">
        <f>+Chem!D25</f>
        <v>46.26</v>
      </c>
      <c r="E26" s="6">
        <f>+Chem!E25</f>
        <v>43.94</v>
      </c>
      <c r="F26" s="6">
        <f t="shared" si="28"/>
        <v>648.00799999999981</v>
      </c>
      <c r="G26" s="95">
        <f>20.5*G7</f>
        <v>5125</v>
      </c>
      <c r="H26" s="9">
        <f t="shared" si="0"/>
        <v>11.06735325574971</v>
      </c>
      <c r="I26" s="7">
        <f t="shared" si="29"/>
        <v>96125</v>
      </c>
      <c r="J26" s="9">
        <f t="shared" si="1"/>
        <v>13.620249317965927</v>
      </c>
      <c r="K26" s="95"/>
      <c r="L26" s="9">
        <f t="shared" si="2"/>
        <v>0</v>
      </c>
      <c r="M26" s="9">
        <f t="shared" si="30"/>
        <v>0</v>
      </c>
      <c r="N26" s="9">
        <f t="shared" si="3"/>
        <v>0</v>
      </c>
      <c r="O26" s="95"/>
      <c r="P26" s="9">
        <f t="shared" si="4"/>
        <v>0</v>
      </c>
      <c r="Q26" s="9">
        <f t="shared" si="31"/>
        <v>0</v>
      </c>
      <c r="R26" s="9">
        <f t="shared" si="5"/>
        <v>0</v>
      </c>
      <c r="S26" s="9">
        <f t="shared" si="32"/>
        <v>5125</v>
      </c>
      <c r="T26" s="9">
        <f t="shared" si="6"/>
        <v>11.06735325574971</v>
      </c>
      <c r="U26" s="9">
        <f t="shared" si="33"/>
        <v>96125</v>
      </c>
      <c r="V26" s="9">
        <f t="shared" si="7"/>
        <v>13.620249317965927</v>
      </c>
      <c r="W26" s="95"/>
      <c r="X26" s="9"/>
      <c r="Y26" s="9"/>
      <c r="Z26" s="9"/>
      <c r="AA26" s="95">
        <f>82*AA7</f>
        <v>20556.579999999998</v>
      </c>
      <c r="AB26" s="9">
        <f t="shared" si="8"/>
        <v>44.391596602942315</v>
      </c>
      <c r="AC26" s="9">
        <f t="shared" si="34"/>
        <v>326398.38</v>
      </c>
      <c r="AD26" s="9">
        <f t="shared" si="9"/>
        <v>46.24839857040503</v>
      </c>
      <c r="AE26" s="95"/>
      <c r="AF26" s="9">
        <f t="shared" si="10"/>
        <v>0</v>
      </c>
      <c r="AG26" s="9">
        <f t="shared" si="35"/>
        <v>0</v>
      </c>
      <c r="AH26" s="9">
        <f t="shared" si="11"/>
        <v>0</v>
      </c>
      <c r="AI26" s="95"/>
      <c r="AJ26" s="9">
        <f t="shared" si="12"/>
        <v>0</v>
      </c>
      <c r="AK26" s="9">
        <f t="shared" si="36"/>
        <v>0</v>
      </c>
      <c r="AL26" s="9">
        <f t="shared" si="13"/>
        <v>0</v>
      </c>
      <c r="AM26" s="9">
        <f t="shared" si="37"/>
        <v>20556.579999999998</v>
      </c>
      <c r="AN26" s="9">
        <f t="shared" si="14"/>
        <v>44.391596602942315</v>
      </c>
      <c r="AO26" s="9">
        <f t="shared" si="38"/>
        <v>326398.38</v>
      </c>
      <c r="AP26" s="9">
        <f t="shared" si="15"/>
        <v>46.24839857040503</v>
      </c>
      <c r="AQ26" s="95">
        <f>82*AQ7</f>
        <v>20625.788</v>
      </c>
      <c r="AR26" s="9">
        <f t="shared" si="16"/>
        <v>44.541050141307963</v>
      </c>
      <c r="AS26" s="9">
        <f t="shared" si="39"/>
        <v>283227.28399999999</v>
      </c>
      <c r="AT26" s="9">
        <f t="shared" si="17"/>
        <v>40.131352111629042</v>
      </c>
      <c r="AU26" s="95"/>
      <c r="AV26" s="9">
        <f t="shared" si="18"/>
        <v>0</v>
      </c>
      <c r="AW26" s="9">
        <f t="shared" si="40"/>
        <v>0</v>
      </c>
      <c r="AX26" s="9">
        <f t="shared" si="19"/>
        <v>0</v>
      </c>
      <c r="AY26" s="95"/>
      <c r="AZ26" s="14">
        <f t="shared" si="20"/>
        <v>0</v>
      </c>
      <c r="BA26" s="9">
        <f t="shared" si="41"/>
        <v>0</v>
      </c>
      <c r="BB26" s="9">
        <f t="shared" si="21"/>
        <v>0</v>
      </c>
      <c r="BC26" s="9">
        <f t="shared" si="42"/>
        <v>20625.788</v>
      </c>
      <c r="BD26" s="9">
        <f t="shared" si="22"/>
        <v>44.541050141307963</v>
      </c>
      <c r="BE26" s="9">
        <f t="shared" si="43"/>
        <v>283227.28399999999</v>
      </c>
      <c r="BF26" s="9">
        <f t="shared" si="23"/>
        <v>40.131352111629042</v>
      </c>
      <c r="BG26" s="95"/>
      <c r="BH26" s="9">
        <f t="shared" si="24"/>
        <v>0</v>
      </c>
      <c r="BI26" s="9">
        <f t="shared" si="44"/>
        <v>0</v>
      </c>
      <c r="BJ26" s="9">
        <f t="shared" si="25"/>
        <v>0</v>
      </c>
      <c r="BK26" s="9">
        <f t="shared" si="45"/>
        <v>46307.368000000002</v>
      </c>
      <c r="BL26" s="9">
        <f t="shared" si="46"/>
        <v>705750.66399999999</v>
      </c>
      <c r="BM26" s="509">
        <f t="shared" si="26"/>
        <v>1.0538772872098316</v>
      </c>
      <c r="BN26" s="9">
        <f t="shared" si="27"/>
        <v>1.089107949284577</v>
      </c>
      <c r="BP26" s="13"/>
      <c r="BV26" s="13"/>
    </row>
    <row r="27" spans="1:75">
      <c r="A27" s="15">
        <f>+Chem!A26</f>
        <v>46040</v>
      </c>
      <c r="B27" s="5" t="str">
        <f>+Chem!B26</f>
        <v>Facial</v>
      </c>
      <c r="C27" s="15" t="str">
        <f>+Chem!C26</f>
        <v>13/13,5</v>
      </c>
      <c r="D27" s="7">
        <f>+Chem!D26</f>
        <v>43.968000000000004</v>
      </c>
      <c r="E27" s="6">
        <f>+Chem!E26</f>
        <v>41.65</v>
      </c>
      <c r="F27" s="6">
        <f t="shared" si="28"/>
        <v>689.65799999999979</v>
      </c>
      <c r="G27" s="95">
        <f>20*G7</f>
        <v>5000</v>
      </c>
      <c r="H27" s="9">
        <f t="shared" si="0"/>
        <v>11.067353255749712</v>
      </c>
      <c r="I27" s="7">
        <f t="shared" si="29"/>
        <v>101125</v>
      </c>
      <c r="J27" s="9">
        <f t="shared" si="1"/>
        <v>13.46666009986377</v>
      </c>
      <c r="K27" s="95"/>
      <c r="L27" s="9">
        <f t="shared" si="2"/>
        <v>0</v>
      </c>
      <c r="M27" s="9">
        <f t="shared" si="30"/>
        <v>0</v>
      </c>
      <c r="N27" s="9">
        <f t="shared" si="3"/>
        <v>0</v>
      </c>
      <c r="O27" s="95"/>
      <c r="P27" s="9">
        <f t="shared" si="4"/>
        <v>0</v>
      </c>
      <c r="Q27" s="9">
        <f t="shared" si="31"/>
        <v>0</v>
      </c>
      <c r="R27" s="9">
        <f t="shared" si="5"/>
        <v>0</v>
      </c>
      <c r="S27" s="9">
        <f t="shared" si="32"/>
        <v>5000</v>
      </c>
      <c r="T27" s="9">
        <f t="shared" si="6"/>
        <v>11.067353255749712</v>
      </c>
      <c r="U27" s="9">
        <f t="shared" si="33"/>
        <v>101125</v>
      </c>
      <c r="V27" s="9">
        <f t="shared" si="7"/>
        <v>13.46666009986377</v>
      </c>
      <c r="W27" s="95"/>
      <c r="X27" s="9"/>
      <c r="Y27" s="9"/>
      <c r="Z27" s="9"/>
      <c r="AA27" s="95">
        <f>80*AA7</f>
        <v>20055.2</v>
      </c>
      <c r="AB27" s="9">
        <f t="shared" si="8"/>
        <v>44.391596602942322</v>
      </c>
      <c r="AC27" s="9">
        <f t="shared" si="34"/>
        <v>346453.58</v>
      </c>
      <c r="AD27" s="9">
        <f t="shared" si="9"/>
        <v>46.136688279267844</v>
      </c>
      <c r="AE27" s="95"/>
      <c r="AF27" s="9">
        <f t="shared" si="10"/>
        <v>0</v>
      </c>
      <c r="AG27" s="9">
        <f t="shared" si="35"/>
        <v>0</v>
      </c>
      <c r="AH27" s="9">
        <f t="shared" si="11"/>
        <v>0</v>
      </c>
      <c r="AI27" s="95"/>
      <c r="AJ27" s="9">
        <f t="shared" si="12"/>
        <v>0</v>
      </c>
      <c r="AK27" s="9">
        <f t="shared" si="36"/>
        <v>0</v>
      </c>
      <c r="AL27" s="9">
        <f t="shared" si="13"/>
        <v>0</v>
      </c>
      <c r="AM27" s="9">
        <f t="shared" si="37"/>
        <v>20055.2</v>
      </c>
      <c r="AN27" s="9">
        <f t="shared" si="14"/>
        <v>44.391596602942322</v>
      </c>
      <c r="AO27" s="9">
        <f t="shared" si="38"/>
        <v>346453.58</v>
      </c>
      <c r="AP27" s="9">
        <f t="shared" si="15"/>
        <v>46.136688279267844</v>
      </c>
      <c r="AQ27" s="95">
        <f>80*AQ7</f>
        <v>20122.72</v>
      </c>
      <c r="AR27" s="9">
        <f t="shared" si="16"/>
        <v>44.54105014130797</v>
      </c>
      <c r="AS27" s="9">
        <f t="shared" si="39"/>
        <v>303350.00399999996</v>
      </c>
      <c r="AT27" s="9">
        <f t="shared" si="17"/>
        <v>40.396651620868376</v>
      </c>
      <c r="AU27" s="95"/>
      <c r="AV27" s="9">
        <f t="shared" si="18"/>
        <v>0</v>
      </c>
      <c r="AW27" s="9">
        <f t="shared" si="40"/>
        <v>0</v>
      </c>
      <c r="AX27" s="9">
        <f t="shared" si="19"/>
        <v>0</v>
      </c>
      <c r="AY27" s="95"/>
      <c r="AZ27" s="14">
        <f t="shared" si="20"/>
        <v>0</v>
      </c>
      <c r="BA27" s="9">
        <f t="shared" si="41"/>
        <v>0</v>
      </c>
      <c r="BB27" s="9">
        <f t="shared" si="21"/>
        <v>0</v>
      </c>
      <c r="BC27" s="9">
        <f t="shared" si="42"/>
        <v>20122.72</v>
      </c>
      <c r="BD27" s="9">
        <f t="shared" si="22"/>
        <v>44.54105014130797</v>
      </c>
      <c r="BE27" s="9">
        <f t="shared" si="43"/>
        <v>303350.00399999996</v>
      </c>
      <c r="BF27" s="9">
        <f t="shared" si="23"/>
        <v>40.396651620868376</v>
      </c>
      <c r="BG27" s="95"/>
      <c r="BH27" s="9">
        <f t="shared" si="24"/>
        <v>0</v>
      </c>
      <c r="BI27" s="9">
        <f t="shared" si="44"/>
        <v>0</v>
      </c>
      <c r="BJ27" s="9">
        <f t="shared" si="25"/>
        <v>0</v>
      </c>
      <c r="BK27" s="9">
        <f t="shared" si="45"/>
        <v>45177.919999999998</v>
      </c>
      <c r="BL27" s="9">
        <f t="shared" si="46"/>
        <v>750928.58400000003</v>
      </c>
      <c r="BM27" s="509">
        <f t="shared" si="26"/>
        <v>1.0847039615846339</v>
      </c>
      <c r="BN27" s="9">
        <f t="shared" si="27"/>
        <v>1.0888419825478719</v>
      </c>
      <c r="BV27" s="13"/>
    </row>
    <row r="28" spans="1:75">
      <c r="A28" s="15">
        <f>+Chem!A27</f>
        <v>46041</v>
      </c>
      <c r="B28" s="5" t="str">
        <f>+Chem!B27</f>
        <v>Facial</v>
      </c>
      <c r="C28" s="15" t="str">
        <f>+Chem!C27</f>
        <v>13,5</v>
      </c>
      <c r="D28" s="7">
        <f>+Chem!D27</f>
        <v>44.405999999999999</v>
      </c>
      <c r="E28" s="6">
        <f>+Chem!E27</f>
        <v>43.503</v>
      </c>
      <c r="F28" s="6">
        <f t="shared" si="28"/>
        <v>733.16099999999983</v>
      </c>
      <c r="G28" s="95">
        <f>20*G7</f>
        <v>5000</v>
      </c>
      <c r="H28" s="9">
        <f t="shared" si="0"/>
        <v>11.067353255749712</v>
      </c>
      <c r="I28" s="7">
        <f t="shared" si="29"/>
        <v>106125</v>
      </c>
      <c r="J28" s="9">
        <f t="shared" si="1"/>
        <v>13.330502824280405</v>
      </c>
      <c r="K28" s="95"/>
      <c r="L28" s="9">
        <f t="shared" si="2"/>
        <v>0</v>
      </c>
      <c r="M28" s="9">
        <f t="shared" si="30"/>
        <v>0</v>
      </c>
      <c r="N28" s="9">
        <f t="shared" si="3"/>
        <v>0</v>
      </c>
      <c r="O28" s="95"/>
      <c r="P28" s="9">
        <f t="shared" si="4"/>
        <v>0</v>
      </c>
      <c r="Q28" s="9">
        <f t="shared" si="31"/>
        <v>0</v>
      </c>
      <c r="R28" s="9">
        <f t="shared" si="5"/>
        <v>0</v>
      </c>
      <c r="S28" s="9">
        <f t="shared" si="32"/>
        <v>5000</v>
      </c>
      <c r="T28" s="9">
        <f t="shared" si="6"/>
        <v>11.067353255749712</v>
      </c>
      <c r="U28" s="9">
        <f t="shared" si="33"/>
        <v>106125</v>
      </c>
      <c r="V28" s="9">
        <f t="shared" si="7"/>
        <v>13.330502824280405</v>
      </c>
      <c r="W28" s="95"/>
      <c r="X28" s="9"/>
      <c r="Y28" s="9"/>
      <c r="Z28" s="9"/>
      <c r="AA28" s="95">
        <f>80*AA7</f>
        <v>20055.2</v>
      </c>
      <c r="AB28" s="9">
        <f t="shared" si="8"/>
        <v>44.391596602942322</v>
      </c>
      <c r="AC28" s="9">
        <f t="shared" si="34"/>
        <v>366508.78</v>
      </c>
      <c r="AD28" s="9">
        <f t="shared" si="9"/>
        <v>46.037656790704979</v>
      </c>
      <c r="AE28" s="95"/>
      <c r="AF28" s="9">
        <f t="shared" si="10"/>
        <v>0</v>
      </c>
      <c r="AG28" s="9">
        <f t="shared" si="35"/>
        <v>0</v>
      </c>
      <c r="AH28" s="9">
        <f t="shared" si="11"/>
        <v>0</v>
      </c>
      <c r="AI28" s="95"/>
      <c r="AJ28" s="9">
        <f t="shared" si="12"/>
        <v>0</v>
      </c>
      <c r="AK28" s="9">
        <f t="shared" si="36"/>
        <v>0</v>
      </c>
      <c r="AL28" s="9">
        <f t="shared" si="13"/>
        <v>0</v>
      </c>
      <c r="AM28" s="9">
        <f t="shared" si="37"/>
        <v>20055.2</v>
      </c>
      <c r="AN28" s="9">
        <f t="shared" si="14"/>
        <v>44.391596602942322</v>
      </c>
      <c r="AO28" s="9">
        <f t="shared" si="38"/>
        <v>366508.78</v>
      </c>
      <c r="AP28" s="9">
        <f t="shared" si="15"/>
        <v>46.037656790704979</v>
      </c>
      <c r="AQ28" s="95">
        <f>80*AQ7</f>
        <v>20122.72</v>
      </c>
      <c r="AR28" s="9">
        <f t="shared" si="16"/>
        <v>44.54105014130797</v>
      </c>
      <c r="AS28" s="9">
        <f t="shared" si="39"/>
        <v>323472.72399999993</v>
      </c>
      <c r="AT28" s="9">
        <f t="shared" si="17"/>
        <v>40.631840385014605</v>
      </c>
      <c r="AU28" s="95"/>
      <c r="AV28" s="9">
        <f t="shared" si="18"/>
        <v>0</v>
      </c>
      <c r="AW28" s="9">
        <f t="shared" si="40"/>
        <v>0</v>
      </c>
      <c r="AX28" s="9">
        <f t="shared" si="19"/>
        <v>0</v>
      </c>
      <c r="AY28" s="95"/>
      <c r="AZ28" s="14">
        <f t="shared" si="20"/>
        <v>0</v>
      </c>
      <c r="BA28" s="9">
        <f t="shared" si="41"/>
        <v>0</v>
      </c>
      <c r="BB28" s="9">
        <f t="shared" si="21"/>
        <v>0</v>
      </c>
      <c r="BC28" s="9">
        <f t="shared" si="42"/>
        <v>20122.72</v>
      </c>
      <c r="BD28" s="9">
        <f t="shared" si="22"/>
        <v>44.54105014130797</v>
      </c>
      <c r="BE28" s="9">
        <f t="shared" si="43"/>
        <v>323472.72399999993</v>
      </c>
      <c r="BF28" s="9">
        <f t="shared" si="23"/>
        <v>40.631840385014605</v>
      </c>
      <c r="BG28" s="95"/>
      <c r="BH28" s="9">
        <f t="shared" si="24"/>
        <v>0</v>
      </c>
      <c r="BI28" s="9">
        <f t="shared" si="44"/>
        <v>0</v>
      </c>
      <c r="BJ28" s="9">
        <f t="shared" si="25"/>
        <v>0</v>
      </c>
      <c r="BK28" s="9">
        <f t="shared" si="45"/>
        <v>45177.919999999998</v>
      </c>
      <c r="BL28" s="9">
        <f t="shared" si="46"/>
        <v>796106.50400000007</v>
      </c>
      <c r="BM28" s="509">
        <f t="shared" si="26"/>
        <v>1.0385012527871642</v>
      </c>
      <c r="BN28" s="9">
        <f t="shared" si="27"/>
        <v>1.0858549540960312</v>
      </c>
      <c r="BV28" s="13"/>
    </row>
    <row r="29" spans="1:75">
      <c r="A29" s="15">
        <f>+Chem!A28</f>
        <v>46042</v>
      </c>
      <c r="B29" s="5" t="str">
        <f>+Chem!B28</f>
        <v>Facial</v>
      </c>
      <c r="C29" s="15" t="str">
        <f>+Chem!C28</f>
        <v>13,5/13</v>
      </c>
      <c r="D29" s="7">
        <f>+Chem!D28</f>
        <v>45.721000000000004</v>
      </c>
      <c r="E29" s="6">
        <f>+Chem!E28</f>
        <v>46.332999999999998</v>
      </c>
      <c r="F29" s="6">
        <f t="shared" si="28"/>
        <v>779.4939999999998</v>
      </c>
      <c r="G29" s="95">
        <f>22*G7</f>
        <v>5500</v>
      </c>
      <c r="H29" s="9">
        <f t="shared" si="0"/>
        <v>11.06735325574971</v>
      </c>
      <c r="I29" s="7">
        <f t="shared" si="29"/>
        <v>111625</v>
      </c>
      <c r="J29" s="9">
        <f t="shared" si="1"/>
        <v>13.197529858446245</v>
      </c>
      <c r="K29" s="95"/>
      <c r="L29" s="9">
        <f t="shared" si="2"/>
        <v>0</v>
      </c>
      <c r="M29" s="9">
        <f t="shared" si="30"/>
        <v>0</v>
      </c>
      <c r="N29" s="9">
        <f t="shared" si="3"/>
        <v>0</v>
      </c>
      <c r="O29" s="95"/>
      <c r="P29" s="9">
        <f t="shared" si="4"/>
        <v>0</v>
      </c>
      <c r="Q29" s="9">
        <f t="shared" si="31"/>
        <v>0</v>
      </c>
      <c r="R29" s="9">
        <f t="shared" si="5"/>
        <v>0</v>
      </c>
      <c r="S29" s="9">
        <f t="shared" si="32"/>
        <v>5500</v>
      </c>
      <c r="T29" s="9">
        <f t="shared" si="6"/>
        <v>11.06735325574971</v>
      </c>
      <c r="U29" s="9">
        <f t="shared" si="33"/>
        <v>111625</v>
      </c>
      <c r="V29" s="9">
        <f t="shared" si="7"/>
        <v>13.197529858446245</v>
      </c>
      <c r="W29" s="95"/>
      <c r="X29" s="9"/>
      <c r="Y29" s="9"/>
      <c r="Z29" s="9"/>
      <c r="AA29" s="95">
        <f>88*AA7</f>
        <v>22060.720000000001</v>
      </c>
      <c r="AB29" s="9">
        <f t="shared" si="8"/>
        <v>44.391596602942322</v>
      </c>
      <c r="AC29" s="9">
        <f t="shared" si="34"/>
        <v>388569.5</v>
      </c>
      <c r="AD29" s="9">
        <f t="shared" si="9"/>
        <v>45.940941351234294</v>
      </c>
      <c r="AE29" s="95"/>
      <c r="AF29" s="9">
        <f t="shared" si="10"/>
        <v>0</v>
      </c>
      <c r="AG29" s="9">
        <f t="shared" si="35"/>
        <v>0</v>
      </c>
      <c r="AH29" s="9">
        <f t="shared" si="11"/>
        <v>0</v>
      </c>
      <c r="AI29" s="95"/>
      <c r="AJ29" s="9">
        <f t="shared" si="12"/>
        <v>0</v>
      </c>
      <c r="AK29" s="9">
        <f t="shared" si="36"/>
        <v>0</v>
      </c>
      <c r="AL29" s="9">
        <f t="shared" si="13"/>
        <v>0</v>
      </c>
      <c r="AM29" s="9">
        <f t="shared" si="37"/>
        <v>22060.720000000001</v>
      </c>
      <c r="AN29" s="9">
        <f t="shared" si="14"/>
        <v>44.391596602942322</v>
      </c>
      <c r="AO29" s="9">
        <f t="shared" si="38"/>
        <v>388569.5</v>
      </c>
      <c r="AP29" s="9">
        <f t="shared" si="15"/>
        <v>45.940941351234294</v>
      </c>
      <c r="AQ29" s="95">
        <f>88*AQ7</f>
        <v>22134.991999999998</v>
      </c>
      <c r="AR29" s="9">
        <f t="shared" si="16"/>
        <v>44.541050141307963</v>
      </c>
      <c r="AS29" s="9">
        <f t="shared" si="39"/>
        <v>345607.7159999999</v>
      </c>
      <c r="AT29" s="9">
        <f t="shared" si="17"/>
        <v>40.861528790319454</v>
      </c>
      <c r="AU29" s="95"/>
      <c r="AV29" s="9">
        <f t="shared" si="18"/>
        <v>0</v>
      </c>
      <c r="AW29" s="9">
        <f t="shared" si="40"/>
        <v>0</v>
      </c>
      <c r="AX29" s="9">
        <f t="shared" si="19"/>
        <v>0</v>
      </c>
      <c r="AY29" s="95"/>
      <c r="AZ29" s="14">
        <f t="shared" si="20"/>
        <v>0</v>
      </c>
      <c r="BA29" s="9">
        <f t="shared" si="41"/>
        <v>0</v>
      </c>
      <c r="BB29" s="9">
        <f t="shared" si="21"/>
        <v>0</v>
      </c>
      <c r="BC29" s="9">
        <f t="shared" si="42"/>
        <v>22134.991999999998</v>
      </c>
      <c r="BD29" s="9">
        <f t="shared" si="22"/>
        <v>44.541050141307963</v>
      </c>
      <c r="BE29" s="9">
        <f t="shared" si="43"/>
        <v>345607.7159999999</v>
      </c>
      <c r="BF29" s="9">
        <f t="shared" si="23"/>
        <v>40.861528790319454</v>
      </c>
      <c r="BG29" s="95"/>
      <c r="BH29" s="9">
        <f t="shared" si="24"/>
        <v>0</v>
      </c>
      <c r="BI29" s="9">
        <f t="shared" si="44"/>
        <v>0</v>
      </c>
      <c r="BJ29" s="9">
        <f t="shared" si="25"/>
        <v>0</v>
      </c>
      <c r="BK29" s="9">
        <f t="shared" si="45"/>
        <v>49695.712</v>
      </c>
      <c r="BL29" s="9">
        <f t="shared" si="46"/>
        <v>845802.21600000001</v>
      </c>
      <c r="BM29" s="509">
        <f t="shared" si="26"/>
        <v>1.0725770401225909</v>
      </c>
      <c r="BN29" s="9">
        <f t="shared" si="27"/>
        <v>1.085065716990766</v>
      </c>
      <c r="BV29" s="13"/>
    </row>
    <row r="30" spans="1:75">
      <c r="A30" s="15">
        <f>+Chem!A29</f>
        <v>46043</v>
      </c>
      <c r="B30" s="5" t="str">
        <f>+Chem!B29</f>
        <v>Facial</v>
      </c>
      <c r="C30" s="15" t="str">
        <f>+Chem!C29</f>
        <v>13/11/14</v>
      </c>
      <c r="D30" s="7">
        <f>+Chem!D29</f>
        <v>41.471000000000004</v>
      </c>
      <c r="E30" s="6">
        <f>+Chem!E29</f>
        <v>39.21</v>
      </c>
      <c r="F30" s="6">
        <f t="shared" si="28"/>
        <v>818.70399999999984</v>
      </c>
      <c r="G30" s="95">
        <f>25*G7</f>
        <v>6250</v>
      </c>
      <c r="H30" s="9">
        <f t="shared" si="0"/>
        <v>13.683885431767747</v>
      </c>
      <c r="I30" s="7">
        <f t="shared" si="29"/>
        <v>117875</v>
      </c>
      <c r="J30" s="9">
        <f t="shared" si="1"/>
        <v>13.222447942417606</v>
      </c>
      <c r="K30" s="95"/>
      <c r="L30" s="9">
        <f t="shared" si="2"/>
        <v>0</v>
      </c>
      <c r="M30" s="9">
        <f t="shared" si="30"/>
        <v>0</v>
      </c>
      <c r="N30" s="9">
        <f t="shared" si="3"/>
        <v>0</v>
      </c>
      <c r="O30" s="95"/>
      <c r="P30" s="9">
        <f t="shared" si="4"/>
        <v>0</v>
      </c>
      <c r="Q30" s="9">
        <f t="shared" si="31"/>
        <v>0</v>
      </c>
      <c r="R30" s="9">
        <f t="shared" si="5"/>
        <v>0</v>
      </c>
      <c r="S30" s="9">
        <f t="shared" si="32"/>
        <v>6250</v>
      </c>
      <c r="T30" s="9">
        <f t="shared" si="6"/>
        <v>13.683885431767747</v>
      </c>
      <c r="U30" s="9">
        <f t="shared" si="33"/>
        <v>117875</v>
      </c>
      <c r="V30" s="9">
        <f t="shared" si="7"/>
        <v>13.222447942417606</v>
      </c>
      <c r="W30" s="95"/>
      <c r="X30" s="9"/>
      <c r="Y30" s="9"/>
      <c r="Z30" s="9"/>
      <c r="AA30" s="95">
        <f>79*AA7</f>
        <v>19804.509999999998</v>
      </c>
      <c r="AB30" s="9">
        <f t="shared" si="8"/>
        <v>43.360423339567781</v>
      </c>
      <c r="AC30" s="9">
        <f t="shared" si="34"/>
        <v>408374.01</v>
      </c>
      <c r="AD30" s="9">
        <f t="shared" si="9"/>
        <v>45.808730335196834</v>
      </c>
      <c r="AE30" s="95"/>
      <c r="AF30" s="9">
        <f t="shared" si="10"/>
        <v>0</v>
      </c>
      <c r="AG30" s="9">
        <f t="shared" si="35"/>
        <v>0</v>
      </c>
      <c r="AH30" s="9">
        <f t="shared" si="11"/>
        <v>0</v>
      </c>
      <c r="AI30" s="95"/>
      <c r="AJ30" s="9">
        <f t="shared" si="12"/>
        <v>0</v>
      </c>
      <c r="AK30" s="9">
        <f t="shared" si="36"/>
        <v>0</v>
      </c>
      <c r="AL30" s="9">
        <f t="shared" si="13"/>
        <v>0</v>
      </c>
      <c r="AM30" s="9">
        <f t="shared" si="37"/>
        <v>19804.509999999998</v>
      </c>
      <c r="AN30" s="9">
        <f t="shared" si="14"/>
        <v>43.360423339567781</v>
      </c>
      <c r="AO30" s="9">
        <f t="shared" si="38"/>
        <v>408374.01</v>
      </c>
      <c r="AP30" s="9">
        <f t="shared" si="15"/>
        <v>45.808730335196834</v>
      </c>
      <c r="AQ30" s="95">
        <f>78*AQ7</f>
        <v>19619.651999999998</v>
      </c>
      <c r="AR30" s="9">
        <f t="shared" si="16"/>
        <v>42.955691228664463</v>
      </c>
      <c r="AS30" s="9">
        <f t="shared" si="39"/>
        <v>365227.3679999999</v>
      </c>
      <c r="AT30" s="9">
        <f t="shared" si="17"/>
        <v>40.968821722385549</v>
      </c>
      <c r="AU30" s="95"/>
      <c r="AV30" s="9">
        <f t="shared" si="18"/>
        <v>0</v>
      </c>
      <c r="AW30" s="9">
        <f t="shared" si="40"/>
        <v>0</v>
      </c>
      <c r="AX30" s="9">
        <f t="shared" si="19"/>
        <v>0</v>
      </c>
      <c r="AY30" s="95"/>
      <c r="AZ30" s="14">
        <f t="shared" si="20"/>
        <v>0</v>
      </c>
      <c r="BA30" s="9">
        <f t="shared" si="41"/>
        <v>0</v>
      </c>
      <c r="BB30" s="9">
        <f t="shared" si="21"/>
        <v>0</v>
      </c>
      <c r="BC30" s="9">
        <f t="shared" si="42"/>
        <v>19619.651999999998</v>
      </c>
      <c r="BD30" s="9">
        <f t="shared" si="22"/>
        <v>42.955691228664463</v>
      </c>
      <c r="BE30" s="9">
        <f t="shared" si="43"/>
        <v>365227.3679999999</v>
      </c>
      <c r="BF30" s="9">
        <f t="shared" si="23"/>
        <v>40.968821722385549</v>
      </c>
      <c r="BG30" s="95"/>
      <c r="BH30" s="9">
        <f t="shared" si="24"/>
        <v>0</v>
      </c>
      <c r="BI30" s="9">
        <f t="shared" si="44"/>
        <v>0</v>
      </c>
      <c r="BJ30" s="9">
        <f t="shared" si="25"/>
        <v>0</v>
      </c>
      <c r="BK30" s="9">
        <f t="shared" si="45"/>
        <v>45674.161999999997</v>
      </c>
      <c r="BL30" s="9">
        <f t="shared" si="46"/>
        <v>891476.37800000003</v>
      </c>
      <c r="BM30" s="509">
        <f t="shared" si="26"/>
        <v>1.164860035705177</v>
      </c>
      <c r="BN30" s="9">
        <f t="shared" si="27"/>
        <v>1.0888872877132643</v>
      </c>
    </row>
    <row r="31" spans="1:75">
      <c r="A31" s="15">
        <f>+Chem!A30</f>
        <v>46044</v>
      </c>
      <c r="B31" s="5" t="str">
        <f>+Chem!B30</f>
        <v>Facial/Toilet</v>
      </c>
      <c r="C31" s="15" t="str">
        <f>+Chem!C30</f>
        <v>14/13</v>
      </c>
      <c r="D31" s="7">
        <f>+Chem!D30</f>
        <v>43.527999999999999</v>
      </c>
      <c r="E31" s="6">
        <f>+Chem!E30</f>
        <v>42.567</v>
      </c>
      <c r="F31" s="6">
        <f t="shared" si="28"/>
        <v>861.27099999999984</v>
      </c>
      <c r="G31" s="95">
        <f>44*G7</f>
        <v>11000</v>
      </c>
      <c r="H31" s="9">
        <f t="shared" si="0"/>
        <v>24.626829650308871</v>
      </c>
      <c r="I31" s="7">
        <f t="shared" si="29"/>
        <v>128875</v>
      </c>
      <c r="J31" s="9">
        <f t="shared" si="1"/>
        <v>13.766591734035194</v>
      </c>
      <c r="K31" s="95"/>
      <c r="L31" s="9">
        <f t="shared" si="2"/>
        <v>0</v>
      </c>
      <c r="M31" s="9">
        <f t="shared" si="30"/>
        <v>0</v>
      </c>
      <c r="N31" s="9">
        <f t="shared" si="3"/>
        <v>0</v>
      </c>
      <c r="O31" s="95"/>
      <c r="P31" s="9">
        <f t="shared" si="4"/>
        <v>0</v>
      </c>
      <c r="Q31" s="9">
        <f t="shared" si="31"/>
        <v>0</v>
      </c>
      <c r="R31" s="9">
        <f t="shared" si="5"/>
        <v>0</v>
      </c>
      <c r="S31" s="9">
        <f t="shared" si="32"/>
        <v>11000</v>
      </c>
      <c r="T31" s="9">
        <f t="shared" si="6"/>
        <v>24.626829650308871</v>
      </c>
      <c r="U31" s="9">
        <f t="shared" si="33"/>
        <v>128875</v>
      </c>
      <c r="V31" s="9">
        <f t="shared" si="7"/>
        <v>13.766591734035194</v>
      </c>
      <c r="W31" s="95"/>
      <c r="X31" s="9"/>
      <c r="Y31" s="9"/>
      <c r="Z31" s="9"/>
      <c r="AA31" s="95">
        <f>46*AA7</f>
        <v>11531.74</v>
      </c>
      <c r="AB31" s="9">
        <f t="shared" si="8"/>
        <v>25.817290595604803</v>
      </c>
      <c r="AC31" s="9">
        <f t="shared" si="34"/>
        <v>419905.75</v>
      </c>
      <c r="AD31" s="9">
        <f t="shared" si="9"/>
        <v>44.854867328992036</v>
      </c>
      <c r="AE31" s="95"/>
      <c r="AF31" s="9">
        <f t="shared" si="10"/>
        <v>0</v>
      </c>
      <c r="AG31" s="9">
        <f t="shared" si="35"/>
        <v>0</v>
      </c>
      <c r="AH31" s="9">
        <f t="shared" si="11"/>
        <v>0</v>
      </c>
      <c r="AI31" s="95"/>
      <c r="AJ31" s="9">
        <f t="shared" si="12"/>
        <v>0</v>
      </c>
      <c r="AK31" s="9">
        <f t="shared" si="36"/>
        <v>0</v>
      </c>
      <c r="AL31" s="9">
        <f t="shared" si="13"/>
        <v>0</v>
      </c>
      <c r="AM31" s="9">
        <f t="shared" si="37"/>
        <v>11531.74</v>
      </c>
      <c r="AN31" s="9">
        <f t="shared" si="14"/>
        <v>25.817290595604803</v>
      </c>
      <c r="AO31" s="9">
        <f t="shared" si="38"/>
        <v>419905.75</v>
      </c>
      <c r="AP31" s="9">
        <f t="shared" si="15"/>
        <v>44.854867328992036</v>
      </c>
      <c r="AQ31" s="95">
        <f>88*AQ7</f>
        <v>22134.991999999998</v>
      </c>
      <c r="AR31" s="9">
        <f t="shared" si="16"/>
        <v>49.555879754086327</v>
      </c>
      <c r="AS31" s="9">
        <f t="shared" si="39"/>
        <v>387362.35999999987</v>
      </c>
      <c r="AT31" s="9">
        <f t="shared" si="17"/>
        <v>41.378540936972755</v>
      </c>
      <c r="AU31" s="95"/>
      <c r="AV31" s="9">
        <f t="shared" si="18"/>
        <v>0</v>
      </c>
      <c r="AW31" s="9">
        <f t="shared" si="40"/>
        <v>0</v>
      </c>
      <c r="AX31" s="9">
        <f t="shared" si="19"/>
        <v>0</v>
      </c>
      <c r="AY31" s="95"/>
      <c r="AZ31" s="14">
        <f t="shared" si="20"/>
        <v>0</v>
      </c>
      <c r="BA31" s="9">
        <f t="shared" si="41"/>
        <v>0</v>
      </c>
      <c r="BB31" s="9">
        <f t="shared" si="21"/>
        <v>0</v>
      </c>
      <c r="BC31" s="9">
        <f t="shared" si="42"/>
        <v>22134.991999999998</v>
      </c>
      <c r="BD31" s="9">
        <f t="shared" si="22"/>
        <v>49.555879754086327</v>
      </c>
      <c r="BE31" s="9">
        <f t="shared" si="43"/>
        <v>387362.35999999987</v>
      </c>
      <c r="BF31" s="9">
        <f t="shared" si="23"/>
        <v>41.378540936972755</v>
      </c>
      <c r="BG31" s="95"/>
      <c r="BH31" s="9">
        <f t="shared" si="24"/>
        <v>0</v>
      </c>
      <c r="BI31" s="9">
        <f t="shared" si="44"/>
        <v>0</v>
      </c>
      <c r="BJ31" s="9">
        <f t="shared" si="25"/>
        <v>0</v>
      </c>
      <c r="BK31" s="9">
        <f t="shared" si="45"/>
        <v>44666.731999999996</v>
      </c>
      <c r="BL31" s="9">
        <f t="shared" si="46"/>
        <v>936143.11</v>
      </c>
      <c r="BM31" s="509">
        <f t="shared" si="26"/>
        <v>1.0493276951629196</v>
      </c>
      <c r="BN31" s="9">
        <f t="shared" si="27"/>
        <v>1.0869321154433391</v>
      </c>
    </row>
    <row r="32" spans="1:75">
      <c r="A32" s="15">
        <f>+Chem!A31</f>
        <v>46045</v>
      </c>
      <c r="B32" s="5" t="str">
        <f>+Chem!B31</f>
        <v>Toilet</v>
      </c>
      <c r="C32" s="15" t="str">
        <f>+Chem!C31</f>
        <v>13</v>
      </c>
      <c r="D32" s="7">
        <f>+Chem!D31</f>
        <v>35.89</v>
      </c>
      <c r="E32" s="6">
        <f>+Chem!E31</f>
        <v>36.118000000000002</v>
      </c>
      <c r="F32" s="6">
        <f t="shared" si="28"/>
        <v>897.3889999999999</v>
      </c>
      <c r="G32" s="95">
        <f>37*G7</f>
        <v>9250</v>
      </c>
      <c r="H32" s="9">
        <f t="shared" si="0"/>
        <v>24.906401742252612</v>
      </c>
      <c r="I32" s="7">
        <f t="shared" si="29"/>
        <v>138125</v>
      </c>
      <c r="J32" s="9">
        <f t="shared" si="1"/>
        <v>14.191670847811167</v>
      </c>
      <c r="K32" s="95"/>
      <c r="L32" s="9">
        <f t="shared" si="2"/>
        <v>0</v>
      </c>
      <c r="M32" s="9">
        <f t="shared" si="30"/>
        <v>0</v>
      </c>
      <c r="N32" s="9">
        <f t="shared" si="3"/>
        <v>0</v>
      </c>
      <c r="O32" s="95"/>
      <c r="P32" s="9">
        <f t="shared" si="4"/>
        <v>0</v>
      </c>
      <c r="Q32" s="9">
        <f t="shared" si="31"/>
        <v>0</v>
      </c>
      <c r="R32" s="9">
        <f t="shared" si="5"/>
        <v>0</v>
      </c>
      <c r="S32" s="9">
        <f t="shared" si="32"/>
        <v>9250</v>
      </c>
      <c r="T32" s="9">
        <f t="shared" si="6"/>
        <v>24.906401742252612</v>
      </c>
      <c r="U32" s="9">
        <f t="shared" si="33"/>
        <v>138125</v>
      </c>
      <c r="V32" s="9">
        <f t="shared" si="7"/>
        <v>14.191670847811167</v>
      </c>
      <c r="W32" s="95"/>
      <c r="X32" s="9"/>
      <c r="Y32" s="9"/>
      <c r="Z32" s="9"/>
      <c r="AA32" s="95">
        <f>37*AA7</f>
        <v>9275.5300000000007</v>
      </c>
      <c r="AB32" s="9">
        <f t="shared" si="8"/>
        <v>24.975143411061232</v>
      </c>
      <c r="AC32" s="9">
        <f t="shared" si="34"/>
        <v>429181.28</v>
      </c>
      <c r="AD32" s="9">
        <f t="shared" si="9"/>
        <v>44.09628568182648</v>
      </c>
      <c r="AE32" s="95"/>
      <c r="AF32" s="9">
        <f t="shared" si="10"/>
        <v>0</v>
      </c>
      <c r="AG32" s="9">
        <f t="shared" si="35"/>
        <v>0</v>
      </c>
      <c r="AH32" s="9">
        <f t="shared" si="11"/>
        <v>0</v>
      </c>
      <c r="AI32" s="95"/>
      <c r="AJ32" s="9">
        <f t="shared" si="12"/>
        <v>0</v>
      </c>
      <c r="AK32" s="9">
        <f t="shared" si="36"/>
        <v>0</v>
      </c>
      <c r="AL32" s="9">
        <f t="shared" si="13"/>
        <v>0</v>
      </c>
      <c r="AM32" s="9">
        <f t="shared" si="37"/>
        <v>9275.5300000000007</v>
      </c>
      <c r="AN32" s="9">
        <f t="shared" si="14"/>
        <v>24.975143411061232</v>
      </c>
      <c r="AO32" s="9">
        <f t="shared" si="38"/>
        <v>429181.28</v>
      </c>
      <c r="AP32" s="9">
        <f t="shared" si="15"/>
        <v>44.09628568182648</v>
      </c>
      <c r="AQ32" s="95">
        <f>74*AQ7</f>
        <v>18613.516</v>
      </c>
      <c r="AR32" s="9">
        <f t="shared" si="16"/>
        <v>50.118454846686141</v>
      </c>
      <c r="AS32" s="9">
        <f t="shared" si="39"/>
        <v>405975.87599999987</v>
      </c>
      <c r="AT32" s="9">
        <f t="shared" si="17"/>
        <v>41.712043470362346</v>
      </c>
      <c r="AU32" s="95"/>
      <c r="AV32" s="9">
        <f t="shared" si="18"/>
        <v>0</v>
      </c>
      <c r="AW32" s="9">
        <f t="shared" si="40"/>
        <v>0</v>
      </c>
      <c r="AX32" s="9">
        <f t="shared" si="19"/>
        <v>0</v>
      </c>
      <c r="AY32" s="95"/>
      <c r="AZ32" s="14">
        <f t="shared" si="20"/>
        <v>0</v>
      </c>
      <c r="BA32" s="9">
        <f t="shared" si="41"/>
        <v>0</v>
      </c>
      <c r="BB32" s="9">
        <f t="shared" si="21"/>
        <v>0</v>
      </c>
      <c r="BC32" s="9">
        <f t="shared" si="42"/>
        <v>18613.516</v>
      </c>
      <c r="BD32" s="9">
        <f t="shared" si="22"/>
        <v>50.118454846686141</v>
      </c>
      <c r="BE32" s="9">
        <f t="shared" si="43"/>
        <v>405975.87599999987</v>
      </c>
      <c r="BF32" s="9">
        <f t="shared" si="23"/>
        <v>41.712043470362346</v>
      </c>
      <c r="BG32" s="95"/>
      <c r="BH32" s="9">
        <f t="shared" si="24"/>
        <v>0</v>
      </c>
      <c r="BI32" s="9">
        <f t="shared" si="44"/>
        <v>0</v>
      </c>
      <c r="BJ32" s="9">
        <f t="shared" si="25"/>
        <v>0</v>
      </c>
      <c r="BK32" s="9">
        <f t="shared" si="45"/>
        <v>37139.046000000002</v>
      </c>
      <c r="BL32" s="9">
        <f t="shared" si="46"/>
        <v>973282.15599999996</v>
      </c>
      <c r="BM32" s="509">
        <f t="shared" si="26"/>
        <v>1.0282697270059249</v>
      </c>
      <c r="BN32" s="9">
        <f t="shared" si="27"/>
        <v>1.0845710789858134</v>
      </c>
    </row>
    <row r="33" spans="1:66">
      <c r="A33" s="15">
        <f>+Chem!A32</f>
        <v>46046</v>
      </c>
      <c r="B33" s="5" t="str">
        <f>+Chem!B32</f>
        <v>Toilet</v>
      </c>
      <c r="C33" s="15" t="str">
        <f>+Chem!C32</f>
        <v>13</v>
      </c>
      <c r="D33" s="7">
        <f>+Chem!D32</f>
        <v>35.772000000000006</v>
      </c>
      <c r="E33" s="6">
        <f>+Chem!E32</f>
        <v>33.08</v>
      </c>
      <c r="F33" s="6">
        <f t="shared" si="28"/>
        <v>930.46899999999994</v>
      </c>
      <c r="G33" s="95">
        <f>38*G7</f>
        <v>9500</v>
      </c>
      <c r="H33" s="9">
        <f t="shared" si="0"/>
        <v>24.906401742252612</v>
      </c>
      <c r="I33" s="7">
        <f t="shared" si="29"/>
        <v>147625</v>
      </c>
      <c r="J33" s="9">
        <f t="shared" si="1"/>
        <v>14.595744206273098</v>
      </c>
      <c r="K33" s="95"/>
      <c r="L33" s="9">
        <f t="shared" si="2"/>
        <v>0</v>
      </c>
      <c r="M33" s="9">
        <f t="shared" si="30"/>
        <v>0</v>
      </c>
      <c r="N33" s="9">
        <f t="shared" si="3"/>
        <v>0</v>
      </c>
      <c r="O33" s="95"/>
      <c r="P33" s="9">
        <f t="shared" si="4"/>
        <v>0</v>
      </c>
      <c r="Q33" s="9">
        <f t="shared" si="31"/>
        <v>0</v>
      </c>
      <c r="R33" s="9">
        <f t="shared" si="5"/>
        <v>0</v>
      </c>
      <c r="S33" s="9">
        <f t="shared" si="32"/>
        <v>9500</v>
      </c>
      <c r="T33" s="9">
        <f t="shared" si="6"/>
        <v>24.906401742252612</v>
      </c>
      <c r="U33" s="9">
        <f t="shared" si="33"/>
        <v>147625</v>
      </c>
      <c r="V33" s="9">
        <f t="shared" si="7"/>
        <v>14.595744206273098</v>
      </c>
      <c r="W33" s="95"/>
      <c r="X33" s="9"/>
      <c r="Y33" s="9"/>
      <c r="Z33" s="9"/>
      <c r="AA33" s="95">
        <f>38*AA7</f>
        <v>9526.2199999999993</v>
      </c>
      <c r="AB33" s="9">
        <f t="shared" si="8"/>
        <v>24.975143411061225</v>
      </c>
      <c r="AC33" s="9">
        <f>AA33+AC32</f>
        <v>438707.5</v>
      </c>
      <c r="AD33" s="9">
        <f t="shared" si="9"/>
        <v>43.375190187119763</v>
      </c>
      <c r="AE33" s="95"/>
      <c r="AF33" s="9">
        <f t="shared" si="10"/>
        <v>0</v>
      </c>
      <c r="AG33" s="9">
        <f t="shared" si="35"/>
        <v>0</v>
      </c>
      <c r="AH33" s="9">
        <f t="shared" si="11"/>
        <v>0</v>
      </c>
      <c r="AI33" s="95"/>
      <c r="AJ33" s="9">
        <f t="shared" si="12"/>
        <v>0</v>
      </c>
      <c r="AK33" s="9">
        <f t="shared" si="36"/>
        <v>0</v>
      </c>
      <c r="AL33" s="9">
        <f t="shared" si="13"/>
        <v>0</v>
      </c>
      <c r="AM33" s="9">
        <f t="shared" si="37"/>
        <v>9526.2199999999993</v>
      </c>
      <c r="AN33" s="9">
        <f t="shared" si="14"/>
        <v>24.975143411061225</v>
      </c>
      <c r="AO33" s="9">
        <f t="shared" si="38"/>
        <v>438707.5</v>
      </c>
      <c r="AP33" s="9">
        <f t="shared" si="15"/>
        <v>43.375190187119763</v>
      </c>
      <c r="AQ33" s="95">
        <f>76*AQ7</f>
        <v>19116.583999999999</v>
      </c>
      <c r="AR33" s="9">
        <f t="shared" si="16"/>
        <v>50.118454846686141</v>
      </c>
      <c r="AS33" s="9">
        <f t="shared" si="39"/>
        <v>425092.45999999985</v>
      </c>
      <c r="AT33" s="9">
        <f t="shared" si="17"/>
        <v>42.029065606607126</v>
      </c>
      <c r="AU33" s="95"/>
      <c r="AV33" s="9">
        <f t="shared" si="18"/>
        <v>0</v>
      </c>
      <c r="AW33" s="9">
        <f t="shared" si="40"/>
        <v>0</v>
      </c>
      <c r="AX33" s="9">
        <f t="shared" si="19"/>
        <v>0</v>
      </c>
      <c r="AY33" s="95"/>
      <c r="AZ33" s="14">
        <f t="shared" si="20"/>
        <v>0</v>
      </c>
      <c r="BA33" s="9">
        <f t="shared" si="41"/>
        <v>0</v>
      </c>
      <c r="BB33" s="9">
        <f t="shared" si="21"/>
        <v>0</v>
      </c>
      <c r="BC33" s="9">
        <f t="shared" si="42"/>
        <v>19116.583999999999</v>
      </c>
      <c r="BD33" s="9">
        <f t="shared" si="22"/>
        <v>50.118454846686141</v>
      </c>
      <c r="BE33" s="9">
        <f t="shared" si="43"/>
        <v>425092.45999999985</v>
      </c>
      <c r="BF33" s="9">
        <f t="shared" si="23"/>
        <v>42.029065606607126</v>
      </c>
      <c r="BG33" s="95"/>
      <c r="BH33" s="9">
        <f t="shared" si="24"/>
        <v>0</v>
      </c>
      <c r="BI33" s="9">
        <f t="shared" si="44"/>
        <v>0</v>
      </c>
      <c r="BJ33" s="9">
        <f t="shared" si="25"/>
        <v>0</v>
      </c>
      <c r="BK33" s="9">
        <f t="shared" si="45"/>
        <v>38142.804000000004</v>
      </c>
      <c r="BL33" s="9">
        <f t="shared" si="46"/>
        <v>1011424.96</v>
      </c>
      <c r="BM33" s="509">
        <f t="shared" si="26"/>
        <v>1.1530472793228539</v>
      </c>
      <c r="BN33" s="9">
        <f t="shared" si="27"/>
        <v>1.087005542366269</v>
      </c>
    </row>
    <row r="34" spans="1:66">
      <c r="A34" s="15">
        <f>+Chem!A33</f>
        <v>46047</v>
      </c>
      <c r="B34" s="5" t="str">
        <f>+Chem!B33</f>
        <v>Toilet</v>
      </c>
      <c r="C34" s="15" t="str">
        <f>+Chem!C33</f>
        <v>13</v>
      </c>
      <c r="D34" s="7">
        <f>+Chem!D33</f>
        <v>36.555999999999997</v>
      </c>
      <c r="E34" s="6">
        <f>+Chem!E33</f>
        <v>34.482999999999997</v>
      </c>
      <c r="F34" s="6">
        <f t="shared" si="28"/>
        <v>964.95199999999988</v>
      </c>
      <c r="G34" s="95">
        <f>39*G7</f>
        <v>9750</v>
      </c>
      <c r="H34" s="9">
        <f t="shared" si="0"/>
        <v>24.906401742252616</v>
      </c>
      <c r="I34" s="7">
        <f t="shared" si="29"/>
        <v>157375</v>
      </c>
      <c r="J34" s="9">
        <f t="shared" si="1"/>
        <v>14.979941556040011</v>
      </c>
      <c r="K34" s="95"/>
      <c r="L34" s="9">
        <f t="shared" si="2"/>
        <v>0</v>
      </c>
      <c r="M34" s="9">
        <f t="shared" si="30"/>
        <v>0</v>
      </c>
      <c r="N34" s="9">
        <f t="shared" si="3"/>
        <v>0</v>
      </c>
      <c r="O34" s="95"/>
      <c r="P34" s="9">
        <f t="shared" si="4"/>
        <v>0</v>
      </c>
      <c r="Q34" s="9">
        <f t="shared" si="31"/>
        <v>0</v>
      </c>
      <c r="R34" s="9">
        <f t="shared" si="5"/>
        <v>0</v>
      </c>
      <c r="S34" s="9">
        <f t="shared" si="32"/>
        <v>9750</v>
      </c>
      <c r="T34" s="9">
        <f t="shared" si="6"/>
        <v>24.906401742252616</v>
      </c>
      <c r="U34" s="9">
        <f t="shared" si="33"/>
        <v>157375</v>
      </c>
      <c r="V34" s="9">
        <f t="shared" si="7"/>
        <v>14.979941556040011</v>
      </c>
      <c r="W34" s="95"/>
      <c r="X34" s="9"/>
      <c r="Y34" s="9"/>
      <c r="Z34" s="9"/>
      <c r="AA34" s="95">
        <f>39*AA7</f>
        <v>9776.91</v>
      </c>
      <c r="AB34" s="9">
        <f t="shared" si="8"/>
        <v>24.975143411061232</v>
      </c>
      <c r="AC34" s="9">
        <f>AA34+AC33</f>
        <v>448484.41</v>
      </c>
      <c r="AD34" s="9">
        <f t="shared" si="9"/>
        <v>42.689564737697125</v>
      </c>
      <c r="AE34" s="95"/>
      <c r="AF34" s="9">
        <f t="shared" si="10"/>
        <v>0</v>
      </c>
      <c r="AG34" s="9">
        <f t="shared" si="35"/>
        <v>0</v>
      </c>
      <c r="AH34" s="9">
        <f t="shared" si="11"/>
        <v>0</v>
      </c>
      <c r="AI34" s="95"/>
      <c r="AJ34" s="9">
        <f t="shared" si="12"/>
        <v>0</v>
      </c>
      <c r="AK34" s="9">
        <f t="shared" si="36"/>
        <v>0</v>
      </c>
      <c r="AL34" s="9">
        <f t="shared" si="13"/>
        <v>0</v>
      </c>
      <c r="AM34" s="9">
        <f t="shared" si="37"/>
        <v>9776.91</v>
      </c>
      <c r="AN34" s="9">
        <f t="shared" si="14"/>
        <v>24.975143411061232</v>
      </c>
      <c r="AO34" s="9">
        <f t="shared" si="38"/>
        <v>448484.41</v>
      </c>
      <c r="AP34" s="9">
        <f t="shared" si="15"/>
        <v>42.689564737697125</v>
      </c>
      <c r="AQ34" s="95">
        <f>78*AQ7</f>
        <v>19619.651999999998</v>
      </c>
      <c r="AR34" s="9">
        <f t="shared" si="16"/>
        <v>50.118454846686156</v>
      </c>
      <c r="AS34" s="9">
        <f t="shared" si="39"/>
        <v>444712.11199999985</v>
      </c>
      <c r="AT34" s="9">
        <f t="shared" si="17"/>
        <v>42.330493706262857</v>
      </c>
      <c r="AU34" s="95"/>
      <c r="AV34" s="9">
        <f t="shared" si="18"/>
        <v>0</v>
      </c>
      <c r="AW34" s="9">
        <f t="shared" si="40"/>
        <v>0</v>
      </c>
      <c r="AX34" s="9">
        <f t="shared" si="19"/>
        <v>0</v>
      </c>
      <c r="AY34" s="95"/>
      <c r="AZ34" s="14">
        <f t="shared" si="20"/>
        <v>0</v>
      </c>
      <c r="BA34" s="9">
        <f t="shared" si="41"/>
        <v>0</v>
      </c>
      <c r="BB34" s="9">
        <f t="shared" si="21"/>
        <v>0</v>
      </c>
      <c r="BC34" s="9">
        <f t="shared" si="42"/>
        <v>19619.651999999998</v>
      </c>
      <c r="BD34" s="9">
        <f t="shared" si="22"/>
        <v>50.118454846686156</v>
      </c>
      <c r="BE34" s="9">
        <f t="shared" si="43"/>
        <v>444712.11199999985</v>
      </c>
      <c r="BF34" s="9">
        <f t="shared" si="23"/>
        <v>42.330493706262857</v>
      </c>
      <c r="BG34" s="95"/>
      <c r="BH34" s="9">
        <f t="shared" si="24"/>
        <v>0</v>
      </c>
      <c r="BI34" s="9">
        <f t="shared" si="44"/>
        <v>0</v>
      </c>
      <c r="BJ34" s="9">
        <f t="shared" si="25"/>
        <v>0</v>
      </c>
      <c r="BK34" s="9">
        <f t="shared" si="45"/>
        <v>39146.561999999998</v>
      </c>
      <c r="BL34" s="9">
        <f t="shared" si="46"/>
        <v>1050571.5219999999</v>
      </c>
      <c r="BM34" s="509">
        <f t="shared" si="26"/>
        <v>1.1352423513035408</v>
      </c>
      <c r="BN34" s="9">
        <f t="shared" si="27"/>
        <v>1.0887293067427188</v>
      </c>
    </row>
    <row r="35" spans="1:66">
      <c r="A35" s="15">
        <f>+Chem!A34</f>
        <v>46048</v>
      </c>
      <c r="B35" s="5" t="str">
        <f>+Chem!B34</f>
        <v>Toilet</v>
      </c>
      <c r="C35" s="15" t="str">
        <f>+Chem!C34</f>
        <v>13</v>
      </c>
      <c r="D35" s="7">
        <f>+Chem!D34</f>
        <v>30.555999999999997</v>
      </c>
      <c r="E35" s="6">
        <f>+Chem!E34</f>
        <v>32.168999999999997</v>
      </c>
      <c r="F35" s="6">
        <f t="shared" si="28"/>
        <v>997.12099999999987</v>
      </c>
      <c r="G35" s="95">
        <f>34*G7</f>
        <v>8500</v>
      </c>
      <c r="H35" s="9">
        <f t="shared" si="0"/>
        <v>25.279032939591083</v>
      </c>
      <c r="I35" s="7">
        <f t="shared" si="29"/>
        <v>165875</v>
      </c>
      <c r="J35" s="9">
        <f t="shared" si="1"/>
        <v>15.299352277951947</v>
      </c>
      <c r="K35" s="95"/>
      <c r="L35" s="9">
        <f t="shared" si="2"/>
        <v>0</v>
      </c>
      <c r="M35" s="9">
        <f t="shared" si="30"/>
        <v>0</v>
      </c>
      <c r="N35" s="9">
        <f t="shared" si="3"/>
        <v>0</v>
      </c>
      <c r="O35" s="95"/>
      <c r="P35" s="9">
        <f t="shared" si="4"/>
        <v>0</v>
      </c>
      <c r="Q35" s="9">
        <f t="shared" si="31"/>
        <v>0</v>
      </c>
      <c r="R35" s="9">
        <f t="shared" si="5"/>
        <v>0</v>
      </c>
      <c r="S35" s="9">
        <f t="shared" si="32"/>
        <v>8500</v>
      </c>
      <c r="T35" s="9">
        <f t="shared" si="6"/>
        <v>25.279032939591083</v>
      </c>
      <c r="U35" s="9">
        <f t="shared" si="33"/>
        <v>165875</v>
      </c>
      <c r="V35" s="9">
        <f t="shared" si="7"/>
        <v>15.299352277951947</v>
      </c>
      <c r="W35" s="95"/>
      <c r="X35" s="9"/>
      <c r="Y35" s="9"/>
      <c r="Z35" s="9"/>
      <c r="AA35" s="95">
        <f>34*AA7</f>
        <v>8523.4599999999991</v>
      </c>
      <c r="AB35" s="9">
        <f t="shared" si="8"/>
        <v>25.348803070504349</v>
      </c>
      <c r="AC35" s="9">
        <f>AA35+AC34</f>
        <v>457007.87</v>
      </c>
      <c r="AD35" s="9">
        <f t="shared" si="9"/>
        <v>42.151767276120374</v>
      </c>
      <c r="AE35" s="95"/>
      <c r="AF35" s="9">
        <f t="shared" si="10"/>
        <v>0</v>
      </c>
      <c r="AG35" s="9">
        <f t="shared" si="35"/>
        <v>0</v>
      </c>
      <c r="AH35" s="9">
        <f t="shared" si="11"/>
        <v>0</v>
      </c>
      <c r="AI35" s="95"/>
      <c r="AJ35" s="9">
        <f t="shared" si="12"/>
        <v>0</v>
      </c>
      <c r="AK35" s="9">
        <f t="shared" si="36"/>
        <v>0</v>
      </c>
      <c r="AL35" s="9">
        <f t="shared" si="13"/>
        <v>0</v>
      </c>
      <c r="AM35" s="9">
        <f t="shared" si="37"/>
        <v>8523.4599999999991</v>
      </c>
      <c r="AN35" s="9">
        <f t="shared" si="14"/>
        <v>25.348803070504349</v>
      </c>
      <c r="AO35" s="9">
        <f t="shared" si="38"/>
        <v>457007.87</v>
      </c>
      <c r="AP35" s="9">
        <f t="shared" si="15"/>
        <v>42.151767276120374</v>
      </c>
      <c r="AQ35" s="95">
        <f>66*AQ7</f>
        <v>16601.243999999999</v>
      </c>
      <c r="AR35" s="9">
        <f t="shared" si="16"/>
        <v>49.372163989904564</v>
      </c>
      <c r="AS35" s="9">
        <f t="shared" si="39"/>
        <v>461313.35599999985</v>
      </c>
      <c r="AT35" s="9">
        <f t="shared" si="17"/>
        <v>42.548880445927686</v>
      </c>
      <c r="AU35" s="95"/>
      <c r="AV35" s="9">
        <f t="shared" si="18"/>
        <v>0</v>
      </c>
      <c r="AW35" s="9">
        <f t="shared" si="40"/>
        <v>0</v>
      </c>
      <c r="AX35" s="9">
        <f t="shared" si="19"/>
        <v>0</v>
      </c>
      <c r="AY35" s="95"/>
      <c r="AZ35" s="14">
        <f t="shared" si="20"/>
        <v>0</v>
      </c>
      <c r="BA35" s="9">
        <f t="shared" si="41"/>
        <v>0</v>
      </c>
      <c r="BB35" s="9">
        <f t="shared" si="21"/>
        <v>0</v>
      </c>
      <c r="BC35" s="9">
        <f t="shared" si="42"/>
        <v>16601.243999999999</v>
      </c>
      <c r="BD35" s="9">
        <f t="shared" si="22"/>
        <v>49.372163989904564</v>
      </c>
      <c r="BE35" s="9">
        <f t="shared" si="43"/>
        <v>461313.35599999985</v>
      </c>
      <c r="BF35" s="9">
        <f t="shared" si="23"/>
        <v>42.548880445927686</v>
      </c>
      <c r="BG35" s="95"/>
      <c r="BH35" s="9">
        <f t="shared" si="24"/>
        <v>0</v>
      </c>
      <c r="BI35" s="9">
        <f t="shared" si="44"/>
        <v>0</v>
      </c>
      <c r="BJ35" s="9">
        <f t="shared" si="25"/>
        <v>0</v>
      </c>
      <c r="BK35" s="9">
        <f t="shared" si="45"/>
        <v>33624.703999999998</v>
      </c>
      <c r="BL35" s="9">
        <f t="shared" si="46"/>
        <v>1084196.2259999998</v>
      </c>
      <c r="BM35" s="509">
        <f t="shared" si="26"/>
        <v>1.0452517641207375</v>
      </c>
      <c r="BN35" s="9">
        <f t="shared" si="27"/>
        <v>1.0873266393948176</v>
      </c>
    </row>
    <row r="36" spans="1:66">
      <c r="A36" s="15">
        <f>+Chem!A35</f>
        <v>46049</v>
      </c>
      <c r="B36" s="5" t="str">
        <f>+Chem!B35</f>
        <v>Toilet</v>
      </c>
      <c r="C36" s="15" t="str">
        <f>+Chem!C35</f>
        <v>13</v>
      </c>
      <c r="D36" s="7">
        <f>+Chem!D35</f>
        <v>29.414000000000001</v>
      </c>
      <c r="E36" s="6">
        <f>+Chem!E35</f>
        <v>28.209</v>
      </c>
      <c r="F36" s="6">
        <f t="shared" si="28"/>
        <v>1025.33</v>
      </c>
      <c r="G36" s="95">
        <f>32*G7</f>
        <v>8000</v>
      </c>
      <c r="H36" s="9">
        <f t="shared" si="0"/>
        <v>24.906401742252612</v>
      </c>
      <c r="I36" s="7">
        <f t="shared" si="29"/>
        <v>173875</v>
      </c>
      <c r="J36" s="9">
        <f t="shared" si="1"/>
        <v>15.57578005911768</v>
      </c>
      <c r="K36" s="95"/>
      <c r="L36" s="9">
        <f t="shared" si="2"/>
        <v>0</v>
      </c>
      <c r="M36" s="9">
        <f t="shared" si="30"/>
        <v>0</v>
      </c>
      <c r="N36" s="9">
        <f t="shared" si="3"/>
        <v>0</v>
      </c>
      <c r="O36" s="95"/>
      <c r="P36" s="9">
        <f t="shared" si="4"/>
        <v>0</v>
      </c>
      <c r="Q36" s="9">
        <f t="shared" si="31"/>
        <v>0</v>
      </c>
      <c r="R36" s="9">
        <f t="shared" si="5"/>
        <v>0</v>
      </c>
      <c r="S36" s="9">
        <f t="shared" si="32"/>
        <v>8000</v>
      </c>
      <c r="T36" s="9">
        <f t="shared" si="6"/>
        <v>24.906401742252612</v>
      </c>
      <c r="U36" s="9">
        <f t="shared" si="33"/>
        <v>173875</v>
      </c>
      <c r="V36" s="9">
        <f t="shared" si="7"/>
        <v>15.57578005911768</v>
      </c>
      <c r="W36" s="95"/>
      <c r="X36" s="9"/>
      <c r="Y36" s="9"/>
      <c r="Z36" s="9"/>
      <c r="AA36" s="95">
        <f>32*AA7</f>
        <v>8022.08</v>
      </c>
      <c r="AB36" s="9">
        <f t="shared" si="8"/>
        <v>24.975143411061232</v>
      </c>
      <c r="AC36" s="9">
        <f t="shared" si="34"/>
        <v>465029.95</v>
      </c>
      <c r="AD36" s="9">
        <f t="shared" si="9"/>
        <v>41.657536863278175</v>
      </c>
      <c r="AE36" s="95"/>
      <c r="AF36" s="9">
        <f t="shared" si="10"/>
        <v>0</v>
      </c>
      <c r="AG36" s="9">
        <f t="shared" si="35"/>
        <v>0</v>
      </c>
      <c r="AH36" s="9">
        <f t="shared" si="11"/>
        <v>0</v>
      </c>
      <c r="AI36" s="95"/>
      <c r="AJ36" s="9">
        <f t="shared" si="12"/>
        <v>0</v>
      </c>
      <c r="AK36" s="9">
        <f t="shared" si="36"/>
        <v>0</v>
      </c>
      <c r="AL36" s="9">
        <f t="shared" si="13"/>
        <v>0</v>
      </c>
      <c r="AM36" s="9">
        <f t="shared" si="37"/>
        <v>8022.08</v>
      </c>
      <c r="AN36" s="9">
        <f t="shared" si="14"/>
        <v>24.975143411061232</v>
      </c>
      <c r="AO36" s="9">
        <f t="shared" si="38"/>
        <v>465029.95</v>
      </c>
      <c r="AP36" s="9">
        <f t="shared" si="15"/>
        <v>41.657536863278175</v>
      </c>
      <c r="AQ36" s="95">
        <f>64*AQ7</f>
        <v>16098.175999999999</v>
      </c>
      <c r="AR36" s="9">
        <f t="shared" si="16"/>
        <v>50.118454846686141</v>
      </c>
      <c r="AS36" s="9">
        <f t="shared" si="39"/>
        <v>477411.53199999983</v>
      </c>
      <c r="AT36" s="9">
        <f t="shared" si="17"/>
        <v>42.766683077604142</v>
      </c>
      <c r="AU36" s="95"/>
      <c r="AV36" s="9">
        <f t="shared" si="18"/>
        <v>0</v>
      </c>
      <c r="AW36" s="9">
        <f t="shared" si="40"/>
        <v>0</v>
      </c>
      <c r="AX36" s="9">
        <f t="shared" si="19"/>
        <v>0</v>
      </c>
      <c r="AY36" s="95"/>
      <c r="AZ36" s="14">
        <f t="shared" si="20"/>
        <v>0</v>
      </c>
      <c r="BA36" s="9">
        <f t="shared" si="41"/>
        <v>0</v>
      </c>
      <c r="BB36" s="9">
        <f t="shared" si="21"/>
        <v>0</v>
      </c>
      <c r="BC36" s="9">
        <f t="shared" si="42"/>
        <v>16098.175999999999</v>
      </c>
      <c r="BD36" s="9">
        <f t="shared" si="22"/>
        <v>50.118454846686141</v>
      </c>
      <c r="BE36" s="9">
        <f t="shared" si="43"/>
        <v>477411.53199999983</v>
      </c>
      <c r="BF36" s="9">
        <f t="shared" si="23"/>
        <v>42.766683077604142</v>
      </c>
      <c r="BG36" s="95"/>
      <c r="BH36" s="9">
        <f t="shared" si="24"/>
        <v>0</v>
      </c>
      <c r="BI36" s="9">
        <f t="shared" si="44"/>
        <v>0</v>
      </c>
      <c r="BJ36" s="9">
        <f t="shared" si="25"/>
        <v>0</v>
      </c>
      <c r="BK36" s="9">
        <f t="shared" si="45"/>
        <v>32120.256000000001</v>
      </c>
      <c r="BL36" s="9">
        <f t="shared" si="46"/>
        <v>1116316.4819999998</v>
      </c>
      <c r="BM36" s="509">
        <f t="shared" si="26"/>
        <v>1.1386527703924278</v>
      </c>
      <c r="BN36" s="9">
        <f t="shared" si="27"/>
        <v>1.0887387299698634</v>
      </c>
    </row>
    <row r="37" spans="1:66">
      <c r="A37" s="15">
        <f>+Chem!A36</f>
        <v>46050</v>
      </c>
      <c r="B37" s="5" t="str">
        <f>+Chem!B36</f>
        <v>Toilet</v>
      </c>
      <c r="C37" s="15" t="str">
        <f>+Chem!C36</f>
        <v>13</v>
      </c>
      <c r="D37" s="7">
        <f>+Chem!D36</f>
        <v>26.457000000000001</v>
      </c>
      <c r="E37" s="6">
        <f>+Chem!E36</f>
        <v>26.655999999999999</v>
      </c>
      <c r="F37" s="6">
        <f t="shared" si="28"/>
        <v>1051.9859999999999</v>
      </c>
      <c r="G37" s="95">
        <f>28*G7</f>
        <v>7000</v>
      </c>
      <c r="H37" s="9">
        <f t="shared" si="0"/>
        <v>24.906401742252616</v>
      </c>
      <c r="I37" s="7">
        <f t="shared" si="29"/>
        <v>180875</v>
      </c>
      <c r="J37" s="9">
        <f t="shared" si="1"/>
        <v>15.804925671341646</v>
      </c>
      <c r="K37" s="95"/>
      <c r="L37" s="9">
        <f t="shared" si="2"/>
        <v>0</v>
      </c>
      <c r="M37" s="9">
        <f t="shared" si="30"/>
        <v>0</v>
      </c>
      <c r="N37" s="9">
        <f t="shared" si="3"/>
        <v>0</v>
      </c>
      <c r="O37" s="95"/>
      <c r="P37" s="9">
        <f t="shared" si="4"/>
        <v>0</v>
      </c>
      <c r="Q37" s="9">
        <f t="shared" si="31"/>
        <v>0</v>
      </c>
      <c r="R37" s="9">
        <f t="shared" si="5"/>
        <v>0</v>
      </c>
      <c r="S37" s="9">
        <f t="shared" si="32"/>
        <v>7000</v>
      </c>
      <c r="T37" s="9">
        <f t="shared" si="6"/>
        <v>24.906401742252616</v>
      </c>
      <c r="U37" s="9">
        <f t="shared" si="33"/>
        <v>180875</v>
      </c>
      <c r="V37" s="9">
        <f t="shared" si="7"/>
        <v>15.804925671341646</v>
      </c>
      <c r="W37" s="95"/>
      <c r="X37" s="9"/>
      <c r="Y37" s="9"/>
      <c r="Z37" s="9"/>
      <c r="AA37" s="95">
        <f>28*AA7</f>
        <v>7019.32</v>
      </c>
      <c r="AB37" s="9">
        <f t="shared" si="8"/>
        <v>24.975143411061232</v>
      </c>
      <c r="AC37" s="9">
        <f t="shared" si="34"/>
        <v>472049.27</v>
      </c>
      <c r="AD37" s="9">
        <f t="shared" si="9"/>
        <v>41.247843126806281</v>
      </c>
      <c r="AE37" s="95"/>
      <c r="AF37" s="9">
        <f t="shared" si="10"/>
        <v>0</v>
      </c>
      <c r="AG37" s="9">
        <f t="shared" si="35"/>
        <v>0</v>
      </c>
      <c r="AH37" s="9">
        <f t="shared" si="11"/>
        <v>0</v>
      </c>
      <c r="AI37" s="95"/>
      <c r="AJ37" s="9">
        <f t="shared" si="12"/>
        <v>0</v>
      </c>
      <c r="AK37" s="9">
        <f t="shared" si="36"/>
        <v>0</v>
      </c>
      <c r="AL37" s="9">
        <f t="shared" si="13"/>
        <v>0</v>
      </c>
      <c r="AM37" s="9">
        <f t="shared" si="37"/>
        <v>7019.32</v>
      </c>
      <c r="AN37" s="9">
        <f t="shared" si="14"/>
        <v>24.975143411061232</v>
      </c>
      <c r="AO37" s="9">
        <f t="shared" si="38"/>
        <v>472049.27</v>
      </c>
      <c r="AP37" s="9">
        <f t="shared" si="15"/>
        <v>41.247843126806281</v>
      </c>
      <c r="AQ37" s="95">
        <f>56*AQ7</f>
        <v>14085.903999999999</v>
      </c>
      <c r="AR37" s="9">
        <f t="shared" si="16"/>
        <v>50.118454846686156</v>
      </c>
      <c r="AS37" s="9">
        <f t="shared" si="39"/>
        <v>491497.43599999981</v>
      </c>
      <c r="AT37" s="9">
        <f t="shared" si="17"/>
        <v>42.947231201852084</v>
      </c>
      <c r="AU37" s="95"/>
      <c r="AV37" s="9">
        <f t="shared" si="18"/>
        <v>0</v>
      </c>
      <c r="AW37" s="9">
        <f t="shared" si="40"/>
        <v>0</v>
      </c>
      <c r="AX37" s="9">
        <f t="shared" si="19"/>
        <v>0</v>
      </c>
      <c r="AY37" s="95"/>
      <c r="AZ37" s="14">
        <f t="shared" si="20"/>
        <v>0</v>
      </c>
      <c r="BA37" s="9">
        <f t="shared" si="41"/>
        <v>0</v>
      </c>
      <c r="BB37" s="9">
        <f t="shared" si="21"/>
        <v>0</v>
      </c>
      <c r="BC37" s="9">
        <f t="shared" si="42"/>
        <v>14085.903999999999</v>
      </c>
      <c r="BD37" s="9">
        <f t="shared" si="22"/>
        <v>50.118454846686156</v>
      </c>
      <c r="BE37" s="9">
        <f t="shared" si="43"/>
        <v>491497.43599999981</v>
      </c>
      <c r="BF37" s="9">
        <f t="shared" si="23"/>
        <v>42.947231201852084</v>
      </c>
      <c r="BG37" s="95"/>
      <c r="BH37" s="9">
        <f t="shared" si="24"/>
        <v>0</v>
      </c>
      <c r="BI37" s="9">
        <f t="shared" si="44"/>
        <v>0</v>
      </c>
      <c r="BJ37" s="9">
        <f t="shared" si="25"/>
        <v>0</v>
      </c>
      <c r="BK37" s="9">
        <f t="shared" si="45"/>
        <v>28105.223999999998</v>
      </c>
      <c r="BL37" s="9">
        <f t="shared" si="46"/>
        <v>1144421.7059999998</v>
      </c>
      <c r="BM37" s="509">
        <f t="shared" si="26"/>
        <v>1.0543676470588235</v>
      </c>
      <c r="BN37" s="9">
        <f t="shared" si="27"/>
        <v>1.08786781002789</v>
      </c>
    </row>
    <row r="38" spans="1:66">
      <c r="A38" s="15">
        <f>+Chem!A37</f>
        <v>46051</v>
      </c>
      <c r="B38" s="5" t="str">
        <f>+Chem!B37</f>
        <v>Toilet</v>
      </c>
      <c r="C38" s="15" t="str">
        <f>+Chem!C37</f>
        <v>13/12,5</v>
      </c>
      <c r="D38" s="7">
        <f>+Chem!D37</f>
        <v>27.646999999999998</v>
      </c>
      <c r="E38" s="6">
        <f>+Chem!E37</f>
        <v>28.093</v>
      </c>
      <c r="F38" s="6">
        <f t="shared" si="28"/>
        <v>1080.079</v>
      </c>
      <c r="G38" s="95">
        <f>22.75*G7</f>
        <v>5687.5</v>
      </c>
      <c r="H38" s="9">
        <f t="shared" si="0"/>
        <v>17.741716419898502</v>
      </c>
      <c r="I38" s="7">
        <f t="shared" si="29"/>
        <v>186562.5</v>
      </c>
      <c r="J38" s="9">
        <f t="shared" si="1"/>
        <v>15.857700195767219</v>
      </c>
      <c r="K38" s="95"/>
      <c r="L38" s="9">
        <f t="shared" si="2"/>
        <v>0</v>
      </c>
      <c r="M38" s="9">
        <f t="shared" si="30"/>
        <v>0</v>
      </c>
      <c r="N38" s="9">
        <f t="shared" si="3"/>
        <v>0</v>
      </c>
      <c r="O38" s="95"/>
      <c r="P38" s="9">
        <f t="shared" si="4"/>
        <v>0</v>
      </c>
      <c r="Q38" s="9">
        <f t="shared" si="31"/>
        <v>0</v>
      </c>
      <c r="R38" s="9">
        <f t="shared" si="5"/>
        <v>0</v>
      </c>
      <c r="S38" s="9">
        <f t="shared" si="32"/>
        <v>5687.5</v>
      </c>
      <c r="T38" s="9">
        <f t="shared" si="6"/>
        <v>17.741716419898502</v>
      </c>
      <c r="U38" s="9">
        <f t="shared" si="33"/>
        <v>186562.5</v>
      </c>
      <c r="V38" s="9">
        <f t="shared" si="7"/>
        <v>15.857700195767219</v>
      </c>
      <c r="W38" s="95"/>
      <c r="X38" s="9"/>
      <c r="Y38" s="9"/>
      <c r="Z38" s="9"/>
      <c r="AA38" s="95">
        <f>49*AA7</f>
        <v>12283.81</v>
      </c>
      <c r="AB38" s="9">
        <f t="shared" si="8"/>
        <v>38.318395354006746</v>
      </c>
      <c r="AC38" s="9">
        <f t="shared" si="34"/>
        <v>484333.08</v>
      </c>
      <c r="AD38" s="9">
        <f t="shared" si="9"/>
        <v>41.168020248080616</v>
      </c>
      <c r="AE38" s="95"/>
      <c r="AF38" s="9">
        <f t="shared" si="10"/>
        <v>0</v>
      </c>
      <c r="AG38" s="9">
        <f t="shared" si="35"/>
        <v>0</v>
      </c>
      <c r="AH38" s="9">
        <f t="shared" si="11"/>
        <v>0</v>
      </c>
      <c r="AI38" s="95"/>
      <c r="AJ38" s="9">
        <f t="shared" si="12"/>
        <v>0</v>
      </c>
      <c r="AK38" s="9">
        <f t="shared" si="36"/>
        <v>0</v>
      </c>
      <c r="AL38" s="9">
        <f t="shared" si="13"/>
        <v>0</v>
      </c>
      <c r="AM38" s="9">
        <f t="shared" si="37"/>
        <v>12283.81</v>
      </c>
      <c r="AN38" s="9">
        <f t="shared" si="14"/>
        <v>38.318395354006746</v>
      </c>
      <c r="AO38" s="9">
        <f t="shared" si="38"/>
        <v>484333.08</v>
      </c>
      <c r="AP38" s="9">
        <f t="shared" si="15"/>
        <v>41.168020248080616</v>
      </c>
      <c r="AQ38" s="95">
        <f>56*AQ7</f>
        <v>14085.903999999999</v>
      </c>
      <c r="AR38" s="9">
        <f t="shared" si="16"/>
        <v>43.939888226094759</v>
      </c>
      <c r="AS38" s="9">
        <f t="shared" si="39"/>
        <v>505583.33999999979</v>
      </c>
      <c r="AT38" s="9">
        <f t="shared" si="17"/>
        <v>42.974279556152176</v>
      </c>
      <c r="AU38" s="95"/>
      <c r="AV38" s="9">
        <f t="shared" si="18"/>
        <v>0</v>
      </c>
      <c r="AW38" s="9">
        <f t="shared" si="40"/>
        <v>0</v>
      </c>
      <c r="AX38" s="9">
        <f t="shared" si="19"/>
        <v>0</v>
      </c>
      <c r="AY38" s="95"/>
      <c r="AZ38" s="14">
        <f t="shared" si="20"/>
        <v>0</v>
      </c>
      <c r="BA38" s="9">
        <f t="shared" si="41"/>
        <v>0</v>
      </c>
      <c r="BB38" s="9">
        <f t="shared" si="21"/>
        <v>0</v>
      </c>
      <c r="BC38" s="9">
        <f t="shared" si="42"/>
        <v>14085.903999999999</v>
      </c>
      <c r="BD38" s="9">
        <f t="shared" si="22"/>
        <v>43.939888226094759</v>
      </c>
      <c r="BE38" s="9">
        <f t="shared" si="43"/>
        <v>505583.33999999979</v>
      </c>
      <c r="BF38" s="9">
        <f t="shared" si="23"/>
        <v>42.974279556152176</v>
      </c>
      <c r="BG38" s="95"/>
      <c r="BH38" s="9">
        <f t="shared" si="24"/>
        <v>0</v>
      </c>
      <c r="BI38" s="9">
        <f t="shared" si="44"/>
        <v>0</v>
      </c>
      <c r="BJ38" s="9">
        <f t="shared" si="25"/>
        <v>0</v>
      </c>
      <c r="BK38" s="9">
        <f t="shared" si="45"/>
        <v>32057.213999999996</v>
      </c>
      <c r="BL38" s="9">
        <f t="shared" si="46"/>
        <v>1176478.9199999997</v>
      </c>
      <c r="BM38" s="509">
        <f t="shared" si="26"/>
        <v>1.1411103833695224</v>
      </c>
      <c r="BN38" s="9">
        <f t="shared" si="27"/>
        <v>1.0892526565186433</v>
      </c>
    </row>
    <row r="39" spans="1:66">
      <c r="A39" s="15">
        <f>+Chem!A38</f>
        <v>46052</v>
      </c>
      <c r="B39" s="5" t="str">
        <f>+Chem!B38</f>
        <v>Toilet</v>
      </c>
      <c r="C39" s="15" t="str">
        <f>+Chem!C38</f>
        <v>12,5</v>
      </c>
      <c r="D39" s="7">
        <f>+Chem!D38</f>
        <v>35.176000000000002</v>
      </c>
      <c r="E39" s="6">
        <f>+Chem!E38</f>
        <v>33.451999999999998</v>
      </c>
      <c r="F39" s="6">
        <f t="shared" si="28"/>
        <v>1113.5309999999999</v>
      </c>
      <c r="G39" s="95"/>
      <c r="H39" s="9">
        <f t="shared" si="0"/>
        <v>0</v>
      </c>
      <c r="I39" s="7">
        <f t="shared" si="29"/>
        <v>186562.5</v>
      </c>
      <c r="J39" s="9">
        <f t="shared" si="1"/>
        <v>15.374609629081364</v>
      </c>
      <c r="K39" s="95">
        <f>23.25*L7</f>
        <v>5828.6354999999994</v>
      </c>
      <c r="L39" s="9">
        <f t="shared" si="2"/>
        <v>15.767334734628211</v>
      </c>
      <c r="M39" s="9">
        <f t="shared" si="30"/>
        <v>5828.6354999999994</v>
      </c>
      <c r="N39" s="9">
        <f t="shared" si="3"/>
        <v>0.480337664228907</v>
      </c>
      <c r="O39" s="95"/>
      <c r="P39" s="9">
        <f t="shared" si="4"/>
        <v>0</v>
      </c>
      <c r="Q39" s="9">
        <f t="shared" si="31"/>
        <v>0</v>
      </c>
      <c r="R39" s="9">
        <f t="shared" si="5"/>
        <v>0</v>
      </c>
      <c r="S39" s="9">
        <f t="shared" si="32"/>
        <v>5828.6354999999994</v>
      </c>
      <c r="T39" s="9">
        <f t="shared" si="6"/>
        <v>15.767334734628211</v>
      </c>
      <c r="U39" s="9">
        <f t="shared" si="33"/>
        <v>192391.1355</v>
      </c>
      <c r="V39" s="9">
        <f t="shared" si="7"/>
        <v>15.85494729331027</v>
      </c>
      <c r="W39" s="95"/>
      <c r="X39" s="9"/>
      <c r="Y39" s="9"/>
      <c r="Z39" s="9"/>
      <c r="AA39" s="95">
        <f>62*AA7</f>
        <v>15542.78</v>
      </c>
      <c r="AB39" s="9">
        <f t="shared" si="8"/>
        <v>42.045555081748496</v>
      </c>
      <c r="AC39" s="9">
        <f t="shared" si="34"/>
        <v>499875.86000000004</v>
      </c>
      <c r="AD39" s="9">
        <f t="shared" si="9"/>
        <v>41.194753557126049</v>
      </c>
      <c r="AE39" s="95"/>
      <c r="AF39" s="9">
        <f t="shared" si="10"/>
        <v>0</v>
      </c>
      <c r="AG39" s="9">
        <f t="shared" si="35"/>
        <v>0</v>
      </c>
      <c r="AH39" s="9">
        <f t="shared" si="11"/>
        <v>0</v>
      </c>
      <c r="AI39" s="95"/>
      <c r="AJ39" s="9">
        <f t="shared" si="12"/>
        <v>0</v>
      </c>
      <c r="AK39" s="9">
        <f t="shared" si="36"/>
        <v>0</v>
      </c>
      <c r="AL39" s="9">
        <f t="shared" si="13"/>
        <v>0</v>
      </c>
      <c r="AM39" s="9">
        <f t="shared" si="37"/>
        <v>15542.78</v>
      </c>
      <c r="AN39" s="9">
        <f t="shared" si="14"/>
        <v>42.045555081748496</v>
      </c>
      <c r="AO39" s="9">
        <f t="shared" si="38"/>
        <v>499875.86000000004</v>
      </c>
      <c r="AP39" s="9">
        <f t="shared" si="15"/>
        <v>41.194753557126049</v>
      </c>
      <c r="AQ39" s="95">
        <f>62*AQ7</f>
        <v>15595.108</v>
      </c>
      <c r="AR39" s="9">
        <f t="shared" si="16"/>
        <v>42.187110183623304</v>
      </c>
      <c r="AS39" s="9">
        <f t="shared" si="39"/>
        <v>521178.4479999998</v>
      </c>
      <c r="AT39" s="9">
        <f t="shared" si="17"/>
        <v>42.950299149563705</v>
      </c>
      <c r="AU39" s="95"/>
      <c r="AV39" s="9">
        <f t="shared" si="18"/>
        <v>0</v>
      </c>
      <c r="AW39" s="9">
        <f t="shared" si="40"/>
        <v>0</v>
      </c>
      <c r="AX39" s="9">
        <f t="shared" si="19"/>
        <v>0</v>
      </c>
      <c r="AY39" s="95"/>
      <c r="AZ39" s="14">
        <f t="shared" si="20"/>
        <v>0</v>
      </c>
      <c r="BA39" s="9">
        <f t="shared" si="41"/>
        <v>0</v>
      </c>
      <c r="BB39" s="9">
        <f t="shared" si="21"/>
        <v>0</v>
      </c>
      <c r="BC39" s="9">
        <f t="shared" si="42"/>
        <v>15595.108</v>
      </c>
      <c r="BD39" s="9">
        <f t="shared" si="22"/>
        <v>42.187110183623304</v>
      </c>
      <c r="BE39" s="9">
        <f t="shared" si="43"/>
        <v>521178.4479999998</v>
      </c>
      <c r="BF39" s="9">
        <f t="shared" si="23"/>
        <v>42.950299149563705</v>
      </c>
      <c r="BG39" s="95"/>
      <c r="BH39" s="9">
        <f t="shared" si="24"/>
        <v>0</v>
      </c>
      <c r="BI39" s="9">
        <f t="shared" si="44"/>
        <v>0</v>
      </c>
      <c r="BJ39" s="9">
        <f t="shared" si="25"/>
        <v>0</v>
      </c>
      <c r="BK39" s="9">
        <f t="shared" si="45"/>
        <v>36966.523499999996</v>
      </c>
      <c r="BL39" s="9">
        <f t="shared" si="46"/>
        <v>1213445.4434999996</v>
      </c>
      <c r="BM39" s="509">
        <f t="shared" si="26"/>
        <v>1.105061685399976</v>
      </c>
      <c r="BN39" s="9">
        <f t="shared" si="27"/>
        <v>1.0897275814503589</v>
      </c>
    </row>
    <row r="40" spans="1:66">
      <c r="A40" s="15">
        <f>+Chem!A39</f>
        <v>46053</v>
      </c>
      <c r="B40" s="5" t="str">
        <f>+Chem!B39</f>
        <v>Toilet/Facial</v>
      </c>
      <c r="C40" s="15" t="str">
        <f>+Chem!C39</f>
        <v>12,5/13</v>
      </c>
      <c r="D40" s="7">
        <f>+Chem!D39</f>
        <v>38.762999999999998</v>
      </c>
      <c r="E40" s="6">
        <f>+Chem!E39</f>
        <v>36.99</v>
      </c>
      <c r="F40" s="6">
        <f>+E40+F39</f>
        <v>1150.521</v>
      </c>
      <c r="G40" s="95"/>
      <c r="H40" s="9">
        <f t="shared" si="0"/>
        <v>0</v>
      </c>
      <c r="I40" s="7">
        <f>G40+I39</f>
        <v>186562.5</v>
      </c>
      <c r="J40" s="9">
        <f t="shared" si="1"/>
        <v>14.874524923968641</v>
      </c>
      <c r="K40" s="95">
        <f>22.5*L7</f>
        <v>5640.6149999999998</v>
      </c>
      <c r="L40" s="9">
        <f t="shared" si="2"/>
        <v>13.826292314044695</v>
      </c>
      <c r="M40" s="9">
        <f>+K40+M39</f>
        <v>11469.250499999998</v>
      </c>
      <c r="N40" s="9">
        <f t="shared" si="3"/>
        <v>0.91443699790413269</v>
      </c>
      <c r="O40" s="95"/>
      <c r="P40" s="9">
        <f t="shared" si="4"/>
        <v>0</v>
      </c>
      <c r="Q40" s="9">
        <f>+O40+Q39</f>
        <v>0</v>
      </c>
      <c r="R40" s="9">
        <f t="shared" si="5"/>
        <v>0</v>
      </c>
      <c r="S40" s="9">
        <f t="shared" si="32"/>
        <v>5640.6149999999998</v>
      </c>
      <c r="T40" s="9">
        <f t="shared" si="6"/>
        <v>13.826292314044695</v>
      </c>
      <c r="U40" s="9">
        <f>S40+U39</f>
        <v>198031.75049999999</v>
      </c>
      <c r="V40" s="9">
        <f t="shared" si="7"/>
        <v>15.788961921872771</v>
      </c>
      <c r="W40" s="95"/>
      <c r="X40" s="9"/>
      <c r="Y40" s="9"/>
      <c r="Z40" s="9"/>
      <c r="AA40" s="95">
        <f>70*AA7</f>
        <v>17548.3</v>
      </c>
      <c r="AB40" s="9">
        <f t="shared" si="8"/>
        <v>43.014445306859358</v>
      </c>
      <c r="AC40" s="9">
        <f>AA40+AC39</f>
        <v>517424.16000000003</v>
      </c>
      <c r="AD40" s="9">
        <f t="shared" si="9"/>
        <v>41.253942052575077</v>
      </c>
      <c r="AE40" s="95"/>
      <c r="AF40" s="9">
        <f t="shared" si="10"/>
        <v>0</v>
      </c>
      <c r="AG40" s="9">
        <f>AE40+AG39</f>
        <v>0</v>
      </c>
      <c r="AH40" s="9">
        <f t="shared" si="11"/>
        <v>0</v>
      </c>
      <c r="AI40" s="95"/>
      <c r="AJ40" s="9">
        <f t="shared" si="12"/>
        <v>0</v>
      </c>
      <c r="AK40" s="9">
        <f>AI40+AK39</f>
        <v>0</v>
      </c>
      <c r="AL40" s="9">
        <f t="shared" si="13"/>
        <v>0</v>
      </c>
      <c r="AM40" s="9">
        <f t="shared" si="37"/>
        <v>17548.3</v>
      </c>
      <c r="AN40" s="9">
        <f>AM40/BK40*100</f>
        <v>43.014445306859358</v>
      </c>
      <c r="AO40" s="9">
        <f>AM40+AO39</f>
        <v>517424.16000000003</v>
      </c>
      <c r="AP40" s="9">
        <f>AO40/BL40*100</f>
        <v>41.253942052575077</v>
      </c>
      <c r="AQ40" s="95">
        <f>70*AQ7</f>
        <v>17607.38</v>
      </c>
      <c r="AR40" s="9">
        <f>+AQ40/BK40*100</f>
        <v>43.159262379095949</v>
      </c>
      <c r="AS40" s="9">
        <f>+AQ40+AS39</f>
        <v>538785.82799999975</v>
      </c>
      <c r="AT40" s="9">
        <f>+AS40/BL40*100</f>
        <v>42.957096025552168</v>
      </c>
      <c r="AU40" s="95"/>
      <c r="AV40" s="9">
        <f>AU40/BK40*100</f>
        <v>0</v>
      </c>
      <c r="AW40" s="9">
        <f>AU40+AW39</f>
        <v>0</v>
      </c>
      <c r="AX40" s="9">
        <f>AW40/BL40*100</f>
        <v>0</v>
      </c>
      <c r="AY40" s="95"/>
      <c r="AZ40" s="14">
        <f>AY40/BK40*100</f>
        <v>0</v>
      </c>
      <c r="BA40" s="9">
        <f>AY40+BA39</f>
        <v>0</v>
      </c>
      <c r="BB40" s="9">
        <f>BA40/BL40*100</f>
        <v>0</v>
      </c>
      <c r="BC40" s="9">
        <f>AQ40+AU40+AY40</f>
        <v>17607.38</v>
      </c>
      <c r="BD40" s="9">
        <f>BC40/BK40*100</f>
        <v>43.159262379095949</v>
      </c>
      <c r="BE40" s="9">
        <f>BC40+BE39</f>
        <v>538785.82799999975</v>
      </c>
      <c r="BF40" s="9">
        <f>BE40/BL40*100</f>
        <v>42.957096025552168</v>
      </c>
      <c r="BG40" s="95"/>
      <c r="BH40" s="9">
        <f>BG40/BK40*100</f>
        <v>0</v>
      </c>
      <c r="BI40" s="9">
        <f>BG40+BI39</f>
        <v>0</v>
      </c>
      <c r="BJ40" s="9">
        <f>BI40/BL40*100</f>
        <v>0</v>
      </c>
      <c r="BK40" s="9">
        <f t="shared" si="45"/>
        <v>40796.294999999998</v>
      </c>
      <c r="BL40" s="9">
        <f>BK40+BL39</f>
        <v>1254241.7384999995</v>
      </c>
      <c r="BM40" s="509">
        <f t="shared" si="26"/>
        <v>1.1029006488240065</v>
      </c>
      <c r="BN40" s="9">
        <f t="shared" si="27"/>
        <v>1.0901511041519447</v>
      </c>
    </row>
    <row r="41" spans="1:66">
      <c r="A41" s="15"/>
      <c r="B41" s="15"/>
      <c r="C41" s="15"/>
      <c r="D41" s="7"/>
      <c r="E41" s="6"/>
      <c r="F41" s="6"/>
      <c r="G41" s="95"/>
      <c r="H41" s="9"/>
      <c r="I41" s="7"/>
      <c r="J41" s="9"/>
      <c r="K41" s="95"/>
      <c r="L41" s="9"/>
      <c r="M41" s="9"/>
      <c r="N41" s="9"/>
      <c r="O41" s="95"/>
      <c r="P41" s="9"/>
      <c r="Q41" s="9"/>
      <c r="R41" s="9"/>
      <c r="S41" s="9"/>
      <c r="T41" s="9"/>
      <c r="U41" s="9"/>
      <c r="V41" s="9"/>
      <c r="W41" s="95"/>
      <c r="X41" s="9"/>
      <c r="Y41" s="9"/>
      <c r="Z41" s="9"/>
      <c r="AA41" s="95"/>
      <c r="AB41" s="9"/>
      <c r="AC41" s="9"/>
      <c r="AD41" s="9"/>
      <c r="AE41" s="95"/>
      <c r="AF41" s="9"/>
      <c r="AG41" s="9"/>
      <c r="AH41" s="9"/>
      <c r="AI41" s="95"/>
      <c r="AJ41" s="9"/>
      <c r="AK41" s="9"/>
      <c r="AL41" s="9"/>
      <c r="AM41" s="9"/>
      <c r="AN41" s="9"/>
      <c r="AO41" s="9"/>
      <c r="AP41" s="9"/>
      <c r="AQ41" s="95"/>
      <c r="AR41" s="9"/>
      <c r="AS41" s="9"/>
      <c r="AT41" s="9"/>
      <c r="AU41" s="95"/>
      <c r="AV41" s="9"/>
      <c r="AW41" s="9"/>
      <c r="AX41" s="9"/>
      <c r="AY41" s="95"/>
      <c r="AZ41" s="14"/>
      <c r="BA41" s="9"/>
      <c r="BB41" s="9"/>
      <c r="BC41" s="9"/>
      <c r="BD41" s="9"/>
      <c r="BE41" s="9"/>
      <c r="BF41" s="9"/>
      <c r="BG41" s="95"/>
      <c r="BH41" s="9"/>
      <c r="BI41" s="9"/>
      <c r="BJ41" s="9"/>
      <c r="BK41" s="9"/>
      <c r="BL41" s="9"/>
      <c r="BM41" s="9"/>
      <c r="BN41" s="9"/>
    </row>
    <row r="42" spans="1:66" ht="13.5" thickBot="1">
      <c r="A42" s="10" t="s">
        <v>27</v>
      </c>
      <c r="B42" s="10"/>
      <c r="C42" s="11"/>
      <c r="D42" s="11">
        <f>SUM(D10:D41)</f>
        <v>1194.7179999999996</v>
      </c>
      <c r="E42" s="11">
        <f>SUM(E10:E41)</f>
        <v>1150.521</v>
      </c>
      <c r="F42" s="11"/>
      <c r="G42" s="11">
        <f>SUM(G10:G41)</f>
        <v>186562.5</v>
      </c>
      <c r="H42" s="11">
        <f>G42/BK42*100</f>
        <v>14.874524923968641</v>
      </c>
      <c r="I42" s="11"/>
      <c r="J42" s="11"/>
      <c r="K42" s="11">
        <f>SUM(K10:K41)</f>
        <v>11469.250499999998</v>
      </c>
      <c r="L42" s="11"/>
      <c r="M42" s="11"/>
      <c r="N42" s="11"/>
      <c r="O42" s="11"/>
      <c r="P42" s="11"/>
      <c r="Q42" s="11"/>
      <c r="R42" s="11"/>
      <c r="S42" s="11">
        <f>SUM(S10:S41)</f>
        <v>198031.75049999999</v>
      </c>
      <c r="T42" s="17">
        <f>S42/$BK$42*100</f>
        <v>15.788961921872771</v>
      </c>
      <c r="U42" s="11"/>
      <c r="V42" s="11"/>
      <c r="W42" s="11">
        <f>SUM(W10:W41)</f>
        <v>0</v>
      </c>
      <c r="X42" s="11" t="e">
        <f>W42/BG42*100</f>
        <v>#DIV/0!</v>
      </c>
      <c r="Y42" s="11"/>
      <c r="Z42" s="11"/>
      <c r="AA42" s="11">
        <f>SUM(AA10:AA41)</f>
        <v>517424.16000000003</v>
      </c>
      <c r="AB42" s="11">
        <f>AA42/$BK$42*100</f>
        <v>41.253942052575077</v>
      </c>
      <c r="AC42" s="11"/>
      <c r="AD42" s="11"/>
      <c r="AE42" s="11">
        <f>SUM(AE10:AE41)</f>
        <v>0</v>
      </c>
      <c r="AF42" s="11">
        <f>AE42/$BK$42*100</f>
        <v>0</v>
      </c>
      <c r="AG42" s="11"/>
      <c r="AH42" s="11"/>
      <c r="AI42" s="11">
        <f>SUM(AI10:AI41)</f>
        <v>0</v>
      </c>
      <c r="AJ42" s="11">
        <f>AI42/$BK$42*100</f>
        <v>0</v>
      </c>
      <c r="AK42" s="11"/>
      <c r="AL42" s="11"/>
      <c r="AM42" s="11">
        <f>SUM(AM10:AM41)</f>
        <v>517424.16000000003</v>
      </c>
      <c r="AN42" s="11"/>
      <c r="AO42" s="11"/>
      <c r="AP42" s="11"/>
      <c r="AQ42" s="11">
        <f>SUM(AQ10:AQ41)</f>
        <v>538785.82799999975</v>
      </c>
      <c r="AR42" s="11">
        <f>AQ42/$BK$42*100</f>
        <v>42.957096025552168</v>
      </c>
      <c r="AS42" s="11"/>
      <c r="AT42" s="11"/>
      <c r="AU42" s="11">
        <f>SUM(AU10:AU41)</f>
        <v>0</v>
      </c>
      <c r="AV42" s="11">
        <f>AU42/$BK$42*100</f>
        <v>0</v>
      </c>
      <c r="AW42" s="11"/>
      <c r="AX42" s="11"/>
      <c r="AY42" s="11">
        <f>SUM(AY10:AY41)</f>
        <v>0</v>
      </c>
      <c r="AZ42" s="11">
        <f>AY42/$BK$42*100</f>
        <v>0</v>
      </c>
      <c r="BA42" s="11"/>
      <c r="BB42" s="11"/>
      <c r="BC42" s="11">
        <f>SUM(BC10:BC41)</f>
        <v>538785.82799999975</v>
      </c>
      <c r="BD42" s="19">
        <f>BC42/$BK$42*100</f>
        <v>42.957096025552168</v>
      </c>
      <c r="BE42" s="11"/>
      <c r="BF42" s="11"/>
      <c r="BG42" s="11">
        <f>SUM(BG10:BG41)</f>
        <v>0</v>
      </c>
      <c r="BH42" s="11">
        <f>BG42/$BK$42*100</f>
        <v>0</v>
      </c>
      <c r="BI42" s="11"/>
      <c r="BJ42" s="11"/>
      <c r="BK42" s="11">
        <f>SUM(BK10:BK41)</f>
        <v>1254241.7384999995</v>
      </c>
      <c r="BL42" s="11">
        <f>BK42/$BK$42*100</f>
        <v>100</v>
      </c>
      <c r="BM42" s="11">
        <f>BK42/1000/E42</f>
        <v>1.0901511041519447</v>
      </c>
      <c r="BN42" s="11"/>
    </row>
    <row r="43" spans="1:66" ht="13.5" thickTop="1"/>
    <row r="44" spans="1:66">
      <c r="W44" s="13"/>
      <c r="AA44" s="13"/>
      <c r="AE44" s="13"/>
      <c r="BD44" s="13"/>
      <c r="BG44" s="13"/>
      <c r="BH44" s="13"/>
    </row>
    <row r="45" spans="1:66">
      <c r="E45" s="13"/>
      <c r="F45" s="13"/>
      <c r="G45" s="13"/>
      <c r="I45" s="13"/>
      <c r="AA45" s="13"/>
      <c r="AE45" s="13"/>
      <c r="BG45" s="13"/>
    </row>
  </sheetData>
  <mergeCells count="15">
    <mergeCell ref="G8:J8"/>
    <mergeCell ref="O8:R8"/>
    <mergeCell ref="K8:N8"/>
    <mergeCell ref="BK8:BL8"/>
    <mergeCell ref="BM8:BN8"/>
    <mergeCell ref="S8:V8"/>
    <mergeCell ref="W8:Z8"/>
    <mergeCell ref="AA8:AD8"/>
    <mergeCell ref="AE8:AH8"/>
    <mergeCell ref="AI8:AL8"/>
    <mergeCell ref="AM8:AP8"/>
    <mergeCell ref="BC8:BF8"/>
    <mergeCell ref="AY8:BB8"/>
    <mergeCell ref="AQ8:AT8"/>
    <mergeCell ref="AU8:AX8"/>
  </mergeCells>
  <phoneticPr fontId="32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Views>
    <sheetView topLeftCell="L1" workbookViewId="0">
      <selection activeCell="R16" sqref="R16"/>
    </sheetView>
  </sheetViews>
  <sheetFormatPr defaultRowHeight="12.75"/>
  <cols>
    <col min="2" max="2" width="10.85546875" style="467" bestFit="1" customWidth="1"/>
    <col min="3" max="3" width="11.85546875" style="3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67" bestFit="1" customWidth="1"/>
    <col min="14" max="14" width="11.85546875" style="3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19" t="s">
        <v>186</v>
      </c>
      <c r="B1" s="460" t="s">
        <v>7</v>
      </c>
      <c r="C1" s="461" t="s">
        <v>257</v>
      </c>
      <c r="D1" s="462" t="s">
        <v>126</v>
      </c>
      <c r="E1" s="462" t="s">
        <v>258</v>
      </c>
      <c r="F1" s="462" t="s">
        <v>259</v>
      </c>
      <c r="H1" s="459" t="s">
        <v>260</v>
      </c>
      <c r="I1" s="452" t="s">
        <v>261</v>
      </c>
      <c r="J1" s="452" t="s">
        <v>262</v>
      </c>
      <c r="L1" s="419" t="s">
        <v>372</v>
      </c>
      <c r="M1" s="460" t="s">
        <v>7</v>
      </c>
      <c r="N1" s="461" t="s">
        <v>257</v>
      </c>
      <c r="O1" s="462" t="s">
        <v>126</v>
      </c>
      <c r="P1" s="462" t="s">
        <v>258</v>
      </c>
      <c r="Q1" s="462" t="s">
        <v>259</v>
      </c>
      <c r="S1" s="527" t="s">
        <v>260</v>
      </c>
      <c r="T1" s="452" t="s">
        <v>261</v>
      </c>
      <c r="U1" s="452" t="s">
        <v>262</v>
      </c>
    </row>
    <row r="2" spans="1:21">
      <c r="B2" s="326">
        <v>46023</v>
      </c>
      <c r="C2" s="3">
        <v>0</v>
      </c>
      <c r="D2" s="466" t="s">
        <v>385</v>
      </c>
      <c r="E2" t="s">
        <v>248</v>
      </c>
      <c r="F2" t="s">
        <v>245</v>
      </c>
      <c r="H2" s="5" t="s">
        <v>148</v>
      </c>
      <c r="I2" s="304">
        <f>+Efficiency1!Z167</f>
        <v>6.1500151096033404</v>
      </c>
      <c r="J2" s="454">
        <f t="shared" ref="J2:J3" si="0">I2/$I$8</f>
        <v>4.4100028313616034E-3</v>
      </c>
      <c r="M2" s="326">
        <v>46023</v>
      </c>
      <c r="N2" s="3">
        <v>0</v>
      </c>
      <c r="O2" s="466" t="s">
        <v>385</v>
      </c>
      <c r="P2" t="s">
        <v>248</v>
      </c>
      <c r="Q2" t="s">
        <v>245</v>
      </c>
      <c r="S2" s="5" t="s">
        <v>148</v>
      </c>
      <c r="T2" s="304">
        <f>+Efficiency2!Z167</f>
        <v>6.1500151096033404</v>
      </c>
      <c r="U2" s="454">
        <f>T2/$T$8</f>
        <v>4.8433499423845084E-3</v>
      </c>
    </row>
    <row r="3" spans="1:21">
      <c r="B3" s="326"/>
      <c r="C3" s="3">
        <v>19</v>
      </c>
      <c r="D3" s="466" t="s">
        <v>412</v>
      </c>
      <c r="E3" t="s">
        <v>246</v>
      </c>
      <c r="F3" t="s">
        <v>245</v>
      </c>
      <c r="H3" s="5" t="s">
        <v>239</v>
      </c>
      <c r="I3" s="304">
        <f>+Efficiency1!Y167+Efficiency1!AA167</f>
        <v>34.056319156519756</v>
      </c>
      <c r="J3" s="454">
        <f t="shared" si="0"/>
        <v>2.4420828441784639E-2</v>
      </c>
      <c r="M3" s="326"/>
      <c r="N3" s="3">
        <v>19</v>
      </c>
      <c r="O3" s="466" t="s">
        <v>412</v>
      </c>
      <c r="P3" t="s">
        <v>246</v>
      </c>
      <c r="Q3" t="s">
        <v>245</v>
      </c>
      <c r="S3" s="5" t="s">
        <v>239</v>
      </c>
      <c r="T3" s="304">
        <f>+Efficiency2!Y167+Efficiency2!AA167</f>
        <v>34.009263582719491</v>
      </c>
      <c r="U3" s="454">
        <f t="shared" ref="U3:U5" si="1">T3/$T$8</f>
        <v>2.678347319125984E-2</v>
      </c>
    </row>
    <row r="4" spans="1:21">
      <c r="B4" s="39"/>
      <c r="C4" s="3">
        <v>45</v>
      </c>
      <c r="D4" s="466" t="s">
        <v>413</v>
      </c>
      <c r="E4" t="s">
        <v>247</v>
      </c>
      <c r="F4" t="s">
        <v>245</v>
      </c>
      <c r="H4" s="5" t="s">
        <v>263</v>
      </c>
      <c r="I4" s="304">
        <f>+Efficiency1!AB167</f>
        <v>-9.6025974987222433</v>
      </c>
      <c r="J4" s="454">
        <f>I4/$I$8</f>
        <v>-6.8857525393172959E-3</v>
      </c>
      <c r="M4" s="39"/>
      <c r="N4" s="3">
        <v>45</v>
      </c>
      <c r="O4" s="466" t="s">
        <v>413</v>
      </c>
      <c r="P4" t="s">
        <v>247</v>
      </c>
      <c r="Q4" t="s">
        <v>245</v>
      </c>
      <c r="S4" s="5" t="s">
        <v>263</v>
      </c>
      <c r="T4" s="304">
        <f>+Efficiency2!AB167</f>
        <v>-0.38910636738279075</v>
      </c>
      <c r="U4" s="454">
        <f t="shared" si="1"/>
        <v>-3.0643474340446544E-4</v>
      </c>
    </row>
    <row r="5" spans="1:21" ht="15" customHeight="1">
      <c r="B5" s="39"/>
      <c r="C5" s="3">
        <v>0</v>
      </c>
      <c r="D5" s="466" t="s">
        <v>378</v>
      </c>
      <c r="E5" t="s">
        <v>12</v>
      </c>
      <c r="F5" t="s">
        <v>245</v>
      </c>
      <c r="H5" s="5" t="s">
        <v>242</v>
      </c>
      <c r="I5" s="304">
        <f>+Efficiency1!AC167</f>
        <v>116.25545669174227</v>
      </c>
      <c r="J5" s="454">
        <f>I5/$I$8</f>
        <v>8.3363517655631672E-2</v>
      </c>
      <c r="M5" s="39"/>
      <c r="N5" s="3">
        <v>0</v>
      </c>
      <c r="O5" s="466" t="s">
        <v>378</v>
      </c>
      <c r="P5" t="s">
        <v>12</v>
      </c>
      <c r="Q5" t="s">
        <v>245</v>
      </c>
      <c r="S5" s="5" t="s">
        <v>242</v>
      </c>
      <c r="T5" s="304">
        <f>+Efficiency2!AC167</f>
        <v>10.138572858676724</v>
      </c>
      <c r="U5" s="454">
        <f t="shared" si="1"/>
        <v>7.9844773379914788E-3</v>
      </c>
    </row>
    <row r="6" spans="1:21" ht="15" customHeight="1">
      <c r="B6" s="326"/>
      <c r="D6" s="466"/>
      <c r="M6" s="326"/>
      <c r="O6" s="466"/>
    </row>
    <row r="7" spans="1:21" ht="12.75" customHeight="1">
      <c r="B7" s="326">
        <v>46024</v>
      </c>
      <c r="C7" s="3">
        <v>18</v>
      </c>
      <c r="D7" t="s">
        <v>429</v>
      </c>
      <c r="E7" t="s">
        <v>248</v>
      </c>
      <c r="F7" t="s">
        <v>245</v>
      </c>
      <c r="I7" s="463"/>
      <c r="J7" s="464"/>
      <c r="M7" s="326">
        <v>46024</v>
      </c>
      <c r="N7" s="3">
        <v>18</v>
      </c>
      <c r="O7" t="s">
        <v>429</v>
      </c>
      <c r="P7" t="s">
        <v>248</v>
      </c>
      <c r="Q7" t="s">
        <v>245</v>
      </c>
      <c r="T7" s="463"/>
      <c r="U7" s="464"/>
    </row>
    <row r="8" spans="1:21" ht="12.75" customHeight="1">
      <c r="B8" s="326"/>
      <c r="C8" s="3">
        <v>8</v>
      </c>
      <c r="D8" t="s">
        <v>407</v>
      </c>
      <c r="E8" t="s">
        <v>246</v>
      </c>
      <c r="F8" t="s">
        <v>245</v>
      </c>
      <c r="H8" s="465" t="s">
        <v>264</v>
      </c>
      <c r="I8" s="6">
        <f>+Efficiency1!K167</f>
        <v>1394.5603539906351</v>
      </c>
      <c r="M8" s="326"/>
      <c r="N8" s="3">
        <v>8</v>
      </c>
      <c r="O8" t="s">
        <v>407</v>
      </c>
      <c r="P8" t="s">
        <v>246</v>
      </c>
      <c r="Q8" t="s">
        <v>245</v>
      </c>
      <c r="S8" s="465" t="s">
        <v>264</v>
      </c>
      <c r="T8" s="6">
        <f>+Efficiency2!K167</f>
        <v>1269.7854135593445</v>
      </c>
    </row>
    <row r="9" spans="1:21" ht="12.75" customHeight="1">
      <c r="B9" s="326"/>
      <c r="C9" s="3">
        <v>44</v>
      </c>
      <c r="D9" t="s">
        <v>430</v>
      </c>
      <c r="E9" t="s">
        <v>247</v>
      </c>
      <c r="F9" t="s">
        <v>245</v>
      </c>
      <c r="H9" s="465" t="s">
        <v>265</v>
      </c>
      <c r="I9" s="6">
        <f>+Efficiency1!AD167</f>
        <v>3075</v>
      </c>
      <c r="M9" s="326"/>
      <c r="N9" s="3">
        <v>44</v>
      </c>
      <c r="O9" t="s">
        <v>430</v>
      </c>
      <c r="P9" t="s">
        <v>247</v>
      </c>
      <c r="Q9" t="s">
        <v>245</v>
      </c>
      <c r="S9" s="465" t="s">
        <v>265</v>
      </c>
      <c r="T9" s="6">
        <f>+Efficiency2!AD167</f>
        <v>2382</v>
      </c>
    </row>
    <row r="10" spans="1:21" ht="15" customHeight="1">
      <c r="B10" s="326"/>
      <c r="C10" s="3">
        <v>0</v>
      </c>
      <c r="D10" t="s">
        <v>378</v>
      </c>
      <c r="E10" t="s">
        <v>12</v>
      </c>
      <c r="F10" t="s">
        <v>245</v>
      </c>
      <c r="H10" s="465" t="s">
        <v>266</v>
      </c>
      <c r="I10" s="6">
        <f>+Efficiency1!V167</f>
        <v>97.180160531492831</v>
      </c>
      <c r="M10" s="326"/>
      <c r="N10" s="3">
        <v>0</v>
      </c>
      <c r="O10" t="s">
        <v>378</v>
      </c>
      <c r="P10" t="s">
        <v>12</v>
      </c>
      <c r="Q10" t="s">
        <v>245</v>
      </c>
      <c r="S10" s="465" t="s">
        <v>266</v>
      </c>
      <c r="T10" s="6">
        <f>+Efficiency2!V167</f>
        <v>69.355668375728229</v>
      </c>
    </row>
    <row r="11" spans="1:21" ht="12.75" customHeight="1">
      <c r="B11" s="326"/>
      <c r="H11" s="465" t="s">
        <v>267</v>
      </c>
      <c r="I11" s="457">
        <f>I10/I8</f>
        <v>6.9685159379014885E-2</v>
      </c>
      <c r="M11" s="326"/>
      <c r="S11" s="465" t="s">
        <v>267</v>
      </c>
      <c r="T11" s="457">
        <f>T10/T8</f>
        <v>5.4619991405726466E-2</v>
      </c>
    </row>
    <row r="12" spans="1:21">
      <c r="B12" s="326">
        <v>46025</v>
      </c>
      <c r="C12" s="3">
        <v>4</v>
      </c>
      <c r="D12" t="s">
        <v>445</v>
      </c>
      <c r="E12" t="s">
        <v>248</v>
      </c>
      <c r="F12" t="s">
        <v>245</v>
      </c>
      <c r="M12" s="326">
        <v>46025</v>
      </c>
      <c r="N12" s="3">
        <v>4</v>
      </c>
      <c r="O12" t="s">
        <v>445</v>
      </c>
      <c r="P12" t="s">
        <v>248</v>
      </c>
      <c r="Q12" t="s">
        <v>245</v>
      </c>
    </row>
    <row r="13" spans="1:21">
      <c r="B13" s="326"/>
      <c r="C13" s="3">
        <v>9</v>
      </c>
      <c r="D13" t="s">
        <v>387</v>
      </c>
      <c r="E13" t="s">
        <v>246</v>
      </c>
      <c r="F13" t="s">
        <v>245</v>
      </c>
      <c r="M13" s="326"/>
      <c r="N13" s="3">
        <v>9</v>
      </c>
      <c r="O13" t="s">
        <v>387</v>
      </c>
      <c r="P13" t="s">
        <v>246</v>
      </c>
      <c r="Q13" t="s">
        <v>245</v>
      </c>
    </row>
    <row r="14" spans="1:21" ht="15" customHeight="1">
      <c r="B14" s="326"/>
      <c r="C14" s="3">
        <v>48</v>
      </c>
      <c r="D14" t="s">
        <v>430</v>
      </c>
      <c r="E14" t="s">
        <v>247</v>
      </c>
      <c r="F14" t="s">
        <v>245</v>
      </c>
      <c r="M14" s="326"/>
      <c r="N14" s="3">
        <v>48</v>
      </c>
      <c r="O14" t="s">
        <v>430</v>
      </c>
      <c r="P14" t="s">
        <v>247</v>
      </c>
      <c r="Q14" t="s">
        <v>245</v>
      </c>
    </row>
    <row r="15" spans="1:21" ht="15" customHeight="1">
      <c r="B15" s="326"/>
      <c r="C15" s="3">
        <v>0</v>
      </c>
      <c r="D15" t="s">
        <v>378</v>
      </c>
      <c r="E15" t="s">
        <v>12</v>
      </c>
      <c r="F15" t="s">
        <v>245</v>
      </c>
      <c r="G15" s="510">
        <f>+summary!H43</f>
        <v>1.0000000000000004</v>
      </c>
      <c r="M15" s="326"/>
      <c r="N15" s="3">
        <v>0</v>
      </c>
      <c r="O15" t="s">
        <v>378</v>
      </c>
      <c r="P15" t="s">
        <v>12</v>
      </c>
      <c r="Q15" t="s">
        <v>245</v>
      </c>
      <c r="R15" s="510">
        <f>+summary!Q43</f>
        <v>1.0000000000000004</v>
      </c>
    </row>
    <row r="16" spans="1:21">
      <c r="B16" s="326"/>
      <c r="M16" s="326"/>
    </row>
    <row r="17" spans="2:17">
      <c r="B17" s="326">
        <v>46026</v>
      </c>
      <c r="C17" s="3">
        <v>15</v>
      </c>
      <c r="D17" t="s">
        <v>429</v>
      </c>
      <c r="E17" t="s">
        <v>248</v>
      </c>
      <c r="F17" t="s">
        <v>245</v>
      </c>
      <c r="M17" s="326">
        <v>46026</v>
      </c>
      <c r="N17" s="3">
        <v>15</v>
      </c>
      <c r="O17" t="s">
        <v>429</v>
      </c>
      <c r="P17" t="s">
        <v>248</v>
      </c>
      <c r="Q17" t="s">
        <v>245</v>
      </c>
    </row>
    <row r="18" spans="2:17">
      <c r="B18" s="326"/>
      <c r="C18" s="3">
        <v>5</v>
      </c>
      <c r="D18" t="s">
        <v>407</v>
      </c>
      <c r="E18" t="s">
        <v>246</v>
      </c>
      <c r="F18" t="s">
        <v>245</v>
      </c>
      <c r="M18" s="326"/>
      <c r="N18" s="3">
        <v>5</v>
      </c>
      <c r="O18" t="s">
        <v>407</v>
      </c>
      <c r="P18" t="s">
        <v>246</v>
      </c>
      <c r="Q18" t="s">
        <v>245</v>
      </c>
    </row>
    <row r="19" spans="2:17">
      <c r="B19" s="326"/>
      <c r="C19" s="3">
        <v>44</v>
      </c>
      <c r="D19" t="s">
        <v>449</v>
      </c>
      <c r="E19" t="s">
        <v>247</v>
      </c>
      <c r="F19" t="s">
        <v>245</v>
      </c>
      <c r="M19" s="326"/>
      <c r="N19" s="3">
        <v>44</v>
      </c>
      <c r="O19" t="s">
        <v>449</v>
      </c>
      <c r="P19" t="s">
        <v>247</v>
      </c>
      <c r="Q19" t="s">
        <v>245</v>
      </c>
    </row>
    <row r="20" spans="2:17">
      <c r="B20" s="326"/>
      <c r="C20" s="3">
        <v>0</v>
      </c>
      <c r="D20" t="s">
        <v>378</v>
      </c>
      <c r="E20" t="s">
        <v>12</v>
      </c>
      <c r="F20" t="s">
        <v>245</v>
      </c>
      <c r="M20" s="326"/>
      <c r="N20" s="3">
        <v>0</v>
      </c>
      <c r="O20" t="s">
        <v>378</v>
      </c>
      <c r="P20" t="s">
        <v>12</v>
      </c>
      <c r="Q20" t="s">
        <v>245</v>
      </c>
    </row>
    <row r="21" spans="2:17">
      <c r="B21" s="326"/>
      <c r="M21" s="326"/>
    </row>
    <row r="22" spans="2:17">
      <c r="B22" s="326">
        <v>46027</v>
      </c>
      <c r="C22" s="3">
        <v>21</v>
      </c>
      <c r="D22" t="s">
        <v>464</v>
      </c>
      <c r="E22" t="s">
        <v>248</v>
      </c>
      <c r="F22" t="s">
        <v>245</v>
      </c>
      <c r="M22" s="326">
        <v>46027</v>
      </c>
      <c r="N22" s="3">
        <v>21</v>
      </c>
      <c r="O22" t="s">
        <v>464</v>
      </c>
      <c r="P22" t="s">
        <v>248</v>
      </c>
      <c r="Q22" t="s">
        <v>245</v>
      </c>
    </row>
    <row r="23" spans="2:17">
      <c r="B23" s="326"/>
      <c r="C23" s="3">
        <v>0</v>
      </c>
      <c r="D23" t="s">
        <v>427</v>
      </c>
      <c r="E23" t="s">
        <v>246</v>
      </c>
      <c r="F23" t="s">
        <v>245</v>
      </c>
      <c r="M23" s="326"/>
      <c r="N23" s="3">
        <v>0</v>
      </c>
      <c r="O23" t="s">
        <v>427</v>
      </c>
      <c r="P23" t="s">
        <v>246</v>
      </c>
      <c r="Q23" t="s">
        <v>245</v>
      </c>
    </row>
    <row r="24" spans="2:17">
      <c r="B24" s="326"/>
      <c r="C24" s="3">
        <v>47</v>
      </c>
      <c r="D24" t="s">
        <v>465</v>
      </c>
      <c r="E24" t="s">
        <v>247</v>
      </c>
      <c r="F24" t="s">
        <v>245</v>
      </c>
      <c r="M24" s="326"/>
      <c r="N24" s="3">
        <v>47</v>
      </c>
      <c r="O24" t="s">
        <v>465</v>
      </c>
      <c r="P24" t="s">
        <v>247</v>
      </c>
      <c r="Q24" t="s">
        <v>245</v>
      </c>
    </row>
    <row r="25" spans="2:17">
      <c r="B25" s="326"/>
      <c r="C25" s="3">
        <v>0</v>
      </c>
      <c r="D25" t="s">
        <v>378</v>
      </c>
      <c r="E25" t="s">
        <v>12</v>
      </c>
      <c r="F25" t="s">
        <v>245</v>
      </c>
      <c r="M25" s="326"/>
      <c r="N25" s="3">
        <v>0</v>
      </c>
      <c r="O25" t="s">
        <v>378</v>
      </c>
      <c r="P25" t="s">
        <v>12</v>
      </c>
      <c r="Q25" t="s">
        <v>245</v>
      </c>
    </row>
    <row r="26" spans="2:17">
      <c r="B26" s="326"/>
      <c r="M26" s="326"/>
    </row>
    <row r="27" spans="2:17">
      <c r="B27" s="326">
        <v>46028</v>
      </c>
      <c r="C27" s="3">
        <v>18</v>
      </c>
      <c r="D27" t="s">
        <v>464</v>
      </c>
      <c r="E27" t="s">
        <v>248</v>
      </c>
      <c r="F27" t="s">
        <v>245</v>
      </c>
      <c r="M27" s="326">
        <v>46028</v>
      </c>
      <c r="N27" s="3">
        <v>18</v>
      </c>
      <c r="O27" t="s">
        <v>464</v>
      </c>
      <c r="P27" t="s">
        <v>248</v>
      </c>
      <c r="Q27" t="s">
        <v>245</v>
      </c>
    </row>
    <row r="28" spans="2:17">
      <c r="B28" s="326"/>
      <c r="C28" s="3">
        <v>0</v>
      </c>
      <c r="D28" t="s">
        <v>427</v>
      </c>
      <c r="E28" t="s">
        <v>246</v>
      </c>
      <c r="F28" t="s">
        <v>245</v>
      </c>
      <c r="M28" s="326"/>
      <c r="N28" s="3">
        <v>0</v>
      </c>
      <c r="O28" t="s">
        <v>427</v>
      </c>
      <c r="P28" t="s">
        <v>246</v>
      </c>
      <c r="Q28" t="s">
        <v>245</v>
      </c>
    </row>
    <row r="29" spans="2:17">
      <c r="B29" s="326"/>
      <c r="C29" s="3">
        <v>52</v>
      </c>
      <c r="D29" t="s">
        <v>449</v>
      </c>
      <c r="E29" t="s">
        <v>247</v>
      </c>
      <c r="F29" t="s">
        <v>245</v>
      </c>
      <c r="M29" s="326"/>
      <c r="N29" s="3">
        <v>52</v>
      </c>
      <c r="O29" t="s">
        <v>449</v>
      </c>
      <c r="P29" t="s">
        <v>247</v>
      </c>
      <c r="Q29" t="s">
        <v>245</v>
      </c>
    </row>
    <row r="30" spans="2:17">
      <c r="B30" s="326"/>
      <c r="C30" s="3">
        <v>0</v>
      </c>
      <c r="D30" t="s">
        <v>378</v>
      </c>
      <c r="E30" t="s">
        <v>12</v>
      </c>
      <c r="F30" t="s">
        <v>245</v>
      </c>
      <c r="M30" s="326"/>
      <c r="N30" s="3">
        <v>0</v>
      </c>
      <c r="O30" t="s">
        <v>378</v>
      </c>
      <c r="P30" t="s">
        <v>12</v>
      </c>
      <c r="Q30" t="s">
        <v>245</v>
      </c>
    </row>
    <row r="31" spans="2:17">
      <c r="B31" s="326"/>
      <c r="M31" s="326"/>
    </row>
    <row r="32" spans="2:17">
      <c r="B32" s="326">
        <v>46029</v>
      </c>
      <c r="C32" s="3">
        <v>24</v>
      </c>
      <c r="D32" t="s">
        <v>464</v>
      </c>
      <c r="E32" t="s">
        <v>248</v>
      </c>
      <c r="F32" t="s">
        <v>245</v>
      </c>
      <c r="M32" s="326">
        <v>46029</v>
      </c>
      <c r="N32" s="3">
        <v>24</v>
      </c>
      <c r="O32" t="s">
        <v>464</v>
      </c>
      <c r="P32" t="s">
        <v>248</v>
      </c>
      <c r="Q32" t="s">
        <v>245</v>
      </c>
    </row>
    <row r="33" spans="2:17">
      <c r="B33" s="326"/>
      <c r="C33" s="3">
        <v>0</v>
      </c>
      <c r="D33" t="s">
        <v>427</v>
      </c>
      <c r="E33" t="s">
        <v>246</v>
      </c>
      <c r="F33" t="s">
        <v>245</v>
      </c>
      <c r="M33" s="326"/>
      <c r="N33" s="3">
        <v>0</v>
      </c>
      <c r="O33" t="s">
        <v>427</v>
      </c>
      <c r="P33" t="s">
        <v>246</v>
      </c>
      <c r="Q33" t="s">
        <v>245</v>
      </c>
    </row>
    <row r="34" spans="2:17">
      <c r="B34" s="326"/>
      <c r="C34" s="3">
        <v>45</v>
      </c>
      <c r="D34" t="s">
        <v>413</v>
      </c>
      <c r="E34" t="s">
        <v>247</v>
      </c>
      <c r="F34" t="s">
        <v>245</v>
      </c>
      <c r="M34" s="326"/>
      <c r="N34" s="3">
        <v>45</v>
      </c>
      <c r="O34" t="s">
        <v>413</v>
      </c>
      <c r="P34" t="s">
        <v>247</v>
      </c>
      <c r="Q34" t="s">
        <v>245</v>
      </c>
    </row>
    <row r="35" spans="2:17">
      <c r="B35" s="326"/>
      <c r="C35" s="3">
        <v>0</v>
      </c>
      <c r="D35" t="s">
        <v>378</v>
      </c>
      <c r="E35" t="s">
        <v>12</v>
      </c>
      <c r="F35" t="s">
        <v>245</v>
      </c>
      <c r="M35" s="326"/>
      <c r="N35" s="3">
        <v>0</v>
      </c>
      <c r="O35" t="s">
        <v>378</v>
      </c>
      <c r="P35" t="s">
        <v>12</v>
      </c>
      <c r="Q35" t="s">
        <v>245</v>
      </c>
    </row>
    <row r="36" spans="2:17">
      <c r="B36" s="326"/>
      <c r="M36" s="326"/>
    </row>
    <row r="37" spans="2:17">
      <c r="B37" s="326">
        <v>46030</v>
      </c>
      <c r="C37" s="3">
        <v>15</v>
      </c>
      <c r="D37" t="s">
        <v>429</v>
      </c>
      <c r="E37" t="s">
        <v>248</v>
      </c>
      <c r="F37" t="s">
        <v>245</v>
      </c>
      <c r="M37" s="326">
        <v>46030</v>
      </c>
      <c r="N37" s="3">
        <v>15</v>
      </c>
      <c r="O37" t="s">
        <v>429</v>
      </c>
      <c r="P37" t="s">
        <v>248</v>
      </c>
      <c r="Q37" t="s">
        <v>245</v>
      </c>
    </row>
    <row r="38" spans="2:17">
      <c r="B38" s="326"/>
      <c r="C38" s="3">
        <v>8</v>
      </c>
      <c r="D38" t="s">
        <v>407</v>
      </c>
      <c r="E38" t="s">
        <v>246</v>
      </c>
      <c r="F38" t="s">
        <v>245</v>
      </c>
      <c r="M38" s="326"/>
      <c r="N38" s="3">
        <v>8</v>
      </c>
      <c r="O38" t="s">
        <v>407</v>
      </c>
      <c r="P38" t="s">
        <v>246</v>
      </c>
      <c r="Q38" t="s">
        <v>245</v>
      </c>
    </row>
    <row r="39" spans="2:17">
      <c r="B39" s="326"/>
      <c r="C39" s="3">
        <v>52</v>
      </c>
      <c r="D39" t="s">
        <v>481</v>
      </c>
      <c r="E39" t="s">
        <v>247</v>
      </c>
      <c r="F39" t="s">
        <v>245</v>
      </c>
      <c r="M39" s="326"/>
      <c r="N39" s="3">
        <v>52</v>
      </c>
      <c r="O39" t="s">
        <v>481</v>
      </c>
      <c r="P39" t="s">
        <v>247</v>
      </c>
      <c r="Q39" t="s">
        <v>245</v>
      </c>
    </row>
    <row r="40" spans="2:17">
      <c r="B40" s="326"/>
      <c r="C40" s="3">
        <v>0</v>
      </c>
      <c r="D40" t="s">
        <v>378</v>
      </c>
      <c r="E40" t="s">
        <v>12</v>
      </c>
      <c r="F40" t="s">
        <v>245</v>
      </c>
      <c r="M40" s="326"/>
      <c r="N40" s="3">
        <v>0</v>
      </c>
      <c r="O40" t="s">
        <v>378</v>
      </c>
      <c r="P40" t="s">
        <v>12</v>
      </c>
      <c r="Q40" t="s">
        <v>245</v>
      </c>
    </row>
    <row r="41" spans="2:17">
      <c r="B41" s="326"/>
      <c r="M41" s="326"/>
    </row>
    <row r="42" spans="2:17">
      <c r="B42" s="326">
        <v>46031</v>
      </c>
      <c r="C42" s="3">
        <v>15</v>
      </c>
      <c r="D42" t="s">
        <v>429</v>
      </c>
      <c r="E42" t="s">
        <v>248</v>
      </c>
      <c r="F42" t="s">
        <v>245</v>
      </c>
      <c r="M42" s="326">
        <v>46031</v>
      </c>
      <c r="N42" s="3">
        <v>15</v>
      </c>
      <c r="O42" t="s">
        <v>429</v>
      </c>
      <c r="P42" t="s">
        <v>248</v>
      </c>
      <c r="Q42" t="s">
        <v>245</v>
      </c>
    </row>
    <row r="43" spans="2:17">
      <c r="B43" s="326"/>
      <c r="C43" s="3">
        <v>0</v>
      </c>
      <c r="D43" t="s">
        <v>427</v>
      </c>
      <c r="E43" t="s">
        <v>246</v>
      </c>
      <c r="F43" t="s">
        <v>245</v>
      </c>
      <c r="M43" s="326"/>
      <c r="N43" s="3">
        <v>0</v>
      </c>
      <c r="O43" t="s">
        <v>427</v>
      </c>
      <c r="P43" t="s">
        <v>246</v>
      </c>
      <c r="Q43" t="s">
        <v>245</v>
      </c>
    </row>
    <row r="44" spans="2:17">
      <c r="B44" s="326"/>
      <c r="C44" s="3">
        <v>31</v>
      </c>
      <c r="D44" t="s">
        <v>495</v>
      </c>
      <c r="E44" t="s">
        <v>247</v>
      </c>
      <c r="F44" t="s">
        <v>245</v>
      </c>
      <c r="M44" s="326"/>
      <c r="N44" s="3">
        <v>31</v>
      </c>
      <c r="O44" t="s">
        <v>495</v>
      </c>
      <c r="P44" t="s">
        <v>247</v>
      </c>
      <c r="Q44" t="s">
        <v>245</v>
      </c>
    </row>
    <row r="45" spans="2:17">
      <c r="B45" s="326"/>
      <c r="C45" s="3">
        <v>0</v>
      </c>
      <c r="D45" t="s">
        <v>378</v>
      </c>
      <c r="E45" t="s">
        <v>12</v>
      </c>
      <c r="F45" t="s">
        <v>245</v>
      </c>
      <c r="M45" s="326"/>
      <c r="N45" s="3">
        <v>0</v>
      </c>
      <c r="O45" t="s">
        <v>378</v>
      </c>
      <c r="P45" t="s">
        <v>12</v>
      </c>
      <c r="Q45" t="s">
        <v>245</v>
      </c>
    </row>
    <row r="46" spans="2:17">
      <c r="B46" s="326"/>
      <c r="C46" s="3">
        <v>543</v>
      </c>
      <c r="D46" t="s">
        <v>496</v>
      </c>
      <c r="E46" t="s">
        <v>703</v>
      </c>
      <c r="F46" t="s">
        <v>487</v>
      </c>
      <c r="M46" s="326"/>
      <c r="N46" s="3">
        <v>0</v>
      </c>
      <c r="O46" t="s">
        <v>496</v>
      </c>
      <c r="P46" t="s">
        <v>703</v>
      </c>
      <c r="Q46" t="s">
        <v>487</v>
      </c>
    </row>
    <row r="47" spans="2:17">
      <c r="B47" s="326"/>
      <c r="C47" s="3">
        <v>0</v>
      </c>
      <c r="D47" t="s">
        <v>519</v>
      </c>
      <c r="E47" t="s">
        <v>702</v>
      </c>
      <c r="F47" t="s">
        <v>701</v>
      </c>
      <c r="M47" s="326"/>
      <c r="N47" s="3">
        <v>0</v>
      </c>
      <c r="O47" t="s">
        <v>519</v>
      </c>
      <c r="P47" t="s">
        <v>702</v>
      </c>
      <c r="Q47" t="s">
        <v>701</v>
      </c>
    </row>
    <row r="48" spans="2:17">
      <c r="B48" s="326"/>
      <c r="M48" s="326"/>
    </row>
    <row r="49" spans="2:17">
      <c r="B49" s="326">
        <v>46032</v>
      </c>
      <c r="C49" s="3">
        <v>18</v>
      </c>
      <c r="D49" t="s">
        <v>429</v>
      </c>
      <c r="E49" t="s">
        <v>248</v>
      </c>
      <c r="F49" t="s">
        <v>245</v>
      </c>
      <c r="M49" s="326">
        <v>46032</v>
      </c>
      <c r="N49" s="3">
        <v>18</v>
      </c>
      <c r="O49" t="s">
        <v>429</v>
      </c>
      <c r="P49" t="s">
        <v>248</v>
      </c>
      <c r="Q49" t="s">
        <v>245</v>
      </c>
    </row>
    <row r="50" spans="2:17">
      <c r="B50" s="326"/>
      <c r="C50" s="3">
        <v>9</v>
      </c>
      <c r="D50" t="s">
        <v>427</v>
      </c>
      <c r="E50" t="s">
        <v>246</v>
      </c>
      <c r="F50" t="s">
        <v>245</v>
      </c>
      <c r="M50" s="326"/>
      <c r="N50" s="3">
        <v>9</v>
      </c>
      <c r="O50" t="s">
        <v>427</v>
      </c>
      <c r="P50" t="s">
        <v>246</v>
      </c>
      <c r="Q50" t="s">
        <v>245</v>
      </c>
    </row>
    <row r="51" spans="2:17">
      <c r="B51" s="326"/>
      <c r="C51" s="3">
        <v>37</v>
      </c>
      <c r="D51" t="s">
        <v>495</v>
      </c>
      <c r="E51" t="s">
        <v>247</v>
      </c>
      <c r="F51" t="s">
        <v>245</v>
      </c>
      <c r="M51" s="326"/>
      <c r="N51" s="3">
        <v>37</v>
      </c>
      <c r="O51" t="s">
        <v>495</v>
      </c>
      <c r="P51" t="s">
        <v>247</v>
      </c>
      <c r="Q51" t="s">
        <v>245</v>
      </c>
    </row>
    <row r="52" spans="2:17">
      <c r="B52" s="326"/>
      <c r="C52" s="3">
        <v>0</v>
      </c>
      <c r="D52" t="s">
        <v>378</v>
      </c>
      <c r="E52" t="s">
        <v>12</v>
      </c>
      <c r="F52" t="s">
        <v>245</v>
      </c>
      <c r="M52" s="326"/>
      <c r="N52" s="3">
        <v>0</v>
      </c>
      <c r="O52" t="s">
        <v>378</v>
      </c>
      <c r="P52" t="s">
        <v>12</v>
      </c>
      <c r="Q52" t="s">
        <v>245</v>
      </c>
    </row>
    <row r="53" spans="2:17">
      <c r="B53" s="326"/>
      <c r="C53" s="3">
        <v>81</v>
      </c>
      <c r="D53" t="s">
        <v>520</v>
      </c>
      <c r="E53" t="s">
        <v>703</v>
      </c>
      <c r="F53" t="s">
        <v>487</v>
      </c>
      <c r="M53" s="326"/>
      <c r="N53" s="3">
        <v>0</v>
      </c>
      <c r="O53" t="s">
        <v>520</v>
      </c>
      <c r="P53" t="s">
        <v>703</v>
      </c>
      <c r="Q53" t="s">
        <v>487</v>
      </c>
    </row>
    <row r="54" spans="2:17">
      <c r="B54" s="326"/>
      <c r="C54" s="3">
        <v>0</v>
      </c>
      <c r="D54" t="s">
        <v>519</v>
      </c>
      <c r="E54" t="s">
        <v>702</v>
      </c>
      <c r="F54" t="s">
        <v>701</v>
      </c>
      <c r="M54" s="326"/>
      <c r="N54" s="3">
        <v>0</v>
      </c>
      <c r="O54" t="s">
        <v>519</v>
      </c>
      <c r="P54" t="s">
        <v>702</v>
      </c>
      <c r="Q54" t="s">
        <v>701</v>
      </c>
    </row>
    <row r="55" spans="2:17">
      <c r="B55" s="326"/>
      <c r="M55" s="326"/>
    </row>
    <row r="56" spans="2:17">
      <c r="B56" s="326">
        <v>46033</v>
      </c>
      <c r="C56" s="3">
        <v>27</v>
      </c>
      <c r="D56" t="s">
        <v>464</v>
      </c>
      <c r="E56" t="s">
        <v>248</v>
      </c>
      <c r="F56" t="s">
        <v>245</v>
      </c>
      <c r="M56" s="326">
        <v>46033</v>
      </c>
      <c r="N56" s="3">
        <v>27</v>
      </c>
      <c r="O56" t="s">
        <v>464</v>
      </c>
      <c r="P56" t="s">
        <v>248</v>
      </c>
      <c r="Q56" t="s">
        <v>245</v>
      </c>
    </row>
    <row r="57" spans="2:17">
      <c r="B57" s="326"/>
      <c r="C57" s="3">
        <v>0</v>
      </c>
      <c r="D57" t="s">
        <v>427</v>
      </c>
      <c r="E57" t="s">
        <v>246</v>
      </c>
      <c r="F57" t="s">
        <v>245</v>
      </c>
      <c r="M57" s="326"/>
      <c r="N57" s="3">
        <v>0</v>
      </c>
      <c r="O57" t="s">
        <v>427</v>
      </c>
      <c r="P57" t="s">
        <v>246</v>
      </c>
      <c r="Q57" t="s">
        <v>245</v>
      </c>
    </row>
    <row r="58" spans="2:17">
      <c r="B58" s="326"/>
      <c r="C58" s="3">
        <v>38</v>
      </c>
      <c r="D58" t="s">
        <v>481</v>
      </c>
      <c r="E58" t="s">
        <v>247</v>
      </c>
      <c r="F58" t="s">
        <v>245</v>
      </c>
      <c r="M58" s="326"/>
      <c r="N58" s="3">
        <v>38</v>
      </c>
      <c r="O58" t="s">
        <v>481</v>
      </c>
      <c r="P58" t="s">
        <v>247</v>
      </c>
      <c r="Q58" t="s">
        <v>245</v>
      </c>
    </row>
    <row r="59" spans="2:17">
      <c r="B59" s="326"/>
      <c r="C59" s="3">
        <v>0</v>
      </c>
      <c r="D59" t="s">
        <v>378</v>
      </c>
      <c r="E59" t="s">
        <v>12</v>
      </c>
      <c r="F59" t="s">
        <v>245</v>
      </c>
      <c r="M59" s="326"/>
      <c r="N59" s="3">
        <v>0</v>
      </c>
      <c r="O59" t="s">
        <v>378</v>
      </c>
      <c r="P59" t="s">
        <v>12</v>
      </c>
      <c r="Q59" t="s">
        <v>245</v>
      </c>
    </row>
    <row r="60" spans="2:17">
      <c r="B60" s="326"/>
      <c r="M60" s="326"/>
    </row>
    <row r="61" spans="2:17">
      <c r="B61" s="326">
        <v>46034</v>
      </c>
      <c r="C61" s="3">
        <v>12</v>
      </c>
      <c r="D61" t="s">
        <v>429</v>
      </c>
      <c r="E61" t="s">
        <v>248</v>
      </c>
      <c r="F61" t="s">
        <v>245</v>
      </c>
      <c r="M61" s="326">
        <v>46034</v>
      </c>
      <c r="N61" s="3">
        <v>12</v>
      </c>
      <c r="O61" t="s">
        <v>429</v>
      </c>
      <c r="P61" t="s">
        <v>248</v>
      </c>
      <c r="Q61" t="s">
        <v>245</v>
      </c>
    </row>
    <row r="62" spans="2:17">
      <c r="B62" s="326"/>
      <c r="C62" s="3">
        <v>10</v>
      </c>
      <c r="D62" t="s">
        <v>514</v>
      </c>
      <c r="E62" t="s">
        <v>246</v>
      </c>
      <c r="F62" t="s">
        <v>245</v>
      </c>
      <c r="M62" s="326"/>
      <c r="N62" s="3">
        <v>10</v>
      </c>
      <c r="O62" t="s">
        <v>514</v>
      </c>
      <c r="P62" t="s">
        <v>246</v>
      </c>
      <c r="Q62" t="s">
        <v>245</v>
      </c>
    </row>
    <row r="63" spans="2:17">
      <c r="B63" s="326"/>
      <c r="C63" s="3">
        <v>49</v>
      </c>
      <c r="D63" t="s">
        <v>413</v>
      </c>
      <c r="E63" t="s">
        <v>247</v>
      </c>
      <c r="F63" t="s">
        <v>245</v>
      </c>
      <c r="M63" s="326"/>
      <c r="N63" s="3">
        <v>49</v>
      </c>
      <c r="O63" t="s">
        <v>413</v>
      </c>
      <c r="P63" t="s">
        <v>247</v>
      </c>
      <c r="Q63" t="s">
        <v>245</v>
      </c>
    </row>
    <row r="64" spans="2:17">
      <c r="B64" s="326"/>
      <c r="C64" s="3">
        <v>0</v>
      </c>
      <c r="D64" t="s">
        <v>378</v>
      </c>
      <c r="E64" t="s">
        <v>12</v>
      </c>
      <c r="F64" t="s">
        <v>245</v>
      </c>
      <c r="M64" s="326"/>
      <c r="N64" s="3">
        <v>0</v>
      </c>
      <c r="O64" t="s">
        <v>378</v>
      </c>
      <c r="P64" t="s">
        <v>12</v>
      </c>
      <c r="Q64" t="s">
        <v>245</v>
      </c>
    </row>
    <row r="65" spans="2:17">
      <c r="B65" s="326"/>
      <c r="M65" s="326"/>
    </row>
    <row r="66" spans="2:17" ht="12.75" customHeight="1">
      <c r="B66" s="326">
        <v>46035</v>
      </c>
      <c r="C66" s="3">
        <v>8</v>
      </c>
      <c r="D66" t="s">
        <v>428</v>
      </c>
      <c r="E66" t="s">
        <v>248</v>
      </c>
      <c r="F66" t="s">
        <v>245</v>
      </c>
      <c r="M66" s="326">
        <v>46035</v>
      </c>
      <c r="N66" s="3">
        <v>8</v>
      </c>
      <c r="O66" t="s">
        <v>428</v>
      </c>
      <c r="P66" t="s">
        <v>248</v>
      </c>
      <c r="Q66" t="s">
        <v>245</v>
      </c>
    </row>
    <row r="67" spans="2:17" ht="12.75" customHeight="1">
      <c r="B67" s="326"/>
      <c r="C67" s="3">
        <v>14</v>
      </c>
      <c r="D67" t="s">
        <v>537</v>
      </c>
      <c r="E67" t="s">
        <v>246</v>
      </c>
      <c r="F67" t="s">
        <v>245</v>
      </c>
      <c r="M67" s="326"/>
      <c r="N67" s="3">
        <v>14</v>
      </c>
      <c r="O67" t="s">
        <v>537</v>
      </c>
      <c r="P67" t="s">
        <v>246</v>
      </c>
      <c r="Q67" t="s">
        <v>245</v>
      </c>
    </row>
    <row r="68" spans="2:17" ht="12.75" customHeight="1">
      <c r="B68" s="326"/>
      <c r="C68" s="3">
        <v>41</v>
      </c>
      <c r="D68" t="s">
        <v>538</v>
      </c>
      <c r="E68" t="s">
        <v>247</v>
      </c>
      <c r="F68" t="s">
        <v>245</v>
      </c>
      <c r="M68" s="326"/>
      <c r="N68" s="3">
        <v>41</v>
      </c>
      <c r="O68" t="s">
        <v>538</v>
      </c>
      <c r="P68" t="s">
        <v>247</v>
      </c>
      <c r="Q68" t="s">
        <v>245</v>
      </c>
    </row>
    <row r="69" spans="2:17" ht="12.75" customHeight="1">
      <c r="B69" s="326"/>
      <c r="C69" s="3">
        <v>0</v>
      </c>
      <c r="D69" t="s">
        <v>378</v>
      </c>
      <c r="E69" t="s">
        <v>12</v>
      </c>
      <c r="F69" t="s">
        <v>245</v>
      </c>
      <c r="M69" s="326"/>
      <c r="N69" s="3">
        <v>0</v>
      </c>
      <c r="O69" t="s">
        <v>378</v>
      </c>
      <c r="P69" t="s">
        <v>12</v>
      </c>
      <c r="Q69" t="s">
        <v>245</v>
      </c>
    </row>
    <row r="70" spans="2:17">
      <c r="B70" s="326"/>
      <c r="M70" s="326"/>
    </row>
    <row r="71" spans="2:17">
      <c r="B71" s="326">
        <v>46036</v>
      </c>
      <c r="C71" s="3">
        <v>16</v>
      </c>
      <c r="D71" t="s">
        <v>552</v>
      </c>
      <c r="E71" t="s">
        <v>248</v>
      </c>
      <c r="F71" t="s">
        <v>245</v>
      </c>
      <c r="M71" s="326">
        <v>46036</v>
      </c>
      <c r="N71" s="3">
        <v>16</v>
      </c>
      <c r="O71" t="s">
        <v>552</v>
      </c>
      <c r="P71" t="s">
        <v>248</v>
      </c>
      <c r="Q71" t="s">
        <v>245</v>
      </c>
    </row>
    <row r="72" spans="2:17">
      <c r="B72" s="326"/>
      <c r="C72" s="3">
        <v>0</v>
      </c>
      <c r="D72" t="s">
        <v>427</v>
      </c>
      <c r="E72" t="s">
        <v>246</v>
      </c>
      <c r="F72" t="s">
        <v>245</v>
      </c>
      <c r="M72" s="326"/>
      <c r="N72" s="3">
        <v>0</v>
      </c>
      <c r="O72" t="s">
        <v>427</v>
      </c>
      <c r="P72" t="s">
        <v>246</v>
      </c>
      <c r="Q72" t="s">
        <v>245</v>
      </c>
    </row>
    <row r="73" spans="2:17">
      <c r="B73" s="326"/>
      <c r="C73" s="3">
        <v>55</v>
      </c>
      <c r="D73" t="s">
        <v>553</v>
      </c>
      <c r="E73" t="s">
        <v>247</v>
      </c>
      <c r="F73" t="s">
        <v>245</v>
      </c>
      <c r="M73" s="326"/>
      <c r="N73" s="3">
        <v>55</v>
      </c>
      <c r="O73" t="s">
        <v>553</v>
      </c>
      <c r="P73" t="s">
        <v>247</v>
      </c>
      <c r="Q73" t="s">
        <v>245</v>
      </c>
    </row>
    <row r="74" spans="2:17">
      <c r="B74" s="326"/>
      <c r="C74" s="3">
        <v>0</v>
      </c>
      <c r="D74" t="s">
        <v>378</v>
      </c>
      <c r="E74" t="s">
        <v>12</v>
      </c>
      <c r="F74" t="s">
        <v>245</v>
      </c>
      <c r="M74" s="326"/>
      <c r="N74" s="3">
        <v>0</v>
      </c>
      <c r="O74" t="s">
        <v>378</v>
      </c>
      <c r="P74" t="s">
        <v>12</v>
      </c>
      <c r="Q74" t="s">
        <v>245</v>
      </c>
    </row>
    <row r="75" spans="2:17">
      <c r="B75" s="326"/>
      <c r="M75" s="326"/>
    </row>
    <row r="76" spans="2:17">
      <c r="B76" s="326">
        <v>46037</v>
      </c>
      <c r="C76" s="3">
        <v>14</v>
      </c>
      <c r="D76" t="s">
        <v>429</v>
      </c>
      <c r="E76" t="s">
        <v>248</v>
      </c>
      <c r="F76" t="s">
        <v>245</v>
      </c>
      <c r="M76" s="326">
        <v>46037</v>
      </c>
      <c r="N76" s="3">
        <v>14</v>
      </c>
      <c r="O76" t="s">
        <v>429</v>
      </c>
      <c r="P76" t="s">
        <v>248</v>
      </c>
      <c r="Q76" t="s">
        <v>245</v>
      </c>
    </row>
    <row r="77" spans="2:17">
      <c r="B77" s="326"/>
      <c r="C77" s="3">
        <v>0</v>
      </c>
      <c r="D77" t="s">
        <v>427</v>
      </c>
      <c r="E77" t="s">
        <v>246</v>
      </c>
      <c r="F77" t="s">
        <v>245</v>
      </c>
      <c r="M77" s="326"/>
      <c r="N77" s="3">
        <v>0</v>
      </c>
      <c r="O77" t="s">
        <v>427</v>
      </c>
      <c r="P77" t="s">
        <v>246</v>
      </c>
      <c r="Q77" t="s">
        <v>245</v>
      </c>
    </row>
    <row r="78" spans="2:17">
      <c r="B78" s="326"/>
      <c r="C78" s="3">
        <v>46</v>
      </c>
      <c r="D78" t="s">
        <v>575</v>
      </c>
      <c r="E78" t="s">
        <v>247</v>
      </c>
      <c r="F78" t="s">
        <v>245</v>
      </c>
      <c r="M78" s="326"/>
      <c r="N78" s="3">
        <v>46</v>
      </c>
      <c r="O78" t="s">
        <v>575</v>
      </c>
      <c r="P78" t="s">
        <v>247</v>
      </c>
      <c r="Q78" t="s">
        <v>245</v>
      </c>
    </row>
    <row r="79" spans="2:17">
      <c r="B79" s="326"/>
      <c r="C79" s="3">
        <v>0</v>
      </c>
      <c r="D79" t="s">
        <v>378</v>
      </c>
      <c r="E79" t="s">
        <v>12</v>
      </c>
      <c r="F79" t="s">
        <v>245</v>
      </c>
      <c r="M79" s="326"/>
      <c r="N79" s="3">
        <v>0</v>
      </c>
      <c r="O79" t="s">
        <v>378</v>
      </c>
      <c r="P79" t="s">
        <v>12</v>
      </c>
      <c r="Q79" t="s">
        <v>245</v>
      </c>
    </row>
    <row r="80" spans="2:17">
      <c r="B80" s="326"/>
      <c r="M80" s="326"/>
    </row>
    <row r="81" spans="2:17">
      <c r="B81" s="326">
        <v>46038</v>
      </c>
      <c r="C81" s="3">
        <v>8</v>
      </c>
      <c r="D81" t="s">
        <v>550</v>
      </c>
      <c r="E81" t="s">
        <v>248</v>
      </c>
      <c r="F81" t="s">
        <v>245</v>
      </c>
      <c r="M81" s="326">
        <v>46038</v>
      </c>
      <c r="N81" s="3">
        <v>8</v>
      </c>
      <c r="O81" t="s">
        <v>550</v>
      </c>
      <c r="P81" t="s">
        <v>248</v>
      </c>
      <c r="Q81" t="s">
        <v>245</v>
      </c>
    </row>
    <row r="82" spans="2:17">
      <c r="B82" s="326"/>
      <c r="C82" s="3">
        <v>0</v>
      </c>
      <c r="D82" t="s">
        <v>427</v>
      </c>
      <c r="E82" t="s">
        <v>246</v>
      </c>
      <c r="F82" t="s">
        <v>245</v>
      </c>
      <c r="M82" s="326"/>
      <c r="N82" s="3">
        <v>0</v>
      </c>
      <c r="O82" t="s">
        <v>427</v>
      </c>
      <c r="P82" t="s">
        <v>246</v>
      </c>
      <c r="Q82" t="s">
        <v>245</v>
      </c>
    </row>
    <row r="83" spans="2:17">
      <c r="B83" s="326"/>
      <c r="C83" s="3">
        <v>50</v>
      </c>
      <c r="D83" t="s">
        <v>430</v>
      </c>
      <c r="E83" t="s">
        <v>247</v>
      </c>
      <c r="F83" t="s">
        <v>245</v>
      </c>
      <c r="M83" s="326"/>
      <c r="N83" s="3">
        <v>50</v>
      </c>
      <c r="O83" t="s">
        <v>430</v>
      </c>
      <c r="P83" t="s">
        <v>247</v>
      </c>
      <c r="Q83" t="s">
        <v>245</v>
      </c>
    </row>
    <row r="84" spans="2:17">
      <c r="B84" s="326"/>
      <c r="C84" s="3">
        <v>0</v>
      </c>
      <c r="D84" t="s">
        <v>378</v>
      </c>
      <c r="E84" t="s">
        <v>12</v>
      </c>
      <c r="F84" t="s">
        <v>245</v>
      </c>
      <c r="M84" s="326"/>
      <c r="N84" s="3">
        <v>0</v>
      </c>
      <c r="O84" t="s">
        <v>378</v>
      </c>
      <c r="P84" t="s">
        <v>12</v>
      </c>
      <c r="Q84" t="s">
        <v>245</v>
      </c>
    </row>
    <row r="85" spans="2:17">
      <c r="B85" s="326"/>
      <c r="M85" s="326"/>
    </row>
    <row r="86" spans="2:17">
      <c r="B86" s="326">
        <v>46039</v>
      </c>
      <c r="C86" s="3">
        <v>16</v>
      </c>
      <c r="D86" t="s">
        <v>429</v>
      </c>
      <c r="E86" t="s">
        <v>248</v>
      </c>
      <c r="F86" t="s">
        <v>245</v>
      </c>
      <c r="M86" s="326">
        <v>46039</v>
      </c>
      <c r="N86" s="3">
        <v>16</v>
      </c>
      <c r="O86" t="s">
        <v>429</v>
      </c>
      <c r="P86" t="s">
        <v>248</v>
      </c>
      <c r="Q86" t="s">
        <v>245</v>
      </c>
    </row>
    <row r="87" spans="2:17">
      <c r="B87" s="326"/>
      <c r="C87" s="3">
        <v>0</v>
      </c>
      <c r="D87" t="s">
        <v>427</v>
      </c>
      <c r="E87" t="s">
        <v>246</v>
      </c>
      <c r="F87" t="s">
        <v>245</v>
      </c>
      <c r="M87" s="326"/>
      <c r="N87" s="3">
        <v>0</v>
      </c>
      <c r="O87" t="s">
        <v>427</v>
      </c>
      <c r="P87" t="s">
        <v>246</v>
      </c>
      <c r="Q87" t="s">
        <v>245</v>
      </c>
    </row>
    <row r="88" spans="2:17">
      <c r="B88" s="326"/>
      <c r="C88" s="3">
        <v>61</v>
      </c>
      <c r="D88" t="s">
        <v>481</v>
      </c>
      <c r="E88" t="s">
        <v>247</v>
      </c>
      <c r="F88" t="s">
        <v>245</v>
      </c>
      <c r="M88" s="326"/>
      <c r="N88" s="3">
        <v>61</v>
      </c>
      <c r="O88" t="s">
        <v>481</v>
      </c>
      <c r="P88" t="s">
        <v>247</v>
      </c>
      <c r="Q88" t="s">
        <v>245</v>
      </c>
    </row>
    <row r="89" spans="2:17">
      <c r="B89" s="326"/>
      <c r="C89" s="3">
        <v>0</v>
      </c>
      <c r="D89" t="s">
        <v>378</v>
      </c>
      <c r="E89" t="s">
        <v>12</v>
      </c>
      <c r="F89" t="s">
        <v>245</v>
      </c>
      <c r="M89" s="326"/>
      <c r="N89" s="3">
        <v>0</v>
      </c>
      <c r="O89" t="s">
        <v>378</v>
      </c>
      <c r="P89" t="s">
        <v>12</v>
      </c>
      <c r="Q89" t="s">
        <v>245</v>
      </c>
    </row>
    <row r="90" spans="2:17">
      <c r="B90" s="326"/>
      <c r="M90" s="326"/>
    </row>
    <row r="91" spans="2:17">
      <c r="B91" s="326">
        <v>46040</v>
      </c>
      <c r="C91" s="3">
        <v>23</v>
      </c>
      <c r="D91" t="s">
        <v>552</v>
      </c>
      <c r="E91" t="s">
        <v>248</v>
      </c>
      <c r="F91" t="s">
        <v>245</v>
      </c>
      <c r="M91" s="326">
        <v>46040</v>
      </c>
      <c r="N91" s="3">
        <v>23</v>
      </c>
      <c r="O91" t="s">
        <v>552</v>
      </c>
      <c r="P91" t="s">
        <v>248</v>
      </c>
      <c r="Q91" t="s">
        <v>245</v>
      </c>
    </row>
    <row r="92" spans="2:17">
      <c r="B92" s="326"/>
      <c r="C92" s="3">
        <v>0</v>
      </c>
      <c r="D92" t="s">
        <v>427</v>
      </c>
      <c r="E92" t="s">
        <v>246</v>
      </c>
      <c r="F92" t="s">
        <v>245</v>
      </c>
      <c r="M92" s="326"/>
      <c r="N92" s="3">
        <v>0</v>
      </c>
      <c r="O92" t="s">
        <v>427</v>
      </c>
      <c r="P92" t="s">
        <v>246</v>
      </c>
      <c r="Q92" t="s">
        <v>245</v>
      </c>
    </row>
    <row r="93" spans="2:17">
      <c r="B93" s="326"/>
      <c r="C93" s="3">
        <v>49</v>
      </c>
      <c r="D93" t="s">
        <v>430</v>
      </c>
      <c r="E93" t="s">
        <v>247</v>
      </c>
      <c r="F93" t="s">
        <v>245</v>
      </c>
      <c r="M93" s="326"/>
      <c r="N93" s="3">
        <v>49</v>
      </c>
      <c r="O93" t="s">
        <v>430</v>
      </c>
      <c r="P93" t="s">
        <v>247</v>
      </c>
      <c r="Q93" t="s">
        <v>245</v>
      </c>
    </row>
    <row r="94" spans="2:17">
      <c r="B94" s="326"/>
      <c r="C94" s="3">
        <v>8</v>
      </c>
      <c r="D94" t="s">
        <v>378</v>
      </c>
      <c r="E94" t="s">
        <v>12</v>
      </c>
      <c r="F94" t="s">
        <v>245</v>
      </c>
      <c r="M94" s="326"/>
      <c r="N94" s="3">
        <v>8</v>
      </c>
      <c r="O94" t="s">
        <v>378</v>
      </c>
      <c r="P94" t="s">
        <v>12</v>
      </c>
      <c r="Q94" t="s">
        <v>245</v>
      </c>
    </row>
    <row r="95" spans="2:17">
      <c r="B95" s="326"/>
      <c r="M95" s="326"/>
    </row>
    <row r="96" spans="2:17">
      <c r="B96" s="326">
        <v>46041</v>
      </c>
      <c r="C96" s="3">
        <v>27</v>
      </c>
      <c r="D96" t="s">
        <v>464</v>
      </c>
      <c r="E96" t="s">
        <v>248</v>
      </c>
      <c r="F96" t="s">
        <v>245</v>
      </c>
      <c r="M96" s="326">
        <v>46041</v>
      </c>
      <c r="N96" s="3">
        <v>27</v>
      </c>
      <c r="O96" t="s">
        <v>464</v>
      </c>
      <c r="P96" t="s">
        <v>248</v>
      </c>
      <c r="Q96" t="s">
        <v>245</v>
      </c>
    </row>
    <row r="97" spans="2:17">
      <c r="B97" s="326"/>
      <c r="C97" s="3">
        <v>0</v>
      </c>
      <c r="D97" t="s">
        <v>427</v>
      </c>
      <c r="E97" t="s">
        <v>246</v>
      </c>
      <c r="F97" t="s">
        <v>245</v>
      </c>
      <c r="M97" s="326"/>
      <c r="N97" s="3">
        <v>0</v>
      </c>
      <c r="O97" t="s">
        <v>427</v>
      </c>
      <c r="P97" t="s">
        <v>246</v>
      </c>
      <c r="Q97" t="s">
        <v>245</v>
      </c>
    </row>
    <row r="98" spans="2:17">
      <c r="B98" s="326"/>
      <c r="C98" s="3">
        <v>36</v>
      </c>
      <c r="D98" t="s">
        <v>413</v>
      </c>
      <c r="E98" t="s">
        <v>247</v>
      </c>
      <c r="F98" t="s">
        <v>245</v>
      </c>
      <c r="M98" s="326"/>
      <c r="N98" s="3">
        <v>36</v>
      </c>
      <c r="O98" t="s">
        <v>413</v>
      </c>
      <c r="P98" t="s">
        <v>247</v>
      </c>
      <c r="Q98" t="s">
        <v>245</v>
      </c>
    </row>
    <row r="99" spans="2:17">
      <c r="B99" s="326"/>
      <c r="C99" s="3">
        <v>50</v>
      </c>
      <c r="D99" t="s">
        <v>596</v>
      </c>
      <c r="E99" t="s">
        <v>620</v>
      </c>
      <c r="F99" t="s">
        <v>252</v>
      </c>
      <c r="M99" s="326"/>
      <c r="N99" s="3">
        <v>50</v>
      </c>
      <c r="O99" t="s">
        <v>596</v>
      </c>
      <c r="P99" t="s">
        <v>620</v>
      </c>
      <c r="Q99" t="s">
        <v>252</v>
      </c>
    </row>
    <row r="100" spans="2:17">
      <c r="B100" s="326"/>
      <c r="M100" s="326"/>
    </row>
    <row r="101" spans="2:17">
      <c r="B101" s="326">
        <v>46042</v>
      </c>
      <c r="C101" s="3">
        <v>12</v>
      </c>
      <c r="D101" t="s">
        <v>429</v>
      </c>
      <c r="E101" t="s">
        <v>248</v>
      </c>
      <c r="F101" t="s">
        <v>245</v>
      </c>
      <c r="M101" s="326">
        <v>46042</v>
      </c>
      <c r="N101" s="3">
        <v>12</v>
      </c>
      <c r="O101" t="s">
        <v>429</v>
      </c>
      <c r="P101" t="s">
        <v>248</v>
      </c>
      <c r="Q101" t="s">
        <v>245</v>
      </c>
    </row>
    <row r="102" spans="2:17">
      <c r="B102" s="326"/>
      <c r="C102" s="3">
        <v>8</v>
      </c>
      <c r="D102" t="s">
        <v>407</v>
      </c>
      <c r="E102" t="s">
        <v>246</v>
      </c>
      <c r="F102" t="s">
        <v>245</v>
      </c>
      <c r="M102" s="326"/>
      <c r="N102" s="3">
        <v>8</v>
      </c>
      <c r="O102" t="s">
        <v>407</v>
      </c>
      <c r="P102" t="s">
        <v>246</v>
      </c>
      <c r="Q102" t="s">
        <v>245</v>
      </c>
    </row>
    <row r="103" spans="2:17">
      <c r="B103" s="326"/>
      <c r="C103" s="3">
        <v>39</v>
      </c>
      <c r="D103" t="s">
        <v>449</v>
      </c>
      <c r="E103" t="s">
        <v>247</v>
      </c>
      <c r="F103" t="s">
        <v>245</v>
      </c>
      <c r="M103" s="326"/>
      <c r="N103" s="3">
        <v>39</v>
      </c>
      <c r="O103" t="s">
        <v>449</v>
      </c>
      <c r="P103" t="s">
        <v>247</v>
      </c>
      <c r="Q103" t="s">
        <v>245</v>
      </c>
    </row>
    <row r="104" spans="2:17">
      <c r="B104" s="326"/>
      <c r="C104" s="3">
        <v>37</v>
      </c>
      <c r="D104" t="s">
        <v>596</v>
      </c>
      <c r="E104" t="s">
        <v>620</v>
      </c>
      <c r="F104" t="s">
        <v>252</v>
      </c>
      <c r="M104" s="326"/>
      <c r="N104" s="3">
        <v>37</v>
      </c>
      <c r="O104" t="s">
        <v>596</v>
      </c>
      <c r="P104" t="s">
        <v>620</v>
      </c>
      <c r="Q104" t="s">
        <v>252</v>
      </c>
    </row>
    <row r="105" spans="2:17">
      <c r="B105" s="326"/>
      <c r="M105" s="326"/>
    </row>
    <row r="106" spans="2:17">
      <c r="B106" s="326">
        <v>46043</v>
      </c>
      <c r="C106" s="3">
        <v>18</v>
      </c>
      <c r="D106" t="s">
        <v>429</v>
      </c>
      <c r="E106" t="s">
        <v>248</v>
      </c>
      <c r="F106" t="s">
        <v>245</v>
      </c>
      <c r="M106" s="326">
        <v>46043</v>
      </c>
      <c r="N106" s="3">
        <v>18</v>
      </c>
      <c r="O106" t="s">
        <v>429</v>
      </c>
      <c r="P106" t="s">
        <v>248</v>
      </c>
      <c r="Q106" t="s">
        <v>245</v>
      </c>
    </row>
    <row r="107" spans="2:17">
      <c r="B107" s="326"/>
      <c r="C107" s="3">
        <v>9</v>
      </c>
      <c r="D107" t="s">
        <v>514</v>
      </c>
      <c r="E107" t="s">
        <v>246</v>
      </c>
      <c r="F107" t="s">
        <v>245</v>
      </c>
      <c r="M107" s="326"/>
      <c r="N107" s="3">
        <v>9</v>
      </c>
      <c r="O107" t="s">
        <v>514</v>
      </c>
      <c r="P107" t="s">
        <v>246</v>
      </c>
      <c r="Q107" t="s">
        <v>245</v>
      </c>
    </row>
    <row r="108" spans="2:17">
      <c r="B108" s="326"/>
      <c r="C108" s="3">
        <v>44</v>
      </c>
      <c r="D108" t="s">
        <v>612</v>
      </c>
      <c r="E108" t="s">
        <v>247</v>
      </c>
      <c r="F108" t="s">
        <v>245</v>
      </c>
      <c r="M108" s="326"/>
      <c r="N108" s="3">
        <v>44</v>
      </c>
      <c r="O108" t="s">
        <v>612</v>
      </c>
      <c r="P108" t="s">
        <v>247</v>
      </c>
      <c r="Q108" t="s">
        <v>245</v>
      </c>
    </row>
    <row r="109" spans="2:17">
      <c r="B109" s="326"/>
      <c r="M109" s="326"/>
    </row>
    <row r="110" spans="2:17">
      <c r="B110" s="326">
        <v>46044</v>
      </c>
      <c r="C110" s="3">
        <v>38</v>
      </c>
      <c r="D110" t="s">
        <v>552</v>
      </c>
      <c r="E110" t="s">
        <v>248</v>
      </c>
      <c r="F110" t="s">
        <v>245</v>
      </c>
      <c r="M110" s="326">
        <v>46044</v>
      </c>
      <c r="N110" s="3">
        <v>38</v>
      </c>
      <c r="O110" t="s">
        <v>552</v>
      </c>
      <c r="P110" t="s">
        <v>248</v>
      </c>
      <c r="Q110" t="s">
        <v>245</v>
      </c>
    </row>
    <row r="111" spans="2:17">
      <c r="B111" s="326"/>
      <c r="C111" s="3">
        <v>0</v>
      </c>
      <c r="D111" t="s">
        <v>427</v>
      </c>
      <c r="E111" t="s">
        <v>246</v>
      </c>
      <c r="F111" t="s">
        <v>245</v>
      </c>
      <c r="M111" s="326"/>
      <c r="N111" s="3">
        <v>0</v>
      </c>
      <c r="O111" t="s">
        <v>427</v>
      </c>
      <c r="P111" t="s">
        <v>246</v>
      </c>
      <c r="Q111" t="s">
        <v>245</v>
      </c>
    </row>
    <row r="112" spans="2:17">
      <c r="B112" s="326"/>
      <c r="C112" s="3">
        <v>31</v>
      </c>
      <c r="D112" t="s">
        <v>481</v>
      </c>
      <c r="E112" t="s">
        <v>247</v>
      </c>
      <c r="F112" t="s">
        <v>245</v>
      </c>
      <c r="M112" s="326"/>
      <c r="N112" s="3">
        <v>31</v>
      </c>
      <c r="O112" t="s">
        <v>481</v>
      </c>
      <c r="P112" t="s">
        <v>247</v>
      </c>
      <c r="Q112" t="s">
        <v>245</v>
      </c>
    </row>
    <row r="113" spans="2:17">
      <c r="B113" s="326"/>
      <c r="M113" s="326"/>
    </row>
    <row r="114" spans="2:17">
      <c r="B114" s="326">
        <v>46045</v>
      </c>
      <c r="C114" s="3">
        <v>24</v>
      </c>
      <c r="D114" t="s">
        <v>464</v>
      </c>
      <c r="E114" t="s">
        <v>248</v>
      </c>
      <c r="F114" t="s">
        <v>245</v>
      </c>
      <c r="M114" s="326">
        <v>46045</v>
      </c>
      <c r="N114" s="3">
        <v>24</v>
      </c>
      <c r="O114" t="s">
        <v>464</v>
      </c>
      <c r="P114" t="s">
        <v>248</v>
      </c>
      <c r="Q114" t="s">
        <v>245</v>
      </c>
    </row>
    <row r="115" spans="2:17">
      <c r="B115" s="326"/>
      <c r="C115" s="3">
        <v>0</v>
      </c>
      <c r="D115" t="s">
        <v>427</v>
      </c>
      <c r="E115" t="s">
        <v>246</v>
      </c>
      <c r="F115" t="s">
        <v>245</v>
      </c>
      <c r="M115" s="326"/>
      <c r="N115" s="3">
        <v>0</v>
      </c>
      <c r="O115" t="s">
        <v>427</v>
      </c>
      <c r="P115" t="s">
        <v>246</v>
      </c>
      <c r="Q115" t="s">
        <v>245</v>
      </c>
    </row>
    <row r="116" spans="2:17">
      <c r="B116" s="326"/>
      <c r="C116" s="3">
        <v>36</v>
      </c>
      <c r="D116" t="s">
        <v>631</v>
      </c>
      <c r="E116" t="s">
        <v>247</v>
      </c>
      <c r="F116" t="s">
        <v>245</v>
      </c>
      <c r="M116" s="326"/>
      <c r="N116" s="3">
        <v>36</v>
      </c>
      <c r="O116" t="s">
        <v>631</v>
      </c>
      <c r="P116" t="s">
        <v>247</v>
      </c>
      <c r="Q116" t="s">
        <v>245</v>
      </c>
    </row>
    <row r="117" spans="2:17">
      <c r="B117" s="326"/>
      <c r="C117" s="3">
        <v>0</v>
      </c>
      <c r="D117" t="s">
        <v>519</v>
      </c>
      <c r="E117" t="s">
        <v>702</v>
      </c>
      <c r="F117" t="s">
        <v>701</v>
      </c>
      <c r="M117" s="326"/>
      <c r="N117" s="3">
        <v>0</v>
      </c>
      <c r="O117" t="s">
        <v>519</v>
      </c>
      <c r="P117" t="s">
        <v>702</v>
      </c>
      <c r="Q117" t="s">
        <v>701</v>
      </c>
    </row>
    <row r="118" spans="2:17">
      <c r="B118" s="326"/>
      <c r="M118" s="326"/>
    </row>
    <row r="119" spans="2:17">
      <c r="B119" s="326">
        <v>46046</v>
      </c>
      <c r="C119" s="3">
        <v>12</v>
      </c>
      <c r="D119" t="s">
        <v>429</v>
      </c>
      <c r="E119" t="s">
        <v>248</v>
      </c>
      <c r="F119" t="s">
        <v>245</v>
      </c>
      <c r="M119" s="326">
        <v>46046</v>
      </c>
      <c r="N119" s="3">
        <v>12</v>
      </c>
      <c r="O119" t="s">
        <v>429</v>
      </c>
      <c r="P119" t="s">
        <v>248</v>
      </c>
      <c r="Q119" t="s">
        <v>245</v>
      </c>
    </row>
    <row r="120" spans="2:17">
      <c r="B120" s="326"/>
      <c r="C120" s="3">
        <v>6</v>
      </c>
      <c r="D120" t="s">
        <v>387</v>
      </c>
      <c r="E120" t="s">
        <v>246</v>
      </c>
      <c r="F120" t="s">
        <v>245</v>
      </c>
      <c r="M120" s="326"/>
      <c r="N120" s="3">
        <v>6</v>
      </c>
      <c r="O120" t="s">
        <v>387</v>
      </c>
      <c r="P120" t="s">
        <v>246</v>
      </c>
      <c r="Q120" t="s">
        <v>245</v>
      </c>
    </row>
    <row r="121" spans="2:17">
      <c r="B121" s="326"/>
      <c r="C121" s="3">
        <v>45</v>
      </c>
      <c r="D121" t="s">
        <v>413</v>
      </c>
      <c r="E121" t="s">
        <v>247</v>
      </c>
      <c r="F121" t="s">
        <v>245</v>
      </c>
      <c r="M121" s="326"/>
      <c r="N121" s="3">
        <v>45</v>
      </c>
      <c r="O121" t="s">
        <v>413</v>
      </c>
      <c r="P121" t="s">
        <v>247</v>
      </c>
      <c r="Q121" t="s">
        <v>245</v>
      </c>
    </row>
    <row r="122" spans="2:17">
      <c r="B122" s="326"/>
      <c r="C122" s="3">
        <v>0</v>
      </c>
      <c r="D122" t="s">
        <v>519</v>
      </c>
      <c r="E122" t="s">
        <v>702</v>
      </c>
      <c r="F122" t="s">
        <v>701</v>
      </c>
      <c r="M122" s="326"/>
      <c r="N122" s="3">
        <v>0</v>
      </c>
      <c r="O122" t="s">
        <v>519</v>
      </c>
      <c r="P122" t="s">
        <v>702</v>
      </c>
      <c r="Q122" t="s">
        <v>701</v>
      </c>
    </row>
    <row r="123" spans="2:17">
      <c r="B123" s="326"/>
      <c r="M123" s="326"/>
    </row>
    <row r="124" spans="2:17">
      <c r="B124" s="326">
        <v>46047</v>
      </c>
      <c r="C124" s="3">
        <v>10</v>
      </c>
      <c r="D124" t="s">
        <v>653</v>
      </c>
      <c r="E124" t="s">
        <v>248</v>
      </c>
      <c r="F124" t="s">
        <v>245</v>
      </c>
      <c r="M124" s="326">
        <v>46047</v>
      </c>
      <c r="N124" s="3">
        <v>10</v>
      </c>
      <c r="O124" t="s">
        <v>653</v>
      </c>
      <c r="P124" t="s">
        <v>248</v>
      </c>
      <c r="Q124" t="s">
        <v>245</v>
      </c>
    </row>
    <row r="125" spans="2:17">
      <c r="B125" s="326"/>
      <c r="C125" s="3">
        <v>4</v>
      </c>
      <c r="D125" t="s">
        <v>652</v>
      </c>
      <c r="E125" t="s">
        <v>246</v>
      </c>
      <c r="F125" t="s">
        <v>245</v>
      </c>
      <c r="M125" s="326"/>
      <c r="N125" s="3">
        <v>4</v>
      </c>
      <c r="O125" t="s">
        <v>652</v>
      </c>
      <c r="P125" t="s">
        <v>246</v>
      </c>
      <c r="Q125" t="s">
        <v>245</v>
      </c>
    </row>
    <row r="126" spans="2:17">
      <c r="B126" s="326"/>
      <c r="C126" s="3">
        <v>42</v>
      </c>
      <c r="D126" t="s">
        <v>631</v>
      </c>
      <c r="E126" t="s">
        <v>247</v>
      </c>
      <c r="F126" t="s">
        <v>245</v>
      </c>
      <c r="M126" s="326"/>
      <c r="N126" s="3">
        <v>42</v>
      </c>
      <c r="O126" t="s">
        <v>631</v>
      </c>
      <c r="P126" t="s">
        <v>247</v>
      </c>
      <c r="Q126" t="s">
        <v>245</v>
      </c>
    </row>
    <row r="127" spans="2:17">
      <c r="B127" s="326"/>
      <c r="C127" s="3">
        <v>0</v>
      </c>
      <c r="D127" t="s">
        <v>519</v>
      </c>
      <c r="E127" t="s">
        <v>702</v>
      </c>
      <c r="F127" t="s">
        <v>701</v>
      </c>
      <c r="M127" s="326"/>
      <c r="N127" s="3">
        <v>0</v>
      </c>
      <c r="O127" t="s">
        <v>519</v>
      </c>
      <c r="P127" t="s">
        <v>702</v>
      </c>
      <c r="Q127" t="s">
        <v>701</v>
      </c>
    </row>
    <row r="128" spans="2:17">
      <c r="B128" s="326"/>
      <c r="C128" s="3">
        <v>169</v>
      </c>
      <c r="D128" t="s">
        <v>654</v>
      </c>
      <c r="E128" t="s">
        <v>704</v>
      </c>
      <c r="F128" t="s">
        <v>307</v>
      </c>
      <c r="M128" s="326"/>
      <c r="N128" s="3">
        <v>169</v>
      </c>
      <c r="O128" t="s">
        <v>654</v>
      </c>
      <c r="P128" t="s">
        <v>704</v>
      </c>
      <c r="Q128" t="s">
        <v>307</v>
      </c>
    </row>
    <row r="129" spans="2:18">
      <c r="B129" s="326"/>
      <c r="M129" s="326"/>
    </row>
    <row r="130" spans="2:18">
      <c r="B130" s="326">
        <v>46048</v>
      </c>
      <c r="C130" s="3">
        <v>10</v>
      </c>
      <c r="D130" t="s">
        <v>653</v>
      </c>
      <c r="E130" t="s">
        <v>248</v>
      </c>
      <c r="F130" t="s">
        <v>245</v>
      </c>
      <c r="M130" s="326">
        <v>46048</v>
      </c>
      <c r="N130" s="3">
        <v>10</v>
      </c>
      <c r="O130" t="s">
        <v>653</v>
      </c>
      <c r="P130" t="s">
        <v>248</v>
      </c>
      <c r="Q130" t="s">
        <v>245</v>
      </c>
    </row>
    <row r="131" spans="2:18">
      <c r="B131" s="326"/>
      <c r="C131" s="3">
        <v>4</v>
      </c>
      <c r="D131" t="s">
        <v>652</v>
      </c>
      <c r="E131" t="s">
        <v>246</v>
      </c>
      <c r="F131" t="s">
        <v>245</v>
      </c>
      <c r="M131" s="326"/>
      <c r="N131" s="3">
        <v>4</v>
      </c>
      <c r="O131" t="s">
        <v>652</v>
      </c>
      <c r="P131" t="s">
        <v>246</v>
      </c>
      <c r="Q131" t="s">
        <v>245</v>
      </c>
    </row>
    <row r="132" spans="2:18">
      <c r="B132" s="326"/>
      <c r="C132" s="3">
        <v>38</v>
      </c>
      <c r="D132" t="s">
        <v>631</v>
      </c>
      <c r="E132" t="s">
        <v>247</v>
      </c>
      <c r="F132" t="s">
        <v>245</v>
      </c>
      <c r="M132" s="326"/>
      <c r="N132" s="3">
        <v>38</v>
      </c>
      <c r="O132" t="s">
        <v>631</v>
      </c>
      <c r="P132" t="s">
        <v>247</v>
      </c>
      <c r="Q132" t="s">
        <v>245</v>
      </c>
    </row>
    <row r="133" spans="2:18">
      <c r="B133" s="326"/>
      <c r="C133" s="3">
        <v>69</v>
      </c>
      <c r="D133" t="s">
        <v>666</v>
      </c>
      <c r="E133" t="s">
        <v>703</v>
      </c>
      <c r="F133" t="s">
        <v>487</v>
      </c>
      <c r="M133" s="326"/>
      <c r="N133" s="3">
        <v>0</v>
      </c>
      <c r="O133" t="s">
        <v>666</v>
      </c>
      <c r="P133" t="s">
        <v>703</v>
      </c>
      <c r="Q133" t="s">
        <v>487</v>
      </c>
    </row>
    <row r="134" spans="2:18">
      <c r="B134" s="326"/>
      <c r="C134" s="3">
        <v>0</v>
      </c>
      <c r="D134" t="s">
        <v>519</v>
      </c>
      <c r="E134" t="s">
        <v>702</v>
      </c>
      <c r="F134" t="s">
        <v>701</v>
      </c>
      <c r="M134" s="326"/>
      <c r="N134" s="3">
        <v>0</v>
      </c>
      <c r="O134" t="s">
        <v>519</v>
      </c>
      <c r="P134" t="s">
        <v>702</v>
      </c>
      <c r="Q134" t="s">
        <v>701</v>
      </c>
    </row>
    <row r="135" spans="2:18">
      <c r="B135" s="326"/>
      <c r="M135" s="326"/>
    </row>
    <row r="136" spans="2:18">
      <c r="B136" s="326">
        <v>46049</v>
      </c>
      <c r="C136" s="3">
        <v>24</v>
      </c>
      <c r="D136" t="s">
        <v>429</v>
      </c>
      <c r="E136" t="s">
        <v>248</v>
      </c>
      <c r="F136" t="s">
        <v>245</v>
      </c>
      <c r="M136" s="326">
        <v>46049</v>
      </c>
      <c r="N136" s="3">
        <v>24</v>
      </c>
      <c r="O136" t="s">
        <v>429</v>
      </c>
      <c r="P136" t="s">
        <v>248</v>
      </c>
      <c r="Q136" t="s">
        <v>245</v>
      </c>
    </row>
    <row r="137" spans="2:18">
      <c r="B137" s="326"/>
      <c r="C137" s="3">
        <v>8</v>
      </c>
      <c r="D137" t="s">
        <v>407</v>
      </c>
      <c r="E137" t="s">
        <v>246</v>
      </c>
      <c r="F137" t="s">
        <v>245</v>
      </c>
      <c r="M137" s="326"/>
      <c r="N137" s="3">
        <v>8</v>
      </c>
      <c r="O137" t="s">
        <v>407</v>
      </c>
      <c r="P137" t="s">
        <v>246</v>
      </c>
      <c r="Q137" t="s">
        <v>245</v>
      </c>
    </row>
    <row r="138" spans="2:18" ht="12.75" customHeight="1">
      <c r="B138" s="326"/>
      <c r="C138" s="3">
        <v>34</v>
      </c>
      <c r="D138" t="s">
        <v>676</v>
      </c>
      <c r="E138" t="s">
        <v>247</v>
      </c>
      <c r="F138" t="s">
        <v>245</v>
      </c>
      <c r="M138" s="326"/>
      <c r="N138" s="3">
        <v>34</v>
      </c>
      <c r="O138" t="s">
        <v>676</v>
      </c>
      <c r="P138" t="s">
        <v>247</v>
      </c>
      <c r="Q138" t="s">
        <v>245</v>
      </c>
    </row>
    <row r="139" spans="2:18">
      <c r="B139" s="326"/>
      <c r="C139" s="3">
        <v>0</v>
      </c>
      <c r="D139" t="s">
        <v>519</v>
      </c>
      <c r="E139" t="s">
        <v>702</v>
      </c>
      <c r="F139" t="s">
        <v>701</v>
      </c>
      <c r="M139" s="326"/>
      <c r="N139" s="3">
        <v>0</v>
      </c>
      <c r="O139" t="s">
        <v>519</v>
      </c>
      <c r="P139" t="s">
        <v>702</v>
      </c>
      <c r="Q139" t="s">
        <v>701</v>
      </c>
    </row>
    <row r="140" spans="2:18">
      <c r="B140" s="326"/>
      <c r="M140" s="326"/>
    </row>
    <row r="141" spans="2:18">
      <c r="B141" s="326">
        <v>46050</v>
      </c>
      <c r="C141" s="3">
        <v>10</v>
      </c>
      <c r="D141" t="s">
        <v>653</v>
      </c>
      <c r="E141" t="s">
        <v>248</v>
      </c>
      <c r="F141" t="s">
        <v>245</v>
      </c>
      <c r="M141" s="326">
        <v>46050</v>
      </c>
      <c r="N141" s="3">
        <v>10</v>
      </c>
      <c r="O141" t="s">
        <v>653</v>
      </c>
      <c r="P141" t="s">
        <v>248</v>
      </c>
      <c r="Q141" t="s">
        <v>245</v>
      </c>
    </row>
    <row r="142" spans="2:18">
      <c r="B142" s="326"/>
      <c r="C142" s="3">
        <v>9</v>
      </c>
      <c r="D142" t="s">
        <v>514</v>
      </c>
      <c r="E142" t="s">
        <v>246</v>
      </c>
      <c r="F142" t="s">
        <v>245</v>
      </c>
      <c r="M142" s="326"/>
      <c r="N142" s="3">
        <v>9</v>
      </c>
      <c r="O142" t="s">
        <v>514</v>
      </c>
      <c r="P142" t="s">
        <v>246</v>
      </c>
      <c r="Q142" t="s">
        <v>245</v>
      </c>
    </row>
    <row r="143" spans="2:18">
      <c r="B143" s="326"/>
      <c r="C143" s="3">
        <v>36</v>
      </c>
      <c r="D143" t="s">
        <v>686</v>
      </c>
      <c r="E143" t="s">
        <v>247</v>
      </c>
      <c r="F143" t="s">
        <v>245</v>
      </c>
      <c r="M143" s="326"/>
      <c r="N143" s="3">
        <v>36</v>
      </c>
      <c r="O143" t="s">
        <v>686</v>
      </c>
      <c r="P143" t="s">
        <v>247</v>
      </c>
      <c r="Q143" t="s">
        <v>245</v>
      </c>
    </row>
    <row r="144" spans="2:18">
      <c r="B144" s="326"/>
      <c r="C144" s="3">
        <v>0</v>
      </c>
      <c r="D144" t="s">
        <v>519</v>
      </c>
      <c r="E144" t="s">
        <v>702</v>
      </c>
      <c r="F144" t="s">
        <v>701</v>
      </c>
      <c r="M144" s="326"/>
      <c r="N144" s="3">
        <v>0</v>
      </c>
      <c r="O144" t="s">
        <v>519</v>
      </c>
      <c r="P144" t="s">
        <v>702</v>
      </c>
      <c r="Q144" t="s">
        <v>701</v>
      </c>
      <c r="R144" s="510">
        <f>+summary!Q53</f>
        <v>0</v>
      </c>
    </row>
    <row r="145" spans="2:17">
      <c r="B145" s="326"/>
      <c r="G145" s="510">
        <f>+summary!H53</f>
        <v>0</v>
      </c>
      <c r="M145" s="326"/>
    </row>
    <row r="146" spans="2:17">
      <c r="B146" s="326">
        <v>46051</v>
      </c>
      <c r="C146" s="3">
        <v>18</v>
      </c>
      <c r="D146" t="s">
        <v>429</v>
      </c>
      <c r="E146" t="s">
        <v>248</v>
      </c>
      <c r="F146" t="s">
        <v>245</v>
      </c>
      <c r="M146" s="326">
        <v>46051</v>
      </c>
      <c r="N146" s="3">
        <v>18</v>
      </c>
      <c r="O146" t="s">
        <v>429</v>
      </c>
      <c r="P146" t="s">
        <v>248</v>
      </c>
      <c r="Q146" t="s">
        <v>245</v>
      </c>
    </row>
    <row r="147" spans="2:17">
      <c r="B147" s="326"/>
      <c r="C147" s="3">
        <v>0</v>
      </c>
      <c r="D147" t="s">
        <v>427</v>
      </c>
      <c r="E147" t="s">
        <v>246</v>
      </c>
      <c r="F147" t="s">
        <v>245</v>
      </c>
      <c r="M147" s="326"/>
      <c r="N147" s="3">
        <v>0</v>
      </c>
      <c r="O147" t="s">
        <v>427</v>
      </c>
      <c r="P147" t="s">
        <v>246</v>
      </c>
      <c r="Q147" t="s">
        <v>245</v>
      </c>
    </row>
    <row r="148" spans="2:17">
      <c r="B148" s="326"/>
      <c r="C148" s="3">
        <v>37</v>
      </c>
      <c r="D148" t="s">
        <v>631</v>
      </c>
      <c r="E148" t="s">
        <v>247</v>
      </c>
      <c r="F148" t="s">
        <v>245</v>
      </c>
      <c r="M148" s="326"/>
      <c r="N148" s="3">
        <v>37</v>
      </c>
      <c r="O148" t="s">
        <v>631</v>
      </c>
      <c r="P148" t="s">
        <v>247</v>
      </c>
      <c r="Q148" t="s">
        <v>245</v>
      </c>
    </row>
    <row r="149" spans="2:17">
      <c r="B149" s="326"/>
      <c r="C149" s="3">
        <v>0</v>
      </c>
      <c r="D149" t="s">
        <v>519</v>
      </c>
      <c r="E149" t="s">
        <v>702</v>
      </c>
      <c r="F149" t="s">
        <v>701</v>
      </c>
      <c r="M149" s="326"/>
      <c r="N149" s="3">
        <v>0</v>
      </c>
      <c r="O149" t="s">
        <v>519</v>
      </c>
      <c r="P149" t="s">
        <v>702</v>
      </c>
      <c r="Q149" t="s">
        <v>701</v>
      </c>
    </row>
    <row r="150" spans="2:17">
      <c r="B150" s="326"/>
      <c r="M150" s="326"/>
    </row>
    <row r="151" spans="2:17">
      <c r="B151" s="326">
        <v>46052</v>
      </c>
      <c r="C151" s="3">
        <v>18</v>
      </c>
      <c r="D151" t="s">
        <v>429</v>
      </c>
      <c r="E151" t="s">
        <v>248</v>
      </c>
      <c r="F151" t="s">
        <v>245</v>
      </c>
      <c r="M151" s="326">
        <v>46052</v>
      </c>
      <c r="N151" s="3">
        <v>18</v>
      </c>
      <c r="O151" t="s">
        <v>429</v>
      </c>
      <c r="P151" t="s">
        <v>248</v>
      </c>
      <c r="Q151" t="s">
        <v>245</v>
      </c>
    </row>
    <row r="152" spans="2:17">
      <c r="B152" s="326"/>
      <c r="C152" s="3">
        <v>0</v>
      </c>
      <c r="D152" t="s">
        <v>427</v>
      </c>
      <c r="E152" t="s">
        <v>246</v>
      </c>
      <c r="F152" t="s">
        <v>245</v>
      </c>
      <c r="M152" s="326"/>
      <c r="N152" s="3">
        <v>0</v>
      </c>
      <c r="O152" t="s">
        <v>427</v>
      </c>
      <c r="P152" t="s">
        <v>246</v>
      </c>
      <c r="Q152" t="s">
        <v>245</v>
      </c>
    </row>
    <row r="153" spans="2:17">
      <c r="B153" s="326"/>
      <c r="C153" s="3">
        <v>33</v>
      </c>
      <c r="D153" t="s">
        <v>676</v>
      </c>
      <c r="E153" t="s">
        <v>247</v>
      </c>
      <c r="F153" t="s">
        <v>245</v>
      </c>
      <c r="M153" s="326"/>
      <c r="N153" s="3">
        <v>33</v>
      </c>
      <c r="O153" t="s">
        <v>676</v>
      </c>
      <c r="P153" t="s">
        <v>247</v>
      </c>
      <c r="Q153" t="s">
        <v>245</v>
      </c>
    </row>
    <row r="154" spans="2:17">
      <c r="B154" s="326"/>
      <c r="C154" s="3">
        <v>40</v>
      </c>
      <c r="D154" t="s">
        <v>716</v>
      </c>
      <c r="E154" t="s">
        <v>728</v>
      </c>
      <c r="F154" t="s">
        <v>250</v>
      </c>
      <c r="M154" s="326"/>
      <c r="N154" s="3">
        <v>40</v>
      </c>
      <c r="O154" t="s">
        <v>716</v>
      </c>
      <c r="P154" t="s">
        <v>728</v>
      </c>
      <c r="Q154" t="s">
        <v>250</v>
      </c>
    </row>
    <row r="155" spans="2:17">
      <c r="B155" s="326"/>
      <c r="C155" s="3">
        <v>0</v>
      </c>
      <c r="D155" t="s">
        <v>519</v>
      </c>
      <c r="E155" t="s">
        <v>702</v>
      </c>
      <c r="F155" t="s">
        <v>701</v>
      </c>
      <c r="M155" s="326"/>
      <c r="N155" s="3">
        <v>0</v>
      </c>
      <c r="O155" t="s">
        <v>519</v>
      </c>
      <c r="P155" t="s">
        <v>702</v>
      </c>
      <c r="Q155" t="s">
        <v>701</v>
      </c>
    </row>
    <row r="156" spans="2:17">
      <c r="B156" s="326"/>
      <c r="M156" s="326"/>
    </row>
    <row r="157" spans="2:17">
      <c r="B157" s="326">
        <v>46053</v>
      </c>
      <c r="C157" s="3">
        <v>27</v>
      </c>
      <c r="D157" t="s">
        <v>464</v>
      </c>
      <c r="E157" t="s">
        <v>248</v>
      </c>
      <c r="F157" t="s">
        <v>245</v>
      </c>
      <c r="M157" s="326">
        <v>46053</v>
      </c>
      <c r="N157" s="3">
        <v>27</v>
      </c>
      <c r="O157" t="s">
        <v>464</v>
      </c>
      <c r="P157" t="s">
        <v>248</v>
      </c>
      <c r="Q157" t="s">
        <v>245</v>
      </c>
    </row>
    <row r="158" spans="2:17">
      <c r="B158" s="326"/>
      <c r="C158" s="3">
        <v>0</v>
      </c>
      <c r="D158" t="s">
        <v>427</v>
      </c>
      <c r="E158" t="s">
        <v>246</v>
      </c>
      <c r="F158" t="s">
        <v>245</v>
      </c>
      <c r="M158" s="326"/>
      <c r="N158" s="3">
        <v>0</v>
      </c>
      <c r="O158" t="s">
        <v>427</v>
      </c>
      <c r="P158" t="s">
        <v>246</v>
      </c>
      <c r="Q158" t="s">
        <v>245</v>
      </c>
    </row>
    <row r="159" spans="2:17">
      <c r="B159" s="326"/>
      <c r="C159" s="3">
        <v>46</v>
      </c>
      <c r="D159" t="s">
        <v>481</v>
      </c>
      <c r="E159" t="s">
        <v>247</v>
      </c>
      <c r="F159" t="s">
        <v>245</v>
      </c>
      <c r="M159" s="326"/>
      <c r="N159" s="3">
        <v>46</v>
      </c>
      <c r="O159" t="s">
        <v>481</v>
      </c>
      <c r="P159" t="s">
        <v>247</v>
      </c>
      <c r="Q159" t="s">
        <v>245</v>
      </c>
    </row>
    <row r="160" spans="2:17">
      <c r="B160" s="326"/>
      <c r="C160" s="3">
        <v>97</v>
      </c>
      <c r="D160" t="s">
        <v>726</v>
      </c>
      <c r="E160" t="s">
        <v>728</v>
      </c>
      <c r="F160" t="s">
        <v>250</v>
      </c>
      <c r="M160" s="326"/>
      <c r="N160" s="3">
        <v>97</v>
      </c>
      <c r="O160" t="s">
        <v>726</v>
      </c>
      <c r="P160" t="s">
        <v>728</v>
      </c>
      <c r="Q160" t="s">
        <v>250</v>
      </c>
    </row>
  </sheetData>
  <autoFilter ref="B1:F121"/>
  <conditionalFormatting sqref="G1:G7 R1:R7 R9:R76 R144 G9:G68 G70:G115 G117:G1048576">
    <cfRule type="cellIs" dxfId="3" priority="2" operator="greaterThan">
      <formula>0</formula>
    </cfRule>
  </conditionalFormatting>
  <conditionalFormatting sqref="R78:R104 R106:R143 R145:R1048576">
    <cfRule type="cellIs" dxfId="2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opLeftCell="H1" workbookViewId="0">
      <selection activeCell="Q43" sqref="J1:Q43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5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5" customWidth="1"/>
    <col min="13" max="17" width="13.5703125" customWidth="1"/>
  </cols>
  <sheetData>
    <row r="1" spans="1:17" ht="15">
      <c r="A1" s="419" t="s">
        <v>268</v>
      </c>
      <c r="E1" s="450"/>
      <c r="F1" s="1"/>
      <c r="J1" s="419" t="s">
        <v>373</v>
      </c>
      <c r="N1" s="450"/>
      <c r="O1" s="1"/>
    </row>
    <row r="2" spans="1:17" ht="30">
      <c r="A2" s="731" t="s">
        <v>229</v>
      </c>
      <c r="B2" s="731" t="s">
        <v>230</v>
      </c>
      <c r="C2" s="732" t="s">
        <v>231</v>
      </c>
      <c r="D2" s="451" t="s">
        <v>232</v>
      </c>
      <c r="E2" s="544" t="s">
        <v>233</v>
      </c>
      <c r="F2" s="453" t="s">
        <v>234</v>
      </c>
      <c r="G2" s="544" t="s">
        <v>235</v>
      </c>
      <c r="H2" s="544" t="s">
        <v>236</v>
      </c>
      <c r="J2" s="731" t="s">
        <v>229</v>
      </c>
      <c r="K2" s="731" t="s">
        <v>230</v>
      </c>
      <c r="L2" s="730" t="s">
        <v>231</v>
      </c>
      <c r="M2" s="451" t="s">
        <v>232</v>
      </c>
      <c r="N2" s="544" t="s">
        <v>233</v>
      </c>
      <c r="O2" s="453" t="s">
        <v>234</v>
      </c>
      <c r="P2" s="544" t="s">
        <v>235</v>
      </c>
      <c r="Q2" s="544" t="s">
        <v>236</v>
      </c>
    </row>
    <row r="3" spans="1:17" ht="15">
      <c r="A3" s="731"/>
      <c r="B3" s="731"/>
      <c r="C3" s="733"/>
      <c r="D3" s="451" t="s">
        <v>394</v>
      </c>
      <c r="E3" s="451" t="str">
        <f>+D3</f>
        <v>JANUARI</v>
      </c>
      <c r="F3" s="451" t="str">
        <f>+E3</f>
        <v>JANUARI</v>
      </c>
      <c r="G3" s="451" t="str">
        <f>+F3</f>
        <v>JANUARI</v>
      </c>
      <c r="H3" s="451" t="str">
        <f>+G3</f>
        <v>JANUARI</v>
      </c>
      <c r="J3" s="731"/>
      <c r="K3" s="731"/>
      <c r="L3" s="730"/>
      <c r="M3" s="451" t="str">
        <f>+H3</f>
        <v>JANUARI</v>
      </c>
      <c r="N3" s="451" t="str">
        <f>+M3</f>
        <v>JANUARI</v>
      </c>
      <c r="O3" s="451" t="str">
        <f>+N3</f>
        <v>JANUARI</v>
      </c>
      <c r="P3" s="451" t="str">
        <f>+O3</f>
        <v>JANUARI</v>
      </c>
      <c r="Q3" s="451" t="str">
        <f>+P3</f>
        <v>JANUARI</v>
      </c>
    </row>
    <row r="4" spans="1:17" ht="15">
      <c r="A4" s="725" t="s">
        <v>237</v>
      </c>
      <c r="B4" s="543" t="s">
        <v>701</v>
      </c>
      <c r="C4" s="546" t="s">
        <v>702</v>
      </c>
      <c r="D4" s="6">
        <f>SUMIFS(Sheet1!$C$2:$C$180,Sheet1!$F$2:$F$180,B4,Sheet1!$E$2:$E$180,C4)</f>
        <v>0</v>
      </c>
      <c r="E4" s="6">
        <f>D4/Sheet1!$I$9*Sheet1!$I$10</f>
        <v>0</v>
      </c>
      <c r="F4" s="468">
        <f>D4/Sheet1!$I$9*Sheet1!$I$11</f>
        <v>0</v>
      </c>
      <c r="G4" s="542">
        <f>F4</f>
        <v>0</v>
      </c>
      <c r="H4" s="727">
        <f>SUM(G4:G12)</f>
        <v>1.9534506466572628E-2</v>
      </c>
      <c r="J4" s="725" t="s">
        <v>237</v>
      </c>
      <c r="K4" s="579" t="s">
        <v>701</v>
      </c>
      <c r="L4" s="546" t="s">
        <v>702</v>
      </c>
      <c r="M4" s="6">
        <f>SUMIFS(Sheet1!$N$2:$N$180,Sheet1!$Q$2:$Q$180,K4,Sheet1!$P$2:$P$180,L4)</f>
        <v>0</v>
      </c>
      <c r="N4" s="6">
        <f>M4/Sheet1!$T$9*Sheet1!$T$10</f>
        <v>0</v>
      </c>
      <c r="O4" s="468">
        <f>M4/Sheet1!$T$9*Sheet1!$T$11</f>
        <v>0</v>
      </c>
      <c r="P4" s="542">
        <f>O4</f>
        <v>0</v>
      </c>
      <c r="Q4" s="727">
        <f>SUM(P4:P11)</f>
        <v>3.8752218923458325E-3</v>
      </c>
    </row>
    <row r="5" spans="1:17" ht="15">
      <c r="A5" s="726"/>
      <c r="B5" s="543" t="s">
        <v>487</v>
      </c>
      <c r="C5" t="s">
        <v>703</v>
      </c>
      <c r="D5" s="6">
        <f>SUMIFS(Sheet1!$C$2:$C$180,Sheet1!$F$2:$F$180,B5,Sheet1!$E$2:$E$180,C5)</f>
        <v>693</v>
      </c>
      <c r="E5" s="6">
        <f>D5/Sheet1!$I$9*Sheet1!$I$10</f>
        <v>21.901089836853508</v>
      </c>
      <c r="F5" s="468">
        <f>D5/Sheet1!$I$9*Sheet1!$I$11</f>
        <v>1.5704655430782866E-2</v>
      </c>
      <c r="G5" s="547">
        <f t="shared" ref="G5:G15" si="0">F5</f>
        <v>1.5704655430782866E-2</v>
      </c>
      <c r="H5" s="728"/>
      <c r="J5" s="726"/>
      <c r="K5" s="579" t="s">
        <v>487</v>
      </c>
      <c r="L5" t="s">
        <v>703</v>
      </c>
      <c r="M5" s="6">
        <f>SUMIFS(Sheet1!$N$2:$N$180,Sheet1!$Q$2:$Q$180,K5,Sheet1!$P$2:$P$180,L5)</f>
        <v>0</v>
      </c>
      <c r="N5" s="6">
        <f>M5/Sheet1!$T$9*Sheet1!$T$10</f>
        <v>0</v>
      </c>
      <c r="O5" s="468">
        <f>M5/Sheet1!$T$9*Sheet1!$T$11</f>
        <v>0</v>
      </c>
      <c r="P5" s="547">
        <f t="shared" ref="P5:P15" si="1">O5</f>
        <v>0</v>
      </c>
      <c r="Q5" s="728"/>
    </row>
    <row r="6" spans="1:17" ht="15">
      <c r="A6" s="726"/>
      <c r="B6" s="734" t="s">
        <v>308</v>
      </c>
      <c r="C6" s="546"/>
      <c r="D6" s="6">
        <f>SUMIFS(Sheet1!$C$2:$C$180,Sheet1!$F$2:$F$180,B6,Sheet1!$E$2:$E$180,C6)</f>
        <v>0</v>
      </c>
      <c r="E6" s="6">
        <f>D6/Sheet1!$I$9*Sheet1!$I$10</f>
        <v>0</v>
      </c>
      <c r="F6" s="468">
        <f>D6/Sheet1!$I$9*Sheet1!$I$11</f>
        <v>0</v>
      </c>
      <c r="G6" s="547">
        <f t="shared" si="0"/>
        <v>0</v>
      </c>
      <c r="H6" s="728"/>
      <c r="J6" s="726"/>
      <c r="K6" s="734" t="s">
        <v>308</v>
      </c>
      <c r="L6" s="546"/>
      <c r="M6" s="6">
        <f>SUMIFS(Sheet1!$N$2:$N$180,Sheet1!$Q$2:$Q$180,K6,Sheet1!$P$2:$P$180,L6)</f>
        <v>0</v>
      </c>
      <c r="N6" s="6">
        <f>M6/Sheet1!$T$9*Sheet1!$T$10</f>
        <v>0</v>
      </c>
      <c r="O6" s="468">
        <f>M6/Sheet1!$T$9*Sheet1!$T$11</f>
        <v>0</v>
      </c>
      <c r="P6" s="547">
        <f t="shared" si="1"/>
        <v>0</v>
      </c>
      <c r="Q6" s="728"/>
    </row>
    <row r="7" spans="1:17" ht="15">
      <c r="A7" s="726"/>
      <c r="B7" s="735"/>
      <c r="C7" s="546"/>
      <c r="D7" s="6">
        <f>SUMIFS(Sheet1!$C$2:$C$180,Sheet1!$F$2:$F$180,B6,Sheet1!$E$2:$E$180,C7)</f>
        <v>0</v>
      </c>
      <c r="E7" s="6">
        <f>D7/Sheet1!$I$9*Sheet1!$I$10</f>
        <v>0</v>
      </c>
      <c r="F7" s="468">
        <f>D7/Sheet1!$I$9*Sheet1!$I$11</f>
        <v>0</v>
      </c>
      <c r="G7" s="547">
        <f t="shared" si="0"/>
        <v>0</v>
      </c>
      <c r="H7" s="728"/>
      <c r="J7" s="726"/>
      <c r="K7" s="735"/>
      <c r="L7" s="546"/>
      <c r="M7" s="6">
        <f>SUMIFS(Sheet1!$N$2:$N$180,Sheet1!$Q$2:$Q$180,K6,Sheet1!$P$2:$P$180,L7)</f>
        <v>0</v>
      </c>
      <c r="N7" s="6">
        <f>M7/Sheet1!$T$9*Sheet1!$T$10</f>
        <v>0</v>
      </c>
      <c r="O7" s="468">
        <f>M7/Sheet1!$T$9*Sheet1!$T$11</f>
        <v>0</v>
      </c>
      <c r="P7" s="547">
        <f t="shared" si="1"/>
        <v>0</v>
      </c>
      <c r="Q7" s="728"/>
    </row>
    <row r="8" spans="1:17" ht="12.75" customHeight="1">
      <c r="A8" s="726"/>
      <c r="B8" s="734" t="s">
        <v>307</v>
      </c>
      <c r="C8" s="546" t="s">
        <v>704</v>
      </c>
      <c r="D8" s="6">
        <f>SUMIFS(Sheet1!$C$2:$C$180,Sheet1!$F$2:$F$180,B8,Sheet1!$E$2:$E$180,C8)</f>
        <v>169</v>
      </c>
      <c r="E8" s="6">
        <f>D8/Sheet1!$I$9*Sheet1!$I$10</f>
        <v>5.3409584162023709</v>
      </c>
      <c r="F8" s="468">
        <f>D8/Sheet1!$I$9*Sheet1!$I$11</f>
        <v>3.8298510357897613E-3</v>
      </c>
      <c r="G8" s="548">
        <f t="shared" si="0"/>
        <v>3.8298510357897613E-3</v>
      </c>
      <c r="H8" s="728"/>
      <c r="J8" s="726"/>
      <c r="K8" s="734" t="s">
        <v>307</v>
      </c>
      <c r="L8" s="546" t="s">
        <v>704</v>
      </c>
      <c r="M8" s="6">
        <f>SUMIFS(Sheet1!$N$2:$N$180,Sheet1!$Q$2:$Q$180,K8,Sheet1!$P$2:$P$180,L8)</f>
        <v>169</v>
      </c>
      <c r="N8" s="6">
        <f>M8/Sheet1!$T$9*Sheet1!$T$10</f>
        <v>4.9207002332065795</v>
      </c>
      <c r="O8" s="468">
        <f>M8/Sheet1!$T$9*Sheet1!$T$11</f>
        <v>3.8752218923458325E-3</v>
      </c>
      <c r="P8" s="548">
        <f t="shared" si="1"/>
        <v>3.8752218923458325E-3</v>
      </c>
      <c r="Q8" s="728"/>
    </row>
    <row r="9" spans="1:17" ht="12.75" customHeight="1">
      <c r="A9" s="726"/>
      <c r="B9" s="735"/>
      <c r="C9" s="546"/>
      <c r="D9" s="6">
        <f>SUMIFS(Sheet1!$C$2:$C$180,Sheet1!$F$2:$F$180,B8,Sheet1!$E$2:$E$180,C9)</f>
        <v>0</v>
      </c>
      <c r="E9" s="6">
        <f>D9/Sheet1!$I$9*Sheet1!$I$10</f>
        <v>0</v>
      </c>
      <c r="F9" s="468">
        <f>D9/Sheet1!$I$9*Sheet1!$I$11</f>
        <v>0</v>
      </c>
      <c r="G9" s="548">
        <f t="shared" si="0"/>
        <v>0</v>
      </c>
      <c r="H9" s="728"/>
      <c r="J9" s="726"/>
      <c r="K9" s="735"/>
      <c r="L9" s="546"/>
      <c r="M9" s="6">
        <f>SUMIFS(Sheet1!$N$2:$N$180,Sheet1!$Q$2:$Q$180,K8,Sheet1!$P$2:$P$180,L9)</f>
        <v>0</v>
      </c>
      <c r="N9" s="6">
        <f>M9/Sheet1!$T$9*Sheet1!$T$10</f>
        <v>0</v>
      </c>
      <c r="O9" s="468">
        <f>M9/Sheet1!$T$9*Sheet1!$T$11</f>
        <v>0</v>
      </c>
      <c r="P9" s="548">
        <f t="shared" si="1"/>
        <v>0</v>
      </c>
      <c r="Q9" s="728"/>
    </row>
    <row r="10" spans="1:17" ht="15" customHeight="1">
      <c r="A10" s="726"/>
      <c r="B10" s="734" t="s">
        <v>374</v>
      </c>
      <c r="C10" s="546"/>
      <c r="D10" s="6">
        <f>SUMIFS(Sheet1!$C$2:$C$180,Sheet1!$F$2:$F$180,B10,Sheet1!$E$2:$E$180,C10)</f>
        <v>0</v>
      </c>
      <c r="E10" s="6">
        <f>D10/Sheet1!$I$9*Sheet1!$I$10</f>
        <v>0</v>
      </c>
      <c r="F10" s="468">
        <f>D10/Sheet1!$I$9*Sheet1!$I$11</f>
        <v>0</v>
      </c>
      <c r="G10" s="548">
        <f t="shared" si="0"/>
        <v>0</v>
      </c>
      <c r="H10" s="728"/>
      <c r="J10" s="726"/>
      <c r="K10" s="734" t="s">
        <v>374</v>
      </c>
      <c r="L10" s="546"/>
      <c r="M10" s="6">
        <f>SUMIFS(Sheet1!$N$2:$N$180,Sheet1!$Q$2:$Q$180,K10,Sheet1!$P$2:$P$180,L10)</f>
        <v>0</v>
      </c>
      <c r="N10" s="6">
        <f>M10/Sheet1!$T$9*Sheet1!$T$10</f>
        <v>0</v>
      </c>
      <c r="O10" s="468">
        <f>M10/Sheet1!$T$9*Sheet1!$T$11</f>
        <v>0</v>
      </c>
      <c r="P10" s="548">
        <f t="shared" si="1"/>
        <v>0</v>
      </c>
      <c r="Q10" s="728"/>
    </row>
    <row r="11" spans="1:17" ht="15" customHeight="1">
      <c r="A11" s="726"/>
      <c r="B11" s="735"/>
      <c r="C11" s="546"/>
      <c r="D11" s="6">
        <f>SUMIFS(Sheet1!$C$2:$C$180,Sheet1!$F$2:$F$180,B10,Sheet1!$E$2:$E$180,C11)</f>
        <v>0</v>
      </c>
      <c r="E11" s="6">
        <f>D11/Sheet1!$I$9*Sheet1!$I$10</f>
        <v>0</v>
      </c>
      <c r="F11" s="468">
        <f>D11/Sheet1!$I$9*Sheet1!$I$11</f>
        <v>0</v>
      </c>
      <c r="G11" s="548">
        <f t="shared" si="0"/>
        <v>0</v>
      </c>
      <c r="H11" s="728"/>
      <c r="J11" s="726"/>
      <c r="K11" s="735"/>
      <c r="L11" s="546"/>
      <c r="M11" s="6">
        <f>SUMIFS(Sheet1!$N$2:$N$180,Sheet1!$Q$2:$Q$180,K10,Sheet1!$P$2:$P$180,L11)</f>
        <v>0</v>
      </c>
      <c r="N11" s="6">
        <f>M11/Sheet1!$T$9*Sheet1!$T$10</f>
        <v>0</v>
      </c>
      <c r="O11" s="468">
        <f>M11/Sheet1!$T$9*Sheet1!$T$11</f>
        <v>0</v>
      </c>
      <c r="P11" s="548">
        <f t="shared" si="1"/>
        <v>0</v>
      </c>
      <c r="Q11" s="728"/>
    </row>
    <row r="12" spans="1:17" ht="15" customHeight="1">
      <c r="A12" s="726"/>
      <c r="B12" s="577" t="s">
        <v>238</v>
      </c>
      <c r="C12" s="546"/>
      <c r="D12" s="6">
        <f>SUMIFS(Sheet1!$C$2:$C$180,Sheet1!$F$2:$F$180,B12,Sheet1!$E$2:$E$180,C12)</f>
        <v>0</v>
      </c>
      <c r="E12" s="6">
        <f>D12/Sheet1!$I$9*Sheet1!$I$10</f>
        <v>0</v>
      </c>
      <c r="F12" s="468">
        <f>D12/Sheet1!$I$9*Sheet1!$I$11</f>
        <v>0</v>
      </c>
      <c r="G12" s="548">
        <f t="shared" ref="G12" si="2">F12</f>
        <v>0</v>
      </c>
      <c r="H12" s="729"/>
      <c r="J12" s="736"/>
      <c r="K12" s="579" t="s">
        <v>238</v>
      </c>
      <c r="L12" s="546"/>
      <c r="M12" s="6">
        <f>SUMIFS(Sheet1!$N$2:$N$180,Sheet1!$Q$2:$Q$180,K12,Sheet1!$P$2:$P$180,L12)</f>
        <v>0</v>
      </c>
      <c r="N12" s="6">
        <f>M12/Sheet1!$T$9*Sheet1!$T$10</f>
        <v>0</v>
      </c>
      <c r="O12" s="468">
        <f>M12/Sheet1!$T$9*Sheet1!$T$11</f>
        <v>0</v>
      </c>
      <c r="P12" s="548">
        <f t="shared" ref="P12" si="3">O12</f>
        <v>0</v>
      </c>
      <c r="Q12" s="729"/>
    </row>
    <row r="13" spans="1:17" ht="15">
      <c r="A13" s="746" t="s">
        <v>9</v>
      </c>
      <c r="B13" s="543" t="s">
        <v>148</v>
      </c>
      <c r="C13" s="546" t="s">
        <v>148</v>
      </c>
      <c r="D13" s="6"/>
      <c r="E13" s="6">
        <f>+Sheet1!I2</f>
        <v>6.1500151096033404</v>
      </c>
      <c r="F13" s="468">
        <f>E13/Sheet1!$I$8</f>
        <v>4.4100028313616034E-3</v>
      </c>
      <c r="G13" s="547">
        <f t="shared" si="0"/>
        <v>4.4100028313616034E-3</v>
      </c>
      <c r="H13" s="737">
        <f>SUM(G13:G14)</f>
        <v>2.8830831273146243E-2</v>
      </c>
      <c r="J13" s="746" t="s">
        <v>9</v>
      </c>
      <c r="K13" s="579" t="s">
        <v>148</v>
      </c>
      <c r="L13" s="546" t="s">
        <v>148</v>
      </c>
      <c r="M13" s="6"/>
      <c r="N13" s="6">
        <f>+Sheet1!T2</f>
        <v>6.1500151096033404</v>
      </c>
      <c r="O13" s="468">
        <f>+Sheet1!U2</f>
        <v>4.8433499423845084E-3</v>
      </c>
      <c r="P13" s="547">
        <f t="shared" si="1"/>
        <v>4.8433499423845084E-3</v>
      </c>
      <c r="Q13" s="737">
        <f>SUM(P13:P14)</f>
        <v>3.1626823133644351E-2</v>
      </c>
    </row>
    <row r="14" spans="1:17" ht="15">
      <c r="A14" s="746"/>
      <c r="B14" s="543" t="s">
        <v>239</v>
      </c>
      <c r="C14" s="546" t="s">
        <v>240</v>
      </c>
      <c r="D14" s="6"/>
      <c r="E14" s="6">
        <f>+Sheet1!I3</f>
        <v>34.056319156519756</v>
      </c>
      <c r="F14" s="468">
        <f>E14/Sheet1!$I$8</f>
        <v>2.4420828441784639E-2</v>
      </c>
      <c r="G14" s="547">
        <f t="shared" si="0"/>
        <v>2.4420828441784639E-2</v>
      </c>
      <c r="H14" s="738"/>
      <c r="J14" s="746"/>
      <c r="K14" s="579" t="s">
        <v>239</v>
      </c>
      <c r="L14" s="546" t="s">
        <v>240</v>
      </c>
      <c r="M14" s="6"/>
      <c r="N14" s="6">
        <f>+Sheet1!T3</f>
        <v>34.009263582719491</v>
      </c>
      <c r="O14" s="468">
        <f>+Sheet1!U3</f>
        <v>2.678347319125984E-2</v>
      </c>
      <c r="P14" s="547">
        <f t="shared" si="1"/>
        <v>2.678347319125984E-2</v>
      </c>
      <c r="Q14" s="738"/>
    </row>
    <row r="15" spans="1:17" ht="15">
      <c r="A15" s="725" t="s">
        <v>11</v>
      </c>
      <c r="B15" s="543" t="s">
        <v>241</v>
      </c>
      <c r="C15" s="546" t="s">
        <v>241</v>
      </c>
      <c r="D15" s="6"/>
      <c r="E15" s="6">
        <f>+Sheet1!I4</f>
        <v>-9.6025974987222433</v>
      </c>
      <c r="F15" s="468">
        <f>E15/Sheet1!$I$8</f>
        <v>-6.8857525393172959E-3</v>
      </c>
      <c r="G15" s="547">
        <f t="shared" si="0"/>
        <v>-6.8857525393172959E-3</v>
      </c>
      <c r="H15" s="739">
        <f>SUM(G15:G24)</f>
        <v>0.12155216576830156</v>
      </c>
      <c r="J15" s="725" t="s">
        <v>11</v>
      </c>
      <c r="K15" s="579" t="s">
        <v>241</v>
      </c>
      <c r="L15" s="546" t="s">
        <v>241</v>
      </c>
      <c r="M15" s="6"/>
      <c r="N15" s="6">
        <f>+Sheet1!T4</f>
        <v>-0.38910636738279075</v>
      </c>
      <c r="O15" s="468">
        <f>+Sheet1!U4</f>
        <v>-3.0643474340446544E-4</v>
      </c>
      <c r="P15" s="547">
        <f t="shared" si="1"/>
        <v>-3.0643474340446544E-4</v>
      </c>
      <c r="Q15" s="739">
        <f>SUM(P15:P24)</f>
        <v>5.3286423327580268E-2</v>
      </c>
    </row>
    <row r="16" spans="1:17" ht="15">
      <c r="A16" s="726"/>
      <c r="B16" s="543" t="s">
        <v>242</v>
      </c>
      <c r="C16" s="546" t="s">
        <v>242</v>
      </c>
      <c r="D16" s="6"/>
      <c r="E16" s="6">
        <f>+Sheet1!I5</f>
        <v>116.25545669174227</v>
      </c>
      <c r="F16" s="468">
        <f>E16/Sheet1!$I$8</f>
        <v>8.3363517655631672E-2</v>
      </c>
      <c r="G16" s="547">
        <f>F16</f>
        <v>8.3363517655631672E-2</v>
      </c>
      <c r="H16" s="739"/>
      <c r="J16" s="726"/>
      <c r="K16" s="579" t="s">
        <v>242</v>
      </c>
      <c r="L16" s="546" t="s">
        <v>242</v>
      </c>
      <c r="M16" s="6"/>
      <c r="N16" s="6">
        <f>+Sheet1!T5</f>
        <v>10.138572858676724</v>
      </c>
      <c r="O16" s="468">
        <f>+Sheet1!U5</f>
        <v>7.9844773379914788E-3</v>
      </c>
      <c r="P16" s="547">
        <f>O16</f>
        <v>7.9844773379914788E-3</v>
      </c>
      <c r="Q16" s="739"/>
    </row>
    <row r="17" spans="1:17" ht="12.75" customHeight="1">
      <c r="A17" s="726"/>
      <c r="B17" s="740" t="s">
        <v>243</v>
      </c>
      <c r="C17" s="546"/>
      <c r="D17" s="6">
        <f>SUMIFS(Sheet1!$C$2:$C$180,Sheet1!$F$2:$F$180,B17,Sheet1!$E$2:$E$180,C17)</f>
        <v>0</v>
      </c>
      <c r="E17" s="6">
        <f>D17/Sheet1!$I$9*Sheet1!$I$10</f>
        <v>0</v>
      </c>
      <c r="F17" s="468">
        <f>D17/Sheet1!$I$9*Sheet1!$I$11</f>
        <v>0</v>
      </c>
      <c r="G17" s="741">
        <f>SUM(F17:F18)</f>
        <v>0</v>
      </c>
      <c r="H17" s="739"/>
      <c r="J17" s="726"/>
      <c r="K17" s="740" t="s">
        <v>243</v>
      </c>
      <c r="L17" s="546"/>
      <c r="M17" s="6">
        <f>SUMIFS(Sheet1!$N$2:$N$180,Sheet1!$Q$2:$Q$180,K17,Sheet1!$P$2:$P$180,L17)</f>
        <v>0</v>
      </c>
      <c r="N17" s="6">
        <f>M17/Sheet1!$T$9*Sheet1!$T$10</f>
        <v>0</v>
      </c>
      <c r="O17" s="468">
        <f>M17/Sheet1!$T$9*Sheet1!$T$11</f>
        <v>0</v>
      </c>
      <c r="P17" s="741">
        <f>SUM(O17:O18)</f>
        <v>0</v>
      </c>
      <c r="Q17" s="739"/>
    </row>
    <row r="18" spans="1:17" ht="12.75" customHeight="1">
      <c r="A18" s="726"/>
      <c r="B18" s="740"/>
      <c r="C18" s="546"/>
      <c r="D18" s="6">
        <f>SUMIFS(Sheet1!$C$2:$C$180,Sheet1!$F$2:$F$180,B17,Sheet1!$E$2:$E$180,C18)</f>
        <v>0</v>
      </c>
      <c r="E18" s="6">
        <f>D18/Sheet1!$I$9*Sheet1!$I$10</f>
        <v>0</v>
      </c>
      <c r="F18" s="468">
        <f>D18/Sheet1!$I$9*Sheet1!$I$11</f>
        <v>0</v>
      </c>
      <c r="G18" s="741"/>
      <c r="H18" s="739"/>
      <c r="J18" s="726"/>
      <c r="K18" s="740"/>
      <c r="L18" s="546"/>
      <c r="M18" s="6">
        <f>SUMIFS(Sheet1!$N$2:$N$180,Sheet1!$Q$2:$Q$180,K17,Sheet1!$P$2:$P$180,L18)</f>
        <v>0</v>
      </c>
      <c r="N18" s="6">
        <f>M18/Sheet1!$T$9*Sheet1!$T$10</f>
        <v>0</v>
      </c>
      <c r="O18" s="468">
        <f>M18/Sheet1!$T$9*Sheet1!$T$11</f>
        <v>0</v>
      </c>
      <c r="P18" s="741"/>
      <c r="Q18" s="739"/>
    </row>
    <row r="19" spans="1:17" ht="15">
      <c r="A19" s="726"/>
      <c r="B19" s="543" t="s">
        <v>244</v>
      </c>
      <c r="C19" s="546" t="s">
        <v>221</v>
      </c>
      <c r="D19" s="6">
        <f>SUMIFS(Sheet1!$C$2:$C$180,Sheet1!$F$2:$F$180,B19,Sheet1!$E$2:$E$180,C19)</f>
        <v>0</v>
      </c>
      <c r="E19" s="6">
        <f>D19/Sheet1!$I$9*Sheet1!$I$10</f>
        <v>0</v>
      </c>
      <c r="F19" s="468">
        <f>D19/Sheet1!$I$9*Sheet1!$I$11</f>
        <v>0</v>
      </c>
      <c r="G19" s="547">
        <f>F19</f>
        <v>0</v>
      </c>
      <c r="H19" s="739"/>
      <c r="J19" s="726"/>
      <c r="K19" s="579" t="s">
        <v>244</v>
      </c>
      <c r="L19" s="546" t="s">
        <v>221</v>
      </c>
      <c r="M19" s="6">
        <f>SUMIFS(Sheet1!$N$2:$N$180,Sheet1!$Q$2:$Q$180,K19,Sheet1!$P$2:$P$180,L19)</f>
        <v>0</v>
      </c>
      <c r="N19" s="6">
        <f>M19/Sheet1!$T$9*Sheet1!$T$10</f>
        <v>0</v>
      </c>
      <c r="O19" s="468">
        <f>M19/Sheet1!$T$9*Sheet1!$T$11</f>
        <v>0</v>
      </c>
      <c r="P19" s="547">
        <f>O19</f>
        <v>0</v>
      </c>
      <c r="Q19" s="739"/>
    </row>
    <row r="20" spans="1:17" ht="12.75" customHeight="1">
      <c r="A20" s="726"/>
      <c r="B20" s="734" t="s">
        <v>245</v>
      </c>
      <c r="C20" s="546" t="s">
        <v>246</v>
      </c>
      <c r="D20" s="6">
        <f>SUMIFS(Sheet1!$C$2:$C$180,Sheet1!$F$2:$F$180,B20,Sheet1!$E$2:$E$180,C20)</f>
        <v>130</v>
      </c>
      <c r="E20" s="6">
        <f>D20/Sheet1!$I$9*Sheet1!$I$10</f>
        <v>4.1084295509248996</v>
      </c>
      <c r="F20" s="468">
        <f>D20/Sheet1!$I$9*Sheet1!$I$11</f>
        <v>2.9460392582998161E-3</v>
      </c>
      <c r="G20" s="743">
        <f>SUM(F20:F24)</f>
        <v>4.5074400651987187E-2</v>
      </c>
      <c r="H20" s="739"/>
      <c r="J20" s="726"/>
      <c r="K20" s="734" t="s">
        <v>245</v>
      </c>
      <c r="L20" s="546" t="s">
        <v>246</v>
      </c>
      <c r="M20" s="6">
        <f>SUMIFS(Sheet1!$N$2:$N$180,Sheet1!$Q$2:$Q$180,$K$20,Sheet1!$P$2:$P$180,L20)</f>
        <v>130</v>
      </c>
      <c r="N20" s="6">
        <f>M20/Sheet1!$T$9*Sheet1!$T$10</f>
        <v>3.7851540255435219</v>
      </c>
      <c r="O20" s="468">
        <f>M20/Sheet1!$T$9*Sheet1!$T$11</f>
        <v>2.9809399171891017E-3</v>
      </c>
      <c r="P20" s="743">
        <f>SUM(O20:O24)</f>
        <v>4.5608380732993253E-2</v>
      </c>
      <c r="Q20" s="739"/>
    </row>
    <row r="21" spans="1:17" ht="12.75" customHeight="1">
      <c r="A21" s="726"/>
      <c r="B21" s="742"/>
      <c r="C21" s="546" t="s">
        <v>247</v>
      </c>
      <c r="D21" s="6">
        <f>SUMIFS(Sheet1!$C$2:$C$180,Sheet1!$F$2:$F$180,B20,Sheet1!$E$2:$E$180,C21)</f>
        <v>1331</v>
      </c>
      <c r="E21" s="6">
        <f>D21/Sheet1!$I$9*Sheet1!$I$10</f>
        <v>42.063997940623402</v>
      </c>
      <c r="F21" s="468">
        <f>D21/Sheet1!$I$9*Sheet1!$I$11</f>
        <v>3.0162909636900426E-2</v>
      </c>
      <c r="G21" s="744"/>
      <c r="H21" s="739"/>
      <c r="J21" s="726"/>
      <c r="K21" s="742"/>
      <c r="L21" s="546" t="s">
        <v>247</v>
      </c>
      <c r="M21" s="6">
        <f>SUMIFS(Sheet1!$N$2:$N$180,Sheet1!$Q$2:$Q$180,$K$20,Sheet1!$P$2:$P$180,L21)</f>
        <v>1331</v>
      </c>
      <c r="N21" s="6">
        <f>M21/Sheet1!$T$9*Sheet1!$T$10</f>
        <v>38.754153907680212</v>
      </c>
      <c r="O21" s="468">
        <f>M21/Sheet1!$T$9*Sheet1!$T$11</f>
        <v>3.0520238690605342E-2</v>
      </c>
      <c r="P21" s="744"/>
      <c r="Q21" s="739"/>
    </row>
    <row r="22" spans="1:17" ht="12.75" customHeight="1">
      <c r="A22" s="726"/>
      <c r="B22" s="742"/>
      <c r="C22" s="546" t="s">
        <v>248</v>
      </c>
      <c r="D22" s="6">
        <f>SUMIFS(Sheet1!$C$2:$C$180,Sheet1!$F$2:$F$180,B20,Sheet1!$E$2:$E$180,C22)</f>
        <v>520</v>
      </c>
      <c r="E22" s="6">
        <f>D22/Sheet1!$I$9*Sheet1!$I$10</f>
        <v>16.433718203699598</v>
      </c>
      <c r="F22" s="468">
        <f>D22/Sheet1!$I$9*Sheet1!$I$11</f>
        <v>1.1784157033199264E-2</v>
      </c>
      <c r="G22" s="744"/>
      <c r="H22" s="739"/>
      <c r="J22" s="726"/>
      <c r="K22" s="742"/>
      <c r="L22" s="546" t="s">
        <v>248</v>
      </c>
      <c r="M22" s="6">
        <f>SUMIFS(Sheet1!$N$2:$N$180,Sheet1!$Q$2:$Q$180,$K$20,Sheet1!$P$2:$P$180,L22)</f>
        <v>520</v>
      </c>
      <c r="N22" s="6">
        <f>M22/Sheet1!$T$9*Sheet1!$T$10</f>
        <v>15.140616102174087</v>
      </c>
      <c r="O22" s="468">
        <f>M22/Sheet1!$T$9*Sheet1!$T$11</f>
        <v>1.1923759668756407E-2</v>
      </c>
      <c r="P22" s="744"/>
      <c r="Q22" s="739"/>
    </row>
    <row r="23" spans="1:17" ht="12.75" customHeight="1">
      <c r="A23" s="726"/>
      <c r="B23" s="742"/>
      <c r="C23" s="546" t="s">
        <v>12</v>
      </c>
      <c r="D23" s="6">
        <f>SUMIFS(Sheet1!$C$2:$C$180,Sheet1!$F$2:$F$180,B20,Sheet1!$E$2:$E$180,C23)</f>
        <v>8</v>
      </c>
      <c r="E23" s="6">
        <f>D23/Sheet1!$I$9*Sheet1!$I$10</f>
        <v>0.2528264339030708</v>
      </c>
      <c r="F23" s="468">
        <f>D23/Sheet1!$I$9*Sheet1!$I$11</f>
        <v>1.8129472358768101E-4</v>
      </c>
      <c r="G23" s="744"/>
      <c r="H23" s="739"/>
      <c r="J23" s="726"/>
      <c r="K23" s="742"/>
      <c r="L23" s="546" t="s">
        <v>12</v>
      </c>
      <c r="M23" s="6">
        <f>SUMIFS(Sheet1!$N$2:$N$180,Sheet1!$Q$2:$Q$180,$K$20,Sheet1!$P$2:$P$180,L23)</f>
        <v>8</v>
      </c>
      <c r="N23" s="6">
        <f>M23/Sheet1!$T$9*Sheet1!$T$10</f>
        <v>0.2329325554180629</v>
      </c>
      <c r="O23" s="468">
        <f>M23/Sheet1!$T$9*Sheet1!$T$11</f>
        <v>1.8344245644240627E-4</v>
      </c>
      <c r="P23" s="744"/>
      <c r="Q23" s="739"/>
    </row>
    <row r="24" spans="1:17" ht="12.75" customHeight="1">
      <c r="A24" s="726"/>
      <c r="B24" s="735"/>
      <c r="C24" s="546"/>
      <c r="D24" s="6">
        <f>SUMIFS(Sheet1!$C$2:$C$180,Sheet1!$F$2:$F$180,B20,Sheet1!$E$2:$E$180,C24)</f>
        <v>0</v>
      </c>
      <c r="E24" s="6">
        <f>D24/Sheet1!$I$9*Sheet1!$I$10</f>
        <v>0</v>
      </c>
      <c r="F24" s="468">
        <f>D24/Sheet1!$I$9*Sheet1!$I$11</f>
        <v>0</v>
      </c>
      <c r="G24" s="745"/>
      <c r="H24" s="739"/>
      <c r="J24" s="726"/>
      <c r="K24" s="735"/>
      <c r="L24" s="546"/>
      <c r="M24" s="6">
        <f>SUMIFS(Sheet1!$N$2:$N$180,Sheet1!$Q$2:$Q$180,$K$20,Sheet1!$P$2:$P$180,L24)</f>
        <v>0</v>
      </c>
      <c r="N24" s="6">
        <f>M24/Sheet1!$T$9*Sheet1!$T$10</f>
        <v>0</v>
      </c>
      <c r="O24" s="468">
        <f>M24/Sheet1!$T$9*Sheet1!$T$11</f>
        <v>0</v>
      </c>
      <c r="P24" s="745"/>
      <c r="Q24" s="739"/>
    </row>
    <row r="25" spans="1:17" ht="12.75" customHeight="1">
      <c r="A25" s="746" t="s">
        <v>249</v>
      </c>
      <c r="B25" s="740" t="s">
        <v>250</v>
      </c>
      <c r="C25" s="549" t="s">
        <v>728</v>
      </c>
      <c r="D25" s="6">
        <f>SUMIFS(Sheet1!$C$2:$C$180,Sheet1!$F$2:$F$180,B25,Sheet1!$E$2:$E$180,C25)</f>
        <v>137</v>
      </c>
      <c r="E25" s="6">
        <f>D25/Sheet1!$I$9*Sheet1!$I$10</f>
        <v>4.3296526805900877</v>
      </c>
      <c r="F25" s="468">
        <f>D25/Sheet1!$I$9*Sheet1!$I$11</f>
        <v>3.1046721414390373E-3</v>
      </c>
      <c r="G25" s="741">
        <f>SUM(F25:F31)</f>
        <v>3.1046721414390373E-3</v>
      </c>
      <c r="H25" s="739">
        <f>SUM(G25:G38)</f>
        <v>5.0762522604550688E-3</v>
      </c>
      <c r="J25" s="746" t="s">
        <v>249</v>
      </c>
      <c r="K25" s="740" t="s">
        <v>250</v>
      </c>
      <c r="L25" s="549" t="s">
        <v>728</v>
      </c>
      <c r="M25" s="6">
        <f>SUMIFS(Sheet1!$N$2:$N$180,Sheet1!$Q$2:$Q$180,$K$25,Sheet1!$P$2:$P$180,L25)</f>
        <v>137</v>
      </c>
      <c r="N25" s="6">
        <f>M25/Sheet1!$T$9*Sheet1!$T$10</f>
        <v>3.988970011534327</v>
      </c>
      <c r="O25" s="468">
        <f>M25/Sheet1!$T$9*Sheet1!$T$11</f>
        <v>3.1414520665762071E-3</v>
      </c>
      <c r="P25" s="741">
        <f>SUM(O25:O31)</f>
        <v>3.1414520665762071E-3</v>
      </c>
      <c r="Q25" s="739">
        <f>SUM(P25:P38)</f>
        <v>5.1363887803873749E-3</v>
      </c>
    </row>
    <row r="26" spans="1:17" ht="12.75" customHeight="1">
      <c r="A26" s="746"/>
      <c r="B26" s="740"/>
      <c r="C26" s="549"/>
      <c r="D26" s="6">
        <f>SUMIFS(Sheet1!$C$2:$C$180,Sheet1!$F$2:$F$180,B25,Sheet1!$E$2:$E$180,C26)</f>
        <v>0</v>
      </c>
      <c r="E26" s="6">
        <f>D26/Sheet1!$I$9*Sheet1!$I$10</f>
        <v>0</v>
      </c>
      <c r="F26" s="468">
        <f>D26/Sheet1!$I$9*Sheet1!$I$11</f>
        <v>0</v>
      </c>
      <c r="G26" s="741"/>
      <c r="H26" s="739"/>
      <c r="J26" s="746"/>
      <c r="K26" s="740"/>
      <c r="L26" s="549"/>
      <c r="M26" s="6">
        <f>SUMIFS(Sheet1!$N$2:$N$180,Sheet1!$Q$2:$Q$180,$K$25,Sheet1!$P$2:$P$180,L26)</f>
        <v>0</v>
      </c>
      <c r="N26" s="6">
        <f>M26/Sheet1!$T$9*Sheet1!$T$10</f>
        <v>0</v>
      </c>
      <c r="O26" s="468">
        <f>M26/Sheet1!$T$9*Sheet1!$T$11</f>
        <v>0</v>
      </c>
      <c r="P26" s="741"/>
      <c r="Q26" s="739"/>
    </row>
    <row r="27" spans="1:17" ht="12.75" customHeight="1">
      <c r="A27" s="746"/>
      <c r="B27" s="740"/>
      <c r="C27" s="528"/>
      <c r="D27" s="6">
        <f>SUMIFS(Sheet1!$C$2:$C$180,Sheet1!$F$2:$F$180,B25,Sheet1!$E$2:$E$180,C27)</f>
        <v>0</v>
      </c>
      <c r="E27" s="6">
        <f>D27/Sheet1!$I$9*Sheet1!$I$10</f>
        <v>0</v>
      </c>
      <c r="F27" s="468">
        <f>D27/Sheet1!$I$9*Sheet1!$I$11</f>
        <v>0</v>
      </c>
      <c r="G27" s="741"/>
      <c r="H27" s="739"/>
      <c r="J27" s="746"/>
      <c r="K27" s="740"/>
      <c r="L27" s="528"/>
      <c r="M27" s="6">
        <f>SUMIFS(Sheet1!$N$2:$N$180,Sheet1!$Q$2:$Q$180,$K$25,Sheet1!$P$2:$P$180,L27)</f>
        <v>0</v>
      </c>
      <c r="N27" s="6">
        <f>M27/Sheet1!$T$9*Sheet1!$T$10</f>
        <v>0</v>
      </c>
      <c r="O27" s="468">
        <f>M27/Sheet1!$T$9*Sheet1!$T$11</f>
        <v>0</v>
      </c>
      <c r="P27" s="741"/>
      <c r="Q27" s="739"/>
    </row>
    <row r="28" spans="1:17" ht="12.75" customHeight="1">
      <c r="A28" s="746"/>
      <c r="B28" s="740"/>
      <c r="D28" s="6">
        <f>SUMIFS(Sheet1!$C$2:$C$180,Sheet1!$F$2:$F$180,B25,Sheet1!$E$2:$E$180,C28)</f>
        <v>0</v>
      </c>
      <c r="E28" s="6">
        <f>D28/Sheet1!$I$9*Sheet1!$I$10</f>
        <v>0</v>
      </c>
      <c r="F28" s="468">
        <f>D28/Sheet1!$I$9*Sheet1!$I$11</f>
        <v>0</v>
      </c>
      <c r="G28" s="741"/>
      <c r="H28" s="739"/>
      <c r="J28" s="746"/>
      <c r="K28" s="740"/>
      <c r="M28" s="6">
        <f>SUMIFS(Sheet1!$N$2:$N$180,Sheet1!$Q$2:$Q$180,$K$25,Sheet1!$P$2:$P$180,L28)</f>
        <v>0</v>
      </c>
      <c r="N28" s="6">
        <f>M28/Sheet1!$T$9*Sheet1!$T$10</f>
        <v>0</v>
      </c>
      <c r="O28" s="468">
        <f>M28/Sheet1!$T$9*Sheet1!$T$11</f>
        <v>0</v>
      </c>
      <c r="P28" s="741"/>
      <c r="Q28" s="739"/>
    </row>
    <row r="29" spans="1:17" ht="12.75" customHeight="1">
      <c r="A29" s="746"/>
      <c r="B29" s="740"/>
      <c r="C29" s="546"/>
      <c r="D29" s="6">
        <f>SUMIFS(Sheet1!$C$2:$C$180,Sheet1!$F$2:$F$180,B25,Sheet1!$E$2:$E$180,C29)</f>
        <v>0</v>
      </c>
      <c r="E29" s="6">
        <f>D29/Sheet1!$I$9*Sheet1!$I$10</f>
        <v>0</v>
      </c>
      <c r="F29" s="468">
        <f>D29/Sheet1!$I$9*Sheet1!$I$11</f>
        <v>0</v>
      </c>
      <c r="G29" s="741"/>
      <c r="H29" s="739"/>
      <c r="J29" s="746"/>
      <c r="K29" s="740"/>
      <c r="L29" s="546"/>
      <c r="M29" s="6">
        <f>SUMIFS(Sheet1!$N$2:$N$180,Sheet1!$Q$2:$Q$180,$K$25,Sheet1!$P$2:$P$180,L29)</f>
        <v>0</v>
      </c>
      <c r="N29" s="6">
        <f>M29/Sheet1!$T$9*Sheet1!$T$10</f>
        <v>0</v>
      </c>
      <c r="O29" s="468">
        <f>M29/Sheet1!$T$9*Sheet1!$T$11</f>
        <v>0</v>
      </c>
      <c r="P29" s="741"/>
      <c r="Q29" s="739"/>
    </row>
    <row r="30" spans="1:17" ht="12.75" customHeight="1">
      <c r="A30" s="746"/>
      <c r="B30" s="740"/>
      <c r="C30" s="546"/>
      <c r="D30" s="6">
        <f>SUMIFS(Sheet1!$C$2:$C$180,Sheet1!$F$2:$F$180,B25,Sheet1!$E$2:$E$180,C30)</f>
        <v>0</v>
      </c>
      <c r="E30" s="6">
        <f>D30/Sheet1!$I$9*Sheet1!$I$10</f>
        <v>0</v>
      </c>
      <c r="F30" s="468">
        <f>D30/Sheet1!$I$9*Sheet1!$I$11</f>
        <v>0</v>
      </c>
      <c r="G30" s="741"/>
      <c r="H30" s="739"/>
      <c r="J30" s="746"/>
      <c r="K30" s="740"/>
      <c r="L30" s="546"/>
      <c r="M30" s="6">
        <f>SUMIFS(Sheet1!$N$2:$N$180,Sheet1!$Q$2:$Q$180,$K$25,Sheet1!$P$2:$P$180,L30)</f>
        <v>0</v>
      </c>
      <c r="N30" s="6">
        <f>M30/Sheet1!$T$9*Sheet1!$T$10</f>
        <v>0</v>
      </c>
      <c r="O30" s="468">
        <f>M30/Sheet1!$T$9*Sheet1!$T$11</f>
        <v>0</v>
      </c>
      <c r="P30" s="741"/>
      <c r="Q30" s="739"/>
    </row>
    <row r="31" spans="1:17" ht="12.75" customHeight="1">
      <c r="A31" s="746"/>
      <c r="B31" s="740"/>
      <c r="C31" s="546"/>
      <c r="D31" s="6">
        <f>SUMIFS(Sheet1!$C$2:$C$180,Sheet1!$F$2:$F$180,B25,Sheet1!$E$2:$E$180,C31)</f>
        <v>0</v>
      </c>
      <c r="E31" s="6">
        <f>D31/Sheet1!$I$9*Sheet1!$I$10</f>
        <v>0</v>
      </c>
      <c r="F31" s="468">
        <f>D31/Sheet1!$I$9*Sheet1!$I$11</f>
        <v>0</v>
      </c>
      <c r="G31" s="741"/>
      <c r="H31" s="739"/>
      <c r="J31" s="746"/>
      <c r="K31" s="740"/>
      <c r="L31" s="546"/>
      <c r="M31" s="6">
        <f>SUMIFS(Sheet1!$N$2:$N$180,Sheet1!$Q$2:$Q$180,$K$25,Sheet1!$P$2:$P$180,L31)</f>
        <v>0</v>
      </c>
      <c r="N31" s="6">
        <f>M31/Sheet1!$T$9*Sheet1!$T$10</f>
        <v>0</v>
      </c>
      <c r="O31" s="468">
        <f>M31/Sheet1!$T$9*Sheet1!$T$11</f>
        <v>0</v>
      </c>
      <c r="P31" s="741"/>
      <c r="Q31" s="739"/>
    </row>
    <row r="32" spans="1:17" ht="12.75" customHeight="1">
      <c r="A32" s="746"/>
      <c r="B32" s="734" t="s">
        <v>251</v>
      </c>
      <c r="D32" s="6">
        <f>SUMIFS(Sheet1!$C$2:$C$180,Sheet1!$F$2:$F$180,B32,Sheet1!$E$2:$E$180,C32)</f>
        <v>0</v>
      </c>
      <c r="E32" s="6">
        <f>D32/Sheet1!$I$9*Sheet1!$I$10</f>
        <v>0</v>
      </c>
      <c r="F32" s="468">
        <f>D32/Sheet1!$I$9*Sheet1!$I$11</f>
        <v>0</v>
      </c>
      <c r="G32" s="743">
        <f>SUM(F32:F33)</f>
        <v>0</v>
      </c>
      <c r="H32" s="739"/>
      <c r="J32" s="746"/>
      <c r="K32" s="734" t="s">
        <v>251</v>
      </c>
      <c r="M32" s="6">
        <f>SUMIFS(Sheet1!$N$2:$N$180,Sheet1!$Q$2:$Q$180,$K$32,Sheet1!$P$2:$P$180,L32)</f>
        <v>0</v>
      </c>
      <c r="N32" s="6">
        <f>M32/Sheet1!$T$9*Sheet1!$T$10</f>
        <v>0</v>
      </c>
      <c r="O32" s="468">
        <f>M32/Sheet1!$T$9*Sheet1!$T$11</f>
        <v>0</v>
      </c>
      <c r="P32" s="743">
        <f>SUM(O32:O33)</f>
        <v>0</v>
      </c>
      <c r="Q32" s="739"/>
    </row>
    <row r="33" spans="1:17" ht="12.75" customHeight="1">
      <c r="A33" s="746"/>
      <c r="B33" s="735"/>
      <c r="C33" s="546"/>
      <c r="D33" s="6">
        <f>SUMIFS(Sheet1!$C$2:$C$180,Sheet1!$F$2:$F$180,B32,Sheet1!$E$2:$E$180,C33)</f>
        <v>0</v>
      </c>
      <c r="E33" s="6">
        <f>D33/Sheet1!$I$9*Sheet1!$I$10</f>
        <v>0</v>
      </c>
      <c r="F33" s="468">
        <f>D33/Sheet1!$I$9*Sheet1!$I$11</f>
        <v>0</v>
      </c>
      <c r="G33" s="745"/>
      <c r="H33" s="739"/>
      <c r="J33" s="746"/>
      <c r="K33" s="735"/>
      <c r="L33" s="546"/>
      <c r="M33" s="6">
        <f>SUMIFS(Sheet1!$N$2:$N$180,Sheet1!$Q$2:$Q$180,$K$32,Sheet1!$P$2:$P$180,L33)</f>
        <v>0</v>
      </c>
      <c r="N33" s="6">
        <f>M33/Sheet1!$T$9*Sheet1!$T$10</f>
        <v>0</v>
      </c>
      <c r="O33" s="468">
        <f>M33/Sheet1!$T$9*Sheet1!$T$11</f>
        <v>0</v>
      </c>
      <c r="P33" s="745"/>
      <c r="Q33" s="739"/>
    </row>
    <row r="34" spans="1:17" ht="12.75" customHeight="1">
      <c r="A34" s="746"/>
      <c r="B34" s="740" t="s">
        <v>252</v>
      </c>
      <c r="C34" s="546" t="s">
        <v>620</v>
      </c>
      <c r="D34" s="6">
        <f>SUMIFS(Sheet1!$C$2:$C$180,Sheet1!$F$2:$F$180,B34,Sheet1!$E$2:$E$180,C34)</f>
        <v>87</v>
      </c>
      <c r="E34" s="6">
        <f>D34/Sheet1!$I$9*Sheet1!$I$10</f>
        <v>2.7494874686958948</v>
      </c>
      <c r="F34" s="468">
        <f>D34/Sheet1!$I$9*Sheet1!$I$11</f>
        <v>1.9715801190160311E-3</v>
      </c>
      <c r="G34" s="741">
        <f>SUM(F34:F36)</f>
        <v>1.9715801190160311E-3</v>
      </c>
      <c r="H34" s="739"/>
      <c r="J34" s="746"/>
      <c r="K34" s="740" t="s">
        <v>252</v>
      </c>
      <c r="L34" s="546" t="s">
        <v>620</v>
      </c>
      <c r="M34" s="6">
        <f>SUMIFS(Sheet1!$N$2:$N$180,Sheet1!$Q$2:$Q$180,$K$34,Sheet1!$P$2:$P$180,L34)</f>
        <v>87</v>
      </c>
      <c r="N34" s="6">
        <f>M34/Sheet1!$T$9*Sheet1!$T$10</f>
        <v>2.5331415401714339</v>
      </c>
      <c r="O34" s="468">
        <f>M34/Sheet1!$T$9*Sheet1!$T$11</f>
        <v>1.9949367138111683E-3</v>
      </c>
      <c r="P34" s="741">
        <f>SUM(O34:O36)</f>
        <v>1.9949367138111683E-3</v>
      </c>
      <c r="Q34" s="739"/>
    </row>
    <row r="35" spans="1:17" ht="12.75" customHeight="1">
      <c r="A35" s="746"/>
      <c r="B35" s="740"/>
      <c r="C35" s="546"/>
      <c r="D35" s="6">
        <f>SUMIFS(Sheet1!$C$2:$C$180,Sheet1!$F$2:$F$180,B34,Sheet1!$E$2:$E$180,C35)</f>
        <v>0</v>
      </c>
      <c r="E35" s="6">
        <f>D35/Sheet1!$I$9*Sheet1!$I$10</f>
        <v>0</v>
      </c>
      <c r="F35" s="468">
        <f>D35/Sheet1!$I$9*Sheet1!$I$11</f>
        <v>0</v>
      </c>
      <c r="G35" s="741"/>
      <c r="H35" s="739"/>
      <c r="J35" s="746"/>
      <c r="K35" s="740"/>
      <c r="L35" s="546"/>
      <c r="M35" s="6">
        <f>SUMIFS(Sheet1!$N$2:$N$180,Sheet1!$Q$2:$Q$180,$K$34,Sheet1!$P$2:$P$180,L35)</f>
        <v>0</v>
      </c>
      <c r="N35" s="6">
        <f>M35/Sheet1!$T$9*Sheet1!$T$10</f>
        <v>0</v>
      </c>
      <c r="O35" s="468">
        <f>M35/Sheet1!$T$9*Sheet1!$T$11</f>
        <v>0</v>
      </c>
      <c r="P35" s="741"/>
      <c r="Q35" s="739"/>
    </row>
    <row r="36" spans="1:17" ht="12.75" customHeight="1">
      <c r="A36" s="746"/>
      <c r="B36" s="740"/>
      <c r="C36" s="546"/>
      <c r="D36" s="6">
        <f>SUMIFS(Sheet1!$C$2:$C$180,Sheet1!$F$2:$F$180,B34,Sheet1!$E$2:$E$180,C36)</f>
        <v>0</v>
      </c>
      <c r="E36" s="6">
        <f>D36/Sheet1!$I$9*Sheet1!$I$10</f>
        <v>0</v>
      </c>
      <c r="F36" s="468">
        <f>D36/Sheet1!$I$9*Sheet1!$I$11</f>
        <v>0</v>
      </c>
      <c r="G36" s="741"/>
      <c r="H36" s="739"/>
      <c r="J36" s="746"/>
      <c r="K36" s="740"/>
      <c r="L36" s="546"/>
      <c r="M36" s="6">
        <f>SUMIFS(Sheet1!$N$2:$N$180,Sheet1!$Q$2:$Q$180,$K$34,Sheet1!$P$2:$P$180,L36)</f>
        <v>0</v>
      </c>
      <c r="N36" s="6">
        <f>M36/Sheet1!$T$9*Sheet1!$T$10</f>
        <v>0</v>
      </c>
      <c r="O36" s="468">
        <f>M36/Sheet1!$T$9*Sheet1!$T$11</f>
        <v>0</v>
      </c>
      <c r="P36" s="741"/>
      <c r="Q36" s="739"/>
    </row>
    <row r="37" spans="1:17" ht="12.75" customHeight="1">
      <c r="A37" s="746"/>
      <c r="B37" s="734" t="s">
        <v>253</v>
      </c>
      <c r="C37" s="546"/>
      <c r="D37" s="6">
        <f>SUMIFS(Sheet1!$C$2:$C$180,Sheet1!$F$2:$F$180,B37,Sheet1!$E$2:$E$180,C37)</f>
        <v>0</v>
      </c>
      <c r="E37" s="6">
        <f>D37/Sheet1!$I$9*Sheet1!$I$10</f>
        <v>0</v>
      </c>
      <c r="F37" s="468">
        <f>D37/Sheet1!$I$9*Sheet1!$I$11</f>
        <v>0</v>
      </c>
      <c r="G37" s="743">
        <f>SUM(F37:F38)</f>
        <v>0</v>
      </c>
      <c r="H37" s="739"/>
      <c r="J37" s="746"/>
      <c r="K37" s="734" t="s">
        <v>253</v>
      </c>
      <c r="L37" s="546"/>
      <c r="M37" s="6">
        <f>SUMIFS(Sheet1!$N$2:$N$180,Sheet1!$Q$2:$Q$180,$K$37,Sheet1!$P$2:$P$180,L37)</f>
        <v>0</v>
      </c>
      <c r="N37" s="6">
        <f>M37/Sheet1!$T$9*Sheet1!$T$10</f>
        <v>0</v>
      </c>
      <c r="O37" s="468">
        <f>M37/Sheet1!$T$9*Sheet1!$T$11</f>
        <v>0</v>
      </c>
      <c r="P37" s="743">
        <f>SUM(O37:O38)</f>
        <v>0</v>
      </c>
      <c r="Q37" s="739"/>
    </row>
    <row r="38" spans="1:17" ht="12.75" customHeight="1">
      <c r="A38" s="746"/>
      <c r="B38" s="735"/>
      <c r="C38" s="546"/>
      <c r="D38" s="6">
        <f>SUMIFS(Sheet1!$C$2:$C$180,Sheet1!$F$2:$F$180,B37,Sheet1!$E$2:$E$180,C38)</f>
        <v>0</v>
      </c>
      <c r="E38" s="6">
        <f>D38/Sheet1!$I$9*Sheet1!$I$10</f>
        <v>0</v>
      </c>
      <c r="F38" s="468">
        <f>D38/Sheet1!$I$9*Sheet1!$I$11</f>
        <v>0</v>
      </c>
      <c r="G38" s="745"/>
      <c r="H38" s="739"/>
      <c r="J38" s="746"/>
      <c r="K38" s="735"/>
      <c r="L38" s="546"/>
      <c r="M38" s="6">
        <f>SUMIFS(Sheet1!$N$2:$N$180,Sheet1!$Q$2:$Q$180,$K$37,Sheet1!$P$2:$P$180,L38)</f>
        <v>0</v>
      </c>
      <c r="N38" s="6">
        <f>M38/Sheet1!$T$9*Sheet1!$T$10</f>
        <v>0</v>
      </c>
      <c r="O38" s="468">
        <f>M38/Sheet1!$T$9*Sheet1!$T$11</f>
        <v>0</v>
      </c>
      <c r="P38" s="745"/>
      <c r="Q38" s="739"/>
    </row>
    <row r="39" spans="1:17" ht="12.75" customHeight="1">
      <c r="A39" s="746" t="s">
        <v>393</v>
      </c>
      <c r="B39" s="734" t="s">
        <v>254</v>
      </c>
      <c r="C39"/>
      <c r="D39" s="6">
        <f>SUMIFS(Sheet1!$C$2:$C$180,Sheet1!$F$2:$F$180,B39,Sheet1!$E$2:$E$180,C39)</f>
        <v>0</v>
      </c>
      <c r="E39" s="6">
        <f>D39/Sheet1!$I$9*Sheet1!$I$10</f>
        <v>0</v>
      </c>
      <c r="F39" s="468">
        <f>D39/Sheet1!$I$9*Sheet1!$I$11</f>
        <v>0</v>
      </c>
      <c r="G39" s="743">
        <f>SUM(F39:F40)</f>
        <v>0</v>
      </c>
      <c r="H39" s="748">
        <f>SUM(G39:G40)</f>
        <v>0</v>
      </c>
      <c r="J39" s="746" t="s">
        <v>393</v>
      </c>
      <c r="K39" s="734" t="s">
        <v>254</v>
      </c>
      <c r="L39"/>
      <c r="M39" s="6">
        <f>SUMIFS(Sheet1!$N$2:$N$180,Sheet1!$Q$2:$Q$180,K39,Sheet1!$P$2:$P$180,L39)</f>
        <v>0</v>
      </c>
      <c r="N39" s="6">
        <f>M39/Sheet1!$T$9*Sheet1!$T$10</f>
        <v>0</v>
      </c>
      <c r="O39" s="468">
        <f>M39/Sheet1!$T$9*Sheet1!$T$11</f>
        <v>0</v>
      </c>
      <c r="P39" s="743">
        <f>SUM(O39:O40)</f>
        <v>0</v>
      </c>
      <c r="Q39" s="748">
        <f>SUM(P39:P40)</f>
        <v>0</v>
      </c>
    </row>
    <row r="40" spans="1:17" ht="12.75" customHeight="1">
      <c r="A40" s="746"/>
      <c r="B40" s="735"/>
      <c r="C40" s="549"/>
      <c r="D40" s="6">
        <f>SUMIFS(Sheet1!$C$2:$C$180,Sheet1!$F$2:$F$180,B39,Sheet1!$E$2:$E$180,C40)</f>
        <v>0</v>
      </c>
      <c r="E40" s="6">
        <f>D40/Sheet1!$I$9*Sheet1!$I$10</f>
        <v>0</v>
      </c>
      <c r="F40" s="468">
        <f>D40/Sheet1!$I$9*Sheet1!$I$11</f>
        <v>0</v>
      </c>
      <c r="G40" s="745"/>
      <c r="H40" s="749"/>
      <c r="J40" s="746"/>
      <c r="K40" s="735"/>
      <c r="L40" s="549"/>
      <c r="M40" s="6">
        <f>SUMIFS(Sheet1!$N$2:$N$180,Sheet1!$Q$2:$Q$180,K39,Sheet1!$P$2:$P$180,L40)</f>
        <v>0</v>
      </c>
      <c r="N40" s="6">
        <f>M40/Sheet1!$T$9*Sheet1!$T$10</f>
        <v>0</v>
      </c>
      <c r="O40" s="468">
        <f>M40/Sheet1!$T$9*Sheet1!$T$11</f>
        <v>0</v>
      </c>
      <c r="P40" s="745"/>
      <c r="Q40" s="749"/>
    </row>
    <row r="41" spans="1:17" ht="15">
      <c r="A41" s="550"/>
      <c r="B41" s="747" t="s">
        <v>2</v>
      </c>
      <c r="C41" s="747"/>
      <c r="D41" s="304">
        <f>SUM(D4:D40)</f>
        <v>3075</v>
      </c>
      <c r="E41" s="304">
        <f>SUM(E4:E40)</f>
        <v>244.03935399063596</v>
      </c>
      <c r="F41" s="454">
        <f>SUM(F4:F40)</f>
        <v>0.17499375576847551</v>
      </c>
      <c r="G41" s="454">
        <f>SUM(G4:G40)</f>
        <v>0.17499375576847548</v>
      </c>
      <c r="H41" s="454">
        <f>SUM(H4:H40)</f>
        <v>0.17499375576847551</v>
      </c>
      <c r="J41" s="550"/>
      <c r="K41" s="747" t="s">
        <v>2</v>
      </c>
      <c r="L41" s="747"/>
      <c r="M41" s="304">
        <f>SUM(M4:M40)</f>
        <v>2382</v>
      </c>
      <c r="N41" s="304">
        <f>SUM(N4:N40)</f>
        <v>119.26441355934499</v>
      </c>
      <c r="O41" s="454">
        <f>SUM(O4:O40)</f>
        <v>9.3924857133957818E-2</v>
      </c>
      <c r="P41" s="454">
        <f>SUM(P4:P40)</f>
        <v>9.3924857133957818E-2</v>
      </c>
      <c r="Q41" s="454">
        <f>SUM(Q4:Q40)</f>
        <v>9.3924857133957831E-2</v>
      </c>
    </row>
    <row r="42" spans="1:17" ht="15">
      <c r="A42" s="550"/>
      <c r="B42" s="747" t="s">
        <v>1</v>
      </c>
      <c r="C42" s="747"/>
      <c r="D42" s="747"/>
      <c r="E42" s="747"/>
      <c r="F42" s="551">
        <f>+Efficiency1!X167</f>
        <v>0.82500624423152502</v>
      </c>
      <c r="G42" s="551">
        <f>+F42</f>
        <v>0.82500624423152502</v>
      </c>
      <c r="H42" s="551">
        <f>+G42</f>
        <v>0.82500624423152502</v>
      </c>
      <c r="J42" s="550"/>
      <c r="K42" s="747" t="s">
        <v>1</v>
      </c>
      <c r="L42" s="747"/>
      <c r="M42" s="747"/>
      <c r="N42" s="747"/>
      <c r="O42" s="551">
        <f>+Efficiency2!X167</f>
        <v>0.90607514286604252</v>
      </c>
      <c r="P42" s="551">
        <f>+O42</f>
        <v>0.90607514286604252</v>
      </c>
      <c r="Q42" s="551">
        <f>+P42</f>
        <v>0.90607514286604252</v>
      </c>
    </row>
    <row r="43" spans="1:17" ht="15">
      <c r="A43" s="550"/>
      <c r="B43" s="747" t="s">
        <v>56</v>
      </c>
      <c r="C43" s="747"/>
      <c r="D43" s="747"/>
      <c r="E43" s="747"/>
      <c r="F43" s="470">
        <f>SUM(F41:F42)</f>
        <v>1.0000000000000004</v>
      </c>
      <c r="G43" s="470">
        <f>SUM(G41:G42)</f>
        <v>1.0000000000000004</v>
      </c>
      <c r="H43" s="542">
        <f>SUM(H41:H42)</f>
        <v>1.0000000000000004</v>
      </c>
      <c r="J43" s="550"/>
      <c r="K43" s="747" t="s">
        <v>56</v>
      </c>
      <c r="L43" s="747"/>
      <c r="M43" s="747"/>
      <c r="N43" s="747"/>
      <c r="O43" s="470">
        <f>SUM(O41:O42)</f>
        <v>1.0000000000000004</v>
      </c>
      <c r="P43" s="470">
        <f>SUM(P41:P42)</f>
        <v>1.0000000000000004</v>
      </c>
      <c r="Q43" s="542">
        <f>SUM(Q41:Q42)</f>
        <v>1.0000000000000004</v>
      </c>
    </row>
  </sheetData>
  <mergeCells count="66">
    <mergeCell ref="Q39:Q40"/>
    <mergeCell ref="B41:C41"/>
    <mergeCell ref="K41:L41"/>
    <mergeCell ref="B42:E42"/>
    <mergeCell ref="K42:N42"/>
    <mergeCell ref="J39:J40"/>
    <mergeCell ref="B43:E43"/>
    <mergeCell ref="K43:N43"/>
    <mergeCell ref="P37:P38"/>
    <mergeCell ref="B39:B40"/>
    <mergeCell ref="G39:G40"/>
    <mergeCell ref="H39:H40"/>
    <mergeCell ref="K39:K40"/>
    <mergeCell ref="P39:P40"/>
    <mergeCell ref="J25:J38"/>
    <mergeCell ref="P25:P31"/>
    <mergeCell ref="Q25:Q38"/>
    <mergeCell ref="B32:B33"/>
    <mergeCell ref="G32:G33"/>
    <mergeCell ref="K32:K33"/>
    <mergeCell ref="P32:P33"/>
    <mergeCell ref="B34:B36"/>
    <mergeCell ref="G34:G36"/>
    <mergeCell ref="K34:K36"/>
    <mergeCell ref="P34:P36"/>
    <mergeCell ref="K25:K31"/>
    <mergeCell ref="K37:K38"/>
    <mergeCell ref="B25:B31"/>
    <mergeCell ref="G25:G31"/>
    <mergeCell ref="H25:H38"/>
    <mergeCell ref="B37:B38"/>
    <mergeCell ref="G37:G38"/>
    <mergeCell ref="A25:A38"/>
    <mergeCell ref="A39:A40"/>
    <mergeCell ref="A13:A14"/>
    <mergeCell ref="H13:H14"/>
    <mergeCell ref="J13:J14"/>
    <mergeCell ref="Q13:Q14"/>
    <mergeCell ref="A15:A24"/>
    <mergeCell ref="H15:H24"/>
    <mergeCell ref="J15:J24"/>
    <mergeCell ref="Q15:Q24"/>
    <mergeCell ref="B17:B18"/>
    <mergeCell ref="G17:G18"/>
    <mergeCell ref="K17:K18"/>
    <mergeCell ref="P17:P18"/>
    <mergeCell ref="B20:B24"/>
    <mergeCell ref="G20:G24"/>
    <mergeCell ref="K20:K24"/>
    <mergeCell ref="P20:P24"/>
    <mergeCell ref="A4:A12"/>
    <mergeCell ref="Q4:Q12"/>
    <mergeCell ref="L2:L3"/>
    <mergeCell ref="A2:A3"/>
    <mergeCell ref="B2:B3"/>
    <mergeCell ref="C2:C3"/>
    <mergeCell ref="J2:J3"/>
    <mergeCell ref="K2:K3"/>
    <mergeCell ref="K6:K7"/>
    <mergeCell ref="B8:B9"/>
    <mergeCell ref="K8:K9"/>
    <mergeCell ref="B10:B11"/>
    <mergeCell ref="K10:K11"/>
    <mergeCell ref="J4:J12"/>
    <mergeCell ref="H4:H12"/>
    <mergeCell ref="B6:B7"/>
  </mergeCells>
  <conditionalFormatting sqref="D4:D40 M4:M40">
    <cfRule type="cellIs" dxfId="1" priority="5" operator="between">
      <formula>180</formula>
      <formula>360</formula>
    </cfRule>
    <cfRule type="cellIs" dxfId="0" priority="6" operator="greaterThan">
      <formula>360</formula>
    </cfRule>
  </conditionalFormatting>
  <pageMargins left="0.39370078740157483" right="0" top="0.15748031496062992" bottom="0" header="0.31496062992125984" footer="0"/>
  <pageSetup paperSize="9" scale="34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1"/>
  <sheetViews>
    <sheetView topLeftCell="A13" zoomScale="80" zoomScaleNormal="80" workbookViewId="0">
      <selection activeCell="J19" sqref="J19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5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24" width="9.140625" style="148"/>
    <col min="25" max="25" width="10.140625" style="148" bestFit="1" customWidth="1"/>
    <col min="26" max="16384" width="9.140625" style="148"/>
  </cols>
  <sheetData>
    <row r="1" spans="1:36" ht="15.75">
      <c r="A1" s="147"/>
    </row>
    <row r="2" spans="1:36" ht="15.75">
      <c r="A2" s="147" t="s">
        <v>183</v>
      </c>
    </row>
    <row r="3" spans="1:36" ht="15">
      <c r="A3" s="149"/>
    </row>
    <row r="4" spans="1:36" ht="20.25">
      <c r="A4" s="150" t="s">
        <v>3</v>
      </c>
      <c r="B4" s="151"/>
      <c r="F4" s="152" t="s">
        <v>28</v>
      </c>
      <c r="G4" s="153">
        <v>31</v>
      </c>
      <c r="H4" s="153" t="str">
        <f>+'1'!H4</f>
        <v>.01.26</v>
      </c>
      <c r="J4" s="148">
        <f>400+474+488</f>
        <v>1362</v>
      </c>
    </row>
    <row r="5" spans="1:36" ht="13.5" thickBot="1">
      <c r="C5" s="154"/>
      <c r="D5" s="154"/>
    </row>
    <row r="6" spans="1:36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80" t="s">
        <v>91</v>
      </c>
      <c r="O6" s="420" t="s">
        <v>190</v>
      </c>
      <c r="P6" s="420" t="s">
        <v>190</v>
      </c>
      <c r="Q6" s="420" t="s">
        <v>191</v>
      </c>
      <c r="R6" s="420" t="s">
        <v>192</v>
      </c>
      <c r="S6" s="420" t="s">
        <v>193</v>
      </c>
      <c r="T6" s="420" t="s">
        <v>188</v>
      </c>
      <c r="U6" s="421" t="s">
        <v>194</v>
      </c>
      <c r="V6" s="420" t="s">
        <v>195</v>
      </c>
      <c r="W6" s="420" t="s">
        <v>189</v>
      </c>
      <c r="X6" s="148" t="s">
        <v>693</v>
      </c>
      <c r="Y6" s="148">
        <v>1230</v>
      </c>
      <c r="Z6" s="148">
        <f>+Y6-(Y6*0.24)</f>
        <v>934.8</v>
      </c>
      <c r="AA6" s="148">
        <f>60-37+360</f>
        <v>383</v>
      </c>
      <c r="AB6" s="148">
        <f t="shared" ref="AB6:AB8" si="0">+Y6*AA6</f>
        <v>471090</v>
      </c>
      <c r="AC6" s="148">
        <f t="shared" ref="AC6:AC8" si="1">+Z6*AA6</f>
        <v>358028.39999999997</v>
      </c>
      <c r="AE6" s="148" t="s">
        <v>693</v>
      </c>
      <c r="AF6" s="148">
        <v>1230</v>
      </c>
      <c r="AG6" s="148">
        <f>+AF6-(AF6*0.24)</f>
        <v>934.8</v>
      </c>
      <c r="AH6" s="148">
        <f>60-37+360</f>
        <v>383</v>
      </c>
      <c r="AI6" s="148">
        <f t="shared" ref="AI6:AI8" si="2">+AF6*AH6</f>
        <v>471090</v>
      </c>
      <c r="AJ6" s="148">
        <f t="shared" ref="AJ6:AJ8" si="3">+AG6*AH6</f>
        <v>358028.39999999997</v>
      </c>
    </row>
    <row r="7" spans="1:36" ht="13.5" customHeight="1" thickBot="1">
      <c r="A7" s="750" t="s">
        <v>389</v>
      </c>
      <c r="B7" s="214" t="s">
        <v>699</v>
      </c>
      <c r="C7" s="215">
        <v>9637</v>
      </c>
      <c r="D7" s="216"/>
      <c r="E7" s="217"/>
      <c r="F7" s="226">
        <v>9</v>
      </c>
      <c r="G7" s="227" t="s">
        <v>11</v>
      </c>
      <c r="H7" s="228" t="s">
        <v>428</v>
      </c>
      <c r="I7" s="753" t="s">
        <v>442</v>
      </c>
      <c r="J7" s="213" t="str">
        <f>+'30'!J7</f>
        <v>T 13 VP OW</v>
      </c>
      <c r="K7" s="236"/>
      <c r="L7" s="240"/>
      <c r="M7" s="116">
        <f>+L7+'30'!M7+K7</f>
        <v>314476</v>
      </c>
      <c r="N7" s="422">
        <v>14.5</v>
      </c>
      <c r="O7" s="198">
        <v>1200</v>
      </c>
      <c r="P7" s="198">
        <v>1120</v>
      </c>
      <c r="Q7" s="198">
        <v>896</v>
      </c>
      <c r="R7" s="423">
        <f>1-(Q7/P7)</f>
        <v>0.19999999999999996</v>
      </c>
      <c r="S7" s="424">
        <v>45</v>
      </c>
      <c r="T7" s="425">
        <v>256.5</v>
      </c>
      <c r="U7" s="426">
        <f>(O7*(1-R7)*N7*T7*S7)/100000000</f>
        <v>1.606716</v>
      </c>
      <c r="V7" s="427">
        <f>+C14/1000</f>
        <v>9.6370000000000005</v>
      </c>
      <c r="W7" s="428">
        <f>SUM(V7:V9)/SUM(U7:U9)</f>
        <v>0.46138066236204311</v>
      </c>
      <c r="Z7" s="148">
        <f>+Y7-(Y7*0.24)</f>
        <v>0</v>
      </c>
      <c r="AB7" s="148">
        <f t="shared" si="0"/>
        <v>0</v>
      </c>
      <c r="AC7" s="148">
        <f t="shared" si="1"/>
        <v>0</v>
      </c>
      <c r="AE7" s="148" t="s">
        <v>693</v>
      </c>
      <c r="AF7" s="148">
        <v>1230</v>
      </c>
      <c r="AG7" s="148">
        <v>934.8</v>
      </c>
      <c r="AH7" s="148">
        <v>348</v>
      </c>
      <c r="AI7" s="148">
        <f t="shared" si="2"/>
        <v>428040</v>
      </c>
      <c r="AJ7" s="148">
        <f t="shared" si="3"/>
        <v>325310.39999999997</v>
      </c>
    </row>
    <row r="8" spans="1:36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+'30'!J8</f>
        <v>F 12 VP OW</v>
      </c>
      <c r="K8" s="237"/>
      <c r="L8" s="237"/>
      <c r="M8" s="116">
        <f>+L8+'30'!M8+K8</f>
        <v>253437</v>
      </c>
      <c r="N8" s="422">
        <v>18</v>
      </c>
      <c r="O8" s="198">
        <v>1200</v>
      </c>
      <c r="P8" s="198">
        <v>930</v>
      </c>
      <c r="Q8" s="198">
        <v>744</v>
      </c>
      <c r="R8" s="423">
        <f>1-(Q8/P8)</f>
        <v>0.19999999999999996</v>
      </c>
      <c r="S8" s="424">
        <f>480-S7</f>
        <v>435</v>
      </c>
      <c r="T8" s="425">
        <v>256.5</v>
      </c>
      <c r="U8" s="426">
        <f>(O8*(1-R8)*N8*T8*S8)/100000000</f>
        <v>19.280591999999999</v>
      </c>
      <c r="V8" s="427"/>
      <c r="W8" s="429"/>
      <c r="Z8" s="148">
        <f t="shared" ref="Z8" si="4">+Y8-(Y8*0.24)</f>
        <v>0</v>
      </c>
      <c r="AB8" s="148">
        <f t="shared" si="0"/>
        <v>0</v>
      </c>
      <c r="AC8" s="148">
        <f t="shared" si="1"/>
        <v>0</v>
      </c>
      <c r="AG8" s="148">
        <f t="shared" ref="AG8" si="5">+AF8-(AF8*0.24)</f>
        <v>0</v>
      </c>
      <c r="AI8" s="148">
        <f t="shared" si="2"/>
        <v>0</v>
      </c>
      <c r="AJ8" s="148">
        <f t="shared" si="3"/>
        <v>0</v>
      </c>
    </row>
    <row r="9" spans="1:36" ht="13.5" thickBot="1">
      <c r="A9" s="751"/>
      <c r="B9" s="214"/>
      <c r="C9" s="215"/>
      <c r="D9" s="216"/>
      <c r="E9" s="219"/>
      <c r="F9" s="226">
        <f>23-9</f>
        <v>14</v>
      </c>
      <c r="G9" s="230" t="s">
        <v>11</v>
      </c>
      <c r="H9" s="231" t="s">
        <v>426</v>
      </c>
      <c r="I9" s="754"/>
      <c r="J9" s="213" t="str">
        <f>+'30'!J9</f>
        <v>F 13,5 VP OW</v>
      </c>
      <c r="K9" s="237"/>
      <c r="L9" s="237"/>
      <c r="M9" s="116">
        <f>+L9+'30'!M9+K9</f>
        <v>216723</v>
      </c>
      <c r="N9" s="430"/>
    </row>
    <row r="10" spans="1:36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722</v>
      </c>
      <c r="I10" s="754"/>
      <c r="J10" s="213" t="str">
        <f>+'30'!J10</f>
        <v>F 12,5 VP OW</v>
      </c>
      <c r="K10" s="237"/>
      <c r="L10" s="237"/>
      <c r="M10" s="116">
        <f>+L10+'30'!M10+K10</f>
        <v>50678</v>
      </c>
      <c r="N10" s="430"/>
    </row>
    <row r="11" spans="1:36" ht="87.75" customHeight="1" thickBot="1">
      <c r="A11" s="751"/>
      <c r="B11" s="214"/>
      <c r="C11" s="215"/>
      <c r="D11" s="216"/>
      <c r="E11" s="218"/>
      <c r="F11" s="226">
        <f>60+37</f>
        <v>97</v>
      </c>
      <c r="G11" s="230" t="s">
        <v>67</v>
      </c>
      <c r="H11" s="231" t="s">
        <v>723</v>
      </c>
      <c r="I11" s="754"/>
      <c r="J11" s="213" t="str">
        <f>+'30'!J11</f>
        <v>F 14 VP OW</v>
      </c>
      <c r="K11" s="237"/>
      <c r="L11" s="237"/>
      <c r="M11" s="116">
        <f>+L11+'30'!M11+K11</f>
        <v>20374</v>
      </c>
      <c r="N11" s="430"/>
    </row>
    <row r="12" spans="1:36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+'30'!J12</f>
        <v>F 13 VP OW</v>
      </c>
      <c r="K12" s="237">
        <f>+C17+C26</f>
        <v>13236</v>
      </c>
      <c r="L12" s="237"/>
      <c r="M12" s="116">
        <f>+L12+'30'!M12+K12</f>
        <v>168171</v>
      </c>
      <c r="N12" s="430"/>
    </row>
    <row r="13" spans="1:36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+'30'!J13</f>
        <v>F 16 VP OW</v>
      </c>
      <c r="K13" s="237"/>
      <c r="L13" s="237"/>
      <c r="M13" s="116">
        <f>+L13+'30'!M13+K13</f>
        <v>40814</v>
      </c>
      <c r="N13" s="431"/>
      <c r="O13" s="432"/>
      <c r="P13" s="432"/>
      <c r="Q13" s="432"/>
      <c r="R13" s="432"/>
      <c r="S13" s="432"/>
      <c r="T13" s="432"/>
      <c r="U13" s="432"/>
      <c r="V13" s="432"/>
      <c r="W13" s="432"/>
    </row>
    <row r="14" spans="1:36" ht="13.5" thickBot="1">
      <c r="A14" s="752"/>
      <c r="B14" s="164" t="s">
        <v>2</v>
      </c>
      <c r="C14" s="98">
        <f>SUM(C7:C13)</f>
        <v>9637</v>
      </c>
      <c r="D14" s="110">
        <f>SUM(D7:D13)</f>
        <v>0</v>
      </c>
      <c r="E14" s="111">
        <f>SUM(E5:E13)</f>
        <v>0</v>
      </c>
      <c r="F14" s="115">
        <f>SUM(F7:F13)</f>
        <v>120</v>
      </c>
      <c r="G14" s="158"/>
      <c r="H14" s="165"/>
      <c r="I14" s="166"/>
      <c r="J14" s="213" t="str">
        <f>+'30'!J14</f>
        <v>F 11 VP OW</v>
      </c>
      <c r="K14" s="237"/>
      <c r="L14" s="237"/>
      <c r="M14" s="116">
        <f>+L14+'30'!M14+K14</f>
        <v>10313</v>
      </c>
      <c r="AA14" s="175">
        <f>SUM(AA6:AA11)</f>
        <v>383</v>
      </c>
      <c r="AB14" s="175">
        <f>SUM(AB6:AB11)</f>
        <v>471090</v>
      </c>
      <c r="AC14" s="175">
        <f>SUM(AC6:AC11)</f>
        <v>358028.39999999997</v>
      </c>
      <c r="AH14" s="175">
        <f>SUM(AH6:AH11)</f>
        <v>731</v>
      </c>
      <c r="AI14" s="175">
        <f>SUM(AI6:AI11)</f>
        <v>899130</v>
      </c>
      <c r="AJ14" s="175">
        <f>SUM(AJ6:AJ11)</f>
        <v>683338.79999999993</v>
      </c>
    </row>
    <row r="15" spans="1:36" ht="13.5" customHeight="1" thickBot="1">
      <c r="A15" s="750" t="s">
        <v>414</v>
      </c>
      <c r="B15" s="164"/>
      <c r="C15" s="112">
        <f>C14/($C$23+$D$23+$E$23)</f>
        <v>0.66752095310660109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724</v>
      </c>
      <c r="J15" s="213" t="str">
        <f>+'30'!J15</f>
        <v>T 12,5 VP OW</v>
      </c>
      <c r="K15" s="237">
        <f>+C7+C16+C25</f>
        <v>23754</v>
      </c>
      <c r="L15" s="237"/>
      <c r="M15" s="116">
        <f>+L15+'30'!M15+K15</f>
        <v>75535</v>
      </c>
      <c r="N15" s="422">
        <v>18</v>
      </c>
      <c r="O15" s="198">
        <v>1200</v>
      </c>
      <c r="P15" s="198">
        <v>850</v>
      </c>
      <c r="Q15" s="198">
        <v>680</v>
      </c>
      <c r="R15" s="423">
        <f>1-(Q15/P15)</f>
        <v>0.19999999999999996</v>
      </c>
      <c r="S15" s="424">
        <v>480</v>
      </c>
      <c r="T15" s="425">
        <v>256.5</v>
      </c>
      <c r="U15" s="426">
        <f>(O15*(1-R15)*N15*T15*S15)/100000000</f>
        <v>21.275136</v>
      </c>
      <c r="V15" s="427">
        <f>+C23/1000</f>
        <v>14.436999999999999</v>
      </c>
      <c r="W15" s="428">
        <f>SUM(V15:V17)/SUM(U15:U17)</f>
        <v>0.67858555639785334</v>
      </c>
      <c r="AA15" s="148">
        <f>480-AA14</f>
        <v>97</v>
      </c>
      <c r="AB15" s="175">
        <f>+AB14/AA14</f>
        <v>1230</v>
      </c>
      <c r="AC15" s="175">
        <f>+AC14/AA14</f>
        <v>934.8</v>
      </c>
      <c r="AH15" s="148">
        <f>480-AH14</f>
        <v>-251</v>
      </c>
      <c r="AI15" s="175">
        <f>+AI14/AH14</f>
        <v>1230</v>
      </c>
      <c r="AJ15" s="175">
        <f>+AJ14/AH14</f>
        <v>934.8</v>
      </c>
    </row>
    <row r="16" spans="1:36" ht="13.5" thickBot="1">
      <c r="A16" s="756"/>
      <c r="B16" s="214" t="s">
        <v>699</v>
      </c>
      <c r="C16" s="220">
        <v>13324</v>
      </c>
      <c r="D16" s="221"/>
      <c r="E16" s="222"/>
      <c r="F16" s="226"/>
      <c r="G16" s="230" t="s">
        <v>11</v>
      </c>
      <c r="H16" s="228" t="s">
        <v>427</v>
      </c>
      <c r="I16" s="754"/>
      <c r="J16" s="213">
        <f>+'30'!J16</f>
        <v>0</v>
      </c>
      <c r="K16" s="227"/>
      <c r="L16" s="227"/>
      <c r="M16" s="116">
        <f>+L16+'30'!M16+K16</f>
        <v>0</v>
      </c>
      <c r="N16" s="433"/>
      <c r="O16" s="198"/>
      <c r="P16" s="198"/>
      <c r="Q16" s="434"/>
      <c r="R16" s="423"/>
      <c r="S16" s="198"/>
      <c r="T16" s="425"/>
      <c r="U16" s="426"/>
      <c r="V16" s="427"/>
      <c r="W16" s="429"/>
    </row>
    <row r="17" spans="1:29" ht="13.5" thickBot="1">
      <c r="A17" s="756"/>
      <c r="B17" s="214" t="s">
        <v>554</v>
      </c>
      <c r="C17" s="215">
        <f>504+609</f>
        <v>1113</v>
      </c>
      <c r="D17" s="216"/>
      <c r="E17" s="223"/>
      <c r="F17" s="226">
        <f>24-9</f>
        <v>15</v>
      </c>
      <c r="G17" s="230" t="s">
        <v>11</v>
      </c>
      <c r="H17" s="231" t="s">
        <v>446</v>
      </c>
      <c r="I17" s="754"/>
      <c r="J17" s="213">
        <f>+'30'!J17</f>
        <v>0</v>
      </c>
      <c r="K17" s="227"/>
      <c r="L17" s="227"/>
      <c r="M17" s="116">
        <f>+L17+'30'!M17+K17</f>
        <v>0</v>
      </c>
      <c r="N17" s="430"/>
      <c r="O17" s="198"/>
      <c r="R17" s="423"/>
      <c r="T17" s="425"/>
      <c r="U17" s="426"/>
      <c r="X17" s="148" t="s">
        <v>693</v>
      </c>
      <c r="Y17" s="148">
        <v>1230</v>
      </c>
      <c r="Z17" s="148">
        <f>+Y17-(Y17*0.24)</f>
        <v>934.8</v>
      </c>
      <c r="AA17" s="148">
        <f>60*5+48</f>
        <v>348</v>
      </c>
      <c r="AB17" s="148">
        <f t="shared" ref="AB17:AB19" si="6">+Y17*AA17</f>
        <v>428040</v>
      </c>
      <c r="AC17" s="148">
        <f t="shared" ref="AC17:AC19" si="7">+Z17*AA17</f>
        <v>325310.39999999997</v>
      </c>
    </row>
    <row r="18" spans="1:29" ht="26.25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720</v>
      </c>
      <c r="I18" s="754"/>
      <c r="J18" s="213">
        <f>+'30'!J18</f>
        <v>0</v>
      </c>
      <c r="K18" s="237"/>
      <c r="L18" s="237"/>
      <c r="M18" s="116">
        <f>+L18+'30'!M18+K18</f>
        <v>0</v>
      </c>
      <c r="N18" s="430"/>
      <c r="X18" s="148" t="s">
        <v>547</v>
      </c>
      <c r="Y18" s="148">
        <v>1210</v>
      </c>
      <c r="Z18" s="148">
        <f>+Y18-(Y18*0.24)</f>
        <v>919.6</v>
      </c>
      <c r="AA18" s="148">
        <f>60-48+120</f>
        <v>132</v>
      </c>
      <c r="AB18" s="148">
        <f t="shared" si="6"/>
        <v>159720</v>
      </c>
      <c r="AC18" s="148">
        <f t="shared" si="7"/>
        <v>121387.2</v>
      </c>
    </row>
    <row r="19" spans="1:29" ht="39" thickBot="1">
      <c r="A19" s="756"/>
      <c r="B19" s="214"/>
      <c r="C19" s="215"/>
      <c r="D19" s="216"/>
      <c r="E19" s="223"/>
      <c r="F19" s="233"/>
      <c r="G19" s="230"/>
      <c r="H19" s="231" t="s">
        <v>721</v>
      </c>
      <c r="I19" s="754"/>
      <c r="J19" s="213">
        <f>+'30'!J19</f>
        <v>0</v>
      </c>
      <c r="K19" s="237"/>
      <c r="L19" s="237"/>
      <c r="M19" s="116">
        <f>+L19+'30'!M19+K19</f>
        <v>0</v>
      </c>
      <c r="N19" s="430"/>
      <c r="Z19" s="148">
        <f t="shared" ref="Z19" si="8">+Y19-(Y19*0.24)</f>
        <v>0</v>
      </c>
      <c r="AB19" s="148">
        <f t="shared" si="6"/>
        <v>0</v>
      </c>
      <c r="AC19" s="148">
        <f t="shared" si="7"/>
        <v>0</v>
      </c>
    </row>
    <row r="20" spans="1:29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+'30'!J20</f>
        <v>0</v>
      </c>
      <c r="K20" s="238"/>
      <c r="L20" s="238"/>
      <c r="M20" s="116">
        <f>+L20+'30'!M20+K20</f>
        <v>0</v>
      </c>
      <c r="N20" s="430"/>
    </row>
    <row r="21" spans="1:29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+'30'!J21</f>
        <v>0</v>
      </c>
      <c r="K21" s="237"/>
      <c r="L21" s="237"/>
      <c r="M21" s="116">
        <f>+L21+'30'!M21+K21</f>
        <v>0</v>
      </c>
      <c r="N21" s="431"/>
      <c r="O21" s="432"/>
      <c r="P21" s="432"/>
      <c r="Q21" s="432"/>
      <c r="R21" s="432"/>
      <c r="S21" s="432"/>
      <c r="T21" s="432"/>
      <c r="U21" s="432"/>
      <c r="V21" s="432"/>
      <c r="W21" s="432"/>
    </row>
    <row r="22" spans="1:29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+'30'!J22</f>
        <v>0</v>
      </c>
      <c r="K22" s="237"/>
      <c r="L22" s="237"/>
      <c r="M22" s="116">
        <f>+L22+'30'!M22+K22</f>
        <v>0</v>
      </c>
    </row>
    <row r="23" spans="1:29" ht="13.5" thickBot="1">
      <c r="A23" s="757"/>
      <c r="B23" s="167" t="s">
        <v>2</v>
      </c>
      <c r="C23" s="99">
        <f>SUM(C16:C22)</f>
        <v>14437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+'30'!J23</f>
        <v>0</v>
      </c>
      <c r="K23" s="237"/>
      <c r="L23" s="237"/>
      <c r="M23" s="116">
        <f>+L23+'30'!M23+K23</f>
        <v>0</v>
      </c>
      <c r="N23" s="435"/>
      <c r="O23" s="436"/>
      <c r="P23" s="436"/>
      <c r="Q23" s="436"/>
      <c r="R23" s="436"/>
      <c r="S23" s="436"/>
      <c r="T23" s="436"/>
      <c r="U23" s="436"/>
      <c r="V23" s="436"/>
      <c r="W23" s="436"/>
    </row>
    <row r="24" spans="1:29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34">
        <v>9</v>
      </c>
      <c r="G24" s="227" t="s">
        <v>11</v>
      </c>
      <c r="H24" s="228" t="s">
        <v>428</v>
      </c>
      <c r="I24" s="753" t="s">
        <v>569</v>
      </c>
      <c r="J24" s="213">
        <f>+'30'!J24</f>
        <v>0</v>
      </c>
      <c r="K24" s="237"/>
      <c r="L24" s="237"/>
      <c r="M24" s="116">
        <f>+L24+'30'!M24+K24</f>
        <v>0</v>
      </c>
      <c r="N24" s="422">
        <v>18</v>
      </c>
      <c r="O24" s="198">
        <v>1200</v>
      </c>
      <c r="P24" s="198">
        <v>770</v>
      </c>
      <c r="Q24" s="198">
        <v>616</v>
      </c>
      <c r="R24" s="423">
        <f>1-(Q24/P24)</f>
        <v>0.19999999999999996</v>
      </c>
      <c r="S24" s="424">
        <v>480</v>
      </c>
      <c r="T24" s="425">
        <v>256.5</v>
      </c>
      <c r="U24" s="426">
        <f>(O24*(1-R24)*N24*T24*S24)/100000000</f>
        <v>21.275136</v>
      </c>
      <c r="V24" s="427">
        <f>+C32/1000</f>
        <v>12.916</v>
      </c>
      <c r="W24" s="428">
        <f>SUM(V24:V25)/SUM(U24:U25)</f>
        <v>0.60709365148124084</v>
      </c>
    </row>
    <row r="25" spans="1:29" ht="13.5" thickBot="1">
      <c r="A25" s="756"/>
      <c r="B25" s="214" t="s">
        <v>699</v>
      </c>
      <c r="C25" s="224">
        <v>793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+'30'!J25</f>
        <v>0</v>
      </c>
      <c r="K25" s="237"/>
      <c r="L25" s="237"/>
      <c r="M25" s="116">
        <f>+L25+'30'!M25+K25</f>
        <v>0</v>
      </c>
      <c r="N25" s="422"/>
      <c r="O25" s="198"/>
      <c r="P25" s="198"/>
      <c r="Q25" s="198"/>
      <c r="R25" s="423"/>
      <c r="S25" s="424"/>
      <c r="T25" s="425"/>
      <c r="U25" s="426"/>
      <c r="V25" s="427"/>
      <c r="W25" s="428"/>
      <c r="AA25" s="175">
        <f>SUM(AA17:AA22)</f>
        <v>480</v>
      </c>
      <c r="AB25" s="175">
        <f>SUM(AB17:AB22)</f>
        <v>587760</v>
      </c>
      <c r="AC25" s="175">
        <f>SUM(AC17:AC22)</f>
        <v>446697.6</v>
      </c>
    </row>
    <row r="26" spans="1:29" ht="13.5" thickBot="1">
      <c r="A26" s="756"/>
      <c r="B26" s="214" t="s">
        <v>554</v>
      </c>
      <c r="C26" s="224">
        <f>5501+6622</f>
        <v>12123</v>
      </c>
      <c r="D26" s="216"/>
      <c r="E26" s="225"/>
      <c r="F26" s="229">
        <f>26-9</f>
        <v>17</v>
      </c>
      <c r="G26" s="230" t="s">
        <v>11</v>
      </c>
      <c r="H26" s="231" t="s">
        <v>388</v>
      </c>
      <c r="I26" s="754"/>
      <c r="J26" s="213">
        <f>+'30'!J26</f>
        <v>0</v>
      </c>
      <c r="K26" s="237"/>
      <c r="L26" s="237"/>
      <c r="M26" s="116">
        <f>+L26+'30'!M26+K26</f>
        <v>0</v>
      </c>
      <c r="AA26" s="148">
        <f>480-AA25</f>
        <v>0</v>
      </c>
      <c r="AB26" s="175">
        <f>+AB25/AA25</f>
        <v>1224.5</v>
      </c>
      <c r="AC26" s="175">
        <f>+AC25/AA25</f>
        <v>930.62</v>
      </c>
    </row>
    <row r="27" spans="1:29" ht="51.75" thickBot="1">
      <c r="A27" s="756"/>
      <c r="B27" s="214"/>
      <c r="C27" s="215"/>
      <c r="D27" s="216"/>
      <c r="E27" s="223"/>
      <c r="F27" s="229"/>
      <c r="G27" s="235" t="s">
        <v>12</v>
      </c>
      <c r="H27" s="231" t="s">
        <v>727</v>
      </c>
      <c r="I27" s="754"/>
      <c r="J27" s="213">
        <f>+'30'!J27</f>
        <v>0</v>
      </c>
      <c r="K27" s="237"/>
      <c r="L27" s="237"/>
      <c r="M27" s="116">
        <f>+L27+'30'!M27+K27</f>
        <v>0</v>
      </c>
      <c r="X27" s="148" t="s">
        <v>547</v>
      </c>
      <c r="Y27" s="148">
        <v>1210</v>
      </c>
      <c r="Z27" s="148">
        <f>+Y27-(Y27*0.24)</f>
        <v>919.6</v>
      </c>
      <c r="AA27" s="148">
        <v>480</v>
      </c>
      <c r="AB27" s="148">
        <f t="shared" ref="AB27:AB29" si="9">+Y27*AA27</f>
        <v>580800</v>
      </c>
      <c r="AC27" s="148">
        <f t="shared" ref="AC27:AC29" si="10">+Z27*AA27</f>
        <v>441408</v>
      </c>
    </row>
    <row r="28" spans="1:29" ht="26.25" thickBot="1">
      <c r="A28" s="756"/>
      <c r="B28" s="214"/>
      <c r="C28" s="215"/>
      <c r="D28" s="216"/>
      <c r="E28" s="223"/>
      <c r="F28" s="229"/>
      <c r="G28" s="230"/>
      <c r="H28" s="231" t="s">
        <v>719</v>
      </c>
      <c r="I28" s="754"/>
      <c r="J28" s="213">
        <f>+'30'!J28</f>
        <v>0</v>
      </c>
      <c r="K28" s="237"/>
      <c r="L28" s="237"/>
      <c r="M28" s="116">
        <f>+L28+'30'!M28+K28</f>
        <v>0</v>
      </c>
      <c r="Z28" s="148">
        <f>+Y28-(Y28*0.24)</f>
        <v>0</v>
      </c>
      <c r="AB28" s="148">
        <f t="shared" si="9"/>
        <v>0</v>
      </c>
      <c r="AC28" s="148">
        <f t="shared" si="10"/>
        <v>0</v>
      </c>
    </row>
    <row r="29" spans="1:29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+'30'!J29</f>
        <v>0</v>
      </c>
      <c r="K29" s="237"/>
      <c r="L29" s="237"/>
      <c r="M29" s="116">
        <f>+L29+'30'!M29+K29</f>
        <v>0</v>
      </c>
      <c r="Z29" s="148">
        <f t="shared" ref="Z29" si="11">+Y29-(Y29*0.24)</f>
        <v>0</v>
      </c>
      <c r="AB29" s="148">
        <f t="shared" si="9"/>
        <v>0</v>
      </c>
      <c r="AC29" s="148">
        <f t="shared" si="10"/>
        <v>0</v>
      </c>
    </row>
    <row r="30" spans="1:29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+'30'!J30</f>
        <v>0</v>
      </c>
      <c r="K30" s="237"/>
      <c r="L30" s="237"/>
      <c r="M30" s="116">
        <f>+L30+'30'!M30+K30</f>
        <v>0</v>
      </c>
      <c r="N30" s="154"/>
    </row>
    <row r="31" spans="1:29" ht="13.5" thickBot="1">
      <c r="A31" s="756"/>
      <c r="B31" s="214"/>
      <c r="C31" s="224"/>
      <c r="D31" s="216"/>
      <c r="E31" s="223"/>
      <c r="F31" s="234"/>
      <c r="G31" s="235"/>
      <c r="H31" s="232"/>
      <c r="I31" s="755"/>
      <c r="J31" s="213">
        <f>+'30'!J31</f>
        <v>0</v>
      </c>
      <c r="K31" s="237"/>
      <c r="L31" s="237"/>
      <c r="M31" s="116">
        <f>+L31+'30'!M31+K31</f>
        <v>0</v>
      </c>
    </row>
    <row r="32" spans="1:29" ht="13.5" thickBot="1">
      <c r="A32" s="757"/>
      <c r="B32" s="164" t="s">
        <v>2</v>
      </c>
      <c r="C32" s="98">
        <f>SUM(C25:C31)</f>
        <v>12916</v>
      </c>
      <c r="D32" s="99">
        <f>SUM(D25:D31)</f>
        <v>0</v>
      </c>
      <c r="E32" s="100">
        <f>SUM(E25:E31)</f>
        <v>0</v>
      </c>
      <c r="F32" s="101">
        <f>SUM(F24:F31)</f>
        <v>26</v>
      </c>
      <c r="G32" s="170"/>
      <c r="H32" s="171"/>
      <c r="I32" s="168"/>
      <c r="J32" s="213">
        <f>+'30'!J32</f>
        <v>0</v>
      </c>
      <c r="K32" s="239"/>
      <c r="L32" s="241"/>
      <c r="M32" s="116">
        <f>+L32+'30'!M32+K32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8" t="s">
        <v>56</v>
      </c>
      <c r="B34" s="759"/>
      <c r="C34" s="106">
        <f>C14+C23+C32</f>
        <v>36990</v>
      </c>
      <c r="D34" s="106">
        <f>D14+D23+D32</f>
        <v>0</v>
      </c>
      <c r="E34" s="106">
        <f>E14+E23+E32</f>
        <v>0</v>
      </c>
      <c r="F34" s="107">
        <f>F14+F23+F32</f>
        <v>170</v>
      </c>
      <c r="H34" s="177"/>
      <c r="I34" s="177"/>
      <c r="J34" s="122" t="s">
        <v>27</v>
      </c>
      <c r="K34" s="123">
        <f>SUM(K7:K32)</f>
        <v>36990</v>
      </c>
      <c r="L34" s="211">
        <f>SUM(L7:L32)</f>
        <v>0</v>
      </c>
      <c r="M34" s="119">
        <f>SUM(M7:M32)</f>
        <v>1150521</v>
      </c>
      <c r="N34" s="154"/>
    </row>
    <row r="35" spans="1:2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AA35" s="175">
        <f>SUM(AA27:AA32)</f>
        <v>480</v>
      </c>
      <c r="AB35" s="175">
        <f>SUM(AB27:AB32)</f>
        <v>580800</v>
      </c>
      <c r="AC35" s="175">
        <f>SUM(AC27:AC32)</f>
        <v>441408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AA36" s="148">
        <f>480-AA35</f>
        <v>0</v>
      </c>
      <c r="AB36" s="175">
        <f>+AB35/AA35</f>
        <v>1210</v>
      </c>
      <c r="AC36" s="175">
        <f>+AC35/AA35</f>
        <v>919.6</v>
      </c>
    </row>
    <row r="37" spans="1:2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(12.5*731+13*612)/1343*G42*2.74*1343/1000000</f>
        <v>43.458055688354435</v>
      </c>
      <c r="J37" s="124">
        <f>+I37+'30'!J37</f>
        <v>1312.7306281843585</v>
      </c>
      <c r="K37" s="125" t="s">
        <v>62</v>
      </c>
    </row>
    <row r="38" spans="1:29" ht="17.45" customHeight="1">
      <c r="A38" s="762" t="s">
        <v>11</v>
      </c>
      <c r="B38" s="763"/>
      <c r="C38" s="163">
        <f>SUMIF($G$7:$G$31,"Process",$F$7:$F$31)</f>
        <v>73</v>
      </c>
      <c r="D38" s="117">
        <f>+C38+'30'!D38</f>
        <v>1981</v>
      </c>
      <c r="E38" s="142">
        <f t="shared" ref="E38:E51" si="12">D38/60</f>
        <v>33.016666666666666</v>
      </c>
      <c r="F38" s="320">
        <v>1230</v>
      </c>
      <c r="G38" s="320">
        <v>934.8</v>
      </c>
      <c r="H38" s="186" t="s">
        <v>63</v>
      </c>
      <c r="I38" s="243">
        <f>10.195+15.382+13.186</f>
        <v>38.762999999999998</v>
      </c>
      <c r="J38" s="126">
        <f>+I38+'30'!J38</f>
        <v>1194.7179999999996</v>
      </c>
      <c r="K38" s="127" t="s">
        <v>62</v>
      </c>
    </row>
    <row r="39" spans="1:29" ht="17.45" customHeight="1">
      <c r="A39" s="764" t="s">
        <v>12</v>
      </c>
      <c r="B39" s="765"/>
      <c r="C39" s="163">
        <f>SUMIF($G$7:$G$31,"Cleaning",$F$7:$F$31)</f>
        <v>0</v>
      </c>
      <c r="D39" s="117">
        <f>+C39+'30'!D39</f>
        <v>8</v>
      </c>
      <c r="E39" s="142">
        <f t="shared" si="12"/>
        <v>0.13333333333333333</v>
      </c>
      <c r="F39" s="320">
        <v>1224.5</v>
      </c>
      <c r="G39" s="320">
        <v>930.62</v>
      </c>
      <c r="H39" s="186" t="s">
        <v>64</v>
      </c>
      <c r="I39" s="141"/>
      <c r="J39" s="128">
        <f>J37/G4</f>
        <v>42.34614929626963</v>
      </c>
      <c r="K39" s="129" t="s">
        <v>62</v>
      </c>
      <c r="M39" s="148">
        <v>383</v>
      </c>
      <c r="Y39" s="148" t="s">
        <v>693</v>
      </c>
      <c r="Z39" s="148">
        <v>1230</v>
      </c>
      <c r="AA39" s="148">
        <v>934.8</v>
      </c>
      <c r="AB39" s="148">
        <v>731</v>
      </c>
    </row>
    <row r="40" spans="1:29" ht="17.45" customHeight="1">
      <c r="A40" s="764" t="s">
        <v>65</v>
      </c>
      <c r="B40" s="765"/>
      <c r="C40" s="163">
        <f>SUMIF($G$7:$G$31,"Mechanical",$F$7:$F$31)</f>
        <v>0</v>
      </c>
      <c r="D40" s="117">
        <f>+C40+'30'!D40</f>
        <v>0</v>
      </c>
      <c r="E40" s="142">
        <f t="shared" si="12"/>
        <v>0</v>
      </c>
      <c r="F40" s="320">
        <v>1210</v>
      </c>
      <c r="G40" s="320">
        <v>919.6</v>
      </c>
      <c r="H40" s="186" t="s">
        <v>66</v>
      </c>
      <c r="I40" s="117">
        <f>(K34+L34)/1000</f>
        <v>36.99</v>
      </c>
      <c r="J40" s="130">
        <f>+I40+'30'!J40</f>
        <v>1150.521</v>
      </c>
      <c r="K40" s="129" t="s">
        <v>62</v>
      </c>
      <c r="M40" s="148">
        <v>480</v>
      </c>
      <c r="Y40" s="148" t="s">
        <v>547</v>
      </c>
      <c r="Z40" s="148">
        <v>1210</v>
      </c>
      <c r="AA40" s="148">
        <v>919.6</v>
      </c>
      <c r="AB40" s="148">
        <v>612</v>
      </c>
    </row>
    <row r="41" spans="1:29" ht="17.45" customHeight="1">
      <c r="A41" s="764" t="s">
        <v>67</v>
      </c>
      <c r="B41" s="765"/>
      <c r="C41" s="163">
        <f>SUMIF($G$7:$G$31,"Electrical",$F$7:$F$31)</f>
        <v>97</v>
      </c>
      <c r="D41" s="117">
        <f>+C41+'30'!D41</f>
        <v>224</v>
      </c>
      <c r="E41" s="142">
        <f t="shared" si="12"/>
        <v>3.7333333333333334</v>
      </c>
      <c r="F41" s="320"/>
      <c r="G41" s="320"/>
      <c r="H41" s="186" t="s">
        <v>68</v>
      </c>
      <c r="I41" s="141"/>
      <c r="J41" s="128">
        <f>J40/G4</f>
        <v>37.113580645161292</v>
      </c>
      <c r="K41" s="129" t="s">
        <v>62</v>
      </c>
      <c r="AB41" s="148">
        <f>+AB39+AB40</f>
        <v>1343</v>
      </c>
    </row>
    <row r="42" spans="1:29" ht="17.45" customHeight="1">
      <c r="A42" s="764" t="s">
        <v>15</v>
      </c>
      <c r="B42" s="765"/>
      <c r="C42" s="163">
        <f>SUMIF($G$7:$G$31,"Instrument",$F$7:$F$31)</f>
        <v>0</v>
      </c>
      <c r="D42" s="117">
        <f>+C42+'30'!D42</f>
        <v>0</v>
      </c>
      <c r="E42" s="142">
        <f t="shared" si="12"/>
        <v>0</v>
      </c>
      <c r="F42" s="320">
        <f>+(383*F38+480*F39+480*F40)/1343</f>
        <v>1220.8860759493671</v>
      </c>
      <c r="G42" s="320">
        <f>+(383*G38+480*G39+480*G40)/1343</f>
        <v>927.87341772151899</v>
      </c>
      <c r="H42" s="186" t="s">
        <v>69</v>
      </c>
      <c r="I42" s="244"/>
      <c r="J42" s="131"/>
      <c r="K42" s="129" t="s">
        <v>70</v>
      </c>
      <c r="M42" s="148">
        <v>480</v>
      </c>
    </row>
    <row r="43" spans="1:29" ht="17.45" customHeight="1">
      <c r="A43" s="764" t="s">
        <v>71</v>
      </c>
      <c r="B43" s="765"/>
      <c r="C43" s="163">
        <f>SUMIF($G$7:$G$31,"Water",$F$7:$F$31)</f>
        <v>0</v>
      </c>
      <c r="D43" s="117">
        <f>+C43+'30'!D43</f>
        <v>0</v>
      </c>
      <c r="E43" s="142">
        <f t="shared" si="12"/>
        <v>0</v>
      </c>
      <c r="F43" s="320"/>
      <c r="G43" s="321"/>
      <c r="H43" s="187" t="s">
        <v>72</v>
      </c>
      <c r="I43" s="117">
        <f>+Report1!Z39</f>
        <v>49.5</v>
      </c>
      <c r="J43" s="132">
        <f>+I43+'30'!J43</f>
        <v>1594.9</v>
      </c>
      <c r="K43" s="129" t="s">
        <v>62</v>
      </c>
      <c r="L43" s="188"/>
      <c r="M43" s="148">
        <f>SUM(M39:M42)</f>
        <v>1343</v>
      </c>
    </row>
    <row r="44" spans="1:29" ht="17.45" customHeight="1">
      <c r="A44" s="764" t="s">
        <v>16</v>
      </c>
      <c r="B44" s="765"/>
      <c r="C44" s="163">
        <f>SUMIF($G$7:$G$31,"PLN",$F$7:$F$31)</f>
        <v>0</v>
      </c>
      <c r="D44" s="117">
        <f>+C44+'30'!D44</f>
        <v>0</v>
      </c>
      <c r="E44" s="142">
        <f t="shared" si="12"/>
        <v>0</v>
      </c>
      <c r="F44" s="320"/>
      <c r="G44" s="321"/>
      <c r="H44" s="187" t="s">
        <v>73</v>
      </c>
      <c r="I44" s="117">
        <f>I43/I38</f>
        <v>1.2769909449732992</v>
      </c>
      <c r="J44" s="133">
        <f>J43/J38</f>
        <v>1.3349593795355896</v>
      </c>
      <c r="K44" s="129" t="s">
        <v>62</v>
      </c>
    </row>
    <row r="45" spans="1:29" ht="17.45" customHeight="1">
      <c r="A45" s="764" t="s">
        <v>17</v>
      </c>
      <c r="B45" s="765"/>
      <c r="C45" s="163">
        <f>SUMIF($G$7:$G$31,"Boiler",$F$7:$F$31)</f>
        <v>0</v>
      </c>
      <c r="D45" s="117">
        <f>+C45+'30'!D45</f>
        <v>0</v>
      </c>
      <c r="E45" s="142">
        <f t="shared" si="12"/>
        <v>0</v>
      </c>
      <c r="F45" s="320"/>
      <c r="G45" s="323"/>
      <c r="H45" s="187" t="s">
        <v>74</v>
      </c>
      <c r="I45" s="117">
        <f>I43/I40</f>
        <v>1.3381995133819951</v>
      </c>
      <c r="J45" s="133">
        <f>J43/J40</f>
        <v>1.3862415375295194</v>
      </c>
      <c r="K45" s="129" t="s">
        <v>62</v>
      </c>
      <c r="Y45" s="571">
        <f>1150521-M34</f>
        <v>0</v>
      </c>
    </row>
    <row r="46" spans="1:29" ht="17.45" customHeight="1">
      <c r="A46" s="764" t="s">
        <v>75</v>
      </c>
      <c r="B46" s="765"/>
      <c r="C46" s="163">
        <f>SUMIF($G$7:$G$31,"Gas",$F$7:$F$31)</f>
        <v>0</v>
      </c>
      <c r="D46" s="117">
        <f>+C46+'30'!D46</f>
        <v>3809</v>
      </c>
      <c r="E46" s="142">
        <f t="shared" si="12"/>
        <v>63.483333333333334</v>
      </c>
      <c r="F46" s="320"/>
      <c r="G46" s="321"/>
      <c r="H46" s="187" t="s">
        <v>76</v>
      </c>
      <c r="I46" s="139">
        <f>+SUMIF(Listrik!P38,"&gt;0")</f>
        <v>35605.019999999997</v>
      </c>
      <c r="J46" s="134">
        <f>+I46+'30'!J46</f>
        <v>1147373.379999999</v>
      </c>
      <c r="K46" s="129" t="s">
        <v>77</v>
      </c>
    </row>
    <row r="47" spans="1:29" ht="17.45" customHeight="1">
      <c r="A47" s="764" t="s">
        <v>78</v>
      </c>
      <c r="B47" s="765"/>
      <c r="C47" s="163">
        <f>SUMIF($G$7:$G$31,"Gas",$F$7:$F$31)</f>
        <v>0</v>
      </c>
      <c r="D47" s="117">
        <f>+C47+'30'!D47</f>
        <v>3809</v>
      </c>
      <c r="E47" s="142">
        <f t="shared" si="12"/>
        <v>63.483333333333334</v>
      </c>
      <c r="F47" s="320"/>
      <c r="G47" s="321"/>
      <c r="H47" s="187" t="s">
        <v>79</v>
      </c>
      <c r="I47" s="117">
        <f>I46/I38</f>
        <v>918.5310734463277</v>
      </c>
      <c r="J47" s="134">
        <f>J46/J38</f>
        <v>960.3717195187478</v>
      </c>
      <c r="K47" s="129" t="s">
        <v>23</v>
      </c>
    </row>
    <row r="48" spans="1:29" ht="17.45" customHeight="1">
      <c r="A48" s="764" t="s">
        <v>13</v>
      </c>
      <c r="B48" s="765"/>
      <c r="C48" s="163">
        <f>SUMIF($G$7:$G$31,"Start Up",$F$7:$F$31)</f>
        <v>0</v>
      </c>
      <c r="D48" s="117">
        <f>+C48+'30'!D48</f>
        <v>0</v>
      </c>
      <c r="E48" s="142">
        <f t="shared" si="12"/>
        <v>0</v>
      </c>
      <c r="F48" s="320"/>
      <c r="G48" s="321"/>
      <c r="H48" s="187" t="s">
        <v>80</v>
      </c>
      <c r="I48" s="117">
        <f>I46/I40</f>
        <v>962.55798864557971</v>
      </c>
      <c r="J48" s="134">
        <f>J46/J40</f>
        <v>997.26417857648755</v>
      </c>
      <c r="K48" s="129" t="s">
        <v>23</v>
      </c>
    </row>
    <row r="49" spans="1:23" ht="17.45" customHeight="1">
      <c r="A49" s="764" t="s">
        <v>19</v>
      </c>
      <c r="B49" s="765"/>
      <c r="C49" s="163">
        <f>SUMIF($G$7:$G$31,"Others",$F$7:$F$31)</f>
        <v>0</v>
      </c>
      <c r="D49" s="117">
        <f>+C49+'30'!D49</f>
        <v>169</v>
      </c>
      <c r="E49" s="142">
        <f t="shared" si="12"/>
        <v>2.8166666666666669</v>
      </c>
      <c r="F49" s="184"/>
      <c r="H49" s="187" t="s">
        <v>270</v>
      </c>
      <c r="I49" s="117">
        <f>+Report1!T39</f>
        <v>5669.165541992822</v>
      </c>
      <c r="J49" s="134">
        <f>+I49+'30'!J49</f>
        <v>138673.73346633554</v>
      </c>
      <c r="K49" s="129" t="s">
        <v>81</v>
      </c>
    </row>
    <row r="50" spans="1:23" ht="17.45" customHeight="1">
      <c r="A50" s="764" t="s">
        <v>18</v>
      </c>
      <c r="B50" s="765"/>
      <c r="C50" s="163">
        <f>SUMIF($G$7:$G$31,"Steam",$F$7:$F$31)</f>
        <v>0</v>
      </c>
      <c r="D50" s="117">
        <f>+C50+'30'!D50</f>
        <v>0</v>
      </c>
      <c r="E50" s="142">
        <f t="shared" si="12"/>
        <v>0</v>
      </c>
      <c r="F50" s="184"/>
      <c r="H50" s="187" t="s">
        <v>82</v>
      </c>
      <c r="I50" s="139">
        <f>I49/I38</f>
        <v>146.25198106423193</v>
      </c>
      <c r="J50" s="132">
        <f>J49/J38</f>
        <v>116.07235637726693</v>
      </c>
      <c r="K50" s="129" t="s">
        <v>81</v>
      </c>
    </row>
    <row r="51" spans="1:23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+C51+'30'!D51</f>
        <v>0</v>
      </c>
      <c r="E51" s="142">
        <f t="shared" si="12"/>
        <v>0</v>
      </c>
      <c r="F51" s="184"/>
      <c r="H51" s="189" t="s">
        <v>84</v>
      </c>
      <c r="I51" s="140">
        <f>I49/I40</f>
        <v>153.26211251670239</v>
      </c>
      <c r="J51" s="135">
        <f>J49/J40</f>
        <v>120.53124929169962</v>
      </c>
      <c r="K51" s="136" t="s">
        <v>81</v>
      </c>
    </row>
    <row r="52" spans="1:23" ht="13.5" thickBot="1">
      <c r="A52" s="762" t="s">
        <v>27</v>
      </c>
      <c r="B52" s="763"/>
      <c r="C52" s="143">
        <f>SUM(C38:C51)</f>
        <v>170</v>
      </c>
      <c r="D52" s="143">
        <f>SUM(D38:D51)</f>
        <v>10000</v>
      </c>
      <c r="E52" s="144">
        <f>SUM(E38:E51)</f>
        <v>166.66666666666669</v>
      </c>
      <c r="F52" s="184"/>
      <c r="H52" s="190"/>
      <c r="I52" s="191"/>
      <c r="J52" s="137"/>
      <c r="K52" s="138"/>
    </row>
    <row r="53" spans="1:23" ht="13.5" thickBot="1">
      <c r="A53" s="768"/>
      <c r="B53" s="769"/>
      <c r="C53" s="145">
        <f>C52/(24*60)</f>
        <v>0.11805555555555555</v>
      </c>
      <c r="D53" s="145">
        <f>D52/(24*60*G4)</f>
        <v>0.22401433691756273</v>
      </c>
      <c r="E53" s="146">
        <f>E52/(G4*24)</f>
        <v>0.22401433691756276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+D34+'30'!J56</f>
        <v>6150</v>
      </c>
      <c r="K56" s="200">
        <f>J56/(J40+J56/1000)/1000</f>
        <v>5.3169829623116683E-3</v>
      </c>
    </row>
    <row r="57" spans="1:23">
      <c r="A57" s="175"/>
      <c r="I57" s="198" t="s">
        <v>87</v>
      </c>
      <c r="J57" s="199">
        <f>+E34+'30'!J57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7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1" ht="15.75">
      <c r="A1" s="147"/>
    </row>
    <row r="2" spans="1:31" ht="15.75">
      <c r="A2" s="147" t="s">
        <v>183</v>
      </c>
    </row>
    <row r="3" spans="1:31" ht="15">
      <c r="A3" s="149"/>
    </row>
    <row r="4" spans="1:31" ht="20.25">
      <c r="A4" s="150" t="s">
        <v>3</v>
      </c>
      <c r="B4" s="151"/>
      <c r="F4" s="152" t="s">
        <v>28</v>
      </c>
      <c r="G4" s="153">
        <v>30</v>
      </c>
      <c r="H4" s="153" t="str">
        <f>+'1'!H4</f>
        <v>.01.26</v>
      </c>
    </row>
    <row r="5" spans="1:31" ht="13.5" thickBot="1">
      <c r="C5" s="154"/>
      <c r="D5" s="154"/>
    </row>
    <row r="6" spans="1:31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80" t="s">
        <v>91</v>
      </c>
      <c r="O6" s="420" t="s">
        <v>190</v>
      </c>
      <c r="P6" s="420" t="s">
        <v>190</v>
      </c>
      <c r="Q6" s="420" t="s">
        <v>191</v>
      </c>
      <c r="R6" s="420" t="s">
        <v>192</v>
      </c>
      <c r="S6" s="420" t="s">
        <v>193</v>
      </c>
      <c r="T6" s="420" t="s">
        <v>188</v>
      </c>
      <c r="U6" s="421" t="s">
        <v>194</v>
      </c>
      <c r="V6" s="420" t="s">
        <v>195</v>
      </c>
      <c r="W6" s="420" t="s">
        <v>189</v>
      </c>
      <c r="X6" s="148" t="s">
        <v>693</v>
      </c>
      <c r="Y6" s="148">
        <v>910</v>
      </c>
      <c r="Z6" s="148">
        <f>+Y6-(Y6*0.24)</f>
        <v>691.6</v>
      </c>
      <c r="AA6" s="148">
        <f>60+50</f>
        <v>110</v>
      </c>
      <c r="AB6" s="148">
        <f t="shared" ref="AB6:AB8" si="0">+Y6*AA6</f>
        <v>100100</v>
      </c>
      <c r="AC6" s="148">
        <f t="shared" ref="AC6:AC8" si="1">+Z6*AA6</f>
        <v>76076</v>
      </c>
      <c r="AD6" s="148">
        <f>+(1230-AE6)/1230</f>
        <v>0.28523035230352306</v>
      </c>
      <c r="AE6" s="148">
        <v>879.16666666666663</v>
      </c>
    </row>
    <row r="7" spans="1:31" ht="13.5" customHeight="1" thickBot="1">
      <c r="A7" s="750" t="s">
        <v>389</v>
      </c>
      <c r="B7" s="214" t="s">
        <v>699</v>
      </c>
      <c r="C7" s="215">
        <v>9513</v>
      </c>
      <c r="D7" s="216"/>
      <c r="E7" s="217"/>
      <c r="F7" s="226">
        <v>6</v>
      </c>
      <c r="G7" s="227" t="s">
        <v>11</v>
      </c>
      <c r="H7" s="228" t="s">
        <v>445</v>
      </c>
      <c r="I7" s="753" t="s">
        <v>713</v>
      </c>
      <c r="J7" s="213" t="str">
        <f>+'29'!J7</f>
        <v>T 13 VP OW</v>
      </c>
      <c r="K7" s="236"/>
      <c r="L7" s="240"/>
      <c r="M7" s="116">
        <f>+K7+'29'!M7+L7</f>
        <v>314476</v>
      </c>
      <c r="N7" s="422">
        <v>14.5</v>
      </c>
      <c r="O7" s="198">
        <v>1200</v>
      </c>
      <c r="P7" s="198">
        <v>1120</v>
      </c>
      <c r="Q7" s="198">
        <v>896</v>
      </c>
      <c r="R7" s="423">
        <f>1-(Q7/P7)</f>
        <v>0.19999999999999996</v>
      </c>
      <c r="S7" s="424">
        <v>45</v>
      </c>
      <c r="T7" s="425">
        <v>256.5</v>
      </c>
      <c r="U7" s="426">
        <f>(O7*(1-R7)*N7*T7*S7)/100000000</f>
        <v>1.606716</v>
      </c>
      <c r="V7" s="427">
        <f>+C14/1000</f>
        <v>9.5129999999999999</v>
      </c>
      <c r="W7" s="428">
        <f>SUM(V7:V9)/SUM(U7:U9)</f>
        <v>0.45544404286086082</v>
      </c>
      <c r="Y7" s="148">
        <v>870</v>
      </c>
      <c r="Z7" s="148">
        <f>+Y7-(Y7*0.24)</f>
        <v>661.2</v>
      </c>
      <c r="AA7" s="148">
        <f>480-AA6</f>
        <v>370</v>
      </c>
      <c r="AB7" s="148">
        <f t="shared" si="0"/>
        <v>321900</v>
      </c>
      <c r="AC7" s="148">
        <f t="shared" si="1"/>
        <v>244644.00000000003</v>
      </c>
      <c r="AD7" s="148">
        <f>+AD6*(480)</f>
        <v>136.91056910569108</v>
      </c>
    </row>
    <row r="8" spans="1:31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+'29'!J8</f>
        <v>F 12 VP OW</v>
      </c>
      <c r="K8" s="237"/>
      <c r="L8" s="237"/>
      <c r="M8" s="116">
        <f>+K8+'29'!M8+L8</f>
        <v>253437</v>
      </c>
      <c r="N8" s="422">
        <v>18</v>
      </c>
      <c r="O8" s="198">
        <v>1200</v>
      </c>
      <c r="P8" s="198">
        <v>930</v>
      </c>
      <c r="Q8" s="198">
        <v>744</v>
      </c>
      <c r="R8" s="423">
        <f>1-(Q8/P8)</f>
        <v>0.19999999999999996</v>
      </c>
      <c r="S8" s="424">
        <f>480-S7</f>
        <v>435</v>
      </c>
      <c r="T8" s="425">
        <v>256.5</v>
      </c>
      <c r="U8" s="426">
        <f>(O8*(1-R8)*N8*T8*S8)/100000000</f>
        <v>19.280591999999999</v>
      </c>
      <c r="V8" s="427"/>
      <c r="W8" s="429"/>
      <c r="Z8" s="148">
        <f t="shared" ref="Z8" si="2">+Y8-(Y8*0.24)</f>
        <v>0</v>
      </c>
      <c r="AB8" s="148">
        <f t="shared" si="0"/>
        <v>0</v>
      </c>
      <c r="AC8" s="148">
        <f t="shared" si="1"/>
        <v>0</v>
      </c>
      <c r="AD8" s="148">
        <f>+AD7</f>
        <v>136.91056910569108</v>
      </c>
    </row>
    <row r="9" spans="1:31" ht="13.5" thickBot="1">
      <c r="A9" s="751"/>
      <c r="B9" s="214"/>
      <c r="C9" s="215"/>
      <c r="D9" s="216"/>
      <c r="E9" s="219"/>
      <c r="F9" s="226">
        <v>10</v>
      </c>
      <c r="G9" s="230" t="s">
        <v>11</v>
      </c>
      <c r="H9" s="231" t="s">
        <v>665</v>
      </c>
      <c r="I9" s="754"/>
      <c r="J9" s="213" t="str">
        <f>+'29'!J9</f>
        <v>F 13,5 VP OW</v>
      </c>
      <c r="K9" s="237"/>
      <c r="L9" s="237"/>
      <c r="M9" s="116">
        <f>+K9+'29'!M9+L9</f>
        <v>216723</v>
      </c>
      <c r="N9" s="430"/>
    </row>
    <row r="10" spans="1:31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709</v>
      </c>
      <c r="I10" s="754"/>
      <c r="J10" s="213" t="str">
        <f>+'29'!J10</f>
        <v>F 12,5 VP OW</v>
      </c>
      <c r="K10" s="237"/>
      <c r="L10" s="237"/>
      <c r="M10" s="116">
        <f>+K10+'29'!M10+L10</f>
        <v>50678</v>
      </c>
      <c r="N10" s="430"/>
    </row>
    <row r="11" spans="1:31" ht="26.25" thickBot="1">
      <c r="A11" s="751"/>
      <c r="B11" s="214"/>
      <c r="C11" s="215"/>
      <c r="D11" s="216"/>
      <c r="E11" s="218"/>
      <c r="F11" s="226">
        <v>137</v>
      </c>
      <c r="G11" s="230" t="s">
        <v>75</v>
      </c>
      <c r="H11" s="231" t="s">
        <v>710</v>
      </c>
      <c r="I11" s="754"/>
      <c r="J11" s="213" t="str">
        <f>+'29'!J11</f>
        <v>F 14 VP OW</v>
      </c>
      <c r="K11" s="237"/>
      <c r="L11" s="237"/>
      <c r="M11" s="116">
        <f>+K11+'29'!M11+L11</f>
        <v>20374</v>
      </c>
      <c r="N11" s="430"/>
    </row>
    <row r="12" spans="1:31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+'29'!J12</f>
        <v>F 13 VP OW</v>
      </c>
      <c r="K12" s="237"/>
      <c r="L12" s="237"/>
      <c r="M12" s="116">
        <f>+K12+'29'!M12+L12</f>
        <v>154935</v>
      </c>
      <c r="N12" s="430"/>
    </row>
    <row r="13" spans="1:31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+'29'!J13</f>
        <v>F 16 VP OW</v>
      </c>
      <c r="K13" s="237"/>
      <c r="L13" s="237"/>
      <c r="M13" s="116">
        <f>+K13+'29'!M13+L13</f>
        <v>40814</v>
      </c>
      <c r="N13" s="431"/>
      <c r="O13" s="432"/>
      <c r="P13" s="432"/>
      <c r="Q13" s="432"/>
      <c r="R13" s="432"/>
      <c r="S13" s="432"/>
      <c r="T13" s="432"/>
      <c r="U13" s="432"/>
      <c r="V13" s="432"/>
      <c r="W13" s="432"/>
    </row>
    <row r="14" spans="1:31" ht="13.5" thickBot="1">
      <c r="A14" s="752"/>
      <c r="B14" s="164" t="s">
        <v>2</v>
      </c>
      <c r="C14" s="98">
        <f>SUM(C7:C13)</f>
        <v>9513</v>
      </c>
      <c r="D14" s="110">
        <f>SUM(D7:D13)</f>
        <v>0</v>
      </c>
      <c r="E14" s="111">
        <f>SUM(E5:E13)</f>
        <v>0</v>
      </c>
      <c r="F14" s="115">
        <f>SUM(F7:F13)</f>
        <v>153</v>
      </c>
      <c r="G14" s="158"/>
      <c r="H14" s="165"/>
      <c r="I14" s="166"/>
      <c r="J14" s="213" t="str">
        <f>+'29'!J14</f>
        <v>F 11 VP OW</v>
      </c>
      <c r="K14" s="237"/>
      <c r="L14" s="237"/>
      <c r="M14" s="116">
        <f>+K14+'29'!M14+L14</f>
        <v>10313</v>
      </c>
      <c r="AA14" s="175">
        <f>SUM(AA6:AA11)</f>
        <v>480</v>
      </c>
      <c r="AB14" s="175">
        <f>SUM(AB6:AB11)</f>
        <v>422000</v>
      </c>
      <c r="AC14" s="175">
        <f>SUM(AC6:AC11)</f>
        <v>320720</v>
      </c>
    </row>
    <row r="15" spans="1:31" ht="13.5" customHeight="1" thickBot="1">
      <c r="A15" s="750" t="s">
        <v>414</v>
      </c>
      <c r="B15" s="164"/>
      <c r="C15" s="112">
        <f>C14/($C$23+$D$23+$E$23)</f>
        <v>0.93173359451518123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445</v>
      </c>
      <c r="I15" s="753" t="s">
        <v>712</v>
      </c>
      <c r="J15" s="213" t="str">
        <f>+'29'!J15</f>
        <v>T 12,5 VP OW</v>
      </c>
      <c r="K15" s="237">
        <f>+C34</f>
        <v>33452</v>
      </c>
      <c r="L15" s="237"/>
      <c r="M15" s="116">
        <f>+K15+'29'!M15+L15</f>
        <v>51781</v>
      </c>
      <c r="N15" s="422">
        <v>18</v>
      </c>
      <c r="O15" s="198">
        <v>1200</v>
      </c>
      <c r="P15" s="198">
        <v>850</v>
      </c>
      <c r="Q15" s="198">
        <v>680</v>
      </c>
      <c r="R15" s="423">
        <f>1-(Q15/P15)</f>
        <v>0.19999999999999996</v>
      </c>
      <c r="S15" s="424">
        <v>480</v>
      </c>
      <c r="T15" s="425">
        <v>256.5</v>
      </c>
      <c r="U15" s="426">
        <f>(O15*(1-R15)*N15*T15*S15)/100000000</f>
        <v>21.275136</v>
      </c>
      <c r="V15" s="427">
        <f>+C23/1000</f>
        <v>10.210000000000001</v>
      </c>
      <c r="W15" s="428">
        <f>SUM(V15:V17)/SUM(U15:U17)</f>
        <v>0.4799029251798908</v>
      </c>
      <c r="AA15" s="148">
        <f>480-AA14</f>
        <v>0</v>
      </c>
      <c r="AB15" s="175">
        <f>+AB14/AA14</f>
        <v>879.16666666666663</v>
      </c>
      <c r="AC15" s="175">
        <f>+AC14/AA14</f>
        <v>668.16666666666663</v>
      </c>
    </row>
    <row r="16" spans="1:31" ht="13.5" thickBot="1">
      <c r="A16" s="756"/>
      <c r="B16" s="214" t="s">
        <v>699</v>
      </c>
      <c r="C16" s="220">
        <v>10210</v>
      </c>
      <c r="D16" s="221"/>
      <c r="E16" s="222"/>
      <c r="F16" s="226"/>
      <c r="G16" s="230" t="s">
        <v>11</v>
      </c>
      <c r="H16" s="228" t="s">
        <v>427</v>
      </c>
      <c r="I16" s="754"/>
      <c r="J16" s="213">
        <f>+'29'!J16</f>
        <v>0</v>
      </c>
      <c r="K16" s="227"/>
      <c r="L16" s="227"/>
      <c r="M16" s="116">
        <f>+K16+'29'!M16+L16</f>
        <v>0</v>
      </c>
      <c r="N16" s="433"/>
      <c r="O16" s="198"/>
      <c r="P16" s="198"/>
      <c r="Q16" s="434"/>
      <c r="R16" s="423"/>
      <c r="S16" s="198"/>
      <c r="T16" s="425"/>
      <c r="U16" s="426"/>
      <c r="V16" s="427"/>
      <c r="W16" s="429"/>
    </row>
    <row r="17" spans="1:31" ht="13.5" thickBot="1">
      <c r="A17" s="756"/>
      <c r="B17" s="214"/>
      <c r="C17" s="215"/>
      <c r="D17" s="216"/>
      <c r="E17" s="223"/>
      <c r="F17" s="226">
        <v>10</v>
      </c>
      <c r="G17" s="230" t="s">
        <v>11</v>
      </c>
      <c r="H17" s="231" t="s">
        <v>386</v>
      </c>
      <c r="I17" s="754"/>
      <c r="J17" s="213">
        <f>+'29'!J17</f>
        <v>0</v>
      </c>
      <c r="K17" s="227"/>
      <c r="L17" s="227"/>
      <c r="M17" s="116">
        <f>+K17+'29'!M17+L17</f>
        <v>0</v>
      </c>
      <c r="N17" s="430"/>
      <c r="O17" s="198"/>
      <c r="R17" s="423"/>
      <c r="T17" s="425"/>
      <c r="U17" s="426"/>
      <c r="X17" s="148" t="s">
        <v>693</v>
      </c>
      <c r="Y17" s="148">
        <v>870</v>
      </c>
      <c r="Z17" s="148">
        <f>+Y17-(Y17*0.24)</f>
        <v>661.2</v>
      </c>
      <c r="AA17" s="148">
        <v>280</v>
      </c>
      <c r="AB17" s="148">
        <f t="shared" ref="AB17:AB19" si="3">+Y17*AA17</f>
        <v>243600</v>
      </c>
      <c r="AC17" s="148">
        <f t="shared" ref="AC17:AC19" si="4">+Z17*AA17</f>
        <v>185136</v>
      </c>
      <c r="AD17" s="148">
        <f>+(1230-AE17)/1230</f>
        <v>0.21476964769647694</v>
      </c>
      <c r="AE17" s="148">
        <v>965.83333333333337</v>
      </c>
    </row>
    <row r="18" spans="1:31" ht="26.25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707</v>
      </c>
      <c r="I18" s="754"/>
      <c r="J18" s="213">
        <f>+'29'!J18</f>
        <v>0</v>
      </c>
      <c r="K18" s="237"/>
      <c r="L18" s="237"/>
      <c r="M18" s="116">
        <f>+K18+'29'!M18+L18</f>
        <v>0</v>
      </c>
      <c r="N18" s="430"/>
      <c r="Y18" s="148">
        <v>1100</v>
      </c>
      <c r="Z18" s="148">
        <f>+Y18-(Y18*0.24)</f>
        <v>836</v>
      </c>
      <c r="AA18" s="148">
        <f>480-AA17</f>
        <v>200</v>
      </c>
      <c r="AB18" s="148">
        <f t="shared" si="3"/>
        <v>220000</v>
      </c>
      <c r="AC18" s="148">
        <f t="shared" si="4"/>
        <v>167200</v>
      </c>
      <c r="AD18" s="148">
        <f>+AD17*(480)</f>
        <v>103.08943089430893</v>
      </c>
    </row>
    <row r="19" spans="1:31" ht="51.75" thickBot="1">
      <c r="A19" s="756"/>
      <c r="B19" s="214"/>
      <c r="C19" s="215"/>
      <c r="D19" s="216"/>
      <c r="E19" s="223"/>
      <c r="F19" s="233">
        <v>103</v>
      </c>
      <c r="G19" s="230" t="s">
        <v>718</v>
      </c>
      <c r="H19" s="231" t="s">
        <v>708</v>
      </c>
      <c r="I19" s="754"/>
      <c r="J19" s="213">
        <f>+'29'!J19</f>
        <v>0</v>
      </c>
      <c r="K19" s="237"/>
      <c r="L19" s="237"/>
      <c r="M19" s="116">
        <f>+K19+'29'!M19+L19</f>
        <v>0</v>
      </c>
      <c r="N19" s="430"/>
      <c r="Z19" s="148">
        <f t="shared" ref="Z19" si="5">+Y19-(Y19*0.24)</f>
        <v>0</v>
      </c>
      <c r="AB19" s="148">
        <f t="shared" si="3"/>
        <v>0</v>
      </c>
      <c r="AC19" s="148">
        <f t="shared" si="4"/>
        <v>0</v>
      </c>
      <c r="AD19" s="148">
        <f>+AD18</f>
        <v>103.08943089430893</v>
      </c>
    </row>
    <row r="20" spans="1:31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+'29'!J20</f>
        <v>0</v>
      </c>
      <c r="K20" s="238"/>
      <c r="L20" s="238"/>
      <c r="M20" s="116">
        <f>+K20+'29'!M20+L20</f>
        <v>0</v>
      </c>
      <c r="N20" s="430"/>
    </row>
    <row r="21" spans="1:31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+'29'!J21</f>
        <v>0</v>
      </c>
      <c r="K21" s="237"/>
      <c r="L21" s="237"/>
      <c r="M21" s="116">
        <f>+K21+'29'!M21+L21</f>
        <v>0</v>
      </c>
      <c r="N21" s="431"/>
      <c r="O21" s="432"/>
      <c r="P21" s="432"/>
      <c r="Q21" s="432"/>
      <c r="R21" s="432"/>
      <c r="S21" s="432"/>
      <c r="T21" s="432"/>
      <c r="U21" s="432"/>
      <c r="V21" s="432"/>
      <c r="W21" s="432"/>
    </row>
    <row r="22" spans="1:31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+'29'!J22</f>
        <v>0</v>
      </c>
      <c r="K22" s="237"/>
      <c r="L22" s="237"/>
      <c r="M22" s="116">
        <f>+K22+'29'!M22+L22</f>
        <v>0</v>
      </c>
    </row>
    <row r="23" spans="1:31" ht="13.5" thickBot="1">
      <c r="A23" s="757"/>
      <c r="B23" s="167" t="s">
        <v>2</v>
      </c>
      <c r="C23" s="99">
        <f>SUM(C16:C22)</f>
        <v>10210</v>
      </c>
      <c r="D23" s="110">
        <f>SUM(D16:D22)</f>
        <v>0</v>
      </c>
      <c r="E23" s="111">
        <f>SUM(E18:E22)</f>
        <v>0</v>
      </c>
      <c r="F23" s="115">
        <f>SUM(F15:F22)</f>
        <v>119</v>
      </c>
      <c r="G23" s="158"/>
      <c r="H23" s="165"/>
      <c r="I23" s="168"/>
      <c r="J23" s="213">
        <f>+'29'!J23</f>
        <v>0</v>
      </c>
      <c r="K23" s="237"/>
      <c r="L23" s="237"/>
      <c r="M23" s="116">
        <f>+K23+'29'!M23+L23</f>
        <v>0</v>
      </c>
      <c r="N23" s="435"/>
      <c r="O23" s="436"/>
      <c r="P23" s="436"/>
      <c r="Q23" s="436"/>
      <c r="R23" s="436"/>
      <c r="S23" s="436"/>
      <c r="T23" s="436"/>
      <c r="U23" s="436"/>
      <c r="V23" s="436"/>
      <c r="W23" s="436"/>
    </row>
    <row r="24" spans="1:31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34">
        <v>6</v>
      </c>
      <c r="G24" s="227" t="s">
        <v>11</v>
      </c>
      <c r="H24" s="228" t="s">
        <v>445</v>
      </c>
      <c r="I24" s="753" t="s">
        <v>711</v>
      </c>
      <c r="J24" s="213">
        <f>+'29'!J24</f>
        <v>0</v>
      </c>
      <c r="K24" s="237"/>
      <c r="L24" s="237"/>
      <c r="M24" s="116">
        <f>+K24+'29'!M24+L24</f>
        <v>0</v>
      </c>
      <c r="N24" s="422">
        <v>18</v>
      </c>
      <c r="O24" s="198">
        <v>1200</v>
      </c>
      <c r="P24" s="198">
        <v>770</v>
      </c>
      <c r="Q24" s="198">
        <v>616</v>
      </c>
      <c r="R24" s="423">
        <f>1-(Q24/P24)</f>
        <v>0.19999999999999996</v>
      </c>
      <c r="S24" s="424">
        <v>480</v>
      </c>
      <c r="T24" s="425">
        <v>256.5</v>
      </c>
      <c r="U24" s="426">
        <f>(O24*(1-R24)*N24*T24*S24)/100000000</f>
        <v>21.275136</v>
      </c>
      <c r="V24" s="427">
        <f>+C32/1000</f>
        <v>13.728999999999999</v>
      </c>
      <c r="W24" s="428">
        <f>SUM(V24:V25)/SUM(U24:U25)</f>
        <v>0.64530727324140247</v>
      </c>
    </row>
    <row r="25" spans="1:31" ht="13.5" thickBot="1">
      <c r="A25" s="756"/>
      <c r="B25" s="214" t="s">
        <v>699</v>
      </c>
      <c r="C25" s="224">
        <v>13729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+'29'!J25</f>
        <v>0</v>
      </c>
      <c r="K25" s="237"/>
      <c r="L25" s="237"/>
      <c r="M25" s="116">
        <f>+K25+'29'!M25+L25</f>
        <v>0</v>
      </c>
      <c r="N25" s="422"/>
      <c r="O25" s="198"/>
      <c r="P25" s="198"/>
      <c r="Q25" s="198"/>
      <c r="R25" s="423"/>
      <c r="S25" s="424"/>
      <c r="T25" s="425"/>
      <c r="U25" s="426"/>
      <c r="V25" s="427"/>
      <c r="W25" s="428"/>
      <c r="AA25" s="175">
        <f>SUM(AA17:AA22)</f>
        <v>480</v>
      </c>
      <c r="AB25" s="175">
        <f>SUM(AB17:AB22)</f>
        <v>463600</v>
      </c>
      <c r="AC25" s="175">
        <f>SUM(AC17:AC22)</f>
        <v>352336</v>
      </c>
    </row>
    <row r="26" spans="1:31" ht="13.5" thickBot="1">
      <c r="A26" s="756"/>
      <c r="B26" s="214"/>
      <c r="C26" s="224"/>
      <c r="D26" s="216"/>
      <c r="E26" s="225"/>
      <c r="F26" s="229">
        <v>13</v>
      </c>
      <c r="G26" s="230" t="s">
        <v>11</v>
      </c>
      <c r="H26" s="231" t="s">
        <v>409</v>
      </c>
      <c r="I26" s="754"/>
      <c r="J26" s="213">
        <f>+'29'!J26</f>
        <v>0</v>
      </c>
      <c r="K26" s="237"/>
      <c r="L26" s="237"/>
      <c r="M26" s="116">
        <f>+K26+'29'!M26+L26</f>
        <v>0</v>
      </c>
      <c r="AA26" s="148">
        <f>480-AA25</f>
        <v>0</v>
      </c>
      <c r="AB26" s="175">
        <f>+AB25/AA25</f>
        <v>965.83333333333337</v>
      </c>
      <c r="AC26" s="175">
        <f>+AC25/AA25</f>
        <v>734.0333333333333</v>
      </c>
    </row>
    <row r="27" spans="1:31" ht="51.75" thickBot="1">
      <c r="A27" s="756"/>
      <c r="B27" s="214"/>
      <c r="C27" s="215"/>
      <c r="D27" s="216"/>
      <c r="E27" s="223"/>
      <c r="F27" s="229"/>
      <c r="G27" s="235" t="s">
        <v>12</v>
      </c>
      <c r="H27" s="231" t="s">
        <v>705</v>
      </c>
      <c r="I27" s="754"/>
      <c r="J27" s="213">
        <f>+'29'!J27</f>
        <v>0</v>
      </c>
      <c r="K27" s="237"/>
      <c r="L27" s="237"/>
      <c r="M27" s="116">
        <f>+K27+'29'!M27+L27</f>
        <v>0</v>
      </c>
      <c r="X27" s="148" t="s">
        <v>693</v>
      </c>
      <c r="Y27" s="148">
        <v>1100</v>
      </c>
      <c r="Z27" s="148">
        <f>+Y27-(Y27*0.24)</f>
        <v>836</v>
      </c>
      <c r="AA27" s="148">
        <v>60</v>
      </c>
      <c r="AB27" s="148">
        <f t="shared" ref="AB27:AB29" si="6">+Y27*AA27</f>
        <v>66000</v>
      </c>
      <c r="AC27" s="148">
        <f t="shared" ref="AC27:AC29" si="7">+Z27*AA27</f>
        <v>50160</v>
      </c>
      <c r="AD27" s="148">
        <f>+(1230-AE27)/1230</f>
        <v>3.5476718403547755E-2</v>
      </c>
      <c r="AE27" s="148">
        <v>1186.3636363636363</v>
      </c>
    </row>
    <row r="28" spans="1:31" ht="84" customHeight="1" thickBot="1">
      <c r="A28" s="756"/>
      <c r="B28" s="214"/>
      <c r="C28" s="215"/>
      <c r="D28" s="216"/>
      <c r="E28" s="223"/>
      <c r="F28" s="229">
        <v>40</v>
      </c>
      <c r="G28" s="230" t="s">
        <v>67</v>
      </c>
      <c r="H28" s="231" t="s">
        <v>706</v>
      </c>
      <c r="I28" s="754"/>
      <c r="J28" s="213">
        <f>+'29'!J28</f>
        <v>0</v>
      </c>
      <c r="K28" s="237"/>
      <c r="L28" s="237"/>
      <c r="M28" s="116">
        <f>+K28+'29'!M28+L28</f>
        <v>0</v>
      </c>
      <c r="Y28" s="148">
        <v>1200</v>
      </c>
      <c r="Z28" s="148">
        <f>+Y28-(Y28*0.24)</f>
        <v>912</v>
      </c>
      <c r="AA28" s="148">
        <f>480-AA27-40</f>
        <v>380</v>
      </c>
      <c r="AB28" s="148">
        <f t="shared" si="6"/>
        <v>456000</v>
      </c>
      <c r="AC28" s="148">
        <f t="shared" si="7"/>
        <v>346560</v>
      </c>
      <c r="AD28" s="148">
        <f>+AD27*(480)</f>
        <v>17.028824833702924</v>
      </c>
    </row>
    <row r="29" spans="1:31" ht="13.5" thickBot="1">
      <c r="A29" s="756"/>
      <c r="B29" s="214"/>
      <c r="C29" s="215"/>
      <c r="D29" s="216"/>
      <c r="E29" s="223"/>
      <c r="F29" s="234">
        <v>17</v>
      </c>
      <c r="G29" s="230" t="s">
        <v>75</v>
      </c>
      <c r="H29" s="231"/>
      <c r="I29" s="754"/>
      <c r="J29" s="213">
        <f>+'29'!J29</f>
        <v>0</v>
      </c>
      <c r="K29" s="237"/>
      <c r="L29" s="237"/>
      <c r="M29" s="116">
        <f>+K29+'29'!M29+L29</f>
        <v>0</v>
      </c>
      <c r="Z29" s="148">
        <f t="shared" ref="Z29" si="8">+Y29-(Y29*0.24)</f>
        <v>0</v>
      </c>
      <c r="AB29" s="148">
        <f t="shared" si="6"/>
        <v>0</v>
      </c>
      <c r="AC29" s="148">
        <f t="shared" si="7"/>
        <v>0</v>
      </c>
      <c r="AD29" s="148">
        <f>+AD28</f>
        <v>17.028824833702924</v>
      </c>
    </row>
    <row r="30" spans="1:31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+'29'!J30</f>
        <v>0</v>
      </c>
      <c r="K30" s="237"/>
      <c r="L30" s="237"/>
      <c r="M30" s="116">
        <f>+K30+'29'!M30+L30</f>
        <v>0</v>
      </c>
      <c r="N30" s="154"/>
    </row>
    <row r="31" spans="1:31" ht="13.5" thickBot="1">
      <c r="A31" s="756"/>
      <c r="B31" s="214"/>
      <c r="C31" s="224"/>
      <c r="D31" s="216"/>
      <c r="E31" s="223"/>
      <c r="F31" s="234"/>
      <c r="G31" s="235"/>
      <c r="H31" s="232"/>
      <c r="I31" s="755"/>
      <c r="J31" s="213">
        <f>+'29'!J31</f>
        <v>0</v>
      </c>
      <c r="K31" s="237"/>
      <c r="L31" s="237"/>
      <c r="M31" s="116">
        <f>+K31+'29'!M31+L31</f>
        <v>0</v>
      </c>
    </row>
    <row r="32" spans="1:31" ht="13.5" thickBot="1">
      <c r="A32" s="757"/>
      <c r="B32" s="164" t="s">
        <v>2</v>
      </c>
      <c r="C32" s="98">
        <f>SUM(C25:C31)</f>
        <v>13729</v>
      </c>
      <c r="D32" s="99">
        <f>SUM(D25:D31)</f>
        <v>0</v>
      </c>
      <c r="E32" s="100">
        <f>SUM(E25:E31)</f>
        <v>0</v>
      </c>
      <c r="F32" s="101">
        <f>SUM(F24:F31)</f>
        <v>76</v>
      </c>
      <c r="G32" s="170"/>
      <c r="H32" s="171"/>
      <c r="I32" s="168"/>
      <c r="J32" s="213">
        <f>+'29'!J32</f>
        <v>0</v>
      </c>
      <c r="K32" s="239"/>
      <c r="L32" s="241"/>
      <c r="M32" s="116">
        <f>+K32+'29'!M32+L32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8" t="s">
        <v>56</v>
      </c>
      <c r="B34" s="759"/>
      <c r="C34" s="106">
        <f>C14+C23+C32</f>
        <v>33452</v>
      </c>
      <c r="D34" s="106">
        <f>D14+D23+D32</f>
        <v>0</v>
      </c>
      <c r="E34" s="106">
        <f>E14+E23+E32</f>
        <v>0</v>
      </c>
      <c r="F34" s="107">
        <f>F14+F23+F32</f>
        <v>348</v>
      </c>
      <c r="H34" s="177"/>
      <c r="I34" s="177"/>
      <c r="J34" s="122" t="s">
        <v>27</v>
      </c>
      <c r="K34" s="123">
        <f>SUM(K7:K32)</f>
        <v>33452</v>
      </c>
      <c r="L34" s="211">
        <f>SUM(L7:L32)</f>
        <v>0</v>
      </c>
      <c r="M34" s="119">
        <f>SUM(M7:M32)</f>
        <v>1113531</v>
      </c>
      <c r="N34" s="154"/>
    </row>
    <row r="35" spans="1:2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AA35" s="175">
        <f>SUM(AA27:AA32)</f>
        <v>440</v>
      </c>
      <c r="AB35" s="175">
        <f>SUM(AB27:AB32)</f>
        <v>522000</v>
      </c>
      <c r="AC35" s="175">
        <f>SUM(AC27:AC32)</f>
        <v>396720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AA36" s="148">
        <f>480-AA35</f>
        <v>40</v>
      </c>
      <c r="AB36" s="175">
        <f>+AB35/AA35</f>
        <v>1186.3636363636363</v>
      </c>
      <c r="AC36" s="175">
        <f>+AC35/AA35</f>
        <v>901.63636363636363</v>
      </c>
    </row>
    <row r="37" spans="1:2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(12.5*1400)/1400*G42*2.74*1400/1000000</f>
        <v>36.639828000000001</v>
      </c>
      <c r="J37" s="124">
        <f>+I37+'29'!J37</f>
        <v>1269.2725724960039</v>
      </c>
      <c r="K37" s="125" t="s">
        <v>62</v>
      </c>
    </row>
    <row r="38" spans="1:29" ht="17.45" customHeight="1">
      <c r="A38" s="762" t="s">
        <v>11</v>
      </c>
      <c r="B38" s="763"/>
      <c r="C38" s="163">
        <f>SUMIF($G$7:$G$31,"Process",$F$7:$F$31)</f>
        <v>51</v>
      </c>
      <c r="D38" s="117">
        <f>+C38+'29'!D38</f>
        <v>1908</v>
      </c>
      <c r="E38" s="142">
        <f t="shared" ref="E38:E51" si="9">D38/60</f>
        <v>31.8</v>
      </c>
      <c r="F38" s="320">
        <v>879.16666666666663</v>
      </c>
      <c r="G38" s="320">
        <v>668.16666666666663</v>
      </c>
      <c r="H38" s="186" t="s">
        <v>63</v>
      </c>
      <c r="I38" s="243">
        <f>10.275+11.444+13.457</f>
        <v>35.176000000000002</v>
      </c>
      <c r="J38" s="126">
        <f>+I38+'29'!J38</f>
        <v>1155.9549999999997</v>
      </c>
      <c r="K38" s="127" t="s">
        <v>62</v>
      </c>
    </row>
    <row r="39" spans="1:29" ht="17.45" customHeight="1">
      <c r="A39" s="764" t="s">
        <v>12</v>
      </c>
      <c r="B39" s="765"/>
      <c r="C39" s="163">
        <f>SUMIF($G$7:$G$31,"Cleaning",$F$7:$F$31)</f>
        <v>0</v>
      </c>
      <c r="D39" s="117">
        <f>+C39+'29'!D39</f>
        <v>8</v>
      </c>
      <c r="E39" s="142">
        <f t="shared" si="9"/>
        <v>0.13333333333333333</v>
      </c>
      <c r="F39" s="320">
        <v>965.83333333333337</v>
      </c>
      <c r="G39" s="320">
        <v>734.0333333333333</v>
      </c>
      <c r="H39" s="186" t="s">
        <v>64</v>
      </c>
      <c r="I39" s="141"/>
      <c r="J39" s="128">
        <f>J37/G4</f>
        <v>42.309085749866796</v>
      </c>
      <c r="K39" s="129" t="s">
        <v>62</v>
      </c>
      <c r="M39" s="148">
        <v>480</v>
      </c>
    </row>
    <row r="40" spans="1:29" ht="17.45" customHeight="1">
      <c r="A40" s="764" t="s">
        <v>65</v>
      </c>
      <c r="B40" s="765"/>
      <c r="C40" s="163">
        <f>SUMIF($G$7:$G$31,"Mechanical",$F$7:$F$31)</f>
        <v>0</v>
      </c>
      <c r="D40" s="117">
        <f>+C40+'29'!D40</f>
        <v>0</v>
      </c>
      <c r="E40" s="142">
        <f t="shared" si="9"/>
        <v>0</v>
      </c>
      <c r="F40" s="320">
        <v>1186.3636363636363</v>
      </c>
      <c r="G40" s="320">
        <v>901.63636363636363</v>
      </c>
      <c r="H40" s="186" t="s">
        <v>66</v>
      </c>
      <c r="I40" s="117">
        <f>(K34+L34)/1000</f>
        <v>33.451999999999998</v>
      </c>
      <c r="J40" s="130">
        <f>+I40+'29'!J40</f>
        <v>1113.5309999999999</v>
      </c>
      <c r="K40" s="129" t="s">
        <v>62</v>
      </c>
      <c r="M40" s="148">
        <v>480</v>
      </c>
    </row>
    <row r="41" spans="1:29" ht="17.45" customHeight="1">
      <c r="A41" s="764" t="s">
        <v>67</v>
      </c>
      <c r="B41" s="765"/>
      <c r="C41" s="163">
        <f>SUMIF($G$7:$G$31,"Electrical",$F$7:$F$31)</f>
        <v>40</v>
      </c>
      <c r="D41" s="117">
        <f>+C41+'29'!D41</f>
        <v>127</v>
      </c>
      <c r="E41" s="142">
        <f t="shared" si="9"/>
        <v>2.1166666666666667</v>
      </c>
      <c r="F41" s="320"/>
      <c r="G41" s="320"/>
      <c r="H41" s="186" t="s">
        <v>68</v>
      </c>
      <c r="I41" s="141"/>
      <c r="J41" s="128">
        <f>J40/G4</f>
        <v>37.117699999999999</v>
      </c>
      <c r="K41" s="129" t="s">
        <v>62</v>
      </c>
      <c r="M41" s="148">
        <v>440</v>
      </c>
    </row>
    <row r="42" spans="1:29" ht="17.45" customHeight="1">
      <c r="A42" s="764" t="s">
        <v>15</v>
      </c>
      <c r="B42" s="765"/>
      <c r="C42" s="163">
        <f>SUMIF($G$7:$G$31,"Instrument",$F$7:$F$31)</f>
        <v>0</v>
      </c>
      <c r="D42" s="117">
        <f>+C42+'29'!D42</f>
        <v>0</v>
      </c>
      <c r="E42" s="142">
        <f t="shared" si="9"/>
        <v>0</v>
      </c>
      <c r="F42" s="320">
        <f>+(480*F38+480*F39+440*F40)/1400</f>
        <v>1005.4285714285714</v>
      </c>
      <c r="G42" s="320">
        <f>+(480*G38+480*G39+440*G40)/1400</f>
        <v>764.12571428571425</v>
      </c>
      <c r="H42" s="186" t="s">
        <v>69</v>
      </c>
      <c r="I42" s="244" t="s">
        <v>714</v>
      </c>
      <c r="J42" s="131"/>
      <c r="K42" s="129" t="s">
        <v>70</v>
      </c>
      <c r="M42" s="148">
        <f>SUM(M39:M41)</f>
        <v>1400</v>
      </c>
    </row>
    <row r="43" spans="1:29" ht="17.45" customHeight="1">
      <c r="A43" s="764" t="s">
        <v>71</v>
      </c>
      <c r="B43" s="765"/>
      <c r="C43" s="163">
        <f>SUMIF($G$7:$G$31,"Water",$F$7:$F$31)</f>
        <v>0</v>
      </c>
      <c r="D43" s="117">
        <f>+C43+'29'!D43</f>
        <v>0</v>
      </c>
      <c r="E43" s="142">
        <f t="shared" si="9"/>
        <v>0</v>
      </c>
      <c r="F43" s="320"/>
      <c r="G43" s="321"/>
      <c r="H43" s="187" t="s">
        <v>72</v>
      </c>
      <c r="I43" s="117">
        <f>+Report1!Z38</f>
        <v>49.9</v>
      </c>
      <c r="J43" s="132">
        <f>+I43+'29'!J43</f>
        <v>1545.4</v>
      </c>
      <c r="K43" s="129" t="s">
        <v>62</v>
      </c>
      <c r="L43" s="188"/>
    </row>
    <row r="44" spans="1:29" ht="17.45" customHeight="1">
      <c r="A44" s="764" t="s">
        <v>16</v>
      </c>
      <c r="B44" s="765"/>
      <c r="C44" s="163">
        <f>SUMIF($G$7:$G$31,"PLN",$F$7:$F$31)</f>
        <v>0</v>
      </c>
      <c r="D44" s="117">
        <f>+C44+'29'!D44</f>
        <v>0</v>
      </c>
      <c r="E44" s="142">
        <f t="shared" si="9"/>
        <v>0</v>
      </c>
      <c r="F44" s="320"/>
      <c r="G44" s="321"/>
      <c r="H44" s="187" t="s">
        <v>73</v>
      </c>
      <c r="I44" s="117">
        <f>I43/I38</f>
        <v>1.4185808505799407</v>
      </c>
      <c r="J44" s="133">
        <f>J43/J38</f>
        <v>1.3369032531543188</v>
      </c>
      <c r="K44" s="129" t="s">
        <v>62</v>
      </c>
    </row>
    <row r="45" spans="1:29" ht="17.45" customHeight="1">
      <c r="A45" s="764" t="s">
        <v>17</v>
      </c>
      <c r="B45" s="765"/>
      <c r="C45" s="163">
        <f>SUMIF($G$7:$G$31,"Boiler",$F$7:$F$31)</f>
        <v>0</v>
      </c>
      <c r="D45" s="117">
        <f>+C45+'29'!D45</f>
        <v>0</v>
      </c>
      <c r="E45" s="142">
        <f t="shared" si="9"/>
        <v>0</v>
      </c>
      <c r="F45" s="320"/>
      <c r="G45" s="323"/>
      <c r="H45" s="187" t="s">
        <v>74</v>
      </c>
      <c r="I45" s="117">
        <f>I43/I40</f>
        <v>1.4916895850771255</v>
      </c>
      <c r="J45" s="133">
        <f>J43/J40</f>
        <v>1.3878374288636779</v>
      </c>
      <c r="K45" s="129" t="s">
        <v>62</v>
      </c>
    </row>
    <row r="46" spans="1:29" ht="17.45" customHeight="1">
      <c r="A46" s="764" t="s">
        <v>75</v>
      </c>
      <c r="B46" s="765"/>
      <c r="C46" s="163">
        <f>SUMIF($G$7:$G$31,"Gas",$F$7:$F$31)</f>
        <v>257</v>
      </c>
      <c r="D46" s="117">
        <f>+C46+'29'!D46</f>
        <v>3809</v>
      </c>
      <c r="E46" s="142">
        <f t="shared" si="9"/>
        <v>63.483333333333334</v>
      </c>
      <c r="F46" s="320"/>
      <c r="G46" s="321"/>
      <c r="H46" s="187" t="s">
        <v>76</v>
      </c>
      <c r="I46" s="139">
        <f>+SUMIF(Listrik!P37,"&gt;0")</f>
        <v>35169.74</v>
      </c>
      <c r="J46" s="134">
        <f>+I46+'29'!J46</f>
        <v>1111768.3599999989</v>
      </c>
      <c r="K46" s="129" t="s">
        <v>77</v>
      </c>
    </row>
    <row r="47" spans="1:29" ht="17.45" customHeight="1">
      <c r="A47" s="764" t="s">
        <v>78</v>
      </c>
      <c r="B47" s="765"/>
      <c r="C47" s="163">
        <f>SUMIF($G$7:$G$31,"Gas",$F$7:$F$31)</f>
        <v>257</v>
      </c>
      <c r="D47" s="117">
        <f>+C47+'29'!D47</f>
        <v>3809</v>
      </c>
      <c r="E47" s="142">
        <f t="shared" si="9"/>
        <v>63.483333333333334</v>
      </c>
      <c r="F47" s="320"/>
      <c r="G47" s="321"/>
      <c r="H47" s="187" t="s">
        <v>79</v>
      </c>
      <c r="I47" s="117">
        <f>I46/I38</f>
        <v>999.82203775301332</v>
      </c>
      <c r="J47" s="134">
        <f>J46/J38</f>
        <v>961.77477496961319</v>
      </c>
      <c r="K47" s="129" t="s">
        <v>23</v>
      </c>
    </row>
    <row r="48" spans="1:29" ht="17.45" customHeight="1">
      <c r="A48" s="764" t="s">
        <v>13</v>
      </c>
      <c r="B48" s="765"/>
      <c r="C48" s="163">
        <f>SUMIF($G$7:$G$31,"Start Up",$F$7:$F$31)</f>
        <v>0</v>
      </c>
      <c r="D48" s="117">
        <f>+C48+'29'!D48</f>
        <v>0</v>
      </c>
      <c r="E48" s="142">
        <f t="shared" si="9"/>
        <v>0</v>
      </c>
      <c r="F48" s="320"/>
      <c r="G48" s="321"/>
      <c r="H48" s="187" t="s">
        <v>80</v>
      </c>
      <c r="I48" s="117">
        <f>I46/I40</f>
        <v>1051.349396149707</v>
      </c>
      <c r="J48" s="134">
        <f>J46/J40</f>
        <v>998.41707146006627</v>
      </c>
      <c r="K48" s="129" t="s">
        <v>23</v>
      </c>
    </row>
    <row r="49" spans="1:23" ht="17.45" customHeight="1">
      <c r="A49" s="764" t="s">
        <v>19</v>
      </c>
      <c r="B49" s="765"/>
      <c r="C49" s="163">
        <f>SUMIF($G$7:$G$31,"Others",$F$7:$F$31)</f>
        <v>0</v>
      </c>
      <c r="D49" s="117">
        <f>+C49+'29'!D49</f>
        <v>169</v>
      </c>
      <c r="E49" s="142">
        <f t="shared" si="9"/>
        <v>2.8166666666666669</v>
      </c>
      <c r="F49" s="184"/>
      <c r="H49" s="187" t="s">
        <v>270</v>
      </c>
      <c r="I49" s="117">
        <f>+Report1!T38</f>
        <v>3435.561710680156</v>
      </c>
      <c r="J49" s="134">
        <f>+I49+'29'!J49</f>
        <v>133004.56792434273</v>
      </c>
      <c r="K49" s="129" t="s">
        <v>81</v>
      </c>
    </row>
    <row r="50" spans="1:23" ht="17.45" customHeight="1">
      <c r="A50" s="764" t="s">
        <v>18</v>
      </c>
      <c r="B50" s="765"/>
      <c r="C50" s="163">
        <f>SUMIF($G$7:$G$31,"Steam",$F$7:$F$31)</f>
        <v>0</v>
      </c>
      <c r="D50" s="117">
        <f>+C50+'29'!D50</f>
        <v>0</v>
      </c>
      <c r="E50" s="142">
        <f t="shared" si="9"/>
        <v>0</v>
      </c>
      <c r="F50" s="184"/>
      <c r="H50" s="187" t="s">
        <v>82</v>
      </c>
      <c r="I50" s="139">
        <f>I49/I38</f>
        <v>97.667776628387415</v>
      </c>
      <c r="J50" s="132">
        <f>J49/J38</f>
        <v>115.06033359805768</v>
      </c>
      <c r="K50" s="129" t="s">
        <v>81</v>
      </c>
    </row>
    <row r="51" spans="1:23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+C51+'29'!D51</f>
        <v>0</v>
      </c>
      <c r="E51" s="142">
        <f t="shared" si="9"/>
        <v>0</v>
      </c>
      <c r="F51" s="184"/>
      <c r="H51" s="189" t="s">
        <v>84</v>
      </c>
      <c r="I51" s="140">
        <f>I49/I40</f>
        <v>102.70123492407498</v>
      </c>
      <c r="J51" s="135">
        <f>J49/J40</f>
        <v>119.44397410071451</v>
      </c>
      <c r="K51" s="136" t="s">
        <v>81</v>
      </c>
    </row>
    <row r="52" spans="1:23" ht="13.5" thickBot="1">
      <c r="A52" s="762" t="s">
        <v>27</v>
      </c>
      <c r="B52" s="763"/>
      <c r="C52" s="143">
        <f>SUM(C38:C51)</f>
        <v>605</v>
      </c>
      <c r="D52" s="143">
        <f>SUM(D38:D51)</f>
        <v>9830</v>
      </c>
      <c r="E52" s="144">
        <f>SUM(E38:E51)</f>
        <v>163.83333333333331</v>
      </c>
      <c r="F52" s="184"/>
      <c r="H52" s="190"/>
      <c r="I52" s="191"/>
      <c r="J52" s="137"/>
      <c r="K52" s="138"/>
    </row>
    <row r="53" spans="1:23" ht="13.5" thickBot="1">
      <c r="A53" s="768"/>
      <c r="B53" s="769"/>
      <c r="C53" s="145">
        <f>C52/(24*60)</f>
        <v>0.4201388888888889</v>
      </c>
      <c r="D53" s="145">
        <f>D52/(24*60*G4)</f>
        <v>0.2275462962962963</v>
      </c>
      <c r="E53" s="146">
        <f>E52/(G4*24)</f>
        <v>0.22754629629629627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+D34+'29'!J56</f>
        <v>6150</v>
      </c>
      <c r="K56" s="200">
        <f>J56/(J40+J56/1000)/1000</f>
        <v>5.4926358489605512E-3</v>
      </c>
    </row>
    <row r="57" spans="1:23">
      <c r="A57" s="175"/>
      <c r="I57" s="198" t="s">
        <v>87</v>
      </c>
      <c r="J57" s="199">
        <f>+E34+'29'!J57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1"/>
  <sheetViews>
    <sheetView zoomScale="80" zoomScaleNormal="80" workbookViewId="0">
      <selection activeCell="C17" sqref="C1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2" ht="15.75">
      <c r="A1" s="147"/>
    </row>
    <row r="2" spans="1:32" ht="15.75">
      <c r="A2" s="147" t="s">
        <v>183</v>
      </c>
    </row>
    <row r="3" spans="1:32" ht="15">
      <c r="A3" s="149"/>
    </row>
    <row r="4" spans="1:32" ht="20.25">
      <c r="A4" s="150" t="s">
        <v>3</v>
      </c>
      <c r="B4" s="151"/>
      <c r="F4" s="152" t="s">
        <v>28</v>
      </c>
      <c r="G4" s="153">
        <v>28</v>
      </c>
      <c r="H4" s="153" t="str">
        <f>+'1'!H4</f>
        <v>.01.26</v>
      </c>
    </row>
    <row r="5" spans="1:32" ht="13.5" thickBot="1">
      <c r="C5" s="154"/>
      <c r="D5" s="154"/>
    </row>
    <row r="6" spans="1:32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80" t="s">
        <v>91</v>
      </c>
      <c r="O6" s="420" t="s">
        <v>190</v>
      </c>
      <c r="P6" s="420" t="s">
        <v>190</v>
      </c>
      <c r="Q6" s="420" t="s">
        <v>191</v>
      </c>
      <c r="R6" s="420" t="s">
        <v>192</v>
      </c>
      <c r="S6" s="420" t="s">
        <v>193</v>
      </c>
      <c r="T6" s="420" t="s">
        <v>188</v>
      </c>
      <c r="U6" s="421" t="s">
        <v>194</v>
      </c>
      <c r="V6" s="420" t="s">
        <v>195</v>
      </c>
      <c r="W6" s="420" t="s">
        <v>189</v>
      </c>
      <c r="X6" s="148" t="s">
        <v>404</v>
      </c>
      <c r="Y6" s="148">
        <v>880</v>
      </c>
      <c r="Z6" s="148">
        <f>+Y6-(Y6*0.24)</f>
        <v>668.8</v>
      </c>
      <c r="AA6" s="148">
        <f>60+24</f>
        <v>84</v>
      </c>
      <c r="AB6" s="148">
        <f t="shared" ref="AB6:AB8" si="0">+Y6*AA6</f>
        <v>73920</v>
      </c>
      <c r="AC6" s="148">
        <f t="shared" ref="AC6:AC8" si="1">+Z6*AA6</f>
        <v>56179.199999999997</v>
      </c>
      <c r="AE6" s="148">
        <f>+(1230-AF6)/1230</f>
        <v>0.41869918699186992</v>
      </c>
      <c r="AF6" s="148">
        <v>715</v>
      </c>
    </row>
    <row r="7" spans="1:32" ht="13.5" customHeight="1" thickBot="1">
      <c r="A7" s="750" t="s">
        <v>391</v>
      </c>
      <c r="B7" s="214" t="s">
        <v>415</v>
      </c>
      <c r="C7" s="215">
        <v>10052</v>
      </c>
      <c r="D7" s="216"/>
      <c r="E7" s="217"/>
      <c r="F7" s="226"/>
      <c r="G7" s="227" t="s">
        <v>11</v>
      </c>
      <c r="H7" s="228" t="s">
        <v>385</v>
      </c>
      <c r="I7" s="753" t="s">
        <v>684</v>
      </c>
      <c r="J7" s="213" t="str">
        <f>+'27'!J7</f>
        <v>T 13 VP OW</v>
      </c>
      <c r="K7" s="236">
        <f>+C34</f>
        <v>26656</v>
      </c>
      <c r="L7" s="240"/>
      <c r="M7" s="116">
        <f>+K7+'27'!M7+L7</f>
        <v>304712</v>
      </c>
      <c r="N7" s="422">
        <v>14.5</v>
      </c>
      <c r="O7" s="198">
        <v>1200</v>
      </c>
      <c r="P7" s="198">
        <v>1120</v>
      </c>
      <c r="Q7" s="198">
        <v>896</v>
      </c>
      <c r="R7" s="423">
        <f>1-(Q7/P7)</f>
        <v>0.19999999999999996</v>
      </c>
      <c r="S7" s="424">
        <v>45</v>
      </c>
      <c r="T7" s="425">
        <v>256.5</v>
      </c>
      <c r="U7" s="426">
        <f>(O7*(1-R7)*N7*T7*S7)/100000000</f>
        <v>1.606716</v>
      </c>
      <c r="V7" s="427">
        <f>+C14/1000</f>
        <v>10.052</v>
      </c>
      <c r="W7" s="428">
        <f>SUM(V7:V9)/SUM(U7:U9)</f>
        <v>0.48124918730551591</v>
      </c>
      <c r="Y7" s="148">
        <v>680</v>
      </c>
      <c r="Z7" s="148">
        <f t="shared" ref="Z7:Z8" si="2">+Y7-(Y7*0.24)</f>
        <v>516.79999999999995</v>
      </c>
      <c r="AA7" s="148">
        <f>480-AA6</f>
        <v>396</v>
      </c>
      <c r="AB7" s="148">
        <f t="shared" si="0"/>
        <v>269280</v>
      </c>
      <c r="AC7" s="148">
        <f t="shared" si="1"/>
        <v>204652.79999999999</v>
      </c>
      <c r="AE7" s="148">
        <f>+AE6*(480)</f>
        <v>200.97560975609755</v>
      </c>
    </row>
    <row r="8" spans="1:32" ht="13.5" thickBot="1">
      <c r="A8" s="751"/>
      <c r="B8" s="214"/>
      <c r="C8" s="215"/>
      <c r="D8" s="216"/>
      <c r="E8" s="218"/>
      <c r="F8" s="229">
        <v>9</v>
      </c>
      <c r="G8" s="230" t="s">
        <v>11</v>
      </c>
      <c r="H8" s="228" t="s">
        <v>514</v>
      </c>
      <c r="I8" s="754"/>
      <c r="J8" s="213" t="str">
        <f>+'27'!J8</f>
        <v>F 12 VP OW</v>
      </c>
      <c r="K8" s="237"/>
      <c r="L8" s="237"/>
      <c r="M8" s="116">
        <f>+K8+'27'!M8+L8</f>
        <v>253437</v>
      </c>
      <c r="N8" s="422">
        <v>18</v>
      </c>
      <c r="O8" s="198">
        <v>1200</v>
      </c>
      <c r="P8" s="198">
        <v>930</v>
      </c>
      <c r="Q8" s="198">
        <v>744</v>
      </c>
      <c r="R8" s="423">
        <f>1-(Q8/P8)</f>
        <v>0.19999999999999996</v>
      </c>
      <c r="S8" s="424">
        <f>480-S7</f>
        <v>435</v>
      </c>
      <c r="T8" s="425">
        <v>256.5</v>
      </c>
      <c r="U8" s="426">
        <f>(O8*(1-R8)*N8*T8*S8)/100000000</f>
        <v>19.280591999999999</v>
      </c>
      <c r="V8" s="427"/>
      <c r="W8" s="429"/>
      <c r="Z8" s="148">
        <f t="shared" si="2"/>
        <v>0</v>
      </c>
      <c r="AB8" s="148">
        <f t="shared" si="0"/>
        <v>0</v>
      </c>
      <c r="AC8" s="148">
        <f t="shared" si="1"/>
        <v>0</v>
      </c>
      <c r="AE8" s="148">
        <f>+AE7</f>
        <v>200.97560975609755</v>
      </c>
    </row>
    <row r="9" spans="1:32" ht="13.5" thickBot="1">
      <c r="A9" s="751"/>
      <c r="B9" s="214"/>
      <c r="C9" s="215"/>
      <c r="D9" s="216"/>
      <c r="E9" s="219"/>
      <c r="F9" s="226">
        <v>10</v>
      </c>
      <c r="G9" s="230" t="s">
        <v>11</v>
      </c>
      <c r="H9" s="231" t="s">
        <v>665</v>
      </c>
      <c r="I9" s="754"/>
      <c r="J9" s="213" t="str">
        <f>+'27'!J9</f>
        <v>F 13,5 VP OW</v>
      </c>
      <c r="K9" s="237"/>
      <c r="L9" s="237"/>
      <c r="M9" s="116">
        <f>+K9+'27'!M9+L9</f>
        <v>216723</v>
      </c>
      <c r="N9" s="430"/>
    </row>
    <row r="10" spans="1:32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679</v>
      </c>
      <c r="I10" s="754"/>
      <c r="J10" s="213" t="str">
        <f>+'27'!J10</f>
        <v>F 12,5 VP OW</v>
      </c>
      <c r="K10" s="237"/>
      <c r="L10" s="237"/>
      <c r="M10" s="116">
        <f>+K10+'27'!M10+L10</f>
        <v>50678</v>
      </c>
      <c r="N10" s="430"/>
    </row>
    <row r="11" spans="1:32" ht="64.5" thickBot="1">
      <c r="A11" s="751"/>
      <c r="B11" s="214"/>
      <c r="C11" s="215"/>
      <c r="D11" s="216"/>
      <c r="E11" s="218"/>
      <c r="F11" s="226">
        <v>201</v>
      </c>
      <c r="G11" s="230" t="s">
        <v>75</v>
      </c>
      <c r="H11" s="231" t="s">
        <v>680</v>
      </c>
      <c r="I11" s="754"/>
      <c r="J11" s="213" t="str">
        <f>+'27'!J11</f>
        <v>F 14 VP OW</v>
      </c>
      <c r="K11" s="237"/>
      <c r="L11" s="237"/>
      <c r="M11" s="116">
        <f>+K11+'27'!M11+L11</f>
        <v>20374</v>
      </c>
      <c r="N11" s="430"/>
    </row>
    <row r="12" spans="1:32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+'27'!J12</f>
        <v>F 13 VP OW</v>
      </c>
      <c r="K12" s="237"/>
      <c r="L12" s="237"/>
      <c r="M12" s="116">
        <f>+K12+'27'!M12+L12</f>
        <v>154935</v>
      </c>
      <c r="N12" s="430"/>
    </row>
    <row r="13" spans="1:32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+'27'!J13</f>
        <v>F 16 VP OW</v>
      </c>
      <c r="K13" s="237"/>
      <c r="L13" s="237"/>
      <c r="M13" s="116">
        <f>+K13+'27'!M13+L13</f>
        <v>40814</v>
      </c>
      <c r="N13" s="431"/>
      <c r="O13" s="432"/>
      <c r="P13" s="432"/>
      <c r="Q13" s="432"/>
      <c r="R13" s="432"/>
      <c r="S13" s="432"/>
      <c r="T13" s="432"/>
      <c r="U13" s="432"/>
      <c r="V13" s="432"/>
      <c r="W13" s="432"/>
    </row>
    <row r="14" spans="1:32" ht="13.5" thickBot="1">
      <c r="A14" s="752"/>
      <c r="B14" s="164" t="s">
        <v>2</v>
      </c>
      <c r="C14" s="98">
        <f>SUM(C7:C13)</f>
        <v>10052</v>
      </c>
      <c r="D14" s="110">
        <f>SUM(D7:D13)</f>
        <v>0</v>
      </c>
      <c r="E14" s="111">
        <f>SUM(E5:E13)</f>
        <v>0</v>
      </c>
      <c r="F14" s="115">
        <f>SUM(F7:F13)</f>
        <v>220</v>
      </c>
      <c r="G14" s="158"/>
      <c r="H14" s="165"/>
      <c r="I14" s="166"/>
      <c r="J14" s="213" t="str">
        <f>+'27'!J14</f>
        <v>F 11 VP OW</v>
      </c>
      <c r="K14" s="237"/>
      <c r="L14" s="237"/>
      <c r="M14" s="116">
        <f>+K14+'27'!M14+L14</f>
        <v>10313</v>
      </c>
      <c r="AA14" s="175">
        <f>SUM(AA6:AA11)</f>
        <v>480</v>
      </c>
      <c r="AB14" s="175">
        <f>SUM(AB6:AB11)</f>
        <v>343200</v>
      </c>
      <c r="AC14" s="175">
        <f>SUM(AC6:AC11)</f>
        <v>260832</v>
      </c>
    </row>
    <row r="15" spans="1:32" ht="13.5" customHeight="1" thickBot="1">
      <c r="A15" s="750" t="s">
        <v>414</v>
      </c>
      <c r="B15" s="164"/>
      <c r="C15" s="112">
        <f>C14/($C$23+$D$23+$E$23)</f>
        <v>1.2314100208256769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683</v>
      </c>
      <c r="J15" s="213">
        <f>+'27'!J15</f>
        <v>0</v>
      </c>
      <c r="K15" s="237"/>
      <c r="L15" s="237"/>
      <c r="M15" s="116">
        <f>+K15+'27'!M15+L15</f>
        <v>0</v>
      </c>
      <c r="N15" s="422">
        <v>18</v>
      </c>
      <c r="O15" s="198">
        <v>1200</v>
      </c>
      <c r="P15" s="198">
        <v>850</v>
      </c>
      <c r="Q15" s="198">
        <v>680</v>
      </c>
      <c r="R15" s="423">
        <f>1-(Q15/P15)</f>
        <v>0.19999999999999996</v>
      </c>
      <c r="S15" s="424">
        <v>480</v>
      </c>
      <c r="T15" s="425">
        <v>256.5</v>
      </c>
      <c r="U15" s="426">
        <f>(O15*(1-R15)*N15*T15*S15)/100000000</f>
        <v>21.275136</v>
      </c>
      <c r="V15" s="427">
        <f>+C23/1000</f>
        <v>8.1630000000000003</v>
      </c>
      <c r="W15" s="428">
        <f>SUM(V15:V17)/SUM(U15:U17)</f>
        <v>0.38368732401992639</v>
      </c>
      <c r="AA15" s="148">
        <f>480-AA14</f>
        <v>0</v>
      </c>
      <c r="AB15" s="175">
        <f>+AB14/AA14</f>
        <v>715</v>
      </c>
      <c r="AC15" s="175">
        <f>+AC14/AA14</f>
        <v>543.4</v>
      </c>
    </row>
    <row r="16" spans="1:32" ht="13.5" thickBot="1">
      <c r="A16" s="756"/>
      <c r="B16" s="214" t="s">
        <v>415</v>
      </c>
      <c r="C16" s="220">
        <v>8163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+'27'!J16</f>
        <v>0</v>
      </c>
      <c r="K16" s="227"/>
      <c r="L16" s="227"/>
      <c r="M16" s="116">
        <f>+K16+'27'!M16+L16</f>
        <v>0</v>
      </c>
      <c r="N16" s="433"/>
      <c r="O16" s="198"/>
      <c r="P16" s="198"/>
      <c r="Q16" s="434"/>
      <c r="R16" s="423"/>
      <c r="S16" s="198"/>
      <c r="T16" s="425"/>
      <c r="U16" s="426"/>
      <c r="V16" s="427"/>
      <c r="W16" s="429"/>
    </row>
    <row r="17" spans="1:32" ht="13.5" thickBot="1">
      <c r="A17" s="756"/>
      <c r="B17" s="214"/>
      <c r="C17" s="215"/>
      <c r="D17" s="216"/>
      <c r="E17" s="223"/>
      <c r="F17" s="226">
        <v>11</v>
      </c>
      <c r="G17" s="230" t="s">
        <v>11</v>
      </c>
      <c r="H17" s="231" t="s">
        <v>426</v>
      </c>
      <c r="I17" s="754"/>
      <c r="J17" s="213">
        <f>+'27'!J17</f>
        <v>0</v>
      </c>
      <c r="K17" s="227"/>
      <c r="L17" s="227"/>
      <c r="M17" s="116">
        <f>+K17+'27'!M17+L17</f>
        <v>0</v>
      </c>
      <c r="N17" s="430"/>
      <c r="O17" s="198"/>
      <c r="R17" s="423"/>
      <c r="T17" s="425"/>
      <c r="U17" s="426"/>
      <c r="X17" s="148" t="s">
        <v>404</v>
      </c>
      <c r="Y17" s="148">
        <v>680</v>
      </c>
      <c r="Z17" s="148">
        <f>+Y17-(Y17*0.24)</f>
        <v>516.79999999999995</v>
      </c>
      <c r="AA17" s="148">
        <f>60*4+40</f>
        <v>280</v>
      </c>
      <c r="AB17" s="148">
        <f t="shared" ref="AB17:AB19" si="3">+Y17*AA17</f>
        <v>190400</v>
      </c>
      <c r="AC17" s="148">
        <f t="shared" ref="AC17:AC19" si="4">+Z17*AA17</f>
        <v>144704</v>
      </c>
      <c r="AE17" s="148">
        <f>+(1230-AF17)/1230</f>
        <v>0.44037940379403789</v>
      </c>
      <c r="AF17" s="148">
        <v>688.33333333333337</v>
      </c>
    </row>
    <row r="18" spans="1:32" ht="51.75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677</v>
      </c>
      <c r="I18" s="754"/>
      <c r="J18" s="213">
        <f>+'27'!J18</f>
        <v>0</v>
      </c>
      <c r="K18" s="237"/>
      <c r="L18" s="237"/>
      <c r="M18" s="116">
        <f>+K18+'27'!M18+L18</f>
        <v>0</v>
      </c>
      <c r="N18" s="430"/>
      <c r="Y18" s="148">
        <v>700</v>
      </c>
      <c r="Z18" s="148">
        <f t="shared" ref="Z18:Z19" si="5">+Y18-(Y18*0.24)</f>
        <v>532</v>
      </c>
      <c r="AA18" s="148">
        <f>480-AA17</f>
        <v>200</v>
      </c>
      <c r="AB18" s="148">
        <f t="shared" si="3"/>
        <v>140000</v>
      </c>
      <c r="AC18" s="148">
        <f t="shared" si="4"/>
        <v>106400</v>
      </c>
      <c r="AE18" s="148">
        <f>+AE17*(480)</f>
        <v>211.38211382113818</v>
      </c>
    </row>
    <row r="19" spans="1:32" ht="51.75" thickBot="1">
      <c r="A19" s="756"/>
      <c r="B19" s="214"/>
      <c r="C19" s="215"/>
      <c r="D19" s="216"/>
      <c r="E19" s="223"/>
      <c r="F19" s="233">
        <v>211</v>
      </c>
      <c r="G19" s="230" t="s">
        <v>75</v>
      </c>
      <c r="H19" s="231" t="s">
        <v>678</v>
      </c>
      <c r="I19" s="754"/>
      <c r="J19" s="213">
        <f>+'27'!J19</f>
        <v>0</v>
      </c>
      <c r="K19" s="237"/>
      <c r="L19" s="237"/>
      <c r="M19" s="116">
        <f>+K19+'27'!M19+L19</f>
        <v>0</v>
      </c>
      <c r="N19" s="430"/>
      <c r="Z19" s="148">
        <f t="shared" si="5"/>
        <v>0</v>
      </c>
      <c r="AB19" s="148">
        <f t="shared" si="3"/>
        <v>0</v>
      </c>
      <c r="AC19" s="148">
        <f t="shared" si="4"/>
        <v>0</v>
      </c>
      <c r="AE19" s="148">
        <f>+AE18</f>
        <v>211.38211382113818</v>
      </c>
    </row>
    <row r="20" spans="1:32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+'27'!J20</f>
        <v>0</v>
      </c>
      <c r="K20" s="238"/>
      <c r="L20" s="238"/>
      <c r="M20" s="116">
        <f>+K20+'27'!M20+L20</f>
        <v>0</v>
      </c>
      <c r="N20" s="430"/>
    </row>
    <row r="21" spans="1:32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+'27'!J21</f>
        <v>0</v>
      </c>
      <c r="K21" s="237"/>
      <c r="L21" s="237"/>
      <c r="M21" s="116">
        <f>+K21+'27'!M21+L21</f>
        <v>0</v>
      </c>
      <c r="N21" s="431"/>
      <c r="O21" s="432"/>
      <c r="P21" s="432"/>
      <c r="Q21" s="432"/>
      <c r="R21" s="432"/>
      <c r="S21" s="432"/>
      <c r="T21" s="432"/>
      <c r="U21" s="432"/>
      <c r="V21" s="432"/>
      <c r="W21" s="432"/>
    </row>
    <row r="22" spans="1:32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+'27'!J22</f>
        <v>0</v>
      </c>
      <c r="K22" s="237"/>
      <c r="L22" s="237"/>
      <c r="M22" s="116">
        <f>+K22+'27'!M22+L22</f>
        <v>0</v>
      </c>
    </row>
    <row r="23" spans="1:32" ht="13.5" thickBot="1">
      <c r="A23" s="757"/>
      <c r="B23" s="167" t="s">
        <v>2</v>
      </c>
      <c r="C23" s="99">
        <f>SUM(C16:C22)</f>
        <v>8163</v>
      </c>
      <c r="D23" s="110">
        <f>SUM(D16:D22)</f>
        <v>0</v>
      </c>
      <c r="E23" s="111">
        <f>SUM(E18:E22)</f>
        <v>0</v>
      </c>
      <c r="F23" s="115">
        <f>SUM(F15:F22)</f>
        <v>228</v>
      </c>
      <c r="G23" s="158"/>
      <c r="H23" s="165"/>
      <c r="I23" s="168"/>
      <c r="J23" s="213">
        <f>+'27'!J23</f>
        <v>0</v>
      </c>
      <c r="K23" s="237"/>
      <c r="L23" s="237"/>
      <c r="M23" s="116">
        <f>+K23+'27'!M23+L23</f>
        <v>0</v>
      </c>
      <c r="N23" s="435"/>
      <c r="O23" s="436"/>
      <c r="P23" s="436"/>
      <c r="Q23" s="436"/>
      <c r="R23" s="436"/>
      <c r="S23" s="436"/>
      <c r="T23" s="436"/>
      <c r="U23" s="436"/>
      <c r="V23" s="436"/>
      <c r="W23" s="436"/>
    </row>
    <row r="24" spans="1:32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662</v>
      </c>
      <c r="J24" s="213">
        <f>+'27'!J24</f>
        <v>0</v>
      </c>
      <c r="K24" s="237"/>
      <c r="L24" s="237"/>
      <c r="M24" s="116">
        <f>+K24+'27'!M24+L24</f>
        <v>0</v>
      </c>
      <c r="N24" s="422">
        <v>18</v>
      </c>
      <c r="O24" s="198">
        <v>1200</v>
      </c>
      <c r="P24" s="198">
        <v>770</v>
      </c>
      <c r="Q24" s="198">
        <v>616</v>
      </c>
      <c r="R24" s="423">
        <f>1-(Q24/P24)</f>
        <v>0.19999999999999996</v>
      </c>
      <c r="S24" s="424">
        <v>480</v>
      </c>
      <c r="T24" s="425">
        <v>256.5</v>
      </c>
      <c r="U24" s="426">
        <f>(O24*(1-R24)*N24*T24*S24)/100000000</f>
        <v>21.275136</v>
      </c>
      <c r="V24" s="427">
        <f>+C32/1000</f>
        <v>8.4410000000000007</v>
      </c>
      <c r="W24" s="428">
        <f>SUM(V24:V25)/SUM(U24:U25)</f>
        <v>0.39675422051356102</v>
      </c>
    </row>
    <row r="25" spans="1:32" ht="13.5" customHeight="1" thickBot="1">
      <c r="A25" s="756"/>
      <c r="B25" s="214" t="s">
        <v>415</v>
      </c>
      <c r="C25" s="224">
        <v>8441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+'27'!J25</f>
        <v>0</v>
      </c>
      <c r="K25" s="237"/>
      <c r="L25" s="237"/>
      <c r="M25" s="116">
        <f>+K25+'27'!M25+L25</f>
        <v>0</v>
      </c>
      <c r="N25" s="422"/>
      <c r="O25" s="198"/>
      <c r="P25" s="198"/>
      <c r="Q25" s="198"/>
      <c r="R25" s="423"/>
      <c r="S25" s="424"/>
      <c r="T25" s="425"/>
      <c r="U25" s="426"/>
      <c r="V25" s="427"/>
      <c r="W25" s="428"/>
      <c r="AA25" s="175">
        <f>SUM(AA17:AA22)</f>
        <v>480</v>
      </c>
      <c r="AB25" s="175">
        <f>SUM(AB17:AB22)</f>
        <v>330400</v>
      </c>
      <c r="AC25" s="175">
        <f>SUM(AC17:AC22)</f>
        <v>251104</v>
      </c>
    </row>
    <row r="26" spans="1:32" ht="13.5" customHeight="1" thickBot="1">
      <c r="A26" s="756"/>
      <c r="B26" s="214"/>
      <c r="C26" s="224"/>
      <c r="D26" s="216"/>
      <c r="E26" s="225"/>
      <c r="F26" s="226">
        <v>15</v>
      </c>
      <c r="G26" s="230" t="s">
        <v>11</v>
      </c>
      <c r="H26" s="231" t="s">
        <v>426</v>
      </c>
      <c r="I26" s="754"/>
      <c r="J26" s="213">
        <f>+'27'!J26</f>
        <v>0</v>
      </c>
      <c r="K26" s="237"/>
      <c r="L26" s="237"/>
      <c r="M26" s="116">
        <f>+K26+'27'!M26+L26</f>
        <v>0</v>
      </c>
      <c r="AA26" s="148">
        <f>480-AA25</f>
        <v>0</v>
      </c>
      <c r="AB26" s="175">
        <f>+AB25/AA25</f>
        <v>688.33333333333337</v>
      </c>
      <c r="AC26" s="175">
        <f>+AC25/AA25</f>
        <v>523.13333333333333</v>
      </c>
    </row>
    <row r="27" spans="1:32" ht="26.25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681</v>
      </c>
      <c r="I27" s="754"/>
      <c r="J27" s="213">
        <f>+'27'!J27</f>
        <v>0</v>
      </c>
      <c r="K27" s="237"/>
      <c r="L27" s="237"/>
      <c r="M27" s="116">
        <f>+K27+'27'!M27+L27</f>
        <v>0</v>
      </c>
      <c r="X27" s="148" t="s">
        <v>404</v>
      </c>
      <c r="Y27" s="148">
        <v>800</v>
      </c>
      <c r="Z27" s="148">
        <f>+Y27-(Y27*0.24)</f>
        <v>608</v>
      </c>
      <c r="AA27" s="148">
        <v>240</v>
      </c>
      <c r="AB27" s="148">
        <f t="shared" ref="AB27:AB29" si="6">+Y27*AA27</f>
        <v>192000</v>
      </c>
      <c r="AC27" s="148">
        <f t="shared" ref="AC27:AC29" si="7">+Z27*AA27</f>
        <v>145920</v>
      </c>
      <c r="AE27" s="148">
        <f>+(1230-AF27)/1230</f>
        <v>0.33333333333333331</v>
      </c>
      <c r="AF27" s="148">
        <v>820</v>
      </c>
    </row>
    <row r="28" spans="1:32" ht="51.75" thickBot="1">
      <c r="A28" s="756"/>
      <c r="B28" s="214"/>
      <c r="C28" s="215"/>
      <c r="D28" s="216"/>
      <c r="E28" s="223"/>
      <c r="F28" s="229">
        <v>160</v>
      </c>
      <c r="G28" s="230" t="s">
        <v>75</v>
      </c>
      <c r="H28" s="231" t="s">
        <v>682</v>
      </c>
      <c r="I28" s="754"/>
      <c r="J28" s="213">
        <f>+'27'!J28</f>
        <v>0</v>
      </c>
      <c r="K28" s="237"/>
      <c r="L28" s="237"/>
      <c r="M28" s="116">
        <f>+K28+'27'!M28+L28</f>
        <v>0</v>
      </c>
      <c r="Y28" s="148">
        <v>840</v>
      </c>
      <c r="Z28" s="148">
        <f t="shared" ref="Z28:Z29" si="8">+Y28-(Y28*0.24)</f>
        <v>638.4</v>
      </c>
      <c r="AA28" s="148">
        <f>480-AA27</f>
        <v>240</v>
      </c>
      <c r="AB28" s="148">
        <f t="shared" si="6"/>
        <v>201600</v>
      </c>
      <c r="AC28" s="148">
        <f t="shared" si="7"/>
        <v>153216</v>
      </c>
      <c r="AE28" s="148">
        <f>+AE27*(480)</f>
        <v>160</v>
      </c>
    </row>
    <row r="29" spans="1:32" ht="13.5" customHeight="1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+'27'!J29</f>
        <v>0</v>
      </c>
      <c r="K29" s="237"/>
      <c r="L29" s="237"/>
      <c r="M29" s="116">
        <f>+K29+'27'!M29+L29</f>
        <v>0</v>
      </c>
      <c r="Z29" s="148">
        <f t="shared" si="8"/>
        <v>0</v>
      </c>
      <c r="AB29" s="148">
        <f t="shared" si="6"/>
        <v>0</v>
      </c>
      <c r="AC29" s="148">
        <f t="shared" si="7"/>
        <v>0</v>
      </c>
      <c r="AE29" s="148">
        <f>+AE28</f>
        <v>160</v>
      </c>
    </row>
    <row r="30" spans="1:32" ht="13.5" customHeight="1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+'27'!J30</f>
        <v>0</v>
      </c>
      <c r="K30" s="237"/>
      <c r="L30" s="237"/>
      <c r="M30" s="116">
        <f>+K30+'27'!M30+L30</f>
        <v>0</v>
      </c>
      <c r="N30" s="154"/>
    </row>
    <row r="31" spans="1:32" ht="13.5" customHeight="1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+'27'!J31</f>
        <v>0</v>
      </c>
      <c r="K31" s="237"/>
      <c r="L31" s="237"/>
      <c r="M31" s="116">
        <f>+K31+'27'!M31+L31</f>
        <v>0</v>
      </c>
    </row>
    <row r="32" spans="1:32" ht="13.5" customHeight="1" thickBot="1">
      <c r="A32" s="757"/>
      <c r="B32" s="164" t="s">
        <v>2</v>
      </c>
      <c r="C32" s="98">
        <f>SUM(C25:C31)</f>
        <v>8441</v>
      </c>
      <c r="D32" s="99">
        <f>SUM(D25:D31)</f>
        <v>0</v>
      </c>
      <c r="E32" s="100">
        <f>SUM(E25:E31)</f>
        <v>0</v>
      </c>
      <c r="F32" s="101">
        <f>SUM(F24:F31)</f>
        <v>179</v>
      </c>
      <c r="G32" s="170"/>
      <c r="H32" s="171"/>
      <c r="I32" s="168"/>
      <c r="J32" s="213">
        <f>+'27'!J32</f>
        <v>0</v>
      </c>
      <c r="K32" s="239"/>
      <c r="L32" s="241"/>
      <c r="M32" s="116">
        <f>+K32+'27'!M32+L32</f>
        <v>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9" ht="13.5" thickBot="1">
      <c r="A34" s="758" t="s">
        <v>56</v>
      </c>
      <c r="B34" s="759"/>
      <c r="C34" s="106">
        <f>C14+C23+C32</f>
        <v>26656</v>
      </c>
      <c r="D34" s="106">
        <f>D14+D23+D32</f>
        <v>0</v>
      </c>
      <c r="E34" s="106">
        <f>E14+E23+E32</f>
        <v>0</v>
      </c>
      <c r="F34" s="107">
        <f>F14+F23+F32</f>
        <v>627</v>
      </c>
      <c r="H34" s="177"/>
      <c r="I34" s="177"/>
      <c r="J34" s="122" t="s">
        <v>27</v>
      </c>
      <c r="K34" s="123">
        <f>SUM(K7:K32)</f>
        <v>26656</v>
      </c>
      <c r="L34" s="211">
        <f>SUM(L7:L32)</f>
        <v>0</v>
      </c>
      <c r="M34" s="119">
        <f>SUM(M7:M32)</f>
        <v>1051986</v>
      </c>
      <c r="N34" s="154"/>
    </row>
    <row r="35" spans="1:2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AA35" s="175">
        <f>SUM(AA27:AA32)</f>
        <v>480</v>
      </c>
      <c r="AB35" s="175">
        <f>SUM(AB27:AB32)</f>
        <v>393600</v>
      </c>
      <c r="AC35" s="175">
        <f>SUM(AC27:AC32)</f>
        <v>299136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AA36" s="148">
        <f>480-AA35</f>
        <v>0</v>
      </c>
      <c r="AB36" s="175">
        <f>+AB35/AA35</f>
        <v>820</v>
      </c>
      <c r="AC36" s="175">
        <f>+AC35/AA35</f>
        <v>623.20000000000005</v>
      </c>
    </row>
    <row r="37" spans="1:2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(13*1440)/1440*G42*2.74*1440/1000000</f>
        <v>28.890384640000001</v>
      </c>
      <c r="J37" s="124">
        <f>+I37+'27'!J37</f>
        <v>1203.8447792293373</v>
      </c>
      <c r="K37" s="125" t="s">
        <v>62</v>
      </c>
    </row>
    <row r="38" spans="1:29" ht="17.45" customHeight="1">
      <c r="A38" s="762" t="s">
        <v>11</v>
      </c>
      <c r="B38" s="763"/>
      <c r="C38" s="163">
        <f>SUMIF($G$7:$G$31,"Process",$F$7:$F$31)</f>
        <v>55</v>
      </c>
      <c r="D38" s="117">
        <f>+C38+'27'!D38</f>
        <v>1802</v>
      </c>
      <c r="E38" s="142">
        <f t="shared" ref="E38:E51" si="9">D38/60</f>
        <v>30.033333333333335</v>
      </c>
      <c r="F38" s="320">
        <v>715</v>
      </c>
      <c r="G38" s="320">
        <v>543.4</v>
      </c>
      <c r="H38" s="186" t="s">
        <v>63</v>
      </c>
      <c r="I38" s="243">
        <f>8.093+9.509+8.855</f>
        <v>26.457000000000001</v>
      </c>
      <c r="J38" s="126">
        <f>+I38+'27'!J38</f>
        <v>1093.1319999999998</v>
      </c>
      <c r="K38" s="127" t="s">
        <v>62</v>
      </c>
    </row>
    <row r="39" spans="1:29" ht="17.45" customHeight="1">
      <c r="A39" s="764" t="s">
        <v>12</v>
      </c>
      <c r="B39" s="765"/>
      <c r="C39" s="163">
        <f>SUMIF($G$7:$G$31,"Cleaning",$F$7:$F$31)</f>
        <v>0</v>
      </c>
      <c r="D39" s="117">
        <f>+C39+'27'!D39</f>
        <v>8</v>
      </c>
      <c r="E39" s="142">
        <f t="shared" si="9"/>
        <v>0.13333333333333333</v>
      </c>
      <c r="F39" s="320">
        <v>688.33333333333337</v>
      </c>
      <c r="G39" s="320">
        <v>523.13333333333333</v>
      </c>
      <c r="H39" s="186" t="s">
        <v>64</v>
      </c>
      <c r="I39" s="141"/>
      <c r="J39" s="128">
        <f>J37/G4</f>
        <v>42.994456401047763</v>
      </c>
      <c r="K39" s="129" t="s">
        <v>62</v>
      </c>
    </row>
    <row r="40" spans="1:29" ht="17.45" customHeight="1">
      <c r="A40" s="764" t="s">
        <v>65</v>
      </c>
      <c r="B40" s="765"/>
      <c r="C40" s="163">
        <f>SUMIF($G$7:$G$31,"Mechanical",$F$7:$F$31)</f>
        <v>0</v>
      </c>
      <c r="D40" s="117">
        <f>+C40+'27'!D40</f>
        <v>0</v>
      </c>
      <c r="E40" s="142">
        <f t="shared" si="9"/>
        <v>0</v>
      </c>
      <c r="F40" s="320">
        <v>820</v>
      </c>
      <c r="G40" s="320">
        <v>623.20000000000005</v>
      </c>
      <c r="H40" s="186" t="s">
        <v>66</v>
      </c>
      <c r="I40" s="117">
        <f>(K34+L34)/1000</f>
        <v>26.655999999999999</v>
      </c>
      <c r="J40" s="130">
        <f>+I40+'27'!J40</f>
        <v>1051.9859999999999</v>
      </c>
      <c r="K40" s="129" t="s">
        <v>62</v>
      </c>
    </row>
    <row r="41" spans="1:29" ht="17.45" customHeight="1">
      <c r="A41" s="764" t="s">
        <v>67</v>
      </c>
      <c r="B41" s="765"/>
      <c r="C41" s="163">
        <f>SUMIF($G$7:$G$31,"Electrical",$F$7:$F$31)</f>
        <v>0</v>
      </c>
      <c r="D41" s="117">
        <f>+C41+'27'!D41</f>
        <v>87</v>
      </c>
      <c r="E41" s="142">
        <f t="shared" si="9"/>
        <v>1.45</v>
      </c>
      <c r="F41" s="320"/>
      <c r="G41" s="320"/>
      <c r="H41" s="186" t="s">
        <v>68</v>
      </c>
      <c r="I41" s="141"/>
      <c r="J41" s="128">
        <f>J40/G4</f>
        <v>37.570928571428567</v>
      </c>
      <c r="K41" s="129" t="s">
        <v>62</v>
      </c>
    </row>
    <row r="42" spans="1:29" ht="17.45" customHeight="1">
      <c r="A42" s="764" t="s">
        <v>15</v>
      </c>
      <c r="B42" s="765"/>
      <c r="C42" s="163">
        <f>SUMIF($G$7:$G$31,"Instrument",$F$7:$F$31)</f>
        <v>0</v>
      </c>
      <c r="D42" s="117">
        <f>+C42+'27'!D42</f>
        <v>0</v>
      </c>
      <c r="E42" s="142">
        <f t="shared" si="9"/>
        <v>0</v>
      </c>
      <c r="F42" s="320">
        <f>+(F38*480+F39*480+F40*480)/1440</f>
        <v>741.11111111111109</v>
      </c>
      <c r="G42" s="320">
        <f>+(G38*480+G39*480+G40*480)/1440</f>
        <v>563.24444444444441</v>
      </c>
      <c r="H42" s="186" t="s">
        <v>69</v>
      </c>
      <c r="I42" s="244" t="s">
        <v>685</v>
      </c>
      <c r="J42" s="131"/>
      <c r="K42" s="129" t="s">
        <v>70</v>
      </c>
    </row>
    <row r="43" spans="1:29" ht="17.45" customHeight="1">
      <c r="A43" s="764" t="s">
        <v>71</v>
      </c>
      <c r="B43" s="765"/>
      <c r="C43" s="163">
        <f>SUMIF($G$7:$G$31,"Water",$F$7:$F$31)</f>
        <v>0</v>
      </c>
      <c r="D43" s="117">
        <f>+C43+'27'!D43</f>
        <v>0</v>
      </c>
      <c r="E43" s="142">
        <f t="shared" si="9"/>
        <v>0</v>
      </c>
      <c r="F43" s="320"/>
      <c r="G43" s="321"/>
      <c r="H43" s="187" t="s">
        <v>72</v>
      </c>
      <c r="I43" s="117">
        <f>+Report1!Z36</f>
        <v>48</v>
      </c>
      <c r="J43" s="132">
        <f>+I43+'27'!J43</f>
        <v>1447.3</v>
      </c>
      <c r="K43" s="129" t="s">
        <v>62</v>
      </c>
      <c r="L43" s="188"/>
    </row>
    <row r="44" spans="1:29" ht="17.45" customHeight="1">
      <c r="A44" s="764" t="s">
        <v>16</v>
      </c>
      <c r="B44" s="765"/>
      <c r="C44" s="163">
        <f>SUMIF($G$7:$G$31,"PLN",$F$7:$F$31)</f>
        <v>0</v>
      </c>
      <c r="D44" s="117">
        <f>+C44+'27'!D44</f>
        <v>0</v>
      </c>
      <c r="E44" s="142">
        <f t="shared" si="9"/>
        <v>0</v>
      </c>
      <c r="F44" s="320"/>
      <c r="G44" s="321"/>
      <c r="H44" s="187" t="s">
        <v>73</v>
      </c>
      <c r="I44" s="117">
        <f>I43/I38</f>
        <v>1.8142646558566731</v>
      </c>
      <c r="J44" s="133">
        <f>J43/J38</f>
        <v>1.323993808615977</v>
      </c>
      <c r="K44" s="129" t="s">
        <v>62</v>
      </c>
    </row>
    <row r="45" spans="1:29" ht="17.45" customHeight="1">
      <c r="A45" s="764" t="s">
        <v>17</v>
      </c>
      <c r="B45" s="765"/>
      <c r="C45" s="163">
        <f>SUMIF($G$7:$G$31,"Boiler",$F$7:$F$31)</f>
        <v>0</v>
      </c>
      <c r="D45" s="117">
        <f>+C45+'27'!D45</f>
        <v>0</v>
      </c>
      <c r="E45" s="142">
        <f t="shared" si="9"/>
        <v>0</v>
      </c>
      <c r="F45" s="320"/>
      <c r="G45" s="323"/>
      <c r="H45" s="187" t="s">
        <v>74</v>
      </c>
      <c r="I45" s="117">
        <f>I43/I40</f>
        <v>1.8007202881152462</v>
      </c>
      <c r="J45" s="133">
        <f>J43/J40</f>
        <v>1.3757787651166462</v>
      </c>
      <c r="K45" s="129" t="s">
        <v>62</v>
      </c>
    </row>
    <row r="46" spans="1:29" ht="17.45" customHeight="1">
      <c r="A46" s="764" t="s">
        <v>75</v>
      </c>
      <c r="B46" s="765"/>
      <c r="C46" s="163">
        <f>SUMIF($G$7:$G$31,"Gas",$F$7:$F$31)</f>
        <v>572</v>
      </c>
      <c r="D46" s="117">
        <f>+C46+'27'!D46</f>
        <v>3001</v>
      </c>
      <c r="E46" s="142">
        <f t="shared" si="9"/>
        <v>50.016666666666666</v>
      </c>
      <c r="F46" s="320"/>
      <c r="G46" s="321"/>
      <c r="H46" s="187" t="s">
        <v>76</v>
      </c>
      <c r="I46" s="139">
        <f>+SUMIF(Listrik!P35,"&gt;0")</f>
        <v>34063.179999998545</v>
      </c>
      <c r="J46" s="134">
        <f>+I46+'27'!J46</f>
        <v>1042447.8799999986</v>
      </c>
      <c r="K46" s="129" t="s">
        <v>77</v>
      </c>
    </row>
    <row r="47" spans="1:29" ht="17.45" customHeight="1">
      <c r="A47" s="764" t="s">
        <v>78</v>
      </c>
      <c r="B47" s="765"/>
      <c r="C47" s="163">
        <f>SUMIF($G$7:$G$31,"Gas",$F$7:$F$31)</f>
        <v>572</v>
      </c>
      <c r="D47" s="117">
        <f>+C47+'27'!D47</f>
        <v>3001</v>
      </c>
      <c r="E47" s="142">
        <f t="shared" si="9"/>
        <v>50.016666666666666</v>
      </c>
      <c r="F47" s="320"/>
      <c r="G47" s="321"/>
      <c r="H47" s="187" t="s">
        <v>79</v>
      </c>
      <c r="I47" s="117">
        <f>I46/I38</f>
        <v>1287.4921570850265</v>
      </c>
      <c r="J47" s="134">
        <f>J46/J38</f>
        <v>953.6340350479162</v>
      </c>
      <c r="K47" s="129" t="s">
        <v>23</v>
      </c>
    </row>
    <row r="48" spans="1:29" ht="17.45" customHeight="1">
      <c r="A48" s="764" t="s">
        <v>13</v>
      </c>
      <c r="B48" s="765"/>
      <c r="C48" s="163">
        <f>SUMIF($G$7:$G$31,"Start Up",$F$7:$F$31)</f>
        <v>0</v>
      </c>
      <c r="D48" s="117">
        <f>+C48+'27'!D48</f>
        <v>0</v>
      </c>
      <c r="E48" s="142">
        <f t="shared" si="9"/>
        <v>0</v>
      </c>
      <c r="F48" s="320"/>
      <c r="G48" s="321"/>
      <c r="H48" s="187" t="s">
        <v>80</v>
      </c>
      <c r="I48" s="117">
        <f>I46/I40</f>
        <v>1277.8804021608098</v>
      </c>
      <c r="J48" s="134">
        <f>J46/J40</f>
        <v>990.93322534710421</v>
      </c>
      <c r="K48" s="129" t="s">
        <v>23</v>
      </c>
    </row>
    <row r="49" spans="1:23" ht="17.45" customHeight="1">
      <c r="A49" s="764" t="s">
        <v>19</v>
      </c>
      <c r="B49" s="765"/>
      <c r="C49" s="163">
        <f>SUMIF($G$7:$G$31,"Others",$F$7:$F$31)</f>
        <v>0</v>
      </c>
      <c r="D49" s="117">
        <f>+C49+'27'!D49</f>
        <v>169</v>
      </c>
      <c r="E49" s="142">
        <f t="shared" si="9"/>
        <v>2.8166666666666669</v>
      </c>
      <c r="F49" s="184"/>
      <c r="H49" s="187" t="s">
        <v>270</v>
      </c>
      <c r="I49" s="117">
        <f>+Report1!T36</f>
        <v>1820.7379410488368</v>
      </c>
      <c r="J49" s="134">
        <f>+I49+'27'!J49</f>
        <v>127296.71137642434</v>
      </c>
      <c r="K49" s="129" t="s">
        <v>81</v>
      </c>
    </row>
    <row r="50" spans="1:23" ht="17.45" customHeight="1">
      <c r="A50" s="764" t="s">
        <v>18</v>
      </c>
      <c r="B50" s="765"/>
      <c r="C50" s="163">
        <f>SUMIF($G$7:$G$31,"Steam",$F$7:$F$31)</f>
        <v>0</v>
      </c>
      <c r="D50" s="117">
        <f>+C50+'27'!D50</f>
        <v>0</v>
      </c>
      <c r="E50" s="142">
        <f t="shared" si="9"/>
        <v>0</v>
      </c>
      <c r="F50" s="184"/>
      <c r="H50" s="187" t="s">
        <v>82</v>
      </c>
      <c r="I50" s="139">
        <f>I49/I38</f>
        <v>68.818760292128232</v>
      </c>
      <c r="J50" s="132">
        <f>J49/J38</f>
        <v>116.45136303431275</v>
      </c>
      <c r="K50" s="129" t="s">
        <v>81</v>
      </c>
    </row>
    <row r="51" spans="1:23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+C51+'27'!D51</f>
        <v>0</v>
      </c>
      <c r="E51" s="142">
        <f t="shared" si="9"/>
        <v>0</v>
      </c>
      <c r="F51" s="184"/>
      <c r="H51" s="189" t="s">
        <v>84</v>
      </c>
      <c r="I51" s="140">
        <f>I49/I40</f>
        <v>68.304994787246287</v>
      </c>
      <c r="J51" s="135">
        <f>J49/J40</f>
        <v>121.00608884188986</v>
      </c>
      <c r="K51" s="136" t="s">
        <v>81</v>
      </c>
    </row>
    <row r="52" spans="1:23" ht="13.5" thickBot="1">
      <c r="A52" s="762" t="s">
        <v>27</v>
      </c>
      <c r="B52" s="763"/>
      <c r="C52" s="143">
        <f>SUM(C38:C51)</f>
        <v>1199</v>
      </c>
      <c r="D52" s="143">
        <f>SUM(D38:D51)</f>
        <v>8068</v>
      </c>
      <c r="E52" s="144">
        <f>SUM(E38:E51)</f>
        <v>134.46666666666664</v>
      </c>
      <c r="F52" s="184"/>
      <c r="H52" s="190"/>
      <c r="I52" s="191"/>
      <c r="J52" s="137"/>
      <c r="K52" s="138"/>
    </row>
    <row r="53" spans="1:23" ht="13.5" thickBot="1">
      <c r="A53" s="768"/>
      <c r="B53" s="769"/>
      <c r="C53" s="145">
        <f>C52/(24*60)</f>
        <v>0.83263888888888893</v>
      </c>
      <c r="D53" s="145">
        <f>D52/(24*60*G4)</f>
        <v>0.20009920634920636</v>
      </c>
      <c r="E53" s="146">
        <f>E52/(G4*24)</f>
        <v>0.2000992063492063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+D34+'27'!J56</f>
        <v>6150</v>
      </c>
      <c r="K56" s="200">
        <f>J56/(J40+J56/1000)/1000</f>
        <v>5.8121073283585473E-3</v>
      </c>
    </row>
    <row r="57" spans="1:23">
      <c r="A57" s="175"/>
      <c r="I57" s="198" t="s">
        <v>87</v>
      </c>
      <c r="J57" s="199">
        <f>+E34+'27'!J57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1"/>
  <sheetViews>
    <sheetView topLeftCell="I4" zoomScale="80" zoomScaleNormal="80" workbookViewId="0">
      <selection activeCell="AF29" sqref="AF29:AG3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33" ht="15.75">
      <c r="A1" s="147"/>
    </row>
    <row r="2" spans="1:33" ht="15.75">
      <c r="A2" s="147" t="s">
        <v>183</v>
      </c>
    </row>
    <row r="3" spans="1:33" ht="15">
      <c r="A3" s="149"/>
    </row>
    <row r="4" spans="1:33" ht="20.25">
      <c r="A4" s="150" t="s">
        <v>3</v>
      </c>
      <c r="B4" s="151"/>
      <c r="F4" s="152" t="s">
        <v>28</v>
      </c>
      <c r="G4" s="153">
        <v>29</v>
      </c>
      <c r="H4" s="153" t="str">
        <f>+'1'!H4</f>
        <v>.01.26</v>
      </c>
    </row>
    <row r="5" spans="1:33" ht="13.5" thickBot="1">
      <c r="C5" s="154"/>
      <c r="D5" s="154"/>
    </row>
    <row r="6" spans="1:33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80" t="s">
        <v>91</v>
      </c>
      <c r="O6" s="420" t="s">
        <v>190</v>
      </c>
      <c r="P6" s="420" t="s">
        <v>190</v>
      </c>
      <c r="Q6" s="420" t="s">
        <v>191</v>
      </c>
      <c r="R6" s="420" t="s">
        <v>192</v>
      </c>
      <c r="S6" s="420" t="s">
        <v>193</v>
      </c>
      <c r="T6" s="420" t="s">
        <v>188</v>
      </c>
      <c r="U6" s="421" t="s">
        <v>194</v>
      </c>
      <c r="V6" s="420" t="s">
        <v>195</v>
      </c>
      <c r="W6" s="420" t="s">
        <v>189</v>
      </c>
      <c r="Y6" s="148" t="s">
        <v>404</v>
      </c>
      <c r="Z6" s="148">
        <v>680</v>
      </c>
      <c r="AA6" s="148">
        <f>+Z6-(Z6*0.24)</f>
        <v>516.79999999999995</v>
      </c>
      <c r="AB6" s="148">
        <f>60*6+40</f>
        <v>400</v>
      </c>
      <c r="AC6" s="148">
        <f t="shared" ref="AC6:AC8" si="0">+Z6*AB6</f>
        <v>272000</v>
      </c>
      <c r="AD6" s="148">
        <f t="shared" ref="AD6:AD8" si="1">+AA6*AB6</f>
        <v>206719.99999999997</v>
      </c>
      <c r="AF6" s="148">
        <f>+(1230-AG6)/1230</f>
        <v>0.44715447154471544</v>
      </c>
      <c r="AG6" s="148">
        <v>680</v>
      </c>
    </row>
    <row r="7" spans="1:33" ht="13.5" customHeight="1" thickBot="1">
      <c r="A7" s="750" t="s">
        <v>391</v>
      </c>
      <c r="B7" s="214" t="s">
        <v>415</v>
      </c>
      <c r="C7" s="215">
        <v>9195</v>
      </c>
      <c r="D7" s="216"/>
      <c r="E7" s="217"/>
      <c r="F7" s="226">
        <v>6</v>
      </c>
      <c r="G7" s="227" t="s">
        <v>11</v>
      </c>
      <c r="H7" s="228" t="s">
        <v>445</v>
      </c>
      <c r="I7" s="753" t="s">
        <v>696</v>
      </c>
      <c r="J7" s="213" t="str">
        <f>+'28'!J7</f>
        <v>T 13 VP OW</v>
      </c>
      <c r="K7" s="236">
        <f>+C7+C16</f>
        <v>9764</v>
      </c>
      <c r="L7" s="240"/>
      <c r="M7" s="116">
        <f>+K7+'28'!M7+L7</f>
        <v>314476</v>
      </c>
      <c r="N7" s="422">
        <v>14.5</v>
      </c>
      <c r="O7" s="198">
        <v>1200</v>
      </c>
      <c r="P7" s="198">
        <v>1120</v>
      </c>
      <c r="Q7" s="198">
        <v>896</v>
      </c>
      <c r="R7" s="423">
        <f>1-(Q7/P7)</f>
        <v>0.19999999999999996</v>
      </c>
      <c r="S7" s="424">
        <v>45</v>
      </c>
      <c r="T7" s="425">
        <v>256.5</v>
      </c>
      <c r="U7" s="426">
        <f>(O7*(1-R7)*N7*T7*S7)/100000000</f>
        <v>1.606716</v>
      </c>
      <c r="V7" s="427">
        <f>+C14/1000</f>
        <v>9.1950000000000003</v>
      </c>
      <c r="W7" s="428">
        <f>SUM(V7:V9)/SUM(U7:U9)</f>
        <v>0.4402194863981515</v>
      </c>
      <c r="Y7" s="148" t="s">
        <v>693</v>
      </c>
      <c r="Z7" s="148">
        <v>680</v>
      </c>
      <c r="AA7" s="148">
        <f>+Z7-(Z7*0.24)</f>
        <v>516.79999999999995</v>
      </c>
      <c r="AB7" s="148">
        <f>480-AB6</f>
        <v>80</v>
      </c>
      <c r="AC7" s="148">
        <f t="shared" si="0"/>
        <v>54400</v>
      </c>
      <c r="AD7" s="148">
        <f t="shared" si="1"/>
        <v>41344</v>
      </c>
      <c r="AF7" s="148">
        <f>+AF6*(480)</f>
        <v>214.63414634146341</v>
      </c>
    </row>
    <row r="8" spans="1:33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+'28'!J8</f>
        <v>F 12 VP OW</v>
      </c>
      <c r="K8" s="237"/>
      <c r="L8" s="237"/>
      <c r="M8" s="116">
        <f>+K8+'28'!M8+L8</f>
        <v>253437</v>
      </c>
      <c r="N8" s="422">
        <v>18</v>
      </c>
      <c r="O8" s="198">
        <v>1200</v>
      </c>
      <c r="P8" s="198">
        <v>930</v>
      </c>
      <c r="Q8" s="198">
        <v>744</v>
      </c>
      <c r="R8" s="423">
        <f>1-(Q8/P8)</f>
        <v>0.19999999999999996</v>
      </c>
      <c r="S8" s="424">
        <f>480-S7</f>
        <v>435</v>
      </c>
      <c r="T8" s="425">
        <v>256.5</v>
      </c>
      <c r="U8" s="426">
        <f>(O8*(1-R8)*N8*T8*S8)/100000000</f>
        <v>19.280591999999999</v>
      </c>
      <c r="V8" s="427"/>
      <c r="W8" s="429"/>
      <c r="AA8" s="148">
        <f t="shared" ref="AA8" si="2">+Z8-(Z8*0.24)</f>
        <v>0</v>
      </c>
      <c r="AC8" s="148">
        <f t="shared" si="0"/>
        <v>0</v>
      </c>
      <c r="AD8" s="148">
        <f t="shared" si="1"/>
        <v>0</v>
      </c>
      <c r="AF8" s="148">
        <f>+AF7</f>
        <v>214.63414634146341</v>
      </c>
    </row>
    <row r="9" spans="1:33" ht="13.5" thickBot="1">
      <c r="A9" s="751"/>
      <c r="B9" s="214"/>
      <c r="C9" s="215"/>
      <c r="D9" s="216"/>
      <c r="E9" s="219"/>
      <c r="F9" s="226">
        <v>13</v>
      </c>
      <c r="G9" s="230" t="s">
        <v>11</v>
      </c>
      <c r="H9" s="231" t="s">
        <v>426</v>
      </c>
      <c r="I9" s="754"/>
      <c r="J9" s="213" t="str">
        <f>+'28'!J9</f>
        <v>F 13,5 VP OW</v>
      </c>
      <c r="K9" s="237"/>
      <c r="L9" s="237"/>
      <c r="M9" s="116">
        <f>+K9+'28'!M9+L9</f>
        <v>216723</v>
      </c>
      <c r="N9" s="430"/>
    </row>
    <row r="10" spans="1:33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691</v>
      </c>
      <c r="I10" s="754"/>
      <c r="J10" s="213" t="str">
        <f>+'28'!J10</f>
        <v>F 12,5 VP OW</v>
      </c>
      <c r="K10" s="237"/>
      <c r="L10" s="237"/>
      <c r="M10" s="116">
        <f>+K10+'28'!M10+L10</f>
        <v>50678</v>
      </c>
      <c r="N10" s="430"/>
    </row>
    <row r="11" spans="1:33" ht="13.5" thickBot="1">
      <c r="A11" s="751"/>
      <c r="B11" s="214"/>
      <c r="C11" s="215"/>
      <c r="D11" s="216"/>
      <c r="E11" s="218"/>
      <c r="F11" s="226"/>
      <c r="G11" s="230"/>
      <c r="H11" s="231" t="s">
        <v>692</v>
      </c>
      <c r="I11" s="754"/>
      <c r="J11" s="213" t="str">
        <f>+'28'!J11</f>
        <v>F 14 VP OW</v>
      </c>
      <c r="K11" s="237"/>
      <c r="L11" s="237"/>
      <c r="M11" s="116">
        <f>+K11+'28'!M11+L11</f>
        <v>20374</v>
      </c>
      <c r="N11" s="430"/>
    </row>
    <row r="12" spans="1:33" ht="13.5" thickBot="1">
      <c r="A12" s="751"/>
      <c r="B12" s="214"/>
      <c r="C12" s="215"/>
      <c r="D12" s="216"/>
      <c r="E12" s="218"/>
      <c r="F12" s="226">
        <v>215</v>
      </c>
      <c r="G12" s="230" t="s">
        <v>75</v>
      </c>
      <c r="H12" s="231"/>
      <c r="I12" s="754"/>
      <c r="J12" s="213" t="str">
        <f>+'28'!J12</f>
        <v>F 13 VP OW</v>
      </c>
      <c r="K12" s="237"/>
      <c r="L12" s="237"/>
      <c r="M12" s="116">
        <f>+K12+'28'!M12+L12</f>
        <v>154935</v>
      </c>
      <c r="N12" s="430"/>
    </row>
    <row r="13" spans="1:33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+'28'!J13</f>
        <v>F 16 VP OW</v>
      </c>
      <c r="K13" s="237"/>
      <c r="L13" s="237"/>
      <c r="M13" s="116">
        <f>+K13+'28'!M13+L13</f>
        <v>40814</v>
      </c>
      <c r="N13" s="431"/>
      <c r="O13" s="432"/>
      <c r="P13" s="432"/>
      <c r="Q13" s="432"/>
      <c r="R13" s="432"/>
      <c r="S13" s="432"/>
      <c r="T13" s="432"/>
      <c r="U13" s="432"/>
      <c r="V13" s="432"/>
      <c r="W13" s="432"/>
    </row>
    <row r="14" spans="1:33" ht="13.5" thickBot="1">
      <c r="A14" s="752"/>
      <c r="B14" s="164" t="s">
        <v>2</v>
      </c>
      <c r="C14" s="98">
        <f>SUM(C7:C13)</f>
        <v>9195</v>
      </c>
      <c r="D14" s="110">
        <f>SUM(D7:D13)</f>
        <v>0</v>
      </c>
      <c r="E14" s="111">
        <f>SUM(E5:E13)</f>
        <v>0</v>
      </c>
      <c r="F14" s="115">
        <f>SUM(F7:F13)</f>
        <v>234</v>
      </c>
      <c r="G14" s="158"/>
      <c r="H14" s="165"/>
      <c r="I14" s="166"/>
      <c r="J14" s="213" t="str">
        <f>+'28'!J14</f>
        <v>F 11 VP OW</v>
      </c>
      <c r="K14" s="237"/>
      <c r="L14" s="237"/>
      <c r="M14" s="116">
        <f>+K14+'28'!M14+L14</f>
        <v>10313</v>
      </c>
      <c r="AB14" s="175">
        <f>SUM(AB6:AB11)</f>
        <v>480</v>
      </c>
      <c r="AC14" s="175">
        <f>SUM(AC6:AC11)</f>
        <v>326400</v>
      </c>
      <c r="AD14" s="175">
        <f>SUM(AD6:AD11)</f>
        <v>248063.99999999997</v>
      </c>
    </row>
    <row r="15" spans="1:33" ht="13.5" customHeight="1" thickBot="1">
      <c r="A15" s="750" t="s">
        <v>414</v>
      </c>
      <c r="B15" s="164"/>
      <c r="C15" s="112">
        <f>C14/($C$23+$D$23+$E$23)</f>
        <v>0.98945442806413431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445</v>
      </c>
      <c r="I15" s="753" t="s">
        <v>695</v>
      </c>
      <c r="J15" s="213" t="s">
        <v>699</v>
      </c>
      <c r="K15" s="237">
        <f>+C17+C25</f>
        <v>18329</v>
      </c>
      <c r="L15" s="237"/>
      <c r="M15" s="116">
        <f>+K15+'28'!M15+L15</f>
        <v>18329</v>
      </c>
      <c r="N15" s="422">
        <v>18</v>
      </c>
      <c r="O15" s="198">
        <v>1200</v>
      </c>
      <c r="P15" s="198">
        <v>850</v>
      </c>
      <c r="Q15" s="198">
        <v>680</v>
      </c>
      <c r="R15" s="423">
        <f>1-(Q15/P15)</f>
        <v>0.19999999999999996</v>
      </c>
      <c r="S15" s="424">
        <v>480</v>
      </c>
      <c r="T15" s="425">
        <v>256.5</v>
      </c>
      <c r="U15" s="426">
        <f>(O15*(1-R15)*N15*T15*S15)/100000000</f>
        <v>21.275136</v>
      </c>
      <c r="V15" s="427">
        <f>+C23/1000</f>
        <v>9.2929999999999993</v>
      </c>
      <c r="W15" s="428">
        <f>SUM(V15:V17)/SUM(U15:U17)</f>
        <v>0.43680096804081531</v>
      </c>
      <c r="AB15" s="148">
        <f>480-AB14</f>
        <v>0</v>
      </c>
      <c r="AC15" s="175">
        <f>+AC14/AB14</f>
        <v>680</v>
      </c>
      <c r="AD15" s="175">
        <f>+AD14/AB14</f>
        <v>516.79999999999995</v>
      </c>
    </row>
    <row r="16" spans="1:33" ht="13.5" thickBot="1">
      <c r="A16" s="756"/>
      <c r="B16" s="214" t="s">
        <v>415</v>
      </c>
      <c r="C16" s="220">
        <v>569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+'28'!J16</f>
        <v>0</v>
      </c>
      <c r="K16" s="227"/>
      <c r="L16" s="227"/>
      <c r="M16" s="116">
        <f>+K16+'28'!M16+L16</f>
        <v>0</v>
      </c>
      <c r="N16" s="433"/>
      <c r="O16" s="198"/>
      <c r="P16" s="198"/>
      <c r="Q16" s="434"/>
      <c r="R16" s="423"/>
      <c r="S16" s="198"/>
      <c r="T16" s="425"/>
      <c r="U16" s="426"/>
      <c r="V16" s="427"/>
      <c r="W16" s="429"/>
    </row>
    <row r="17" spans="1:39" ht="13.5" thickBot="1">
      <c r="A17" s="756"/>
      <c r="B17" s="214" t="s">
        <v>699</v>
      </c>
      <c r="C17" s="215">
        <v>8724</v>
      </c>
      <c r="D17" s="216"/>
      <c r="E17" s="223"/>
      <c r="F17" s="226">
        <v>11</v>
      </c>
      <c r="G17" s="230" t="s">
        <v>11</v>
      </c>
      <c r="H17" s="231" t="s">
        <v>386</v>
      </c>
      <c r="I17" s="754"/>
      <c r="J17" s="213">
        <f>+'28'!J17</f>
        <v>0</v>
      </c>
      <c r="K17" s="227"/>
      <c r="L17" s="227"/>
      <c r="M17" s="116">
        <f>+K17+'28'!M17+L17</f>
        <v>0</v>
      </c>
      <c r="N17" s="430"/>
      <c r="O17" s="198"/>
      <c r="R17" s="423"/>
      <c r="T17" s="425"/>
      <c r="U17" s="426"/>
    </row>
    <row r="18" spans="1:39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689</v>
      </c>
      <c r="I18" s="754"/>
      <c r="J18" s="213">
        <f>+'28'!J18</f>
        <v>0</v>
      </c>
      <c r="K18" s="237"/>
      <c r="L18" s="237"/>
      <c r="M18" s="116">
        <f>+K18+'28'!M18+L18</f>
        <v>0</v>
      </c>
      <c r="N18" s="430"/>
      <c r="Y18" s="148" t="s">
        <v>693</v>
      </c>
      <c r="Z18" s="148">
        <v>700</v>
      </c>
      <c r="AA18" s="148">
        <f>+Z18-(Z18*0.24)</f>
        <v>532</v>
      </c>
      <c r="AB18" s="148">
        <v>420</v>
      </c>
      <c r="AC18" s="148">
        <f t="shared" ref="AC18:AC20" si="3">+Z18*AB18</f>
        <v>294000</v>
      </c>
      <c r="AD18" s="148">
        <f t="shared" ref="AD18:AD20" si="4">+AA18*AB18</f>
        <v>223440</v>
      </c>
      <c r="AE18" s="148" t="s">
        <v>693</v>
      </c>
      <c r="AF18" s="148">
        <v>680</v>
      </c>
      <c r="AG18" s="148">
        <v>516.79999999999995</v>
      </c>
      <c r="AH18" s="148">
        <v>80</v>
      </c>
      <c r="AI18" s="148">
        <f t="shared" ref="AI18:AI20" si="5">+AF18*AH18</f>
        <v>54400</v>
      </c>
      <c r="AJ18" s="148">
        <f t="shared" ref="AJ18:AJ20" si="6">+AG18*AH18</f>
        <v>41344</v>
      </c>
    </row>
    <row r="19" spans="1:39" ht="83.25" customHeight="1" thickBot="1">
      <c r="A19" s="756"/>
      <c r="B19" s="214"/>
      <c r="C19" s="215"/>
      <c r="D19" s="216"/>
      <c r="E19" s="223"/>
      <c r="F19" s="233">
        <v>199</v>
      </c>
      <c r="G19" s="230" t="s">
        <v>75</v>
      </c>
      <c r="H19" s="231" t="s">
        <v>690</v>
      </c>
      <c r="I19" s="754"/>
      <c r="J19" s="213">
        <f>+'28'!J19</f>
        <v>0</v>
      </c>
      <c r="K19" s="237"/>
      <c r="L19" s="237"/>
      <c r="M19" s="116">
        <f>+K19+'28'!M19+L19</f>
        <v>0</v>
      </c>
      <c r="N19" s="430"/>
      <c r="Z19" s="148">
        <v>860</v>
      </c>
      <c r="AA19" s="148">
        <f>+Z19-(Z19*0.24)</f>
        <v>653.6</v>
      </c>
      <c r="AB19" s="148">
        <v>60</v>
      </c>
      <c r="AC19" s="148">
        <f t="shared" si="3"/>
        <v>51600</v>
      </c>
      <c r="AD19" s="148">
        <f t="shared" si="4"/>
        <v>39216</v>
      </c>
      <c r="AE19" s="148" t="s">
        <v>693</v>
      </c>
      <c r="AF19" s="148">
        <v>700</v>
      </c>
      <c r="AG19" s="148">
        <v>532</v>
      </c>
      <c r="AH19" s="148">
        <v>420</v>
      </c>
      <c r="AI19" s="148">
        <f t="shared" si="5"/>
        <v>294000</v>
      </c>
      <c r="AJ19" s="148">
        <f t="shared" si="6"/>
        <v>223440</v>
      </c>
      <c r="AL19" s="148">
        <f>+(1230-AM19)/1230</f>
        <v>0.41463414634146339</v>
      </c>
      <c r="AM19" s="148">
        <v>720</v>
      </c>
    </row>
    <row r="20" spans="1:39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+'28'!J20</f>
        <v>0</v>
      </c>
      <c r="K20" s="238"/>
      <c r="L20" s="238"/>
      <c r="M20" s="116">
        <f>+K20+'28'!M20+L20</f>
        <v>0</v>
      </c>
      <c r="N20" s="430"/>
      <c r="AA20" s="148">
        <f t="shared" ref="AA20" si="7">+Z20-(Z20*0.24)</f>
        <v>0</v>
      </c>
      <c r="AC20" s="148">
        <f t="shared" si="3"/>
        <v>0</v>
      </c>
      <c r="AD20" s="148">
        <f t="shared" si="4"/>
        <v>0</v>
      </c>
      <c r="AF20" s="148">
        <v>860</v>
      </c>
      <c r="AG20" s="148">
        <v>653.6</v>
      </c>
      <c r="AH20" s="148">
        <v>60</v>
      </c>
      <c r="AI20" s="148">
        <f t="shared" si="5"/>
        <v>51600</v>
      </c>
      <c r="AJ20" s="148">
        <f t="shared" si="6"/>
        <v>39216</v>
      </c>
      <c r="AL20" s="148">
        <f>+AL19*(480)</f>
        <v>199.02439024390242</v>
      </c>
    </row>
    <row r="21" spans="1:39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+'28'!J21</f>
        <v>0</v>
      </c>
      <c r="K21" s="237"/>
      <c r="L21" s="237"/>
      <c r="M21" s="116">
        <f>+K21+'28'!M21+L21</f>
        <v>0</v>
      </c>
      <c r="N21" s="431"/>
      <c r="O21" s="432"/>
      <c r="P21" s="432"/>
      <c r="Q21" s="432"/>
      <c r="R21" s="432"/>
      <c r="S21" s="432"/>
      <c r="T21" s="432"/>
      <c r="U21" s="432"/>
      <c r="V21" s="432"/>
      <c r="W21" s="432"/>
      <c r="AE21" s="148" t="s">
        <v>693</v>
      </c>
      <c r="AF21" s="148">
        <v>860</v>
      </c>
      <c r="AG21" s="148">
        <v>653.6</v>
      </c>
      <c r="AH21" s="148">
        <v>300</v>
      </c>
      <c r="AI21" s="148">
        <f t="shared" ref="AI21:AI22" si="8">+AF21*AH21</f>
        <v>258000</v>
      </c>
      <c r="AJ21" s="148">
        <f t="shared" ref="AJ21:AJ22" si="9">+AG21*AH21</f>
        <v>196080</v>
      </c>
      <c r="AL21" s="148">
        <f>+AL20</f>
        <v>199.02439024390242</v>
      </c>
    </row>
    <row r="22" spans="1:39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+'28'!J22</f>
        <v>0</v>
      </c>
      <c r="K22" s="237"/>
      <c r="L22" s="237"/>
      <c r="M22" s="116">
        <f>+K22+'28'!M22+L22</f>
        <v>0</v>
      </c>
      <c r="AE22" s="148" t="s">
        <v>693</v>
      </c>
      <c r="AF22" s="148">
        <v>910</v>
      </c>
      <c r="AG22" s="148">
        <v>691.6</v>
      </c>
      <c r="AH22" s="148">
        <v>180</v>
      </c>
      <c r="AI22" s="148">
        <f t="shared" si="8"/>
        <v>163800</v>
      </c>
      <c r="AJ22" s="148">
        <f t="shared" si="9"/>
        <v>124488</v>
      </c>
    </row>
    <row r="23" spans="1:39" ht="13.5" thickBot="1">
      <c r="A23" s="757"/>
      <c r="B23" s="167" t="s">
        <v>2</v>
      </c>
      <c r="C23" s="99">
        <f>SUM(C16:C22)</f>
        <v>9293</v>
      </c>
      <c r="D23" s="110">
        <f>SUM(D16:D22)</f>
        <v>0</v>
      </c>
      <c r="E23" s="111">
        <f>SUM(E18:E22)</f>
        <v>0</v>
      </c>
      <c r="F23" s="115">
        <f>SUM(F15:F22)</f>
        <v>216</v>
      </c>
      <c r="G23" s="158"/>
      <c r="H23" s="165"/>
      <c r="I23" s="168"/>
      <c r="J23" s="213">
        <f>+'28'!J23</f>
        <v>0</v>
      </c>
      <c r="K23" s="237"/>
      <c r="L23" s="237"/>
      <c r="M23" s="116">
        <f>+K23+'28'!M23+L23</f>
        <v>0</v>
      </c>
      <c r="N23" s="435"/>
      <c r="O23" s="436"/>
      <c r="P23" s="436"/>
      <c r="Q23" s="436"/>
      <c r="R23" s="436"/>
      <c r="S23" s="436"/>
      <c r="T23" s="436"/>
      <c r="U23" s="436"/>
      <c r="V23" s="436"/>
      <c r="W23" s="436"/>
    </row>
    <row r="24" spans="1:39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445</v>
      </c>
      <c r="I24" s="753" t="s">
        <v>694</v>
      </c>
      <c r="J24" s="213">
        <f>+'28'!J24</f>
        <v>0</v>
      </c>
      <c r="K24" s="237"/>
      <c r="L24" s="237"/>
      <c r="M24" s="116">
        <f>+K24+'28'!M24+L24</f>
        <v>0</v>
      </c>
      <c r="N24" s="422">
        <v>18</v>
      </c>
      <c r="O24" s="198">
        <v>1200</v>
      </c>
      <c r="P24" s="198">
        <v>770</v>
      </c>
      <c r="Q24" s="198">
        <v>616</v>
      </c>
      <c r="R24" s="423">
        <f>1-(Q24/P24)</f>
        <v>0.19999999999999996</v>
      </c>
      <c r="S24" s="424">
        <v>480</v>
      </c>
      <c r="T24" s="425">
        <v>256.5</v>
      </c>
      <c r="U24" s="426">
        <f>(O24*(1-R24)*N24*T24*S24)/100000000</f>
        <v>21.275136</v>
      </c>
      <c r="V24" s="427">
        <f>+C32/1000</f>
        <v>9.6050000000000004</v>
      </c>
      <c r="W24" s="428">
        <f>SUM(V24:V25)/SUM(U24:U25)</f>
        <v>0.45146597417755641</v>
      </c>
    </row>
    <row r="25" spans="1:39" ht="13.5" customHeight="1" thickBot="1">
      <c r="A25" s="756"/>
      <c r="B25" s="214" t="s">
        <v>699</v>
      </c>
      <c r="C25" s="224">
        <v>9605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+'28'!J25</f>
        <v>0</v>
      </c>
      <c r="K25" s="237"/>
      <c r="L25" s="237"/>
      <c r="M25" s="116">
        <f>+K25+'28'!M25+L25</f>
        <v>0</v>
      </c>
      <c r="N25" s="422"/>
      <c r="O25" s="198"/>
      <c r="P25" s="198"/>
      <c r="Q25" s="198"/>
      <c r="R25" s="423"/>
      <c r="S25" s="424"/>
      <c r="T25" s="425"/>
      <c r="U25" s="426"/>
      <c r="V25" s="427"/>
      <c r="W25" s="428"/>
    </row>
    <row r="26" spans="1:39" ht="13.5" customHeight="1" thickBot="1">
      <c r="A26" s="756"/>
      <c r="B26" s="214"/>
      <c r="C26" s="224"/>
      <c r="D26" s="216"/>
      <c r="E26" s="225"/>
      <c r="F26" s="226">
        <v>13</v>
      </c>
      <c r="G26" s="230" t="s">
        <v>11</v>
      </c>
      <c r="H26" s="231" t="s">
        <v>409</v>
      </c>
      <c r="I26" s="754"/>
      <c r="J26" s="213">
        <f>+'28'!J26</f>
        <v>0</v>
      </c>
      <c r="K26" s="237"/>
      <c r="L26" s="237"/>
      <c r="M26" s="116">
        <f>+K26+'28'!M26+L26</f>
        <v>0</v>
      </c>
      <c r="AB26" s="175">
        <f>SUM(AB18:AB23)</f>
        <v>480</v>
      </c>
      <c r="AC26" s="175">
        <f>SUM(AC18:AC23)</f>
        <v>345600</v>
      </c>
      <c r="AD26" s="175">
        <f>SUM(AD18:AD23)</f>
        <v>262656</v>
      </c>
      <c r="AH26" s="175">
        <f>SUM(AH18:AH23)</f>
        <v>1040</v>
      </c>
      <c r="AI26" s="175">
        <f>SUM(AI18:AI23)</f>
        <v>821800</v>
      </c>
      <c r="AJ26" s="175">
        <f>SUM(AJ18:AJ23)</f>
        <v>624568</v>
      </c>
    </row>
    <row r="27" spans="1:39" ht="26.25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687</v>
      </c>
      <c r="I27" s="754"/>
      <c r="J27" s="213">
        <f>+'28'!J27</f>
        <v>0</v>
      </c>
      <c r="K27" s="237"/>
      <c r="L27" s="237"/>
      <c r="M27" s="116">
        <f>+K27+'28'!M27+L27</f>
        <v>0</v>
      </c>
      <c r="AB27" s="148">
        <f>480-AB26</f>
        <v>0</v>
      </c>
      <c r="AC27" s="175">
        <f>+AC26/AB26</f>
        <v>720</v>
      </c>
      <c r="AD27" s="175">
        <f>+AD26/AB26</f>
        <v>547.20000000000005</v>
      </c>
      <c r="AH27" s="148">
        <f>480-AH26</f>
        <v>-560</v>
      </c>
      <c r="AI27" s="175">
        <f>+AI26/AH26</f>
        <v>790.19230769230774</v>
      </c>
      <c r="AJ27" s="175">
        <f>+AJ26/AH26</f>
        <v>600.54615384615386</v>
      </c>
    </row>
    <row r="28" spans="1:39" ht="51.75" thickBot="1">
      <c r="A28" s="756"/>
      <c r="B28" s="214"/>
      <c r="C28" s="215"/>
      <c r="D28" s="216"/>
      <c r="E28" s="223"/>
      <c r="F28" s="229">
        <v>137</v>
      </c>
      <c r="G28" s="230" t="s">
        <v>75</v>
      </c>
      <c r="H28" s="231" t="s">
        <v>688</v>
      </c>
      <c r="I28" s="754"/>
      <c r="J28" s="213">
        <f>+'28'!J28</f>
        <v>0</v>
      </c>
      <c r="K28" s="237"/>
      <c r="L28" s="237"/>
      <c r="M28" s="116">
        <f>+K28+'28'!M28+L28</f>
        <v>0</v>
      </c>
      <c r="Y28" s="148" t="s">
        <v>693</v>
      </c>
      <c r="Z28" s="148">
        <v>860</v>
      </c>
      <c r="AA28" s="148">
        <f>+Z28-(Z28*0.24)</f>
        <v>653.6</v>
      </c>
      <c r="AB28" s="148">
        <v>300</v>
      </c>
      <c r="AC28" s="148">
        <f t="shared" ref="AC28:AC30" si="10">+Z28*AB28</f>
        <v>258000</v>
      </c>
      <c r="AD28" s="148">
        <f t="shared" ref="AD28:AD30" si="11">+AA28*AB28</f>
        <v>196080</v>
      </c>
    </row>
    <row r="29" spans="1:39" ht="13.5" customHeight="1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+'28'!J29</f>
        <v>0</v>
      </c>
      <c r="K29" s="237"/>
      <c r="L29" s="237"/>
      <c r="M29" s="116">
        <f>+K29+'28'!M29+L29</f>
        <v>0</v>
      </c>
      <c r="Y29" s="148" t="s">
        <v>693</v>
      </c>
      <c r="Z29" s="148">
        <v>910</v>
      </c>
      <c r="AA29" s="148">
        <f>+Z29-(Z29*0.24)</f>
        <v>691.6</v>
      </c>
      <c r="AB29" s="148">
        <f>480-AB28</f>
        <v>180</v>
      </c>
      <c r="AC29" s="148">
        <f t="shared" si="10"/>
        <v>163800</v>
      </c>
      <c r="AD29" s="148">
        <f t="shared" si="11"/>
        <v>124488</v>
      </c>
      <c r="AF29" s="148">
        <f>+(1230-AG29)/1230</f>
        <v>0.28556910569105692</v>
      </c>
      <c r="AG29" s="148">
        <v>878.75</v>
      </c>
    </row>
    <row r="30" spans="1:39" ht="13.5" customHeight="1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+'28'!J30</f>
        <v>0</v>
      </c>
      <c r="K30" s="237"/>
      <c r="L30" s="237"/>
      <c r="M30" s="116">
        <f>+K30+'28'!M30+L30</f>
        <v>0</v>
      </c>
      <c r="N30" s="154"/>
      <c r="AA30" s="148">
        <f t="shared" ref="AA30" si="12">+Z30-(Z30*0.24)</f>
        <v>0</v>
      </c>
      <c r="AC30" s="148">
        <f t="shared" si="10"/>
        <v>0</v>
      </c>
      <c r="AD30" s="148">
        <f t="shared" si="11"/>
        <v>0</v>
      </c>
      <c r="AF30" s="148">
        <f>+AF29*(480)</f>
        <v>137.07317073170734</v>
      </c>
    </row>
    <row r="31" spans="1:39" ht="13.5" customHeight="1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+'28'!J31</f>
        <v>0</v>
      </c>
      <c r="K31" s="237"/>
      <c r="L31" s="237"/>
      <c r="M31" s="116">
        <f>+K31+'28'!M31+L31</f>
        <v>0</v>
      </c>
      <c r="AF31" s="148">
        <f>+AF30</f>
        <v>137.07317073170734</v>
      </c>
    </row>
    <row r="32" spans="1:39" ht="13.5" customHeight="1" thickBot="1">
      <c r="A32" s="757"/>
      <c r="B32" s="164" t="s">
        <v>2</v>
      </c>
      <c r="C32" s="98">
        <f>SUM(C25:C31)</f>
        <v>9605</v>
      </c>
      <c r="D32" s="99">
        <f>SUM(D25:D31)</f>
        <v>0</v>
      </c>
      <c r="E32" s="100">
        <f>SUM(E25:E31)</f>
        <v>0</v>
      </c>
      <c r="F32" s="101">
        <f>SUM(F24:F31)</f>
        <v>156</v>
      </c>
      <c r="G32" s="170"/>
      <c r="H32" s="171"/>
      <c r="I32" s="168"/>
      <c r="J32" s="213">
        <f>+'28'!J32</f>
        <v>0</v>
      </c>
      <c r="K32" s="239"/>
      <c r="L32" s="241"/>
      <c r="M32" s="116">
        <f>+K32+'28'!M32+L32</f>
        <v>0</v>
      </c>
    </row>
    <row r="33" spans="1:30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30" ht="13.5" thickBot="1">
      <c r="A34" s="758" t="s">
        <v>56</v>
      </c>
      <c r="B34" s="759"/>
      <c r="C34" s="106">
        <f>C14+C23+C32</f>
        <v>28093</v>
      </c>
      <c r="D34" s="106">
        <f>D14+D23+D32</f>
        <v>0</v>
      </c>
      <c r="E34" s="106">
        <f>E14+E23+E32</f>
        <v>0</v>
      </c>
      <c r="F34" s="107">
        <f>F14+F23+F32</f>
        <v>606</v>
      </c>
      <c r="H34" s="177"/>
      <c r="I34" s="177"/>
      <c r="J34" s="122" t="s">
        <v>27</v>
      </c>
      <c r="K34" s="123">
        <f>SUM(K7:K32)</f>
        <v>28093</v>
      </c>
      <c r="L34" s="211">
        <f>SUM(L7:L32)</f>
        <v>0</v>
      </c>
      <c r="M34" s="119">
        <f>SUM(M7:M32)</f>
        <v>1080079</v>
      </c>
      <c r="N34" s="154"/>
    </row>
    <row r="35" spans="1:30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30" ht="13.5" thickBot="1">
      <c r="A36" s="177"/>
      <c r="B36" s="177"/>
      <c r="C36" s="154"/>
      <c r="D36" s="154"/>
      <c r="E36" s="154"/>
      <c r="G36" s="154"/>
      <c r="H36" s="180" t="s">
        <v>0</v>
      </c>
      <c r="I36" s="161" t="s">
        <v>36</v>
      </c>
      <c r="J36" s="161" t="s">
        <v>37</v>
      </c>
      <c r="K36" s="181"/>
      <c r="AB36" s="175">
        <f>SUM(AB28:AB33)</f>
        <v>480</v>
      </c>
      <c r="AC36" s="175">
        <f>SUM(AC28:AC33)</f>
        <v>421800</v>
      </c>
      <c r="AD36" s="175">
        <f>SUM(AD28:AD33)</f>
        <v>320568</v>
      </c>
    </row>
    <row r="37" spans="1:30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(13*400+12.5*1040)/1440*G42*2.74*1440/1000000</f>
        <v>28.787965266666671</v>
      </c>
      <c r="J37" s="124">
        <f>+I37+'28'!J37</f>
        <v>1232.6327444960039</v>
      </c>
      <c r="K37" s="125" t="s">
        <v>62</v>
      </c>
      <c r="AB37" s="148">
        <f>480-AB36</f>
        <v>0</v>
      </c>
      <c r="AC37" s="175">
        <f>+AC36/AB36</f>
        <v>878.75</v>
      </c>
      <c r="AD37" s="175">
        <f>+AD36/AB36</f>
        <v>667.85</v>
      </c>
    </row>
    <row r="38" spans="1:30" ht="17.45" customHeight="1">
      <c r="A38" s="762" t="s">
        <v>11</v>
      </c>
      <c r="B38" s="763"/>
      <c r="C38" s="163">
        <f>SUMIF($G$7:$G$31,"Process",$F$7:$F$31)</f>
        <v>55</v>
      </c>
      <c r="D38" s="117">
        <f>+C38+'28'!D38</f>
        <v>1857</v>
      </c>
      <c r="E38" s="142">
        <f t="shared" ref="E38:E51" si="13">D38/60</f>
        <v>30.95</v>
      </c>
      <c r="F38" s="320">
        <v>680</v>
      </c>
      <c r="G38" s="320">
        <v>516.79999999999995</v>
      </c>
      <c r="H38" s="186" t="s">
        <v>63</v>
      </c>
      <c r="I38" s="243">
        <f>9.115+8.708+9.824</f>
        <v>27.646999999999998</v>
      </c>
      <c r="J38" s="126">
        <f>+I38+'28'!J38</f>
        <v>1120.7789999999998</v>
      </c>
      <c r="K38" s="127" t="s">
        <v>62</v>
      </c>
      <c r="Y38" s="148" t="s">
        <v>404</v>
      </c>
      <c r="Z38" s="148">
        <v>680</v>
      </c>
      <c r="AA38" s="148">
        <v>516.79999999999995</v>
      </c>
      <c r="AB38" s="148">
        <v>400</v>
      </c>
    </row>
    <row r="39" spans="1:30" ht="17.45" customHeight="1">
      <c r="A39" s="764" t="s">
        <v>12</v>
      </c>
      <c r="B39" s="765"/>
      <c r="C39" s="163">
        <f>SUMIF($G$7:$G$31,"Cleaning",$F$7:$F$31)</f>
        <v>0</v>
      </c>
      <c r="D39" s="117">
        <f>+C39+'28'!D39</f>
        <v>8</v>
      </c>
      <c r="E39" s="142">
        <f t="shared" si="13"/>
        <v>0.13333333333333333</v>
      </c>
      <c r="F39" s="320">
        <v>720</v>
      </c>
      <c r="G39" s="320">
        <v>547.20000000000005</v>
      </c>
      <c r="H39" s="186" t="s">
        <v>64</v>
      </c>
      <c r="I39" s="141"/>
      <c r="J39" s="128">
        <f>J37/G4</f>
        <v>42.504577396413929</v>
      </c>
      <c r="K39" s="129" t="s">
        <v>62</v>
      </c>
      <c r="Y39" s="148" t="s">
        <v>693</v>
      </c>
      <c r="Z39" s="148">
        <v>790.19230769230774</v>
      </c>
      <c r="AA39" s="148">
        <v>600.54615384615386</v>
      </c>
      <c r="AB39" s="148">
        <v>1040</v>
      </c>
    </row>
    <row r="40" spans="1:30" ht="17.45" customHeight="1">
      <c r="A40" s="764" t="s">
        <v>65</v>
      </c>
      <c r="B40" s="765"/>
      <c r="C40" s="163">
        <f>SUMIF($G$7:$G$31,"Mechanical",$F$7:$F$31)</f>
        <v>0</v>
      </c>
      <c r="D40" s="117">
        <f>+C40+'28'!D40</f>
        <v>0</v>
      </c>
      <c r="E40" s="142">
        <f t="shared" si="13"/>
        <v>0</v>
      </c>
      <c r="F40" s="320">
        <v>878.75</v>
      </c>
      <c r="G40" s="320">
        <v>667.85</v>
      </c>
      <c r="H40" s="186" t="s">
        <v>66</v>
      </c>
      <c r="I40" s="117">
        <f>(K34+L34)/1000</f>
        <v>28.093</v>
      </c>
      <c r="J40" s="130">
        <f>+I40+'28'!J40</f>
        <v>1080.079</v>
      </c>
      <c r="K40" s="129" t="s">
        <v>62</v>
      </c>
      <c r="AB40" s="148">
        <f>SUM(AB37:AB39)</f>
        <v>1440</v>
      </c>
    </row>
    <row r="41" spans="1:30" ht="17.45" customHeight="1">
      <c r="A41" s="764" t="s">
        <v>67</v>
      </c>
      <c r="B41" s="765"/>
      <c r="C41" s="163">
        <f>SUMIF($G$7:$G$31,"Electrical",$F$7:$F$31)</f>
        <v>0</v>
      </c>
      <c r="D41" s="117">
        <f>+C41+'28'!D41</f>
        <v>87</v>
      </c>
      <c r="E41" s="142">
        <f t="shared" si="13"/>
        <v>1.45</v>
      </c>
      <c r="F41" s="320"/>
      <c r="G41" s="320"/>
      <c r="H41" s="186" t="s">
        <v>68</v>
      </c>
      <c r="I41" s="141"/>
      <c r="J41" s="128">
        <f>J40/G4</f>
        <v>37.244103448275858</v>
      </c>
      <c r="K41" s="129" t="s">
        <v>62</v>
      </c>
    </row>
    <row r="42" spans="1:30" ht="17.45" customHeight="1">
      <c r="A42" s="764" t="s">
        <v>15</v>
      </c>
      <c r="B42" s="765"/>
      <c r="C42" s="163">
        <f>SUMIF($G$7:$G$31,"Instrument",$F$7:$F$31)</f>
        <v>0</v>
      </c>
      <c r="D42" s="117">
        <f>+C42+'28'!D42</f>
        <v>0</v>
      </c>
      <c r="E42" s="142">
        <f t="shared" si="13"/>
        <v>0</v>
      </c>
      <c r="F42" s="320">
        <f>+(480*F38+480*F39+480*F40)/1440</f>
        <v>759.58333333333337</v>
      </c>
      <c r="G42" s="320">
        <f>+(480*G38+480*G39+480*G40)/1440</f>
        <v>577.2833333333333</v>
      </c>
      <c r="H42" s="186" t="s">
        <v>69</v>
      </c>
      <c r="I42" s="244" t="s">
        <v>697</v>
      </c>
      <c r="J42" s="131"/>
      <c r="K42" s="129" t="s">
        <v>70</v>
      </c>
    </row>
    <row r="43" spans="1:30" ht="17.45" customHeight="1">
      <c r="A43" s="764" t="s">
        <v>71</v>
      </c>
      <c r="B43" s="765"/>
      <c r="C43" s="163">
        <f>SUMIF($G$7:$G$31,"Water",$F$7:$F$31)</f>
        <v>0</v>
      </c>
      <c r="D43" s="117">
        <f>+C43+'28'!D43</f>
        <v>0</v>
      </c>
      <c r="E43" s="142">
        <f t="shared" si="13"/>
        <v>0</v>
      </c>
      <c r="F43" s="320"/>
      <c r="G43" s="321"/>
      <c r="H43" s="187" t="s">
        <v>72</v>
      </c>
      <c r="I43" s="117">
        <f>+Report1!Z37</f>
        <v>48.2</v>
      </c>
      <c r="J43" s="132">
        <f>+I43+'28'!J43</f>
        <v>1495.5</v>
      </c>
      <c r="K43" s="129" t="s">
        <v>62</v>
      </c>
      <c r="L43" s="188"/>
    </row>
    <row r="44" spans="1:30" ht="17.45" customHeight="1">
      <c r="A44" s="764" t="s">
        <v>16</v>
      </c>
      <c r="B44" s="765"/>
      <c r="C44" s="163">
        <f>SUMIF($G$7:$G$31,"PLN",$F$7:$F$31)</f>
        <v>0</v>
      </c>
      <c r="D44" s="117">
        <f>+C44+'28'!D44</f>
        <v>0</v>
      </c>
      <c r="E44" s="142">
        <f t="shared" si="13"/>
        <v>0</v>
      </c>
      <c r="F44" s="320"/>
      <c r="G44" s="321"/>
      <c r="H44" s="187" t="s">
        <v>73</v>
      </c>
      <c r="I44" s="117">
        <f>I43/I38</f>
        <v>1.7434079646977974</v>
      </c>
      <c r="J44" s="133">
        <f>J43/J38</f>
        <v>1.3343397761735367</v>
      </c>
      <c r="K44" s="129" t="s">
        <v>62</v>
      </c>
    </row>
    <row r="45" spans="1:30" ht="17.45" customHeight="1">
      <c r="A45" s="764" t="s">
        <v>17</v>
      </c>
      <c r="B45" s="765"/>
      <c r="C45" s="163">
        <f>SUMIF($G$7:$G$31,"Boiler",$F$7:$F$31)</f>
        <v>0</v>
      </c>
      <c r="D45" s="117">
        <f>+C45+'28'!D45</f>
        <v>0</v>
      </c>
      <c r="E45" s="142">
        <f t="shared" si="13"/>
        <v>0</v>
      </c>
      <c r="F45" s="320"/>
      <c r="G45" s="323"/>
      <c r="H45" s="187" t="s">
        <v>74</v>
      </c>
      <c r="I45" s="117">
        <f>I43/I40</f>
        <v>1.7157298971273984</v>
      </c>
      <c r="J45" s="133">
        <f>J43/J40</f>
        <v>1.3846209397645914</v>
      </c>
      <c r="K45" s="129" t="s">
        <v>62</v>
      </c>
    </row>
    <row r="46" spans="1:30" ht="17.45" customHeight="1">
      <c r="A46" s="764" t="s">
        <v>75</v>
      </c>
      <c r="B46" s="765"/>
      <c r="C46" s="163">
        <f>SUMIF($G$7:$G$31,"Gas",$F$7:$F$31)</f>
        <v>551</v>
      </c>
      <c r="D46" s="117">
        <f>+C46+'28'!D46</f>
        <v>3552</v>
      </c>
      <c r="E46" s="142">
        <f t="shared" si="13"/>
        <v>59.2</v>
      </c>
      <c r="F46" s="320"/>
      <c r="G46" s="321"/>
      <c r="H46" s="187" t="s">
        <v>76</v>
      </c>
      <c r="I46" s="139">
        <f>+SUMIF(Listrik!P36,"&gt;0")</f>
        <v>34150.740000000362</v>
      </c>
      <c r="J46" s="134">
        <f>+I46+'28'!J46</f>
        <v>1076598.6199999989</v>
      </c>
      <c r="K46" s="129" t="s">
        <v>77</v>
      </c>
    </row>
    <row r="47" spans="1:30" ht="17.45" customHeight="1">
      <c r="A47" s="764" t="s">
        <v>78</v>
      </c>
      <c r="B47" s="765"/>
      <c r="C47" s="163">
        <f>SUMIF($G$7:$G$31,"Gas",$F$7:$F$31)</f>
        <v>551</v>
      </c>
      <c r="D47" s="117">
        <f>+C47+'28'!D47</f>
        <v>3552</v>
      </c>
      <c r="E47" s="142">
        <f t="shared" si="13"/>
        <v>59.2</v>
      </c>
      <c r="F47" s="320"/>
      <c r="G47" s="321"/>
      <c r="H47" s="187" t="s">
        <v>79</v>
      </c>
      <c r="I47" s="117">
        <f>I46/I38</f>
        <v>1235.2421600897155</v>
      </c>
      <c r="J47" s="134">
        <f>J46/J38</f>
        <v>960.58064970881787</v>
      </c>
      <c r="K47" s="129" t="s">
        <v>23</v>
      </c>
    </row>
    <row r="48" spans="1:30" ht="17.45" customHeight="1">
      <c r="A48" s="764" t="s">
        <v>13</v>
      </c>
      <c r="B48" s="765"/>
      <c r="C48" s="163">
        <f>SUMIF($G$7:$G$31,"Start Up",$F$7:$F$31)</f>
        <v>0</v>
      </c>
      <c r="D48" s="117">
        <f>+C48+'28'!D48</f>
        <v>0</v>
      </c>
      <c r="E48" s="142">
        <f t="shared" si="13"/>
        <v>0</v>
      </c>
      <c r="F48" s="320"/>
      <c r="G48" s="321"/>
      <c r="H48" s="187" t="s">
        <v>80</v>
      </c>
      <c r="I48" s="117">
        <f>I46/I40</f>
        <v>1215.6316520129699</v>
      </c>
      <c r="J48" s="134">
        <f>J46/J40</f>
        <v>996.77766163400918</v>
      </c>
      <c r="K48" s="129" t="s">
        <v>23</v>
      </c>
    </row>
    <row r="49" spans="1:23" ht="17.45" customHeight="1">
      <c r="A49" s="770" t="s">
        <v>19</v>
      </c>
      <c r="B49" s="765"/>
      <c r="C49" s="163">
        <f>SUMIF($G$7:$G$31,"Others",$F$7:$F$31)</f>
        <v>0</v>
      </c>
      <c r="D49" s="117">
        <f>+C49+'28'!D49</f>
        <v>169</v>
      </c>
      <c r="E49" s="142">
        <f t="shared" si="13"/>
        <v>2.8166666666666669</v>
      </c>
      <c r="F49" s="184"/>
      <c r="H49" s="187" t="s">
        <v>270</v>
      </c>
      <c r="I49" s="117">
        <f>+Report1!T37</f>
        <v>2272.2948372382334</v>
      </c>
      <c r="J49" s="134">
        <f>+I49+'28'!J49</f>
        <v>129569.00621366258</v>
      </c>
      <c r="K49" s="129" t="s">
        <v>81</v>
      </c>
    </row>
    <row r="50" spans="1:23" ht="17.45" customHeight="1">
      <c r="A50" s="764" t="s">
        <v>18</v>
      </c>
      <c r="B50" s="765"/>
      <c r="C50" s="163">
        <f>SUMIF($G$7:$G$31,"Steam",$F$7:$F$31)</f>
        <v>0</v>
      </c>
      <c r="D50" s="117">
        <f>+C50+'28'!D50</f>
        <v>0</v>
      </c>
      <c r="E50" s="142">
        <f t="shared" si="13"/>
        <v>0</v>
      </c>
      <c r="F50" s="184"/>
      <c r="H50" s="187" t="s">
        <v>82</v>
      </c>
      <c r="I50" s="139">
        <f>I49/I38</f>
        <v>82.189562601303336</v>
      </c>
      <c r="J50" s="132">
        <f>J49/J38</f>
        <v>115.60620444678443</v>
      </c>
      <c r="K50" s="129" t="s">
        <v>81</v>
      </c>
    </row>
    <row r="51" spans="1:23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+C51+'28'!D51</f>
        <v>0</v>
      </c>
      <c r="E51" s="142">
        <f t="shared" si="13"/>
        <v>0</v>
      </c>
      <c r="F51" s="184"/>
      <c r="H51" s="189" t="s">
        <v>84</v>
      </c>
      <c r="I51" s="140">
        <f>I49/I40</f>
        <v>80.884734177134277</v>
      </c>
      <c r="J51" s="135">
        <f>J49/J40</f>
        <v>119.96252701298941</v>
      </c>
      <c r="K51" s="136" t="s">
        <v>81</v>
      </c>
    </row>
    <row r="52" spans="1:23" ht="13.5" thickBot="1">
      <c r="A52" s="762" t="s">
        <v>27</v>
      </c>
      <c r="B52" s="763"/>
      <c r="C52" s="143">
        <f>SUM(C38:C51)</f>
        <v>1157</v>
      </c>
      <c r="D52" s="143">
        <f>SUM(D38:D51)</f>
        <v>9225</v>
      </c>
      <c r="E52" s="144">
        <f>SUM(E38:E51)</f>
        <v>153.75</v>
      </c>
      <c r="F52" s="184"/>
      <c r="H52" s="190"/>
      <c r="I52" s="191"/>
      <c r="J52" s="137"/>
      <c r="K52" s="138"/>
    </row>
    <row r="53" spans="1:23" ht="13.5" thickBot="1">
      <c r="A53" s="768"/>
      <c r="B53" s="769"/>
      <c r="C53" s="145">
        <f>C52/(24*60)</f>
        <v>0.80347222222222225</v>
      </c>
      <c r="D53" s="145">
        <f>D52/(24*60*G4)</f>
        <v>0.22090517241379309</v>
      </c>
      <c r="E53" s="146">
        <f>E52/(G4*24)</f>
        <v>0.22090517241379309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+D34+'28'!J56</f>
        <v>6150</v>
      </c>
      <c r="K56" s="200">
        <f>J56/(J40+J56/1000)/1000</f>
        <v>5.6617895489809236E-3</v>
      </c>
    </row>
    <row r="57" spans="1:23">
      <c r="A57" s="175"/>
      <c r="I57" s="198" t="s">
        <v>87</v>
      </c>
      <c r="J57" s="199">
        <f>+E34+'28'!J57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1"/>
  <sheetViews>
    <sheetView topLeftCell="H10" zoomScale="80" zoomScaleNormal="80" workbookViewId="0">
      <selection activeCell="T27" sqref="T27:U29"/>
    </sheetView>
  </sheetViews>
  <sheetFormatPr defaultColWidth="9.140625" defaultRowHeight="12.75"/>
  <cols>
    <col min="1" max="1" width="8" style="148" customWidth="1"/>
    <col min="2" max="2" width="10.7109375" style="148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28515625" style="148" customWidth="1"/>
    <col min="14" max="16384" width="9.140625" style="148"/>
  </cols>
  <sheetData>
    <row r="1" spans="1:21" ht="15.75">
      <c r="A1" s="147"/>
    </row>
    <row r="2" spans="1:21" ht="15.75">
      <c r="A2" s="147" t="s">
        <v>183</v>
      </c>
    </row>
    <row r="3" spans="1:21" ht="15">
      <c r="A3" s="149"/>
    </row>
    <row r="4" spans="1:21" ht="20.25">
      <c r="A4" s="150" t="s">
        <v>3</v>
      </c>
      <c r="B4" s="151"/>
      <c r="F4" s="152" t="s">
        <v>28</v>
      </c>
      <c r="G4" s="153">
        <v>27</v>
      </c>
      <c r="H4" s="153" t="str">
        <f>+'1'!H4</f>
        <v>.01.26</v>
      </c>
    </row>
    <row r="5" spans="1:21" ht="13.5" thickBot="1">
      <c r="C5" s="154"/>
      <c r="D5" s="154"/>
    </row>
    <row r="6" spans="1:21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820</v>
      </c>
      <c r="P6" s="148">
        <f>+O6-(O6*0.24)</f>
        <v>623.20000000000005</v>
      </c>
      <c r="Q6" s="148">
        <f>60*2+1</f>
        <v>121</v>
      </c>
      <c r="R6" s="148">
        <f t="shared" ref="R6:R9" si="0">+O6*Q6</f>
        <v>99220</v>
      </c>
      <c r="S6" s="148">
        <f t="shared" ref="S6:S9" si="1">+P6*Q6</f>
        <v>75407.200000000012</v>
      </c>
      <c r="T6" s="148">
        <f>+(1230-U6)/1230</f>
        <v>0.39112466124661249</v>
      </c>
      <c r="U6" s="148">
        <v>748.91666666666663</v>
      </c>
    </row>
    <row r="7" spans="1:21" ht="13.5" customHeight="1" thickBot="1">
      <c r="A7" s="750" t="s">
        <v>391</v>
      </c>
      <c r="B7" s="214" t="s">
        <v>415</v>
      </c>
      <c r="C7" s="215">
        <v>8215</v>
      </c>
      <c r="D7" s="216"/>
      <c r="E7" s="217"/>
      <c r="F7" s="226"/>
      <c r="G7" s="227" t="s">
        <v>11</v>
      </c>
      <c r="H7" s="228" t="s">
        <v>385</v>
      </c>
      <c r="I7" s="753" t="s">
        <v>674</v>
      </c>
      <c r="J7" s="213" t="str">
        <f>+'26'!J7</f>
        <v>T 13 VP OW</v>
      </c>
      <c r="K7" s="236">
        <f>+C34</f>
        <v>28209</v>
      </c>
      <c r="L7" s="240"/>
      <c r="M7" s="116">
        <f>+K7+'26'!M7+L7</f>
        <v>278056</v>
      </c>
      <c r="O7" s="148">
        <v>750</v>
      </c>
      <c r="P7" s="148">
        <f t="shared" ref="P7:P10" si="2">+O7-(O7*0.24)</f>
        <v>570</v>
      </c>
      <c r="Q7" s="148">
        <f>60-1+15</f>
        <v>74</v>
      </c>
      <c r="R7" s="148">
        <f t="shared" si="0"/>
        <v>55500</v>
      </c>
      <c r="S7" s="148">
        <f t="shared" si="1"/>
        <v>42180</v>
      </c>
      <c r="T7" s="148">
        <f>+T6*(480)</f>
        <v>187.73983739837399</v>
      </c>
    </row>
    <row r="8" spans="1:21" ht="13.5" thickBot="1">
      <c r="A8" s="751"/>
      <c r="B8" s="214"/>
      <c r="C8" s="215"/>
      <c r="D8" s="216"/>
      <c r="E8" s="218"/>
      <c r="F8" s="229">
        <v>8</v>
      </c>
      <c r="G8" s="230" t="s">
        <v>11</v>
      </c>
      <c r="H8" s="228" t="s">
        <v>407</v>
      </c>
      <c r="I8" s="754"/>
      <c r="J8" s="213" t="str">
        <f>+'26'!J8</f>
        <v>F 12 VP OW</v>
      </c>
      <c r="K8" s="237"/>
      <c r="L8" s="237"/>
      <c r="M8" s="116">
        <f>+K8+'26'!M8+L8</f>
        <v>253437</v>
      </c>
      <c r="O8" s="148">
        <v>650</v>
      </c>
      <c r="P8" s="148">
        <f t="shared" si="2"/>
        <v>494</v>
      </c>
      <c r="Q8" s="148">
        <f>21-15</f>
        <v>6</v>
      </c>
      <c r="R8" s="148">
        <f t="shared" si="0"/>
        <v>3900</v>
      </c>
      <c r="S8" s="148">
        <f t="shared" si="1"/>
        <v>2964</v>
      </c>
      <c r="T8" s="148">
        <f>+T7</f>
        <v>187.73983739837399</v>
      </c>
    </row>
    <row r="9" spans="1:21" ht="13.5" thickBot="1">
      <c r="A9" s="751"/>
      <c r="B9" s="214"/>
      <c r="C9" s="215"/>
      <c r="D9" s="216"/>
      <c r="E9" s="219"/>
      <c r="F9" s="226">
        <v>9</v>
      </c>
      <c r="G9" s="230" t="s">
        <v>11</v>
      </c>
      <c r="H9" s="231" t="s">
        <v>426</v>
      </c>
      <c r="I9" s="754"/>
      <c r="J9" s="213" t="str">
        <f>+'26'!J9</f>
        <v>F 13,5 VP OW</v>
      </c>
      <c r="K9" s="237"/>
      <c r="L9" s="237"/>
      <c r="M9" s="116">
        <f>+K9+'26'!M9+L9</f>
        <v>216723</v>
      </c>
      <c r="O9" s="148">
        <v>700</v>
      </c>
      <c r="P9" s="148">
        <f t="shared" si="2"/>
        <v>532</v>
      </c>
      <c r="Q9" s="148">
        <v>140</v>
      </c>
      <c r="R9" s="148">
        <f t="shared" si="0"/>
        <v>98000</v>
      </c>
      <c r="S9" s="148">
        <f t="shared" si="1"/>
        <v>74480</v>
      </c>
    </row>
    <row r="10" spans="1:21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657</v>
      </c>
      <c r="I10" s="754"/>
      <c r="J10" s="213" t="str">
        <f>+'26'!J10</f>
        <v>F 12,5 VP OW</v>
      </c>
      <c r="K10" s="237"/>
      <c r="L10" s="237"/>
      <c r="M10" s="116">
        <f>+K10+'26'!M10+L10</f>
        <v>50678</v>
      </c>
      <c r="O10" s="148">
        <v>740</v>
      </c>
      <c r="P10" s="148">
        <f t="shared" si="2"/>
        <v>562.4</v>
      </c>
      <c r="Q10" s="148">
        <v>139</v>
      </c>
      <c r="R10" s="148">
        <f t="shared" ref="R10" si="3">+O10*Q10</f>
        <v>102860</v>
      </c>
      <c r="S10" s="148">
        <f t="shared" ref="S10" si="4">+P10*Q10</f>
        <v>78173.599999999991</v>
      </c>
    </row>
    <row r="11" spans="1:21" ht="105" customHeight="1" thickBot="1">
      <c r="A11" s="751"/>
      <c r="B11" s="214"/>
      <c r="C11" s="215"/>
      <c r="D11" s="216"/>
      <c r="E11" s="218"/>
      <c r="F11" s="226">
        <v>188</v>
      </c>
      <c r="G11" s="230" t="s">
        <v>75</v>
      </c>
      <c r="H11" s="231" t="s">
        <v>671</v>
      </c>
      <c r="I11" s="754"/>
      <c r="J11" s="213" t="str">
        <f>+'26'!J11</f>
        <v>F 14 VP OW</v>
      </c>
      <c r="K11" s="237"/>
      <c r="L11" s="237"/>
      <c r="M11" s="116">
        <f>+K11+'26'!M11+L11</f>
        <v>20374</v>
      </c>
    </row>
    <row r="12" spans="1:21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+'26'!J12</f>
        <v>F 13 VP OW</v>
      </c>
      <c r="K12" s="237"/>
      <c r="L12" s="237"/>
      <c r="M12" s="116">
        <f>+K12+'26'!M12+L12</f>
        <v>154935</v>
      </c>
    </row>
    <row r="13" spans="1:21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+'26'!J13</f>
        <v>F 16 VP OW</v>
      </c>
      <c r="K13" s="237"/>
      <c r="L13" s="237"/>
      <c r="M13" s="116">
        <f>+K13+'26'!M13+L13</f>
        <v>40814</v>
      </c>
    </row>
    <row r="14" spans="1:21" ht="13.5" thickBot="1">
      <c r="A14" s="752"/>
      <c r="B14" s="164" t="s">
        <v>2</v>
      </c>
      <c r="C14" s="98">
        <f>SUM(C7:C13)</f>
        <v>8215</v>
      </c>
      <c r="D14" s="110">
        <f>SUM(D7:D13)</f>
        <v>0</v>
      </c>
      <c r="E14" s="111">
        <f>SUM(E5:E13)</f>
        <v>0</v>
      </c>
      <c r="F14" s="115">
        <f>SUM(F7:F13)</f>
        <v>205</v>
      </c>
      <c r="G14" s="158"/>
      <c r="H14" s="165"/>
      <c r="I14" s="166"/>
      <c r="J14" s="213" t="str">
        <f>+'26'!J14</f>
        <v>F 11 VP OW</v>
      </c>
      <c r="K14" s="237"/>
      <c r="L14" s="237"/>
      <c r="M14" s="116">
        <f>+K14+'26'!M14+L14</f>
        <v>10313</v>
      </c>
      <c r="Q14" s="175">
        <f>SUM(Q6:Q11)</f>
        <v>480</v>
      </c>
      <c r="R14" s="175">
        <f>SUM(R6:R11)</f>
        <v>359480</v>
      </c>
      <c r="S14" s="175">
        <f>SUM(S6:S11)</f>
        <v>273204.8</v>
      </c>
    </row>
    <row r="15" spans="1:21" ht="13.5" customHeight="1" thickBot="1">
      <c r="A15" s="750" t="s">
        <v>389</v>
      </c>
      <c r="B15" s="164"/>
      <c r="C15" s="112">
        <f>C14/($C$23+$D$23+$E$23)</f>
        <v>0.81595152959872863</v>
      </c>
      <c r="D15" s="113">
        <f>D14/($C$23+$D$23+$E$23)</f>
        <v>0</v>
      </c>
      <c r="E15" s="114">
        <f>E14/($C$23+$D$23+$E$23)</f>
        <v>0</v>
      </c>
      <c r="F15" s="226">
        <v>12</v>
      </c>
      <c r="G15" s="227" t="s">
        <v>11</v>
      </c>
      <c r="H15" s="228" t="s">
        <v>428</v>
      </c>
      <c r="I15" s="753" t="s">
        <v>673</v>
      </c>
      <c r="J15" s="213">
        <f>+'26'!J15</f>
        <v>0</v>
      </c>
      <c r="K15" s="237"/>
      <c r="L15" s="237"/>
      <c r="M15" s="116">
        <f>+K15+'26'!M15+L15</f>
        <v>0</v>
      </c>
      <c r="Q15" s="148">
        <f>480-Q14</f>
        <v>0</v>
      </c>
      <c r="R15" s="175">
        <f>+R14/Q14</f>
        <v>748.91666666666663</v>
      </c>
      <c r="S15" s="175">
        <f>+S14/Q14</f>
        <v>569.17666666666662</v>
      </c>
    </row>
    <row r="16" spans="1:21" ht="13.5" thickBot="1">
      <c r="A16" s="756"/>
      <c r="B16" s="214" t="s">
        <v>415</v>
      </c>
      <c r="C16" s="220">
        <v>10068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+'26'!J16</f>
        <v>0</v>
      </c>
      <c r="K16" s="227"/>
      <c r="L16" s="227"/>
      <c r="M16" s="116">
        <f>+K16+'26'!M16+L16</f>
        <v>0</v>
      </c>
    </row>
    <row r="17" spans="1:21" ht="13.5" thickBot="1">
      <c r="A17" s="756"/>
      <c r="B17" s="214"/>
      <c r="C17" s="215"/>
      <c r="D17" s="216"/>
      <c r="E17" s="223"/>
      <c r="F17" s="226">
        <f>25-12</f>
        <v>13</v>
      </c>
      <c r="G17" s="230" t="s">
        <v>11</v>
      </c>
      <c r="H17" s="231" t="s">
        <v>386</v>
      </c>
      <c r="I17" s="754"/>
      <c r="J17" s="213">
        <f>+'26'!J17</f>
        <v>0</v>
      </c>
      <c r="K17" s="227"/>
      <c r="L17" s="227"/>
      <c r="M17" s="116">
        <f>+K17+'26'!M17+L17</f>
        <v>0</v>
      </c>
      <c r="N17" s="148" t="s">
        <v>404</v>
      </c>
      <c r="O17" s="148">
        <v>740</v>
      </c>
      <c r="P17" s="148">
        <f>+O17-(O17*0.24)</f>
        <v>562.4</v>
      </c>
      <c r="Q17" s="148">
        <v>60</v>
      </c>
      <c r="R17" s="148">
        <f t="shared" ref="R17:R20" si="5">+O17*Q17</f>
        <v>44400</v>
      </c>
      <c r="S17" s="148">
        <f t="shared" ref="S17:S20" si="6">+P17*Q17</f>
        <v>33744</v>
      </c>
      <c r="T17" s="148">
        <f>+(1230-U17)/1230</f>
        <v>0.37432249322493222</v>
      </c>
      <c r="U17" s="148">
        <v>769.58333333333337</v>
      </c>
    </row>
    <row r="18" spans="1:21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669</v>
      </c>
      <c r="I18" s="754"/>
      <c r="J18" s="213">
        <f>+'26'!J18</f>
        <v>0</v>
      </c>
      <c r="K18" s="237"/>
      <c r="L18" s="237"/>
      <c r="M18" s="116">
        <f>+K18+'26'!M18+L18</f>
        <v>0</v>
      </c>
      <c r="O18" s="148">
        <v>750</v>
      </c>
      <c r="P18" s="148">
        <f t="shared" ref="P18:P20" si="7">+O18-(O18*0.24)</f>
        <v>570</v>
      </c>
      <c r="Q18" s="148">
        <v>180</v>
      </c>
      <c r="R18" s="148">
        <f t="shared" si="5"/>
        <v>135000</v>
      </c>
      <c r="S18" s="148">
        <f t="shared" si="6"/>
        <v>102600</v>
      </c>
      <c r="T18" s="148">
        <f>+T17*(480)</f>
        <v>179.67479674796746</v>
      </c>
    </row>
    <row r="19" spans="1:21" ht="77.25" thickBot="1">
      <c r="A19" s="756"/>
      <c r="B19" s="214"/>
      <c r="C19" s="215"/>
      <c r="D19" s="216"/>
      <c r="E19" s="223"/>
      <c r="F19" s="226">
        <v>180</v>
      </c>
      <c r="G19" s="230" t="s">
        <v>75</v>
      </c>
      <c r="H19" s="231" t="s">
        <v>670</v>
      </c>
      <c r="I19" s="754"/>
      <c r="J19" s="213">
        <f>+'26'!J19</f>
        <v>0</v>
      </c>
      <c r="K19" s="237"/>
      <c r="L19" s="237"/>
      <c r="M19" s="116">
        <f>+K19+'26'!M19+L19</f>
        <v>0</v>
      </c>
      <c r="O19" s="148">
        <v>780</v>
      </c>
      <c r="P19" s="148">
        <f t="shared" si="7"/>
        <v>592.79999999999995</v>
      </c>
      <c r="Q19" s="148">
        <f>60+40</f>
        <v>100</v>
      </c>
      <c r="R19" s="148">
        <f t="shared" si="5"/>
        <v>78000</v>
      </c>
      <c r="S19" s="148">
        <f t="shared" si="6"/>
        <v>59279.999999999993</v>
      </c>
      <c r="T19" s="148">
        <f>+T18</f>
        <v>179.67479674796746</v>
      </c>
    </row>
    <row r="20" spans="1:21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+'26'!J20</f>
        <v>0</v>
      </c>
      <c r="K20" s="238"/>
      <c r="L20" s="238"/>
      <c r="M20" s="116">
        <f>+K20+'26'!M20+L20</f>
        <v>0</v>
      </c>
      <c r="O20" s="148">
        <v>800</v>
      </c>
      <c r="P20" s="148">
        <f t="shared" si="7"/>
        <v>608</v>
      </c>
      <c r="Q20" s="148">
        <f>60-40+120</f>
        <v>140</v>
      </c>
      <c r="R20" s="148">
        <f t="shared" si="5"/>
        <v>112000</v>
      </c>
      <c r="S20" s="148">
        <f t="shared" si="6"/>
        <v>85120</v>
      </c>
    </row>
    <row r="21" spans="1:21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+'26'!J21</f>
        <v>0</v>
      </c>
      <c r="K21" s="237"/>
      <c r="L21" s="237"/>
      <c r="M21" s="116">
        <f>+K21+'26'!M21+L21</f>
        <v>0</v>
      </c>
    </row>
    <row r="22" spans="1:21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+'26'!J22</f>
        <v>0</v>
      </c>
      <c r="K22" s="237"/>
      <c r="L22" s="237"/>
      <c r="M22" s="116">
        <f>+K22+'26'!M22+L22</f>
        <v>0</v>
      </c>
    </row>
    <row r="23" spans="1:21" ht="13.5" thickBot="1">
      <c r="A23" s="757"/>
      <c r="B23" s="167" t="s">
        <v>2</v>
      </c>
      <c r="C23" s="99">
        <f>SUM(C16:C22)</f>
        <v>10068</v>
      </c>
      <c r="D23" s="110">
        <f>SUM(D16:D22)</f>
        <v>0</v>
      </c>
      <c r="E23" s="111">
        <f>SUM(E18:E22)</f>
        <v>0</v>
      </c>
      <c r="F23" s="115">
        <f>SUM(F15:F22)</f>
        <v>205</v>
      </c>
      <c r="G23" s="158"/>
      <c r="H23" s="165"/>
      <c r="I23" s="168"/>
      <c r="J23" s="213">
        <f>+'26'!J23</f>
        <v>0</v>
      </c>
      <c r="K23" s="237"/>
      <c r="L23" s="237"/>
      <c r="M23" s="116">
        <f>+K23+'26'!M23+L23</f>
        <v>0</v>
      </c>
    </row>
    <row r="24" spans="1:21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12</v>
      </c>
      <c r="G24" s="227" t="s">
        <v>11</v>
      </c>
      <c r="H24" s="228" t="s">
        <v>428</v>
      </c>
      <c r="I24" s="753" t="s">
        <v>672</v>
      </c>
      <c r="J24" s="213">
        <f>+'26'!J24</f>
        <v>0</v>
      </c>
      <c r="K24" s="237"/>
      <c r="L24" s="237"/>
      <c r="M24" s="116">
        <f>+K24+'26'!M24+L24</f>
        <v>0</v>
      </c>
    </row>
    <row r="25" spans="1:21" ht="13.5" thickBot="1">
      <c r="A25" s="756"/>
      <c r="B25" s="214" t="s">
        <v>415</v>
      </c>
      <c r="C25" s="224">
        <v>9926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+'26'!J25</f>
        <v>0</v>
      </c>
      <c r="K25" s="237"/>
      <c r="L25" s="237"/>
      <c r="M25" s="116">
        <f>+K25+'26'!M25+L25</f>
        <v>0</v>
      </c>
      <c r="Q25" s="175">
        <f>SUM(Q17:Q22)</f>
        <v>480</v>
      </c>
      <c r="R25" s="175">
        <f>SUM(R17:R22)</f>
        <v>369400</v>
      </c>
      <c r="S25" s="175">
        <f>SUM(S17:S22)</f>
        <v>280744</v>
      </c>
    </row>
    <row r="26" spans="1:21" ht="13.5" thickBot="1">
      <c r="A26" s="756"/>
      <c r="B26" s="214"/>
      <c r="C26" s="224"/>
      <c r="D26" s="216"/>
      <c r="E26" s="225"/>
      <c r="F26" s="226">
        <v>12</v>
      </c>
      <c r="G26" s="230" t="s">
        <v>11</v>
      </c>
      <c r="H26" s="231" t="s">
        <v>386</v>
      </c>
      <c r="I26" s="754"/>
      <c r="J26" s="213">
        <f>+'26'!J26</f>
        <v>0</v>
      </c>
      <c r="K26" s="237"/>
      <c r="L26" s="237"/>
      <c r="M26" s="116">
        <f>+K26+'26'!M26+L26</f>
        <v>0</v>
      </c>
      <c r="Q26" s="148">
        <f>480-Q25</f>
        <v>0</v>
      </c>
      <c r="R26" s="175">
        <f>+R25/Q25</f>
        <v>769.58333333333337</v>
      </c>
      <c r="S26" s="175">
        <f>+S25/Q25</f>
        <v>584.88333333333333</v>
      </c>
    </row>
    <row r="27" spans="1:21" ht="26.25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667</v>
      </c>
      <c r="I27" s="754"/>
      <c r="J27" s="213">
        <f>+'26'!J27</f>
        <v>0</v>
      </c>
      <c r="K27" s="237"/>
      <c r="L27" s="237"/>
      <c r="M27" s="116">
        <f>+K27+'26'!M27+L27</f>
        <v>0</v>
      </c>
      <c r="N27" s="148" t="s">
        <v>404</v>
      </c>
      <c r="O27" s="148">
        <v>800</v>
      </c>
      <c r="P27" s="148">
        <f>+O27-(O27*0.24)</f>
        <v>608</v>
      </c>
      <c r="Q27" s="148">
        <f>60*2+46</f>
        <v>166</v>
      </c>
      <c r="R27" s="148">
        <f t="shared" ref="R27:R29" si="8">+O27*Q27</f>
        <v>132800</v>
      </c>
      <c r="S27" s="148">
        <f t="shared" ref="S27:S29" si="9">+P27*Q27</f>
        <v>100928</v>
      </c>
      <c r="T27" s="148">
        <f>+(1230-U27)/1230</f>
        <v>0.2872628726287263</v>
      </c>
      <c r="U27" s="148">
        <v>876.66666666666663</v>
      </c>
    </row>
    <row r="28" spans="1:21" ht="51.75" thickBot="1">
      <c r="A28" s="756"/>
      <c r="B28" s="214"/>
      <c r="C28" s="215"/>
      <c r="D28" s="216"/>
      <c r="E28" s="223"/>
      <c r="F28" s="226">
        <v>138</v>
      </c>
      <c r="G28" s="230" t="s">
        <v>75</v>
      </c>
      <c r="H28" s="231" t="s">
        <v>668</v>
      </c>
      <c r="I28" s="754"/>
      <c r="J28" s="213">
        <f>+'26'!J28</f>
        <v>0</v>
      </c>
      <c r="K28" s="237"/>
      <c r="L28" s="237"/>
      <c r="M28" s="116">
        <f>+K28+'26'!M28+L28</f>
        <v>0</v>
      </c>
      <c r="O28" s="148">
        <v>920</v>
      </c>
      <c r="P28" s="148">
        <f t="shared" ref="P28:P29" si="10">+O28-(O28*0.24)</f>
        <v>699.2</v>
      </c>
      <c r="Q28" s="148">
        <f>60-46+240+38</f>
        <v>292</v>
      </c>
      <c r="R28" s="148">
        <f t="shared" si="8"/>
        <v>268640</v>
      </c>
      <c r="S28" s="148">
        <f t="shared" si="9"/>
        <v>204166.40000000002</v>
      </c>
      <c r="T28" s="148">
        <f>+T27*(480)</f>
        <v>137.88617886178861</v>
      </c>
    </row>
    <row r="29" spans="1:21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+'26'!J29</f>
        <v>0</v>
      </c>
      <c r="K29" s="237"/>
      <c r="L29" s="237"/>
      <c r="M29" s="116">
        <f>+K29+'26'!M29+L29</f>
        <v>0</v>
      </c>
      <c r="O29" s="148">
        <v>880</v>
      </c>
      <c r="P29" s="148">
        <f t="shared" si="10"/>
        <v>668.8</v>
      </c>
      <c r="Q29" s="148">
        <f>60-38</f>
        <v>22</v>
      </c>
      <c r="R29" s="148">
        <f t="shared" si="8"/>
        <v>19360</v>
      </c>
      <c r="S29" s="148">
        <f t="shared" si="9"/>
        <v>14713.599999999999</v>
      </c>
      <c r="T29" s="148">
        <f>+T28</f>
        <v>137.88617886178861</v>
      </c>
    </row>
    <row r="30" spans="1:21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+'26'!J30</f>
        <v>0</v>
      </c>
      <c r="K30" s="237"/>
      <c r="L30" s="237"/>
      <c r="M30" s="116">
        <f>+K30+'26'!M30+L30</f>
        <v>0</v>
      </c>
    </row>
    <row r="31" spans="1:21" ht="13.5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+'26'!J31</f>
        <v>0</v>
      </c>
      <c r="K31" s="237"/>
      <c r="L31" s="237"/>
      <c r="M31" s="116">
        <f>+K31+'26'!M31+L31</f>
        <v>0</v>
      </c>
    </row>
    <row r="32" spans="1:21" ht="13.5" thickBot="1">
      <c r="A32" s="757"/>
      <c r="B32" s="164" t="s">
        <v>2</v>
      </c>
      <c r="C32" s="98">
        <f>SUM(C25:C31)</f>
        <v>9926</v>
      </c>
      <c r="D32" s="99">
        <f>SUM(D25:D31)</f>
        <v>0</v>
      </c>
      <c r="E32" s="100">
        <f>SUM(E25:E31)</f>
        <v>0</v>
      </c>
      <c r="F32" s="101">
        <f>SUM(F24:F31)</f>
        <v>162</v>
      </c>
      <c r="G32" s="170"/>
      <c r="H32" s="171"/>
      <c r="I32" s="168"/>
      <c r="J32" s="213">
        <f>+'26'!J32</f>
        <v>0</v>
      </c>
      <c r="K32" s="239"/>
      <c r="L32" s="241"/>
      <c r="M32" s="116">
        <f>+K32+'26'!M32+L32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28209</v>
      </c>
      <c r="D34" s="106">
        <f>D14+D23+D32</f>
        <v>0</v>
      </c>
      <c r="E34" s="106">
        <f>E14+E23+E32</f>
        <v>0</v>
      </c>
      <c r="F34" s="107">
        <f>F14+F23+F32</f>
        <v>572</v>
      </c>
      <c r="H34" s="177"/>
      <c r="I34" s="177"/>
      <c r="J34" s="122" t="s">
        <v>27</v>
      </c>
      <c r="K34" s="123">
        <f>SUM(K7:K32)</f>
        <v>28209</v>
      </c>
      <c r="L34" s="211">
        <f>SUM(L7:L32)</f>
        <v>0</v>
      </c>
      <c r="M34" s="119">
        <f>SUM(M7:M32)</f>
        <v>1025330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420800</v>
      </c>
      <c r="S35" s="175">
        <f>SUM(S27:S32)</f>
        <v>319808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876.66666666666663</v>
      </c>
      <c r="S36" s="175">
        <f>+S35/Q35</f>
        <v>666.26666666666665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7"/>
      <c r="G37" s="322"/>
      <c r="H37" s="185" t="s">
        <v>61</v>
      </c>
      <c r="I37" s="242">
        <f>(13*1440)/1440*G42*2.74*1440/1000000</f>
        <v>31.123217216</v>
      </c>
      <c r="J37" s="124">
        <f>+I37+'26'!J37</f>
        <v>1174.9543945893372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66</v>
      </c>
      <c r="D38" s="117">
        <f>+C38+'26'!D38</f>
        <v>1747</v>
      </c>
      <c r="E38" s="142">
        <f t="shared" ref="E38:E51" si="11">D38/60</f>
        <v>29.116666666666667</v>
      </c>
      <c r="F38" s="320">
        <v>748.91666666666663</v>
      </c>
      <c r="G38" s="320">
        <v>569.17666666666662</v>
      </c>
      <c r="H38" s="186" t="s">
        <v>63</v>
      </c>
      <c r="I38" s="243">
        <f>8.752+10.164+10.498</f>
        <v>29.414000000000001</v>
      </c>
      <c r="J38" s="126">
        <f>+I38+'26'!J38</f>
        <v>1066.6749999999997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+C39+'26'!D39</f>
        <v>8</v>
      </c>
      <c r="E39" s="142">
        <f t="shared" si="11"/>
        <v>0.13333333333333333</v>
      </c>
      <c r="F39" s="320">
        <v>769.58333333333337</v>
      </c>
      <c r="G39" s="320">
        <v>584.88333333333333</v>
      </c>
      <c r="H39" s="186" t="s">
        <v>64</v>
      </c>
      <c r="I39" s="141"/>
      <c r="J39" s="128">
        <f>J37/G4</f>
        <v>43.516829429234711</v>
      </c>
      <c r="K39" s="129" t="s">
        <v>62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+C40+'26'!D40</f>
        <v>0</v>
      </c>
      <c r="E40" s="142">
        <f t="shared" si="11"/>
        <v>0</v>
      </c>
      <c r="F40" s="320">
        <v>876.66666666666663</v>
      </c>
      <c r="G40" s="320">
        <v>666.26666666666665</v>
      </c>
      <c r="H40" s="186" t="s">
        <v>66</v>
      </c>
      <c r="I40" s="117">
        <f>(K34+L34)/1000</f>
        <v>28.209</v>
      </c>
      <c r="J40" s="130">
        <f>+I40+'26'!J40</f>
        <v>1025.33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+C41+'26'!D41</f>
        <v>87</v>
      </c>
      <c r="E41" s="142">
        <f t="shared" si="11"/>
        <v>1.45</v>
      </c>
      <c r="F41" s="320"/>
      <c r="G41" s="320"/>
      <c r="H41" s="186" t="s">
        <v>68</v>
      </c>
      <c r="I41" s="141"/>
      <c r="J41" s="128">
        <f>J40/G4</f>
        <v>37.975185185185182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+C42+'26'!D42</f>
        <v>0</v>
      </c>
      <c r="E42" s="142">
        <f t="shared" si="11"/>
        <v>0</v>
      </c>
      <c r="F42" s="320">
        <f>++(480*F38+480*F39+480*F40)/1440</f>
        <v>798.38888888888891</v>
      </c>
      <c r="G42" s="320">
        <f>++(480*G38+480*G39+480*G40)/1440</f>
        <v>606.77555555555557</v>
      </c>
      <c r="H42" s="186" t="s">
        <v>69</v>
      </c>
      <c r="I42" s="244" t="s">
        <v>675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+C43+'26'!D43</f>
        <v>0</v>
      </c>
      <c r="E43" s="142">
        <f t="shared" si="11"/>
        <v>0</v>
      </c>
      <c r="F43" s="320"/>
      <c r="G43" s="321"/>
      <c r="H43" s="187" t="s">
        <v>72</v>
      </c>
      <c r="I43" s="117">
        <f>+Report1!Z35</f>
        <v>52.1</v>
      </c>
      <c r="J43" s="132">
        <f>+I43+'26'!J43</f>
        <v>1399.3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+C44+'26'!D44</f>
        <v>0</v>
      </c>
      <c r="E44" s="142">
        <f t="shared" si="11"/>
        <v>0</v>
      </c>
      <c r="F44" s="320"/>
      <c r="G44" s="321"/>
      <c r="H44" s="187" t="s">
        <v>73</v>
      </c>
      <c r="I44" s="117">
        <f>I43/I38</f>
        <v>1.7712653838308288</v>
      </c>
      <c r="J44" s="133">
        <f>J43/J38</f>
        <v>1.3118335013007714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+C45+'26'!D45</f>
        <v>0</v>
      </c>
      <c r="E45" s="142">
        <f t="shared" si="11"/>
        <v>0</v>
      </c>
      <c r="F45" s="320"/>
      <c r="G45" s="323"/>
      <c r="H45" s="187" t="s">
        <v>74</v>
      </c>
      <c r="I45" s="117">
        <f>I43/I40</f>
        <v>1.8469282852990181</v>
      </c>
      <c r="J45" s="133">
        <f>J43/J40</f>
        <v>1.3647313547833382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506</v>
      </c>
      <c r="D46" s="117">
        <f>+C46+'26'!D46</f>
        <v>2429</v>
      </c>
      <c r="E46" s="142">
        <f t="shared" si="11"/>
        <v>40.483333333333334</v>
      </c>
      <c r="F46" s="320"/>
      <c r="G46" s="321"/>
      <c r="H46" s="187" t="s">
        <v>76</v>
      </c>
      <c r="I46" s="139">
        <f>+SUMIF(Listrik!P34,"&gt;0")</f>
        <v>35303.020000001452</v>
      </c>
      <c r="J46" s="134">
        <f>+I46+'26'!J46</f>
        <v>1008384.7000000001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506</v>
      </c>
      <c r="D47" s="117">
        <f>+C47+'26'!D47</f>
        <v>2429</v>
      </c>
      <c r="E47" s="142">
        <f t="shared" si="11"/>
        <v>40.483333333333334</v>
      </c>
      <c r="F47" s="320"/>
      <c r="G47" s="321"/>
      <c r="H47" s="187" t="s">
        <v>79</v>
      </c>
      <c r="I47" s="117">
        <f>I46/I38</f>
        <v>1200.2114639287906</v>
      </c>
      <c r="J47" s="134">
        <f>J46/J38</f>
        <v>945.35327067757316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+C48+'26'!D48</f>
        <v>0</v>
      </c>
      <c r="E48" s="142">
        <f t="shared" si="11"/>
        <v>0</v>
      </c>
      <c r="F48" s="320"/>
      <c r="G48" s="321"/>
      <c r="H48" s="187" t="s">
        <v>80</v>
      </c>
      <c r="I48" s="117">
        <f>I46/I40</f>
        <v>1251.480733099417</v>
      </c>
      <c r="J48" s="134">
        <f>J46/J40</f>
        <v>983.47332078452803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+C49+'26'!D49</f>
        <v>169</v>
      </c>
      <c r="E49" s="142">
        <f t="shared" si="11"/>
        <v>2.8166666666666669</v>
      </c>
      <c r="F49" s="184"/>
      <c r="H49" s="187" t="s">
        <v>270</v>
      </c>
      <c r="I49" s="117">
        <f>+Report1!T35</f>
        <v>2226.6850232156353</v>
      </c>
      <c r="J49" s="134">
        <f>+I49+'26'!J49</f>
        <v>125475.9734353755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+C50+'26'!D50</f>
        <v>0</v>
      </c>
      <c r="E50" s="142">
        <f t="shared" si="11"/>
        <v>0</v>
      </c>
      <c r="F50" s="184"/>
      <c r="H50" s="187" t="s">
        <v>82</v>
      </c>
      <c r="I50" s="139">
        <f>I49/I38</f>
        <v>75.701537472483693</v>
      </c>
      <c r="J50" s="132">
        <f>J49/J38</f>
        <v>117.63280608936699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+C51+'26'!D51</f>
        <v>0</v>
      </c>
      <c r="E51" s="142">
        <f t="shared" si="11"/>
        <v>0</v>
      </c>
      <c r="F51" s="184"/>
      <c r="H51" s="189" t="s">
        <v>84</v>
      </c>
      <c r="I51" s="140">
        <f>I49/I40</f>
        <v>78.935269708803403</v>
      </c>
      <c r="J51" s="135">
        <f>J49/J40</f>
        <v>122.37618467749458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1078</v>
      </c>
      <c r="D52" s="143">
        <f>SUM(D38:D51)</f>
        <v>6869</v>
      </c>
      <c r="E52" s="144">
        <f>SUM(E38:E51)</f>
        <v>114.48333333333333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0.74861111111111112</v>
      </c>
      <c r="D53" s="145">
        <f>D52/(24*60*G4)</f>
        <v>0.17667181069958848</v>
      </c>
      <c r="E53" s="146">
        <f>E52/(G4*24)</f>
        <v>0.17667181069958848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+D34+'26'!J56</f>
        <v>6150</v>
      </c>
      <c r="K56" s="200">
        <f>J56/(J40+J56/1000)/1000</f>
        <v>5.9623065885911512E-3</v>
      </c>
    </row>
    <row r="57" spans="1:11">
      <c r="A57" s="175"/>
      <c r="I57" s="198" t="s">
        <v>87</v>
      </c>
      <c r="J57" s="199">
        <f>+E34+'26'!J57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I1" zoomScale="80" zoomScaleNormal="80" workbookViewId="0">
      <selection activeCell="T6" sqref="T6:U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7.140625" style="148" customWidth="1"/>
    <col min="14" max="16384" width="9.140625" style="148"/>
  </cols>
  <sheetData>
    <row r="1" spans="1:21" ht="15.75">
      <c r="A1" s="147"/>
    </row>
    <row r="2" spans="1:21" ht="15.75">
      <c r="A2" s="147" t="s">
        <v>183</v>
      </c>
    </row>
    <row r="3" spans="1:21" ht="15">
      <c r="A3" s="149"/>
    </row>
    <row r="4" spans="1:21" ht="20.25">
      <c r="A4" s="150" t="s">
        <v>3</v>
      </c>
      <c r="B4" s="151"/>
      <c r="F4" s="152" t="s">
        <v>28</v>
      </c>
      <c r="G4" s="153">
        <v>26</v>
      </c>
      <c r="H4" s="153" t="str">
        <f>+'1'!H4</f>
        <v>.01.26</v>
      </c>
    </row>
    <row r="5" spans="1:21" ht="13.5" thickBot="1">
      <c r="C5" s="154"/>
      <c r="D5" s="154"/>
    </row>
    <row r="6" spans="1:21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800</v>
      </c>
      <c r="P6" s="148">
        <f>+O6-(O6*0.24)</f>
        <v>608</v>
      </c>
      <c r="Q6" s="148">
        <f>60*5+43</f>
        <v>343</v>
      </c>
      <c r="R6" s="148">
        <f t="shared" ref="R6:R8" si="0">+O6*Q6</f>
        <v>274400</v>
      </c>
      <c r="S6" s="148">
        <f t="shared" ref="S6:S8" si="1">+P6*Q6</f>
        <v>208544</v>
      </c>
      <c r="T6" s="148">
        <f>+(1230-U6)/1230</f>
        <v>0.34959349593495936</v>
      </c>
      <c r="U6" s="148">
        <v>800</v>
      </c>
    </row>
    <row r="7" spans="1:21" ht="13.5" customHeight="1" thickBot="1">
      <c r="A7" s="750" t="s">
        <v>391</v>
      </c>
      <c r="B7" s="214" t="s">
        <v>415</v>
      </c>
      <c r="C7" s="215">
        <v>11727</v>
      </c>
      <c r="D7" s="216"/>
      <c r="E7" s="217"/>
      <c r="F7" s="226"/>
      <c r="G7" s="227" t="s">
        <v>11</v>
      </c>
      <c r="H7" s="228" t="s">
        <v>385</v>
      </c>
      <c r="I7" s="753" t="s">
        <v>661</v>
      </c>
      <c r="J7" s="213" t="str">
        <f>+'25'!J7</f>
        <v>T 13 VP OW</v>
      </c>
      <c r="K7" s="236">
        <f>+C34</f>
        <v>32169</v>
      </c>
      <c r="L7" s="240"/>
      <c r="M7" s="116">
        <f>+K7+'25'!M7+L7</f>
        <v>249847</v>
      </c>
      <c r="O7" s="148">
        <v>800</v>
      </c>
      <c r="P7" s="148">
        <f t="shared" ref="P7:P8" si="2">+O7-(O7*0.24)</f>
        <v>608</v>
      </c>
      <c r="Q7" s="148">
        <f>60-52+60</f>
        <v>68</v>
      </c>
      <c r="R7" s="148">
        <f t="shared" si="0"/>
        <v>54400</v>
      </c>
      <c r="S7" s="148">
        <f t="shared" si="1"/>
        <v>41344</v>
      </c>
      <c r="T7" s="148">
        <f>+T6*(480)</f>
        <v>167.80487804878049</v>
      </c>
    </row>
    <row r="8" spans="1:21" ht="13.5" thickBot="1">
      <c r="A8" s="751"/>
      <c r="B8" s="214"/>
      <c r="C8" s="215"/>
      <c r="D8" s="216"/>
      <c r="E8" s="218"/>
      <c r="F8" s="229">
        <v>4</v>
      </c>
      <c r="G8" s="230" t="s">
        <v>11</v>
      </c>
      <c r="H8" s="228" t="s">
        <v>652</v>
      </c>
      <c r="I8" s="754"/>
      <c r="J8" s="213" t="str">
        <f>+'25'!J8</f>
        <v>F 12 VP OW</v>
      </c>
      <c r="K8" s="237"/>
      <c r="L8" s="237"/>
      <c r="M8" s="116">
        <f>+K8+'25'!M8+L8</f>
        <v>253437</v>
      </c>
      <c r="P8" s="148">
        <f t="shared" si="2"/>
        <v>0</v>
      </c>
      <c r="R8" s="148">
        <f t="shared" si="0"/>
        <v>0</v>
      </c>
      <c r="S8" s="148">
        <f t="shared" si="1"/>
        <v>0</v>
      </c>
      <c r="T8" s="148">
        <f>+T7</f>
        <v>167.80487804878049</v>
      </c>
    </row>
    <row r="9" spans="1:21" ht="13.5" thickBot="1">
      <c r="A9" s="751"/>
      <c r="B9" s="214"/>
      <c r="C9" s="215"/>
      <c r="D9" s="216"/>
      <c r="E9" s="219"/>
      <c r="F9" s="226">
        <v>13</v>
      </c>
      <c r="G9" s="230" t="s">
        <v>11</v>
      </c>
      <c r="H9" s="231" t="s">
        <v>409</v>
      </c>
      <c r="I9" s="754"/>
      <c r="J9" s="213" t="str">
        <f>+'25'!J9</f>
        <v>F 13,5 VP OW</v>
      </c>
      <c r="K9" s="237"/>
      <c r="L9" s="237"/>
      <c r="M9" s="116">
        <f>+K9+'25'!M9+L9</f>
        <v>216723</v>
      </c>
    </row>
    <row r="10" spans="1:21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659</v>
      </c>
      <c r="I10" s="754"/>
      <c r="J10" s="213" t="str">
        <f>+'25'!J10</f>
        <v>F 12,5 VP OW</v>
      </c>
      <c r="K10" s="237"/>
      <c r="L10" s="237"/>
      <c r="M10" s="116">
        <f>+K10+'25'!M10+L10</f>
        <v>50678</v>
      </c>
      <c r="P10" s="148">
        <f t="shared" ref="P10" si="3">+O10-(O10*0.24)</f>
        <v>0</v>
      </c>
      <c r="R10" s="148">
        <f t="shared" ref="R10" si="4">+O10*Q10</f>
        <v>0</v>
      </c>
      <c r="S10" s="148">
        <f t="shared" ref="S10" si="5">+P10*Q10</f>
        <v>0</v>
      </c>
    </row>
    <row r="11" spans="1:21" ht="90" thickBot="1">
      <c r="A11" s="751"/>
      <c r="B11" s="214"/>
      <c r="C11" s="215"/>
      <c r="D11" s="216"/>
      <c r="E11" s="218"/>
      <c r="F11" s="226">
        <f>60-43+52</f>
        <v>69</v>
      </c>
      <c r="G11" s="230" t="s">
        <v>75</v>
      </c>
      <c r="H11" s="231" t="s">
        <v>660</v>
      </c>
      <c r="I11" s="754"/>
      <c r="J11" s="213" t="str">
        <f>+'25'!J11</f>
        <v>F 14 VP OW</v>
      </c>
      <c r="K11" s="237"/>
      <c r="L11" s="237"/>
      <c r="M11" s="116">
        <f>+K11+'25'!M11+L11</f>
        <v>20374</v>
      </c>
    </row>
    <row r="12" spans="1:21" ht="13.5" thickBot="1">
      <c r="A12" s="751"/>
      <c r="B12" s="214"/>
      <c r="C12" s="215"/>
      <c r="D12" s="216"/>
      <c r="E12" s="218"/>
      <c r="F12" s="226">
        <v>168</v>
      </c>
      <c r="G12" s="230" t="s">
        <v>75</v>
      </c>
      <c r="H12" s="231"/>
      <c r="I12" s="754"/>
      <c r="J12" s="213" t="str">
        <f>+'25'!J12</f>
        <v>F 13 VP OW</v>
      </c>
      <c r="K12" s="237"/>
      <c r="L12" s="237"/>
      <c r="M12" s="116">
        <f>+K12+'25'!M12+L12</f>
        <v>154935</v>
      </c>
    </row>
    <row r="13" spans="1:21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+'25'!J13</f>
        <v>F 16 VP OW</v>
      </c>
      <c r="K13" s="237"/>
      <c r="L13" s="237"/>
      <c r="M13" s="116">
        <f>+K13+'25'!M13+L13</f>
        <v>40814</v>
      </c>
    </row>
    <row r="14" spans="1:21" ht="13.5" thickBot="1">
      <c r="A14" s="752"/>
      <c r="B14" s="164" t="s">
        <v>2</v>
      </c>
      <c r="C14" s="98">
        <f>SUM(C7:C13)</f>
        <v>11727</v>
      </c>
      <c r="D14" s="110">
        <f>SUM(D7:D13)</f>
        <v>0</v>
      </c>
      <c r="E14" s="111">
        <f>SUM(E5:E13)</f>
        <v>0</v>
      </c>
      <c r="F14" s="115">
        <f>SUM(F7:F13)</f>
        <v>254</v>
      </c>
      <c r="G14" s="158"/>
      <c r="H14" s="165"/>
      <c r="I14" s="166"/>
      <c r="J14" s="213" t="str">
        <f>+'25'!J14</f>
        <v>F 11 VP OW</v>
      </c>
      <c r="K14" s="237"/>
      <c r="L14" s="237"/>
      <c r="M14" s="116">
        <f>+K14+'25'!M14+L14</f>
        <v>10313</v>
      </c>
      <c r="Q14" s="175">
        <f>SUM(Q6:Q11)</f>
        <v>411</v>
      </c>
      <c r="R14" s="175">
        <f>SUM(R6:R11)</f>
        <v>328800</v>
      </c>
      <c r="S14" s="175">
        <f>SUM(S6:S11)</f>
        <v>249888</v>
      </c>
    </row>
    <row r="15" spans="1:21" ht="13.5" customHeight="1" thickBot="1">
      <c r="A15" s="750" t="s">
        <v>389</v>
      </c>
      <c r="B15" s="164"/>
      <c r="C15" s="112">
        <f>C14/($C$23+$D$23+$E$23)</f>
        <v>1.3108651911468814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445</v>
      </c>
      <c r="I15" s="753" t="s">
        <v>662</v>
      </c>
      <c r="J15" s="213">
        <f>+'25'!J15</f>
        <v>0</v>
      </c>
      <c r="K15" s="237"/>
      <c r="L15" s="237"/>
      <c r="M15" s="116">
        <f>+K15+'25'!M15+L15</f>
        <v>0</v>
      </c>
      <c r="Q15" s="148">
        <f>480-Q14</f>
        <v>69</v>
      </c>
      <c r="R15" s="175">
        <f>+R14/Q14</f>
        <v>800</v>
      </c>
      <c r="S15" s="175">
        <f>+S14/Q14</f>
        <v>608</v>
      </c>
    </row>
    <row r="16" spans="1:21" ht="13.5" thickBot="1">
      <c r="A16" s="756"/>
      <c r="B16" s="214" t="s">
        <v>415</v>
      </c>
      <c r="C16" s="220">
        <v>8946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+'25'!J16</f>
        <v>0</v>
      </c>
      <c r="K16" s="227"/>
      <c r="L16" s="227"/>
      <c r="M16" s="116">
        <f>+K16+'25'!M16+L16</f>
        <v>0</v>
      </c>
      <c r="N16" s="148" t="s">
        <v>404</v>
      </c>
      <c r="O16" s="148">
        <v>820</v>
      </c>
      <c r="P16" s="148">
        <f>+O16-(O16*0.24)</f>
        <v>623.20000000000005</v>
      </c>
      <c r="Q16" s="148">
        <v>480</v>
      </c>
      <c r="R16" s="148">
        <f t="shared" ref="R16:R18" si="6">+O16*Q16</f>
        <v>393600</v>
      </c>
      <c r="S16" s="148">
        <f t="shared" ref="S16:S18" si="7">+P16*Q16</f>
        <v>299136</v>
      </c>
      <c r="T16" s="148">
        <f>+(1230-U16)/1230</f>
        <v>0.33333333333333331</v>
      </c>
      <c r="U16" s="148">
        <v>820</v>
      </c>
    </row>
    <row r="17" spans="1:21" ht="13.5" thickBot="1">
      <c r="A17" s="756"/>
      <c r="B17" s="214"/>
      <c r="C17" s="215"/>
      <c r="D17" s="216"/>
      <c r="E17" s="223"/>
      <c r="F17" s="226">
        <v>12</v>
      </c>
      <c r="G17" s="230" t="s">
        <v>11</v>
      </c>
      <c r="H17" s="231" t="s">
        <v>664</v>
      </c>
      <c r="I17" s="754"/>
      <c r="J17" s="213">
        <f>+'25'!J17</f>
        <v>0</v>
      </c>
      <c r="K17" s="227"/>
      <c r="L17" s="227"/>
      <c r="M17" s="116">
        <f>+K17+'25'!M17+L17</f>
        <v>0</v>
      </c>
      <c r="P17" s="148">
        <f t="shared" ref="P17:P18" si="8">+O17-(O17*0.24)</f>
        <v>0</v>
      </c>
      <c r="R17" s="148">
        <f t="shared" si="6"/>
        <v>0</v>
      </c>
      <c r="S17" s="148">
        <f t="shared" si="7"/>
        <v>0</v>
      </c>
      <c r="T17" s="148">
        <f>+T16*(480)</f>
        <v>160</v>
      </c>
    </row>
    <row r="18" spans="1:21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655</v>
      </c>
      <c r="I18" s="754"/>
      <c r="J18" s="213">
        <f>+'25'!J18</f>
        <v>0</v>
      </c>
      <c r="K18" s="237"/>
      <c r="L18" s="237"/>
      <c r="M18" s="116">
        <f>+K18+'25'!M18+L18</f>
        <v>0</v>
      </c>
      <c r="P18" s="148">
        <f t="shared" si="8"/>
        <v>0</v>
      </c>
      <c r="R18" s="148">
        <f t="shared" si="6"/>
        <v>0</v>
      </c>
      <c r="S18" s="148">
        <f t="shared" si="7"/>
        <v>0</v>
      </c>
      <c r="T18" s="148">
        <f>+T17</f>
        <v>160</v>
      </c>
    </row>
    <row r="19" spans="1:21" ht="13.5" thickBot="1">
      <c r="A19" s="756"/>
      <c r="B19" s="214"/>
      <c r="C19" s="215"/>
      <c r="D19" s="216"/>
      <c r="E19" s="223"/>
      <c r="F19" s="233"/>
      <c r="G19" s="230"/>
      <c r="H19" s="231" t="s">
        <v>656</v>
      </c>
      <c r="I19" s="754"/>
      <c r="J19" s="213">
        <f>+'25'!J19</f>
        <v>0</v>
      </c>
      <c r="K19" s="237"/>
      <c r="L19" s="237"/>
      <c r="M19" s="116">
        <f>+K19+'25'!M19+L19</f>
        <v>0</v>
      </c>
    </row>
    <row r="20" spans="1:21" ht="13.5" thickBot="1">
      <c r="A20" s="756"/>
      <c r="B20" s="214"/>
      <c r="C20" s="215"/>
      <c r="D20" s="216"/>
      <c r="E20" s="223"/>
      <c r="F20" s="226">
        <v>160</v>
      </c>
      <c r="G20" s="230" t="s">
        <v>75</v>
      </c>
      <c r="H20" s="231"/>
      <c r="I20" s="754"/>
      <c r="J20" s="213">
        <f>+'25'!J20</f>
        <v>0</v>
      </c>
      <c r="K20" s="238"/>
      <c r="L20" s="238"/>
      <c r="M20" s="116">
        <f>+K20+'25'!M20+L20</f>
        <v>0</v>
      </c>
      <c r="P20" s="148">
        <f t="shared" ref="P20" si="9">+O20-(O20*0.24)</f>
        <v>0</v>
      </c>
      <c r="R20" s="148">
        <f t="shared" ref="R20" si="10">+O20*Q20</f>
        <v>0</v>
      </c>
      <c r="S20" s="148">
        <f t="shared" ref="S20" si="11">+P20*Q20</f>
        <v>0</v>
      </c>
    </row>
    <row r="21" spans="1:21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+'25'!J21</f>
        <v>0</v>
      </c>
      <c r="K21" s="237"/>
      <c r="L21" s="237"/>
      <c r="M21" s="116">
        <f>+K21+'25'!M21+L21</f>
        <v>0</v>
      </c>
    </row>
    <row r="22" spans="1:21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+'25'!J22</f>
        <v>0</v>
      </c>
      <c r="K22" s="237"/>
      <c r="L22" s="237"/>
      <c r="M22" s="116">
        <f>+K22+'25'!M22+L22</f>
        <v>0</v>
      </c>
    </row>
    <row r="23" spans="1:21" ht="13.5" thickBot="1">
      <c r="A23" s="757"/>
      <c r="B23" s="167" t="s">
        <v>2</v>
      </c>
      <c r="C23" s="99">
        <f>SUM(C16:C22)</f>
        <v>8946</v>
      </c>
      <c r="D23" s="110">
        <f>SUM(D16:D22)</f>
        <v>0</v>
      </c>
      <c r="E23" s="111">
        <f>SUM(E18:E22)</f>
        <v>0</v>
      </c>
      <c r="F23" s="115">
        <f>SUM(F15:F22)</f>
        <v>178</v>
      </c>
      <c r="G23" s="158"/>
      <c r="H23" s="165"/>
      <c r="I23" s="168"/>
      <c r="J23" s="213">
        <f>+'25'!J23</f>
        <v>0</v>
      </c>
      <c r="K23" s="237"/>
      <c r="L23" s="237"/>
      <c r="M23" s="116">
        <f>+K23+'25'!M23+L23</f>
        <v>0</v>
      </c>
    </row>
    <row r="24" spans="1:21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662</v>
      </c>
      <c r="J24" s="213">
        <f>+'25'!J24</f>
        <v>0</v>
      </c>
      <c r="K24" s="237"/>
      <c r="L24" s="237"/>
      <c r="M24" s="116">
        <f>+K24+'25'!M24+L24</f>
        <v>0</v>
      </c>
      <c r="Q24" s="175">
        <f>SUM(Q16:Q21)</f>
        <v>480</v>
      </c>
      <c r="R24" s="175">
        <f>SUM(R16:R21)</f>
        <v>393600</v>
      </c>
      <c r="S24" s="175">
        <f>SUM(S16:S21)</f>
        <v>299136</v>
      </c>
    </row>
    <row r="25" spans="1:21" ht="13.5" thickBot="1">
      <c r="A25" s="756"/>
      <c r="B25" s="214" t="s">
        <v>415</v>
      </c>
      <c r="C25" s="224">
        <v>11496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+'25'!J25</f>
        <v>0</v>
      </c>
      <c r="K25" s="237"/>
      <c r="L25" s="237"/>
      <c r="M25" s="116">
        <f>+K25+'25'!M25+L25</f>
        <v>0</v>
      </c>
      <c r="Q25" s="148">
        <f>480-Q24</f>
        <v>0</v>
      </c>
      <c r="R25" s="175">
        <f>+R24/Q24</f>
        <v>820</v>
      </c>
      <c r="S25" s="175">
        <f>+S24/Q24</f>
        <v>623.20000000000005</v>
      </c>
    </row>
    <row r="26" spans="1:21" ht="13.5" thickBot="1">
      <c r="A26" s="756"/>
      <c r="B26" s="214"/>
      <c r="C26" s="224"/>
      <c r="D26" s="216"/>
      <c r="E26" s="225"/>
      <c r="F26" s="226">
        <v>13</v>
      </c>
      <c r="G26" s="230" t="s">
        <v>11</v>
      </c>
      <c r="H26" s="231" t="s">
        <v>665</v>
      </c>
      <c r="I26" s="754"/>
      <c r="J26" s="213">
        <f>+'25'!J26</f>
        <v>0</v>
      </c>
      <c r="K26" s="237"/>
      <c r="L26" s="237"/>
      <c r="M26" s="116">
        <f>+K26+'25'!M26+L26</f>
        <v>0</v>
      </c>
      <c r="N26" s="148" t="s">
        <v>404</v>
      </c>
      <c r="O26" s="148">
        <v>820</v>
      </c>
      <c r="P26" s="148">
        <f>+O26-(O26*0.24)</f>
        <v>623.20000000000005</v>
      </c>
      <c r="Q26" s="148">
        <v>480</v>
      </c>
      <c r="R26" s="148">
        <f t="shared" ref="R26:R28" si="12">+O26*Q26</f>
        <v>393600</v>
      </c>
      <c r="S26" s="148">
        <f t="shared" ref="S26:S28" si="13">+P26*Q26</f>
        <v>299136</v>
      </c>
      <c r="T26" s="148">
        <f>+(1230-U26)/1230</f>
        <v>0.33333333333333331</v>
      </c>
      <c r="U26" s="148">
        <v>820</v>
      </c>
    </row>
    <row r="27" spans="1:21" ht="26.25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657</v>
      </c>
      <c r="I27" s="754"/>
      <c r="J27" s="213">
        <f>+'25'!J27</f>
        <v>0</v>
      </c>
      <c r="K27" s="237"/>
      <c r="L27" s="237"/>
      <c r="M27" s="116">
        <f>+K27+'25'!M27+L27</f>
        <v>0</v>
      </c>
      <c r="P27" s="148">
        <f t="shared" ref="P27:P28" si="14">+O27-(O27*0.24)</f>
        <v>0</v>
      </c>
      <c r="R27" s="148">
        <f t="shared" si="12"/>
        <v>0</v>
      </c>
      <c r="S27" s="148">
        <f t="shared" si="13"/>
        <v>0</v>
      </c>
      <c r="T27" s="148">
        <f>+T26*(480)</f>
        <v>160</v>
      </c>
    </row>
    <row r="28" spans="1:21" ht="13.5" customHeight="1" thickBot="1">
      <c r="A28" s="756"/>
      <c r="B28" s="214"/>
      <c r="C28" s="215"/>
      <c r="D28" s="216"/>
      <c r="E28" s="223"/>
      <c r="F28" s="226">
        <v>160</v>
      </c>
      <c r="G28" s="230" t="s">
        <v>75</v>
      </c>
      <c r="H28" s="231" t="s">
        <v>658</v>
      </c>
      <c r="I28" s="754"/>
      <c r="J28" s="213">
        <f>+'25'!J28</f>
        <v>0</v>
      </c>
      <c r="K28" s="237"/>
      <c r="L28" s="237"/>
      <c r="M28" s="116">
        <f>+K28+'25'!M28+L28</f>
        <v>0</v>
      </c>
      <c r="P28" s="148">
        <f t="shared" si="14"/>
        <v>0</v>
      </c>
      <c r="R28" s="148">
        <f t="shared" si="12"/>
        <v>0</v>
      </c>
      <c r="S28" s="148">
        <f t="shared" si="13"/>
        <v>0</v>
      </c>
      <c r="T28" s="148">
        <f>+T27</f>
        <v>160</v>
      </c>
    </row>
    <row r="29" spans="1:21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+'25'!J29</f>
        <v>0</v>
      </c>
      <c r="K29" s="237"/>
      <c r="L29" s="237"/>
      <c r="M29" s="116">
        <f>+K29+'25'!M29+L29</f>
        <v>0</v>
      </c>
    </row>
    <row r="30" spans="1:21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+'25'!J30</f>
        <v>0</v>
      </c>
      <c r="K30" s="237"/>
      <c r="L30" s="237"/>
      <c r="M30" s="116">
        <f>+K30+'25'!M30+L30</f>
        <v>0</v>
      </c>
      <c r="P30" s="148">
        <f t="shared" ref="P30" si="15">+O30-(O30*0.24)</f>
        <v>0</v>
      </c>
      <c r="R30" s="148">
        <f t="shared" ref="R30" si="16">+O30*Q30</f>
        <v>0</v>
      </c>
      <c r="S30" s="148">
        <f t="shared" ref="S30" si="17">+P30*Q30</f>
        <v>0</v>
      </c>
    </row>
    <row r="31" spans="1:21" ht="13.5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+'25'!J31</f>
        <v>0</v>
      </c>
      <c r="K31" s="237"/>
      <c r="L31" s="237"/>
      <c r="M31" s="116">
        <f>+K31+'25'!M31+L31</f>
        <v>0</v>
      </c>
    </row>
    <row r="32" spans="1:21" ht="13.5" thickBot="1">
      <c r="A32" s="757"/>
      <c r="B32" s="164" t="s">
        <v>2</v>
      </c>
      <c r="C32" s="98">
        <f>SUM(C25:C31)</f>
        <v>11496</v>
      </c>
      <c r="D32" s="99">
        <f>SUM(D25:D31)</f>
        <v>0</v>
      </c>
      <c r="E32" s="100">
        <f>SUM(E25:E31)</f>
        <v>0</v>
      </c>
      <c r="F32" s="101">
        <f>SUM(F24:F31)</f>
        <v>177</v>
      </c>
      <c r="G32" s="170"/>
      <c r="H32" s="171"/>
      <c r="I32" s="168"/>
      <c r="J32" s="213">
        <f>+'25'!J32</f>
        <v>0</v>
      </c>
      <c r="K32" s="239"/>
      <c r="L32" s="241"/>
      <c r="M32" s="116">
        <f>+K32+'25'!M32+L32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32169</v>
      </c>
      <c r="D34" s="106">
        <f>D14+D23+D32</f>
        <v>0</v>
      </c>
      <c r="E34" s="106">
        <f>E14+E23+E32</f>
        <v>0</v>
      </c>
      <c r="F34" s="107">
        <f>F14+F23+F32</f>
        <v>609</v>
      </c>
      <c r="H34" s="177"/>
      <c r="I34" s="177"/>
      <c r="J34" s="122" t="s">
        <v>27</v>
      </c>
      <c r="K34" s="123">
        <f>SUM(K7:K32)</f>
        <v>32169</v>
      </c>
      <c r="L34" s="211">
        <f>SUM(L7:L32)</f>
        <v>0</v>
      </c>
      <c r="M34" s="119">
        <f>SUM(M7:M32)</f>
        <v>997121</v>
      </c>
      <c r="Q34" s="175">
        <f>SUM(Q26:Q31)</f>
        <v>480</v>
      </c>
      <c r="R34" s="175">
        <f>SUM(R26:R31)</f>
        <v>393600</v>
      </c>
      <c r="S34" s="175">
        <f>SUM(S26:S31)</f>
        <v>299136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48">
        <f>480-Q34</f>
        <v>0</v>
      </c>
      <c r="R35" s="175">
        <f>+R34/Q34</f>
        <v>820</v>
      </c>
      <c r="S35" s="175">
        <f>+S34/Q34</f>
        <v>623.20000000000005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(13*1371)/1371*G42*2.74*1371/1000000</f>
        <v>30.2114592</v>
      </c>
      <c r="J37" s="124">
        <f>+I37+'25'!J37</f>
        <v>1143.8311773733371</v>
      </c>
      <c r="K37" s="125" t="s">
        <v>62</v>
      </c>
      <c r="N37" s="148">
        <v>411</v>
      </c>
    </row>
    <row r="38" spans="1:19" ht="17.45" customHeight="1">
      <c r="A38" s="762" t="s">
        <v>11</v>
      </c>
      <c r="B38" s="763"/>
      <c r="C38" s="163">
        <f>SUMIF($G$7:$G$31,"Process",$F$7:$F$31)</f>
        <v>52</v>
      </c>
      <c r="D38" s="117">
        <f>+C38+'25'!D38</f>
        <v>1681</v>
      </c>
      <c r="E38" s="142">
        <f t="shared" ref="E38:E51" si="18">D38/60</f>
        <v>28.016666666666666</v>
      </c>
      <c r="F38" s="320">
        <v>800</v>
      </c>
      <c r="G38" s="320">
        <v>608</v>
      </c>
      <c r="H38" s="186" t="s">
        <v>63</v>
      </c>
      <c r="I38" s="243">
        <f>11.021+9.056+10.479</f>
        <v>30.555999999999997</v>
      </c>
      <c r="J38" s="126">
        <f>+I38+'25'!J38</f>
        <v>1037.2609999999997</v>
      </c>
      <c r="K38" s="127" t="s">
        <v>62</v>
      </c>
      <c r="N38" s="148">
        <v>480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+C39+'25'!D39</f>
        <v>8</v>
      </c>
      <c r="E39" s="142">
        <f t="shared" si="18"/>
        <v>0.13333333333333333</v>
      </c>
      <c r="F39" s="320">
        <v>820</v>
      </c>
      <c r="G39" s="320">
        <v>623.20000000000005</v>
      </c>
      <c r="H39" s="186" t="s">
        <v>64</v>
      </c>
      <c r="I39" s="141"/>
      <c r="J39" s="128">
        <f>J37/G4</f>
        <v>43.99350682205143</v>
      </c>
      <c r="K39" s="129" t="s">
        <v>62</v>
      </c>
      <c r="N39" s="148">
        <v>480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+C40+'25'!D40</f>
        <v>0</v>
      </c>
      <c r="E40" s="142">
        <f t="shared" si="18"/>
        <v>0</v>
      </c>
      <c r="F40" s="320">
        <v>820</v>
      </c>
      <c r="G40" s="320">
        <v>623.20000000000005</v>
      </c>
      <c r="H40" s="186" t="s">
        <v>66</v>
      </c>
      <c r="I40" s="117">
        <f>(K34+L34)/1000</f>
        <v>32.168999999999997</v>
      </c>
      <c r="J40" s="130">
        <f>+I40+'25'!J40</f>
        <v>997.12099999999987</v>
      </c>
      <c r="K40" s="129" t="s">
        <v>62</v>
      </c>
      <c r="N40" s="148">
        <f>SUM(N37:N39)</f>
        <v>1371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+C41+'25'!D41</f>
        <v>87</v>
      </c>
      <c r="E41" s="142">
        <f t="shared" si="18"/>
        <v>1.45</v>
      </c>
      <c r="F41" s="320"/>
      <c r="G41" s="320"/>
      <c r="H41" s="186" t="s">
        <v>68</v>
      </c>
      <c r="I41" s="141"/>
      <c r="J41" s="128">
        <f>J40/G4</f>
        <v>38.35080769230769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+C42+'25'!D42</f>
        <v>0</v>
      </c>
      <c r="E42" s="142">
        <f t="shared" si="18"/>
        <v>0</v>
      </c>
      <c r="F42" s="320">
        <f>+(411*F38+480*F39+480*F40)/1371</f>
        <v>814.0043763676149</v>
      </c>
      <c r="G42" s="320">
        <f>+(411*G38+480*G39+480*G40)/1371</f>
        <v>618.64332603938726</v>
      </c>
      <c r="H42" s="186" t="s">
        <v>69</v>
      </c>
      <c r="I42" s="244" t="s">
        <v>663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+C43+'25'!D43</f>
        <v>0</v>
      </c>
      <c r="E43" s="142">
        <f t="shared" si="18"/>
        <v>0</v>
      </c>
      <c r="F43" s="320"/>
      <c r="G43" s="321"/>
      <c r="H43" s="187" t="s">
        <v>72</v>
      </c>
      <c r="I43" s="117">
        <f>+Report1!Z34</f>
        <v>51.7</v>
      </c>
      <c r="J43" s="132">
        <f>+I43+'25'!J43</f>
        <v>1347.2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+C44+'25'!D44</f>
        <v>0</v>
      </c>
      <c r="E44" s="142">
        <f t="shared" si="18"/>
        <v>0</v>
      </c>
      <c r="F44" s="320"/>
      <c r="G44" s="321"/>
      <c r="H44" s="187" t="s">
        <v>73</v>
      </c>
      <c r="I44" s="117">
        <f>I43/I38</f>
        <v>1.6919753894488809</v>
      </c>
      <c r="J44" s="133">
        <f>J43/J38</f>
        <v>1.2988052187443666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+C45+'25'!D45</f>
        <v>0</v>
      </c>
      <c r="E45" s="142">
        <f t="shared" si="18"/>
        <v>0</v>
      </c>
      <c r="F45" s="320"/>
      <c r="G45" s="323"/>
      <c r="H45" s="187" t="s">
        <v>74</v>
      </c>
      <c r="I45" s="117">
        <f>I43/I40</f>
        <v>1.6071373061021483</v>
      </c>
      <c r="J45" s="133">
        <f>J43/J40</f>
        <v>1.3510897874982075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557</v>
      </c>
      <c r="D46" s="117">
        <f>+C46+'25'!D46</f>
        <v>1923</v>
      </c>
      <c r="E46" s="142">
        <f t="shared" si="18"/>
        <v>32.049999999999997</v>
      </c>
      <c r="F46" s="320"/>
      <c r="G46" s="321"/>
      <c r="H46" s="187" t="s">
        <v>76</v>
      </c>
      <c r="I46" s="139">
        <f>+SUMIF(Listrik!P33,"&gt;0")</f>
        <v>31840.259999999274</v>
      </c>
      <c r="J46" s="134">
        <f>+I46+'25'!J46</f>
        <v>973081.67999999865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557</v>
      </c>
      <c r="D47" s="117">
        <f>+C47+'25'!D47</f>
        <v>1923</v>
      </c>
      <c r="E47" s="142">
        <f t="shared" si="18"/>
        <v>32.049999999999997</v>
      </c>
      <c r="F47" s="320"/>
      <c r="G47" s="321"/>
      <c r="H47" s="187" t="s">
        <v>79</v>
      </c>
      <c r="I47" s="117">
        <f>I46/I38</f>
        <v>1042.0297159313809</v>
      </c>
      <c r="J47" s="134">
        <f>J46/J38</f>
        <v>938.12616111084765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+C48+'25'!D48</f>
        <v>0</v>
      </c>
      <c r="E48" s="142">
        <f t="shared" si="18"/>
        <v>0</v>
      </c>
      <c r="F48" s="320"/>
      <c r="G48" s="321"/>
      <c r="H48" s="187" t="s">
        <v>80</v>
      </c>
      <c r="I48" s="117">
        <f>I46/I40</f>
        <v>989.78084491278184</v>
      </c>
      <c r="J48" s="134">
        <f>J46/J40</f>
        <v>975.89127096911886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+C49+'25'!D49</f>
        <v>169</v>
      </c>
      <c r="E49" s="142">
        <f t="shared" si="18"/>
        <v>2.8166666666666669</v>
      </c>
      <c r="F49" s="184"/>
      <c r="H49" s="187" t="s">
        <v>270</v>
      </c>
      <c r="I49" s="117">
        <f>+Report1!T34</f>
        <v>1540.5817215531258</v>
      </c>
      <c r="J49" s="134">
        <f>+I49+'25'!J49</f>
        <v>123249.28841215988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+C50+'25'!D50</f>
        <v>0</v>
      </c>
      <c r="E50" s="142">
        <f t="shared" si="18"/>
        <v>0</v>
      </c>
      <c r="F50" s="184"/>
      <c r="H50" s="187" t="s">
        <v>82</v>
      </c>
      <c r="I50" s="139">
        <f>I49/I38</f>
        <v>50.418304802759721</v>
      </c>
      <c r="J50" s="132">
        <f>J49/J38</f>
        <v>118.82186683212798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+C51+'25'!D51</f>
        <v>0</v>
      </c>
      <c r="E51" s="142">
        <f t="shared" si="18"/>
        <v>0</v>
      </c>
      <c r="F51" s="184"/>
      <c r="H51" s="189" t="s">
        <v>84</v>
      </c>
      <c r="I51" s="140">
        <f>I49/I40</f>
        <v>47.890258371510647</v>
      </c>
      <c r="J51" s="135">
        <f>J49/J40</f>
        <v>123.60514763219298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1166</v>
      </c>
      <c r="D52" s="143">
        <f>SUM(D38:D51)</f>
        <v>5791</v>
      </c>
      <c r="E52" s="144">
        <f>SUM(E38:E51)</f>
        <v>96.516666666666652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0.80972222222222223</v>
      </c>
      <c r="D53" s="145">
        <f>D52/(24*60*G4)</f>
        <v>0.1546741452991453</v>
      </c>
      <c r="E53" s="146">
        <f>E52/(G4*24)</f>
        <v>0.15467414529914528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+D34+'25'!J56</f>
        <v>6150</v>
      </c>
      <c r="K56" s="200">
        <f>J56/(J40+J56/1000)/1000</f>
        <v>6.1299489370269852E-3</v>
      </c>
    </row>
    <row r="57" spans="1:11">
      <c r="A57" s="175"/>
      <c r="I57" s="198" t="s">
        <v>87</v>
      </c>
      <c r="J57" s="199">
        <f>+E34+'25'!J57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D7" zoomScale="80" zoomScaleNormal="80" workbookViewId="0">
      <selection activeCell="F28" activeCellId="2" sqref="F12 F19 F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21" ht="15.75">
      <c r="A1" s="147"/>
    </row>
    <row r="2" spans="1:21" ht="15.75">
      <c r="A2" s="147" t="s">
        <v>183</v>
      </c>
    </row>
    <row r="3" spans="1:21" ht="15">
      <c r="A3" s="149"/>
    </row>
    <row r="4" spans="1:21" ht="20.25">
      <c r="A4" s="150" t="s">
        <v>3</v>
      </c>
      <c r="B4" s="151"/>
      <c r="F4" s="152" t="s">
        <v>28</v>
      </c>
      <c r="G4" s="153">
        <v>25</v>
      </c>
      <c r="H4" s="153" t="str">
        <f>+'1'!H4</f>
        <v>.01.26</v>
      </c>
    </row>
    <row r="5" spans="1:21" ht="13.5" thickBot="1">
      <c r="C5" s="154"/>
      <c r="D5" s="154"/>
    </row>
    <row r="6" spans="1:21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1060</v>
      </c>
      <c r="P6" s="148">
        <f>+O6-(O6*0.24)</f>
        <v>805.6</v>
      </c>
      <c r="Q6" s="148">
        <f>60*3+5</f>
        <v>185</v>
      </c>
      <c r="R6" s="148">
        <f t="shared" ref="R6" si="0">+O6*Q6</f>
        <v>196100</v>
      </c>
      <c r="S6" s="148">
        <f t="shared" ref="S6" si="1">+P6*Q6</f>
        <v>149036</v>
      </c>
      <c r="T6" s="148">
        <f>+(1230-U6)/1230</f>
        <v>0.14887721224479117</v>
      </c>
      <c r="U6" s="148">
        <v>1046.8810289389069</v>
      </c>
    </row>
    <row r="7" spans="1:21" ht="13.5" customHeight="1" thickBot="1">
      <c r="A7" s="750" t="s">
        <v>391</v>
      </c>
      <c r="B7" s="214" t="s">
        <v>415</v>
      </c>
      <c r="C7" s="215">
        <v>8979</v>
      </c>
      <c r="D7" s="216"/>
      <c r="E7" s="217"/>
      <c r="F7" s="226"/>
      <c r="G7" s="227" t="s">
        <v>11</v>
      </c>
      <c r="H7" s="228" t="s">
        <v>385</v>
      </c>
      <c r="I7" s="753" t="s">
        <v>650</v>
      </c>
      <c r="J7" s="213" t="str">
        <f>+'24'!J7</f>
        <v>T 13 VP OW</v>
      </c>
      <c r="K7" s="236">
        <f>+C34</f>
        <v>34483</v>
      </c>
      <c r="L7" s="240"/>
      <c r="M7" s="116">
        <f>+K7+'24'!M7+L7</f>
        <v>217678</v>
      </c>
      <c r="O7" s="148">
        <v>1100</v>
      </c>
      <c r="P7" s="148">
        <f t="shared" ref="P7:P10" si="2">+O7-(O7*0.24)</f>
        <v>836</v>
      </c>
      <c r="Q7" s="148">
        <f>60-54+15</f>
        <v>21</v>
      </c>
      <c r="R7" s="148">
        <f t="shared" ref="R7:R10" si="3">+O7*Q7</f>
        <v>23100</v>
      </c>
      <c r="S7" s="148">
        <f t="shared" ref="S7:S10" si="4">+P7*Q7</f>
        <v>17556</v>
      </c>
      <c r="T7" s="148">
        <f>+T6*(311)</f>
        <v>46.300813008130056</v>
      </c>
    </row>
    <row r="8" spans="1:21" ht="13.5" thickBot="1">
      <c r="A8" s="751"/>
      <c r="B8" s="214"/>
      <c r="C8" s="215"/>
      <c r="D8" s="216"/>
      <c r="E8" s="218"/>
      <c r="F8" s="229">
        <v>4</v>
      </c>
      <c r="G8" s="230" t="s">
        <v>11</v>
      </c>
      <c r="H8" s="228" t="s">
        <v>652</v>
      </c>
      <c r="I8" s="754"/>
      <c r="J8" s="213" t="str">
        <f>+'24'!J8</f>
        <v>F 12 VP OW</v>
      </c>
      <c r="K8" s="237"/>
      <c r="L8" s="237"/>
      <c r="M8" s="116">
        <f>+K8+'24'!M8+L8</f>
        <v>253437</v>
      </c>
      <c r="O8" s="148">
        <v>1000</v>
      </c>
      <c r="P8" s="148">
        <f t="shared" si="2"/>
        <v>760</v>
      </c>
      <c r="Q8" s="148">
        <f>60-15+7</f>
        <v>52</v>
      </c>
      <c r="R8" s="148">
        <f t="shared" si="3"/>
        <v>52000</v>
      </c>
      <c r="S8" s="148">
        <f t="shared" si="4"/>
        <v>39520</v>
      </c>
      <c r="T8" s="148">
        <f>+T7</f>
        <v>46.300813008130056</v>
      </c>
    </row>
    <row r="9" spans="1:21" ht="13.5" thickBot="1">
      <c r="A9" s="751"/>
      <c r="B9" s="214"/>
      <c r="C9" s="215"/>
      <c r="D9" s="216"/>
      <c r="E9" s="219"/>
      <c r="F9" s="226">
        <v>11</v>
      </c>
      <c r="G9" s="230" t="s">
        <v>11</v>
      </c>
      <c r="H9" s="231" t="s">
        <v>426</v>
      </c>
      <c r="I9" s="754"/>
      <c r="J9" s="213" t="str">
        <f>+'24'!J9</f>
        <v>F 13,5 VP OW</v>
      </c>
      <c r="K9" s="237"/>
      <c r="L9" s="237"/>
      <c r="M9" s="116">
        <f>+K9+'24'!M9+L9</f>
        <v>216723</v>
      </c>
      <c r="O9" s="148">
        <v>1020</v>
      </c>
      <c r="P9" s="148">
        <f t="shared" si="2"/>
        <v>775.2</v>
      </c>
      <c r="Q9" s="148">
        <f>28-7</f>
        <v>21</v>
      </c>
      <c r="R9" s="148">
        <f t="shared" si="3"/>
        <v>21420</v>
      </c>
      <c r="S9" s="148">
        <f t="shared" si="4"/>
        <v>16279.2</v>
      </c>
    </row>
    <row r="10" spans="1:21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634</v>
      </c>
      <c r="I10" s="754"/>
      <c r="J10" s="213" t="str">
        <f>+'24'!J10</f>
        <v>F 12,5 VP OW</v>
      </c>
      <c r="K10" s="237"/>
      <c r="L10" s="237"/>
      <c r="M10" s="116">
        <f>+K10+'24'!M10+L10</f>
        <v>50678</v>
      </c>
      <c r="O10" s="148">
        <v>1030</v>
      </c>
      <c r="P10" s="148">
        <f t="shared" si="2"/>
        <v>782.8</v>
      </c>
      <c r="Q10" s="148">
        <f>60-28</f>
        <v>32</v>
      </c>
      <c r="R10" s="148">
        <f t="shared" si="3"/>
        <v>32960</v>
      </c>
      <c r="S10" s="148">
        <f t="shared" si="4"/>
        <v>25049.599999999999</v>
      </c>
    </row>
    <row r="11" spans="1:21" ht="152.25" customHeight="1" thickBot="1">
      <c r="A11" s="751"/>
      <c r="B11" s="214"/>
      <c r="C11" s="215"/>
      <c r="D11" s="216"/>
      <c r="E11" s="218"/>
      <c r="F11" s="226">
        <f>60-5+60+54</f>
        <v>169</v>
      </c>
      <c r="G11" s="230" t="s">
        <v>19</v>
      </c>
      <c r="H11" s="231" t="s">
        <v>635</v>
      </c>
      <c r="I11" s="754"/>
      <c r="J11" s="213" t="str">
        <f>+'24'!J11</f>
        <v>F 14 VP OW</v>
      </c>
      <c r="K11" s="237"/>
      <c r="L11" s="237"/>
      <c r="M11" s="116">
        <f>+K11+'24'!M11+L11</f>
        <v>20374</v>
      </c>
    </row>
    <row r="12" spans="1:21" ht="13.5" thickBot="1">
      <c r="A12" s="751"/>
      <c r="B12" s="214"/>
      <c r="C12" s="215"/>
      <c r="D12" s="216"/>
      <c r="E12" s="218"/>
      <c r="F12" s="226">
        <v>46</v>
      </c>
      <c r="G12" s="230" t="s">
        <v>75</v>
      </c>
      <c r="H12" s="231"/>
      <c r="I12" s="754"/>
      <c r="J12" s="213" t="str">
        <f>+'24'!J12</f>
        <v>F 13 VP OW</v>
      </c>
      <c r="K12" s="237"/>
      <c r="L12" s="237"/>
      <c r="M12" s="116">
        <f>+K12+'24'!M12+L12</f>
        <v>154935</v>
      </c>
    </row>
    <row r="13" spans="1:21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+'24'!J13</f>
        <v>F 16 VP OW</v>
      </c>
      <c r="K13" s="237"/>
      <c r="L13" s="237"/>
      <c r="M13" s="116">
        <f>+K13+'24'!M13+L13</f>
        <v>40814</v>
      </c>
    </row>
    <row r="14" spans="1:21" ht="13.5" thickBot="1">
      <c r="A14" s="752"/>
      <c r="B14" s="164" t="s">
        <v>2</v>
      </c>
      <c r="C14" s="98">
        <f>SUM(C7:C13)</f>
        <v>8979</v>
      </c>
      <c r="D14" s="110">
        <f>SUM(D7:D13)</f>
        <v>0</v>
      </c>
      <c r="E14" s="111">
        <f>SUM(E5:E13)</f>
        <v>0</v>
      </c>
      <c r="F14" s="115">
        <f>SUM(F7:F13)</f>
        <v>230</v>
      </c>
      <c r="G14" s="158"/>
      <c r="H14" s="165"/>
      <c r="I14" s="166"/>
      <c r="J14" s="213" t="str">
        <f>+'24'!J14</f>
        <v>F 11 VP OW</v>
      </c>
      <c r="K14" s="237"/>
      <c r="L14" s="237"/>
      <c r="M14" s="116">
        <f>+K14+'24'!M14+L14</f>
        <v>10313</v>
      </c>
      <c r="Q14" s="175">
        <f>SUM(Q6:Q11)</f>
        <v>311</v>
      </c>
      <c r="R14" s="175">
        <f>SUM(R6:R11)</f>
        <v>325580</v>
      </c>
      <c r="S14" s="175">
        <f>SUM(S6:S11)</f>
        <v>247440.80000000002</v>
      </c>
    </row>
    <row r="15" spans="1:21" ht="13.5" customHeight="1" thickBot="1">
      <c r="A15" s="750" t="s">
        <v>389</v>
      </c>
      <c r="B15" s="164"/>
      <c r="C15" s="112">
        <f>C14/($C$23+$D$23+$E$23)</f>
        <v>0.84214969048958921</v>
      </c>
      <c r="D15" s="113">
        <f>D14/($C$23+$D$23+$E$23)</f>
        <v>0</v>
      </c>
      <c r="E15" s="114">
        <f>E14/($C$23+$D$23+$E$23)</f>
        <v>0</v>
      </c>
      <c r="F15" s="226">
        <v>4</v>
      </c>
      <c r="G15" s="227" t="s">
        <v>11</v>
      </c>
      <c r="H15" s="228" t="s">
        <v>445</v>
      </c>
      <c r="I15" s="753" t="s">
        <v>649</v>
      </c>
      <c r="J15" s="213">
        <f>+'24'!J15</f>
        <v>0</v>
      </c>
      <c r="K15" s="237"/>
      <c r="L15" s="237"/>
      <c r="M15" s="116">
        <f>+K15+'24'!M15+L15</f>
        <v>0</v>
      </c>
      <c r="Q15" s="148">
        <f>480-Q14</f>
        <v>169</v>
      </c>
      <c r="R15" s="175">
        <f>+R14/Q14</f>
        <v>1046.8810289389069</v>
      </c>
      <c r="S15" s="175">
        <f>+S14/Q14</f>
        <v>795.62958199356922</v>
      </c>
    </row>
    <row r="16" spans="1:21" ht="13.5" thickBot="1">
      <c r="A16" s="756"/>
      <c r="B16" s="214" t="s">
        <v>415</v>
      </c>
      <c r="C16" s="220">
        <v>10662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+'24'!J16</f>
        <v>0</v>
      </c>
      <c r="K16" s="227"/>
      <c r="L16" s="227"/>
      <c r="M16" s="116">
        <f>+K16+'24'!M16+L16</f>
        <v>0</v>
      </c>
      <c r="N16" s="148" t="s">
        <v>404</v>
      </c>
      <c r="O16" s="148">
        <v>1030</v>
      </c>
      <c r="P16" s="148">
        <f>+O16-(O16*0.24)</f>
        <v>782.8</v>
      </c>
      <c r="Q16" s="148">
        <v>15</v>
      </c>
      <c r="R16" s="148">
        <f t="shared" ref="R16:R20" si="5">+O16*Q16</f>
        <v>15450</v>
      </c>
      <c r="S16" s="148">
        <f t="shared" ref="S16:S20" si="6">+P16*Q16</f>
        <v>11742</v>
      </c>
      <c r="T16" s="148">
        <f>+(1230-U16)/1230</f>
        <v>0.11280487804878049</v>
      </c>
      <c r="U16" s="148">
        <v>1091.25</v>
      </c>
    </row>
    <row r="17" spans="1:21" ht="13.5" thickBot="1">
      <c r="A17" s="756"/>
      <c r="B17" s="214"/>
      <c r="C17" s="215"/>
      <c r="D17" s="216"/>
      <c r="E17" s="223"/>
      <c r="F17" s="226">
        <v>16</v>
      </c>
      <c r="G17" s="230" t="s">
        <v>11</v>
      </c>
      <c r="H17" s="231" t="s">
        <v>386</v>
      </c>
      <c r="I17" s="754"/>
      <c r="J17" s="213">
        <f>+'24'!J17</f>
        <v>0</v>
      </c>
      <c r="K17" s="227"/>
      <c r="L17" s="227"/>
      <c r="M17" s="116">
        <f>+K17+'24'!M17+L17</f>
        <v>0</v>
      </c>
      <c r="O17" s="148">
        <v>1070</v>
      </c>
      <c r="P17" s="148">
        <f t="shared" ref="P17:P20" si="7">+O17-(O17*0.24)</f>
        <v>813.2</v>
      </c>
      <c r="Q17" s="148">
        <f>60-15+60</f>
        <v>105</v>
      </c>
      <c r="R17" s="148">
        <f t="shared" si="5"/>
        <v>112350</v>
      </c>
      <c r="S17" s="148">
        <f t="shared" si="6"/>
        <v>85386</v>
      </c>
      <c r="T17" s="148">
        <f>+T16*(480)</f>
        <v>54.146341463414636</v>
      </c>
    </row>
    <row r="18" spans="1:21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632</v>
      </c>
      <c r="I18" s="754"/>
      <c r="J18" s="213">
        <f>+'24'!J18</f>
        <v>0</v>
      </c>
      <c r="K18" s="237"/>
      <c r="L18" s="237"/>
      <c r="M18" s="116">
        <f>+K18+'24'!M18+L18</f>
        <v>0</v>
      </c>
      <c r="O18" s="148">
        <v>1100</v>
      </c>
      <c r="P18" s="148">
        <f t="shared" si="7"/>
        <v>836</v>
      </c>
      <c r="Q18" s="148">
        <f>60*6</f>
        <v>360</v>
      </c>
      <c r="R18" s="148">
        <f t="shared" si="5"/>
        <v>396000</v>
      </c>
      <c r="S18" s="148">
        <f t="shared" si="6"/>
        <v>300960</v>
      </c>
      <c r="T18" s="148">
        <f>+T17</f>
        <v>54.146341463414636</v>
      </c>
    </row>
    <row r="19" spans="1:21" ht="77.25" thickBot="1">
      <c r="A19" s="756"/>
      <c r="B19" s="214"/>
      <c r="C19" s="215"/>
      <c r="D19" s="216"/>
      <c r="E19" s="223"/>
      <c r="F19" s="229">
        <v>54</v>
      </c>
      <c r="G19" s="230" t="s">
        <v>75</v>
      </c>
      <c r="H19" s="231" t="s">
        <v>633</v>
      </c>
      <c r="I19" s="754"/>
      <c r="J19" s="213">
        <f>+'24'!J19</f>
        <v>0</v>
      </c>
      <c r="K19" s="237"/>
      <c r="L19" s="237"/>
      <c r="M19" s="116">
        <f>+K19+'24'!M19+L19</f>
        <v>0</v>
      </c>
    </row>
    <row r="20" spans="1:21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+'24'!J20</f>
        <v>0</v>
      </c>
      <c r="K20" s="238"/>
      <c r="L20" s="238"/>
      <c r="M20" s="116">
        <f>+K20+'24'!M20+L20</f>
        <v>0</v>
      </c>
      <c r="P20" s="148">
        <f t="shared" si="7"/>
        <v>0</v>
      </c>
      <c r="R20" s="148">
        <f t="shared" si="5"/>
        <v>0</v>
      </c>
      <c r="S20" s="148">
        <f t="shared" si="6"/>
        <v>0</v>
      </c>
    </row>
    <row r="21" spans="1:21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+'24'!J21</f>
        <v>0</v>
      </c>
      <c r="K21" s="237"/>
      <c r="L21" s="237"/>
      <c r="M21" s="116">
        <f>+K21+'24'!M21+L21</f>
        <v>0</v>
      </c>
    </row>
    <row r="22" spans="1:21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+'24'!J22</f>
        <v>0</v>
      </c>
      <c r="K22" s="237"/>
      <c r="L22" s="237"/>
      <c r="M22" s="116">
        <f>+K22+'24'!M22+L22</f>
        <v>0</v>
      </c>
    </row>
    <row r="23" spans="1:21" ht="13.5" thickBot="1">
      <c r="A23" s="757"/>
      <c r="B23" s="167" t="s">
        <v>2</v>
      </c>
      <c r="C23" s="99">
        <f>SUM(C16:C22)</f>
        <v>10662</v>
      </c>
      <c r="D23" s="110">
        <f>SUM(D16:D22)</f>
        <v>0</v>
      </c>
      <c r="E23" s="111">
        <f>SUM(E18:E22)</f>
        <v>0</v>
      </c>
      <c r="F23" s="115">
        <f>SUM(F15:F22)</f>
        <v>74</v>
      </c>
      <c r="G23" s="158"/>
      <c r="H23" s="165"/>
      <c r="I23" s="168"/>
      <c r="J23" s="213">
        <f>+'24'!J23</f>
        <v>0</v>
      </c>
      <c r="K23" s="237"/>
      <c r="L23" s="237"/>
      <c r="M23" s="116">
        <f>+K23+'24'!M23+L23</f>
        <v>0</v>
      </c>
    </row>
    <row r="24" spans="1:21" ht="13.5" customHeight="1" thickBot="1">
      <c r="A24" s="750" t="s">
        <v>414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648</v>
      </c>
      <c r="J24" s="213">
        <f>+'24'!J24</f>
        <v>0</v>
      </c>
      <c r="K24" s="237"/>
      <c r="L24" s="237"/>
      <c r="M24" s="116">
        <f>+K24+'24'!M24+L24</f>
        <v>0</v>
      </c>
      <c r="Q24" s="175">
        <f>SUM(Q16:Q21)</f>
        <v>480</v>
      </c>
      <c r="R24" s="175">
        <f>SUM(R16:R21)</f>
        <v>523800</v>
      </c>
      <c r="S24" s="175">
        <f>SUM(S16:S21)</f>
        <v>398088</v>
      </c>
    </row>
    <row r="25" spans="1:21" ht="13.5" thickBot="1">
      <c r="A25" s="756"/>
      <c r="B25" s="214" t="s">
        <v>415</v>
      </c>
      <c r="C25" s="224">
        <v>14842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+'24'!J25</f>
        <v>0</v>
      </c>
      <c r="K25" s="237"/>
      <c r="L25" s="237"/>
      <c r="M25" s="116">
        <f>+K25+'24'!M25+L25</f>
        <v>0</v>
      </c>
      <c r="Q25" s="148">
        <f>480-Q24</f>
        <v>0</v>
      </c>
      <c r="R25" s="175">
        <f>+R24/Q24</f>
        <v>1091.25</v>
      </c>
      <c r="S25" s="175">
        <f>+S24/Q24</f>
        <v>829.35</v>
      </c>
    </row>
    <row r="26" spans="1:21" ht="13.5" thickBot="1">
      <c r="A26" s="756"/>
      <c r="B26" s="214"/>
      <c r="C26" s="224"/>
      <c r="D26" s="216"/>
      <c r="E26" s="225"/>
      <c r="F26" s="226">
        <f>21-6</f>
        <v>15</v>
      </c>
      <c r="G26" s="230" t="s">
        <v>11</v>
      </c>
      <c r="H26" s="231" t="s">
        <v>409</v>
      </c>
      <c r="I26" s="754"/>
      <c r="J26" s="213">
        <f>+'24'!J26</f>
        <v>0</v>
      </c>
      <c r="K26" s="237"/>
      <c r="L26" s="237"/>
      <c r="M26" s="116">
        <f>+K26+'24'!M26+L26</f>
        <v>0</v>
      </c>
      <c r="N26" s="148" t="s">
        <v>404</v>
      </c>
      <c r="O26" s="148">
        <v>1120</v>
      </c>
      <c r="P26" s="148">
        <f>+O26-(O26*0.24)</f>
        <v>851.2</v>
      </c>
      <c r="Q26" s="148">
        <f>60+24</f>
        <v>84</v>
      </c>
      <c r="R26" s="148">
        <f t="shared" ref="R26" si="8">+O26*Q26</f>
        <v>94080</v>
      </c>
      <c r="S26" s="148">
        <f t="shared" ref="S26" si="9">+P26*Q26</f>
        <v>71500.800000000003</v>
      </c>
      <c r="T26" s="148">
        <f>+(1230-U26)/1230</f>
        <v>3.5772357723577237E-2</v>
      </c>
      <c r="U26" s="148">
        <v>1186</v>
      </c>
    </row>
    <row r="27" spans="1:21" ht="51.75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646</v>
      </c>
      <c r="I27" s="754"/>
      <c r="J27" s="213">
        <f>+'24'!J27</f>
        <v>0</v>
      </c>
      <c r="K27" s="237"/>
      <c r="L27" s="237"/>
      <c r="M27" s="116">
        <f>+K27+'24'!M27+L27</f>
        <v>0</v>
      </c>
      <c r="O27" s="148">
        <v>1200</v>
      </c>
      <c r="P27" s="148">
        <f t="shared" ref="P27:P28" si="10">+O27-(O27*0.24)</f>
        <v>912</v>
      </c>
      <c r="Q27" s="148">
        <f>396/2</f>
        <v>198</v>
      </c>
      <c r="R27" s="148">
        <f t="shared" ref="R27:R28" si="11">+O27*Q27</f>
        <v>237600</v>
      </c>
      <c r="S27" s="148">
        <f t="shared" ref="S27:S28" si="12">+P27*Q27</f>
        <v>180576</v>
      </c>
      <c r="T27" s="148">
        <f>+T26*(480)</f>
        <v>17.170731707317074</v>
      </c>
    </row>
    <row r="28" spans="1:21" ht="68.25" customHeight="1" thickBot="1">
      <c r="A28" s="756"/>
      <c r="B28" s="214"/>
      <c r="C28" s="215"/>
      <c r="D28" s="216"/>
      <c r="E28" s="223"/>
      <c r="F28" s="229">
        <v>17</v>
      </c>
      <c r="G28" s="230" t="s">
        <v>75</v>
      </c>
      <c r="H28" s="231" t="s">
        <v>647</v>
      </c>
      <c r="I28" s="754"/>
      <c r="J28" s="213">
        <f>+'24'!J28</f>
        <v>0</v>
      </c>
      <c r="K28" s="237"/>
      <c r="L28" s="237"/>
      <c r="M28" s="116">
        <f>+K28+'24'!M28+L28</f>
        <v>0</v>
      </c>
      <c r="O28" s="148">
        <v>1200</v>
      </c>
      <c r="P28" s="148">
        <f t="shared" si="10"/>
        <v>912</v>
      </c>
      <c r="Q28" s="148">
        <v>198</v>
      </c>
      <c r="R28" s="148">
        <f t="shared" si="11"/>
        <v>237600</v>
      </c>
      <c r="S28" s="148">
        <f t="shared" si="12"/>
        <v>180576</v>
      </c>
      <c r="T28" s="148">
        <f>+T27</f>
        <v>17.170731707317074</v>
      </c>
    </row>
    <row r="29" spans="1:21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+'24'!J29</f>
        <v>0</v>
      </c>
      <c r="K29" s="237"/>
      <c r="L29" s="237"/>
      <c r="M29" s="116">
        <f>+K29+'24'!M29+L29</f>
        <v>0</v>
      </c>
    </row>
    <row r="30" spans="1:21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+'24'!J30</f>
        <v>0</v>
      </c>
      <c r="K30" s="237"/>
      <c r="L30" s="237"/>
      <c r="M30" s="116">
        <f>+K30+'24'!M30+L30</f>
        <v>0</v>
      </c>
      <c r="P30" s="148">
        <f t="shared" ref="P30" si="13">+O30-(O30*0.24)</f>
        <v>0</v>
      </c>
      <c r="R30" s="148">
        <f t="shared" ref="R30" si="14">+O30*Q30</f>
        <v>0</v>
      </c>
      <c r="S30" s="148">
        <f t="shared" ref="S30" si="15">+P30*Q30</f>
        <v>0</v>
      </c>
    </row>
    <row r="31" spans="1:21" ht="13.5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+'24'!J31</f>
        <v>0</v>
      </c>
      <c r="K31" s="237"/>
      <c r="L31" s="237"/>
      <c r="M31" s="116">
        <f>+K31+'24'!M31+L31</f>
        <v>0</v>
      </c>
    </row>
    <row r="32" spans="1:21" ht="13.5" thickBot="1">
      <c r="A32" s="757"/>
      <c r="B32" s="164" t="s">
        <v>2</v>
      </c>
      <c r="C32" s="98">
        <f>SUM(C25:C31)</f>
        <v>14842</v>
      </c>
      <c r="D32" s="99">
        <f>SUM(D25:D31)</f>
        <v>0</v>
      </c>
      <c r="E32" s="100">
        <f>SUM(E25:E31)</f>
        <v>0</v>
      </c>
      <c r="F32" s="101">
        <f>SUM(F24:F31)</f>
        <v>38</v>
      </c>
      <c r="G32" s="170"/>
      <c r="H32" s="171"/>
      <c r="I32" s="168"/>
      <c r="J32" s="213">
        <f>+'24'!J32</f>
        <v>0</v>
      </c>
      <c r="K32" s="239"/>
      <c r="L32" s="241"/>
      <c r="M32" s="116">
        <f>+K32+'24'!M32+L32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34483</v>
      </c>
      <c r="D34" s="106">
        <f>D14+D23+D32</f>
        <v>0</v>
      </c>
      <c r="E34" s="106">
        <f>E14+E23+E32</f>
        <v>0</v>
      </c>
      <c r="F34" s="107">
        <f>F14+F23+F32</f>
        <v>342</v>
      </c>
      <c r="H34" s="177"/>
      <c r="I34" s="177"/>
      <c r="J34" s="122" t="s">
        <v>27</v>
      </c>
      <c r="K34" s="123">
        <f>SUM(K7:K32)</f>
        <v>34483</v>
      </c>
      <c r="L34" s="211">
        <f>SUM(L7:L32)</f>
        <v>0</v>
      </c>
      <c r="M34" s="119">
        <f>SUM(M7:M32)</f>
        <v>964952</v>
      </c>
      <c r="Q34" s="175">
        <f>SUM(Q26:Q31)</f>
        <v>480</v>
      </c>
      <c r="R34" s="175">
        <f>SUM(R26:R31)</f>
        <v>569280</v>
      </c>
      <c r="S34" s="175">
        <f>SUM(S26:S31)</f>
        <v>432652.79999999999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48">
        <f>480-Q34</f>
        <v>0</v>
      </c>
      <c r="R35" s="175">
        <f>+R34/Q34</f>
        <v>1186</v>
      </c>
      <c r="S35" s="175">
        <f>+S34/Q34</f>
        <v>901.36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(13*1271)/1271*G42*2.74*1271/1000000</f>
        <v>38.404828592000008</v>
      </c>
      <c r="J37" s="124">
        <f>+I37+'24'!J37</f>
        <v>1113.6197181733371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56</v>
      </c>
      <c r="D38" s="117">
        <f>+C38+'24'!D38</f>
        <v>1629</v>
      </c>
      <c r="E38" s="142">
        <f t="shared" ref="E38:E51" si="16">D38/60</f>
        <v>27.15</v>
      </c>
      <c r="F38" s="320">
        <v>1046.8810289389069</v>
      </c>
      <c r="G38" s="320">
        <v>795.62958199356922</v>
      </c>
      <c r="H38" s="186" t="s">
        <v>63</v>
      </c>
      <c r="I38" s="243">
        <f>9.319+13.45+13.787</f>
        <v>36.555999999999997</v>
      </c>
      <c r="J38" s="126">
        <f>+I38+'24'!J38</f>
        <v>1006.7049999999998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+C39+'24'!D39</f>
        <v>8</v>
      </c>
      <c r="E39" s="142">
        <f t="shared" si="16"/>
        <v>0.13333333333333333</v>
      </c>
      <c r="F39" s="320">
        <v>1091.25</v>
      </c>
      <c r="G39" s="320">
        <v>829.35</v>
      </c>
      <c r="H39" s="186" t="s">
        <v>64</v>
      </c>
      <c r="I39" s="141"/>
      <c r="J39" s="128">
        <f>J37/G4</f>
        <v>44.544788726933483</v>
      </c>
      <c r="K39" s="129" t="s">
        <v>62</v>
      </c>
      <c r="M39" s="148">
        <v>311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+C40+'24'!D40</f>
        <v>0</v>
      </c>
      <c r="E40" s="142">
        <f t="shared" si="16"/>
        <v>0</v>
      </c>
      <c r="F40" s="320">
        <v>1186</v>
      </c>
      <c r="G40" s="320">
        <v>901.36</v>
      </c>
      <c r="H40" s="186" t="s">
        <v>66</v>
      </c>
      <c r="I40" s="117">
        <f>(K34+L34)/1000</f>
        <v>34.482999999999997</v>
      </c>
      <c r="J40" s="130">
        <f>+I40+'24'!J40</f>
        <v>964.95199999999988</v>
      </c>
      <c r="K40" s="129" t="s">
        <v>62</v>
      </c>
      <c r="M40" s="148">
        <v>480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+C41+'24'!D41</f>
        <v>87</v>
      </c>
      <c r="E41" s="142">
        <f t="shared" si="16"/>
        <v>1.45</v>
      </c>
      <c r="F41" s="320"/>
      <c r="G41" s="320"/>
      <c r="H41" s="186" t="s">
        <v>68</v>
      </c>
      <c r="I41" s="141"/>
      <c r="J41" s="128">
        <f>J40/G4</f>
        <v>38.598079999999996</v>
      </c>
      <c r="K41" s="129" t="s">
        <v>62</v>
      </c>
      <c r="M41" s="148">
        <v>480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+C42+'24'!D42</f>
        <v>0</v>
      </c>
      <c r="E42" s="142">
        <f t="shared" si="16"/>
        <v>0</v>
      </c>
      <c r="F42" s="320">
        <f>+(311*F38+480*F39+480*F40)/1271</f>
        <v>1116.1762391817467</v>
      </c>
      <c r="G42" s="320">
        <f>+(311*G38+480*G39+480*G40)/1271</f>
        <v>848.29394177812753</v>
      </c>
      <c r="H42" s="186" t="s">
        <v>69</v>
      </c>
      <c r="I42" s="244" t="s">
        <v>651</v>
      </c>
      <c r="J42" s="131"/>
      <c r="K42" s="129" t="s">
        <v>70</v>
      </c>
      <c r="M42" s="148">
        <f>SUM(M39:M41)</f>
        <v>1271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+C43+'24'!D43</f>
        <v>0</v>
      </c>
      <c r="E43" s="142">
        <f t="shared" si="16"/>
        <v>0</v>
      </c>
      <c r="F43" s="320"/>
      <c r="G43" s="321"/>
      <c r="H43" s="187" t="s">
        <v>72</v>
      </c>
      <c r="I43" s="117">
        <f>+Report1!Z33</f>
        <v>49.6</v>
      </c>
      <c r="J43" s="132">
        <f>+I43+'24'!J43</f>
        <v>1295.5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+C44+'24'!D44</f>
        <v>0</v>
      </c>
      <c r="E44" s="142">
        <f t="shared" si="16"/>
        <v>0</v>
      </c>
      <c r="F44" s="320"/>
      <c r="G44" s="321"/>
      <c r="H44" s="187" t="s">
        <v>73</v>
      </c>
      <c r="I44" s="117">
        <f>I43/I38</f>
        <v>1.3568224094539885</v>
      </c>
      <c r="J44" s="133">
        <f>J43/J38</f>
        <v>1.2868715264153852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+C45+'24'!D45</f>
        <v>0</v>
      </c>
      <c r="E45" s="142">
        <f t="shared" si="16"/>
        <v>0</v>
      </c>
      <c r="F45" s="320"/>
      <c r="G45" s="323"/>
      <c r="H45" s="187" t="s">
        <v>74</v>
      </c>
      <c r="I45" s="117">
        <f>I43/I40</f>
        <v>1.4383899312704813</v>
      </c>
      <c r="J45" s="133">
        <f>J43/J40</f>
        <v>1.342553826511578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117</v>
      </c>
      <c r="D46" s="117">
        <f>+C46+'24'!D46</f>
        <v>1366</v>
      </c>
      <c r="E46" s="142">
        <f t="shared" si="16"/>
        <v>22.766666666666666</v>
      </c>
      <c r="F46" s="320"/>
      <c r="G46" s="321"/>
      <c r="H46" s="187" t="s">
        <v>76</v>
      </c>
      <c r="I46" s="139">
        <f>+SUMIF(Listrik!P32,"&gt;0")</f>
        <v>35651.600000000362</v>
      </c>
      <c r="J46" s="134">
        <f>+I46+'24'!J46</f>
        <v>941241.41999999934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117</v>
      </c>
      <c r="D47" s="117">
        <f>+C47+'24'!D47</f>
        <v>1366</v>
      </c>
      <c r="E47" s="142">
        <f t="shared" si="16"/>
        <v>22.766666666666666</v>
      </c>
      <c r="F47" s="320"/>
      <c r="G47" s="321"/>
      <c r="H47" s="187" t="s">
        <v>79</v>
      </c>
      <c r="I47" s="117">
        <f>I46/I38</f>
        <v>975.25987525988523</v>
      </c>
      <c r="J47" s="134">
        <f>J46/J38</f>
        <v>934.97242985780292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+C48+'24'!D48</f>
        <v>0</v>
      </c>
      <c r="E48" s="142">
        <f t="shared" si="16"/>
        <v>0</v>
      </c>
      <c r="F48" s="320"/>
      <c r="G48" s="321"/>
      <c r="H48" s="187" t="s">
        <v>80</v>
      </c>
      <c r="I48" s="117">
        <f>I46/I40</f>
        <v>1033.8891627758712</v>
      </c>
      <c r="J48" s="134">
        <f>J46/J40</f>
        <v>975.42822855437316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169</v>
      </c>
      <c r="D49" s="117">
        <f>+C49+'24'!D49</f>
        <v>169</v>
      </c>
      <c r="E49" s="142">
        <f t="shared" si="16"/>
        <v>2.8166666666666669</v>
      </c>
      <c r="F49" s="184"/>
      <c r="H49" s="187" t="s">
        <v>270</v>
      </c>
      <c r="I49" s="117">
        <f>+Report1!T33</f>
        <v>0</v>
      </c>
      <c r="J49" s="134">
        <f>+I49+'24'!J49</f>
        <v>121708.70669060675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+C50+'24'!D50</f>
        <v>0</v>
      </c>
      <c r="E50" s="142">
        <f t="shared" si="16"/>
        <v>0</v>
      </c>
      <c r="F50" s="184"/>
      <c r="H50" s="187" t="s">
        <v>82</v>
      </c>
      <c r="I50" s="139">
        <f>I49/I38</f>
        <v>0</v>
      </c>
      <c r="J50" s="132">
        <f>J49/J38</f>
        <v>120.89808503047742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+C51+'24'!D51</f>
        <v>0</v>
      </c>
      <c r="E51" s="142">
        <f t="shared" si="16"/>
        <v>0</v>
      </c>
      <c r="F51" s="184"/>
      <c r="H51" s="189" t="s">
        <v>84</v>
      </c>
      <c r="I51" s="140">
        <f>I49/I40</f>
        <v>0</v>
      </c>
      <c r="J51" s="135">
        <f>J49/J40</f>
        <v>126.12928590293275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459</v>
      </c>
      <c r="D52" s="143">
        <f>SUM(D38:D51)</f>
        <v>4625</v>
      </c>
      <c r="E52" s="144">
        <f>SUM(E38:E51)</f>
        <v>77.083333333333329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0.31874999999999998</v>
      </c>
      <c r="D53" s="145">
        <f>D52/(24*60*G4)</f>
        <v>0.12847222222222221</v>
      </c>
      <c r="E53" s="146">
        <f>E52/(G4*24)</f>
        <v>0.12847222222222221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+D34+'24'!J56</f>
        <v>6150</v>
      </c>
      <c r="K56" s="200">
        <f>J56/(J40+J56/1000)/1000</f>
        <v>6.3330113623491675E-3</v>
      </c>
    </row>
    <row r="57" spans="1:11">
      <c r="A57" s="175"/>
      <c r="I57" s="198" t="s">
        <v>87</v>
      </c>
      <c r="J57" s="199">
        <f>+E34+'24'!J57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opLeftCell="D4" zoomScale="80" zoomScaleNormal="80" workbookViewId="0">
      <selection activeCell="F28" activeCellId="2" sqref="F12 F19 F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5703125" style="148" customWidth="1"/>
    <col min="14" max="16384" width="9.140625" style="148"/>
  </cols>
  <sheetData>
    <row r="1" spans="1:22" ht="15.75">
      <c r="A1" s="147"/>
    </row>
    <row r="2" spans="1:22" ht="15.75">
      <c r="A2" s="147" t="s">
        <v>183</v>
      </c>
    </row>
    <row r="3" spans="1:22" ht="15">
      <c r="A3" s="149"/>
    </row>
    <row r="4" spans="1:22" ht="20.25">
      <c r="A4" s="150" t="s">
        <v>3</v>
      </c>
      <c r="B4" s="151"/>
      <c r="F4" s="152" t="s">
        <v>28</v>
      </c>
      <c r="G4" s="153">
        <v>24</v>
      </c>
      <c r="H4" s="153" t="str">
        <f>+'1'!H4</f>
        <v>.01.26</v>
      </c>
    </row>
    <row r="5" spans="1:22" ht="13.5" thickBot="1">
      <c r="C5" s="154"/>
      <c r="D5" s="154"/>
    </row>
    <row r="6" spans="1:22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900</v>
      </c>
      <c r="P6" s="148">
        <f>+O6-(O6*0.24)</f>
        <v>684</v>
      </c>
      <c r="Q6" s="148">
        <f>60+44</f>
        <v>104</v>
      </c>
      <c r="R6" s="148">
        <f t="shared" ref="R6:R7" si="0">+O6*Q6</f>
        <v>93600</v>
      </c>
      <c r="S6" s="148">
        <f t="shared" ref="S6:S7" si="1">+P6*Q6</f>
        <v>71136</v>
      </c>
      <c r="U6" s="148">
        <f>+(1230-V6)/1230</f>
        <v>0.33197831978319786</v>
      </c>
      <c r="V6" s="148">
        <v>821.66666666666663</v>
      </c>
    </row>
    <row r="7" spans="1:22" ht="13.5" customHeight="1" thickBot="1">
      <c r="A7" s="750" t="s">
        <v>391</v>
      </c>
      <c r="B7" s="214" t="s">
        <v>415</v>
      </c>
      <c r="C7" s="215">
        <v>9465</v>
      </c>
      <c r="D7" s="216"/>
      <c r="E7" s="217"/>
      <c r="F7" s="226"/>
      <c r="G7" s="227" t="s">
        <v>11</v>
      </c>
      <c r="H7" s="228" t="s">
        <v>385</v>
      </c>
      <c r="I7" s="753" t="s">
        <v>645</v>
      </c>
      <c r="J7" s="213" t="str">
        <f>+'23'!J7</f>
        <v>T 13 VP OW</v>
      </c>
      <c r="K7" s="236">
        <f>+C34</f>
        <v>33080</v>
      </c>
      <c r="L7" s="240"/>
      <c r="M7" s="116">
        <f>+K7+'23'!M7+L7</f>
        <v>183195</v>
      </c>
      <c r="O7" s="148">
        <v>800</v>
      </c>
      <c r="P7" s="148">
        <f>+O7-(O7*0.24)</f>
        <v>608</v>
      </c>
      <c r="Q7" s="148">
        <f>480-Q6</f>
        <v>376</v>
      </c>
      <c r="R7" s="148">
        <f t="shared" si="0"/>
        <v>300800</v>
      </c>
      <c r="S7" s="148">
        <f t="shared" si="1"/>
        <v>228608</v>
      </c>
      <c r="U7" s="148">
        <f>+U6*(480)</f>
        <v>159.34959349593498</v>
      </c>
    </row>
    <row r="8" spans="1:22" ht="13.5" thickBot="1">
      <c r="A8" s="751"/>
      <c r="B8" s="214"/>
      <c r="C8" s="215"/>
      <c r="D8" s="216"/>
      <c r="E8" s="218"/>
      <c r="F8" s="229">
        <v>6</v>
      </c>
      <c r="G8" s="230" t="s">
        <v>11</v>
      </c>
      <c r="H8" s="228" t="s">
        <v>387</v>
      </c>
      <c r="I8" s="754"/>
      <c r="J8" s="213" t="str">
        <f>+'23'!J8</f>
        <v>F 12 VP OW</v>
      </c>
      <c r="K8" s="237"/>
      <c r="L8" s="237"/>
      <c r="M8" s="116">
        <f>+K8+'23'!M8+L8</f>
        <v>253437</v>
      </c>
      <c r="U8" s="148">
        <f>+U7</f>
        <v>159.34959349593498</v>
      </c>
    </row>
    <row r="9" spans="1:22" ht="13.5" thickBot="1">
      <c r="A9" s="751"/>
      <c r="B9" s="214"/>
      <c r="C9" s="215"/>
      <c r="D9" s="216"/>
      <c r="E9" s="219"/>
      <c r="F9" s="226">
        <v>13</v>
      </c>
      <c r="G9" s="230" t="s">
        <v>11</v>
      </c>
      <c r="H9" s="231" t="s">
        <v>386</v>
      </c>
      <c r="I9" s="754"/>
      <c r="J9" s="213" t="str">
        <f>+'23'!J9</f>
        <v>F 13,5 VP OW</v>
      </c>
      <c r="K9" s="237"/>
      <c r="L9" s="237"/>
      <c r="M9" s="116">
        <f>+K9+'23'!M9+L9</f>
        <v>216723</v>
      </c>
    </row>
    <row r="10" spans="1:22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640</v>
      </c>
      <c r="I10" s="754"/>
      <c r="J10" s="213" t="str">
        <f>+'23'!J10</f>
        <v>F 12,5 VP OW</v>
      </c>
      <c r="K10" s="237"/>
      <c r="L10" s="237"/>
      <c r="M10" s="116">
        <f>+K10+'23'!M10+L10</f>
        <v>50678</v>
      </c>
      <c r="U10" s="148">
        <f>+(1230-V10)/1230</f>
        <v>0.14883130081300813</v>
      </c>
      <c r="V10" s="148">
        <v>1046.9375</v>
      </c>
    </row>
    <row r="11" spans="1:22" ht="51.75" thickBot="1">
      <c r="A11" s="751"/>
      <c r="B11" s="214"/>
      <c r="C11" s="215"/>
      <c r="D11" s="216"/>
      <c r="E11" s="218"/>
      <c r="F11" s="226"/>
      <c r="G11" s="230"/>
      <c r="H11" s="231" t="s">
        <v>641</v>
      </c>
      <c r="I11" s="754"/>
      <c r="J11" s="213" t="str">
        <f>+'23'!J11</f>
        <v>F 14 VP OW</v>
      </c>
      <c r="K11" s="237"/>
      <c r="L11" s="237"/>
      <c r="M11" s="116">
        <f>+K11+'23'!M11+L11</f>
        <v>20374</v>
      </c>
      <c r="U11" s="148">
        <f>+U10*(480)</f>
        <v>71.439024390243901</v>
      </c>
    </row>
    <row r="12" spans="1:22" ht="13.5" thickBot="1">
      <c r="A12" s="751"/>
      <c r="B12" s="214"/>
      <c r="C12" s="215"/>
      <c r="D12" s="216"/>
      <c r="E12" s="218"/>
      <c r="F12" s="226">
        <v>53</v>
      </c>
      <c r="G12" s="230" t="s">
        <v>75</v>
      </c>
      <c r="H12" s="231"/>
      <c r="I12" s="754"/>
      <c r="J12" s="213" t="str">
        <f>+'23'!J12</f>
        <v>F 13 VP OW</v>
      </c>
      <c r="K12" s="237"/>
      <c r="L12" s="237"/>
      <c r="M12" s="116">
        <f>+K12+'23'!M12+L12</f>
        <v>154935</v>
      </c>
      <c r="U12" s="148">
        <f>+U11</f>
        <v>71.439024390243901</v>
      </c>
    </row>
    <row r="13" spans="1:22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+'23'!J13</f>
        <v>F 16 VP OW</v>
      </c>
      <c r="K13" s="237"/>
      <c r="L13" s="237"/>
      <c r="M13" s="116">
        <f>+K13+'23'!M13+L13</f>
        <v>40814</v>
      </c>
    </row>
    <row r="14" spans="1:22" ht="13.5" thickBot="1">
      <c r="A14" s="752"/>
      <c r="B14" s="164" t="s">
        <v>2</v>
      </c>
      <c r="C14" s="98">
        <f>SUM(C7:C13)</f>
        <v>9465</v>
      </c>
      <c r="D14" s="110">
        <f>SUM(D7:D13)</f>
        <v>0</v>
      </c>
      <c r="E14" s="111">
        <f>SUM(E5:E13)</f>
        <v>0</v>
      </c>
      <c r="F14" s="115">
        <f>SUM(F7:F13)</f>
        <v>72</v>
      </c>
      <c r="G14" s="158"/>
      <c r="H14" s="165"/>
      <c r="I14" s="166"/>
      <c r="J14" s="213" t="str">
        <f>+'23'!J14</f>
        <v>F 11 VP OW</v>
      </c>
      <c r="K14" s="237"/>
      <c r="L14" s="237"/>
      <c r="M14" s="116">
        <f>+K14+'23'!M14+L14</f>
        <v>10313</v>
      </c>
      <c r="Q14" s="175">
        <f>SUM(Q6:Q11)</f>
        <v>480</v>
      </c>
      <c r="R14" s="175">
        <f>SUM(R6:R11)</f>
        <v>394400</v>
      </c>
      <c r="S14" s="175">
        <f>SUM(S6:S11)</f>
        <v>299744</v>
      </c>
      <c r="U14" s="148">
        <f>+(1230-V14)/1230</f>
        <v>0.10647018970189696</v>
      </c>
      <c r="V14" s="148">
        <v>1099.0416666666667</v>
      </c>
    </row>
    <row r="15" spans="1:22" ht="13.5" customHeight="1" thickBot="1">
      <c r="A15" s="750" t="s">
        <v>389</v>
      </c>
      <c r="B15" s="164"/>
      <c r="C15" s="112">
        <f>C14/($C$23+$D$23+$E$23)</f>
        <v>0.96591488927441571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644</v>
      </c>
      <c r="J15" s="213">
        <f>+'23'!J15</f>
        <v>0</v>
      </c>
      <c r="K15" s="237"/>
      <c r="L15" s="237"/>
      <c r="M15" s="116">
        <f>+K15+'23'!M15+L15</f>
        <v>0</v>
      </c>
      <c r="Q15" s="148">
        <f>480-Q14</f>
        <v>0</v>
      </c>
      <c r="R15" s="175">
        <f>+R14/Q14</f>
        <v>821.66666666666663</v>
      </c>
      <c r="S15" s="175">
        <f>+S14/Q14</f>
        <v>624.4666666666667</v>
      </c>
      <c r="U15" s="148">
        <f>+U14*(480)</f>
        <v>51.105691056910544</v>
      </c>
    </row>
    <row r="16" spans="1:22" ht="13.5" thickBot="1">
      <c r="A16" s="756"/>
      <c r="B16" s="214" t="s">
        <v>415</v>
      </c>
      <c r="C16" s="220">
        <v>9799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+'23'!J16</f>
        <v>0</v>
      </c>
      <c r="K16" s="227"/>
      <c r="L16" s="227"/>
      <c r="M16" s="116">
        <f>+K16+'23'!M16+L16</f>
        <v>0</v>
      </c>
      <c r="N16" s="148" t="s">
        <v>404</v>
      </c>
      <c r="O16" s="148">
        <v>1160</v>
      </c>
      <c r="P16" s="148">
        <f>+O16-(O16*0.24)</f>
        <v>881.6</v>
      </c>
      <c r="Q16" s="148">
        <f>60+3</f>
        <v>63</v>
      </c>
      <c r="R16" s="148">
        <f t="shared" ref="R16" si="2">+O16*Q16</f>
        <v>73080</v>
      </c>
      <c r="S16" s="148">
        <f t="shared" ref="S16" si="3">+P16*Q16</f>
        <v>55540.800000000003</v>
      </c>
      <c r="U16" s="148">
        <f>+U15</f>
        <v>51.105691056910544</v>
      </c>
    </row>
    <row r="17" spans="1:19" ht="13.5" thickBot="1">
      <c r="A17" s="756"/>
      <c r="B17" s="214"/>
      <c r="C17" s="215"/>
      <c r="D17" s="216"/>
      <c r="E17" s="223"/>
      <c r="F17" s="226">
        <v>13</v>
      </c>
      <c r="G17" s="230" t="s">
        <v>11</v>
      </c>
      <c r="H17" s="231" t="s">
        <v>386</v>
      </c>
      <c r="I17" s="754"/>
      <c r="J17" s="213">
        <f>+'23'!J17</f>
        <v>0</v>
      </c>
      <c r="K17" s="227"/>
      <c r="L17" s="227"/>
      <c r="M17" s="116">
        <f>+K17+'23'!M17+L17</f>
        <v>0</v>
      </c>
      <c r="O17" s="148">
        <v>820</v>
      </c>
      <c r="P17" s="148">
        <f t="shared" ref="P17:P20" si="4">+O17-(O17*0.24)</f>
        <v>623.20000000000005</v>
      </c>
      <c r="Q17" s="148">
        <f>60-3+33</f>
        <v>90</v>
      </c>
      <c r="R17" s="148">
        <f t="shared" ref="R17:R20" si="5">+O17*Q17</f>
        <v>73800</v>
      </c>
      <c r="S17" s="148">
        <f t="shared" ref="S17:S20" si="6">+P17*Q17</f>
        <v>56088.000000000007</v>
      </c>
    </row>
    <row r="18" spans="1:19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638</v>
      </c>
      <c r="I18" s="754"/>
      <c r="J18" s="213">
        <f>+'23'!J18</f>
        <v>0</v>
      </c>
      <c r="K18" s="237"/>
      <c r="L18" s="237"/>
      <c r="M18" s="116">
        <f>+K18+'23'!M18+L18</f>
        <v>0</v>
      </c>
      <c r="O18" s="148">
        <v>950</v>
      </c>
      <c r="P18" s="148">
        <f t="shared" si="4"/>
        <v>722</v>
      </c>
      <c r="Q18" s="148">
        <f>60-33+60</f>
        <v>87</v>
      </c>
      <c r="R18" s="148">
        <f t="shared" si="5"/>
        <v>82650</v>
      </c>
      <c r="S18" s="148">
        <f t="shared" si="6"/>
        <v>62814</v>
      </c>
    </row>
    <row r="19" spans="1:19" ht="77.25" thickBot="1">
      <c r="A19" s="756"/>
      <c r="B19" s="214"/>
      <c r="C19" s="215"/>
      <c r="D19" s="216"/>
      <c r="E19" s="223"/>
      <c r="F19" s="233">
        <v>24</v>
      </c>
      <c r="G19" s="230" t="s">
        <v>75</v>
      </c>
      <c r="H19" s="231" t="s">
        <v>639</v>
      </c>
      <c r="I19" s="754"/>
      <c r="J19" s="213">
        <f>+'23'!J19</f>
        <v>0</v>
      </c>
      <c r="K19" s="237"/>
      <c r="L19" s="237">
        <v>0</v>
      </c>
      <c r="M19" s="116">
        <f>+K19+'23'!M19+L19</f>
        <v>0</v>
      </c>
      <c r="O19" s="148">
        <v>1100</v>
      </c>
      <c r="P19" s="148">
        <f t="shared" si="4"/>
        <v>836</v>
      </c>
      <c r="Q19" s="148">
        <f>60+30</f>
        <v>90</v>
      </c>
      <c r="R19" s="148">
        <f t="shared" si="5"/>
        <v>99000</v>
      </c>
      <c r="S19" s="148">
        <f t="shared" si="6"/>
        <v>75240</v>
      </c>
    </row>
    <row r="20" spans="1:19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+'23'!J20</f>
        <v>0</v>
      </c>
      <c r="K20" s="238"/>
      <c r="L20" s="238">
        <v>0</v>
      </c>
      <c r="M20" s="116">
        <f>+K20+'23'!M20+L20</f>
        <v>0</v>
      </c>
      <c r="O20" s="148">
        <v>1160</v>
      </c>
      <c r="P20" s="148">
        <f t="shared" si="4"/>
        <v>881.6</v>
      </c>
      <c r="Q20" s="148">
        <f>60-30+120</f>
        <v>150</v>
      </c>
      <c r="R20" s="148">
        <f t="shared" si="5"/>
        <v>174000</v>
      </c>
      <c r="S20" s="148">
        <f t="shared" si="6"/>
        <v>132240</v>
      </c>
    </row>
    <row r="21" spans="1:19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+'23'!J21</f>
        <v>0</v>
      </c>
      <c r="K21" s="237"/>
      <c r="L21" s="237">
        <v>0</v>
      </c>
      <c r="M21" s="116">
        <f>+K21+'23'!M21+L21</f>
        <v>0</v>
      </c>
    </row>
    <row r="22" spans="1:19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+'23'!J22</f>
        <v>0</v>
      </c>
      <c r="K22" s="237"/>
      <c r="L22" s="237">
        <v>0</v>
      </c>
      <c r="M22" s="116">
        <f>+K22+'23'!M22+L22</f>
        <v>0</v>
      </c>
    </row>
    <row r="23" spans="1:19" ht="13.5" thickBot="1">
      <c r="A23" s="757"/>
      <c r="B23" s="167" t="s">
        <v>2</v>
      </c>
      <c r="C23" s="99">
        <f>SUM(C16:C22)</f>
        <v>9799</v>
      </c>
      <c r="D23" s="110">
        <f>SUM(D16:D22)</f>
        <v>0</v>
      </c>
      <c r="E23" s="111">
        <f>SUM(E18:E22)</f>
        <v>0</v>
      </c>
      <c r="F23" s="115">
        <f>SUM(F15:F22)</f>
        <v>43</v>
      </c>
      <c r="G23" s="158"/>
      <c r="H23" s="165"/>
      <c r="I23" s="168"/>
      <c r="J23" s="213">
        <f>+'23'!J23</f>
        <v>0</v>
      </c>
      <c r="K23" s="237"/>
      <c r="L23" s="237"/>
      <c r="M23" s="116">
        <f>+K23+'23'!M23+L23</f>
        <v>0</v>
      </c>
    </row>
    <row r="24" spans="1:19" ht="13.5" customHeight="1" thickBot="1">
      <c r="A24" s="750" t="s">
        <v>414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643</v>
      </c>
      <c r="J24" s="213">
        <f>+'23'!J24</f>
        <v>0</v>
      </c>
      <c r="K24" s="237"/>
      <c r="L24" s="237"/>
      <c r="M24" s="116">
        <f>+K24+'23'!M24+L24</f>
        <v>0</v>
      </c>
      <c r="Q24" s="175">
        <f>SUM(Q16:Q21)</f>
        <v>480</v>
      </c>
      <c r="R24" s="175">
        <f>SUM(R16:R21)</f>
        <v>502530</v>
      </c>
      <c r="S24" s="175">
        <f>SUM(S16:S21)</f>
        <v>381922.80000000005</v>
      </c>
    </row>
    <row r="25" spans="1:19" ht="13.5" thickBot="1">
      <c r="A25" s="756"/>
      <c r="B25" s="214" t="s">
        <v>415</v>
      </c>
      <c r="C25" s="224">
        <v>13816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+'23'!J25</f>
        <v>0</v>
      </c>
      <c r="K25" s="237"/>
      <c r="L25" s="237"/>
      <c r="M25" s="116">
        <f>+K25+'23'!M25+L25</f>
        <v>0</v>
      </c>
      <c r="Q25" s="148">
        <f>480-Q24</f>
        <v>0</v>
      </c>
      <c r="R25" s="175">
        <f>+R24/Q24</f>
        <v>1046.9375</v>
      </c>
      <c r="S25" s="175">
        <f>+S24/Q24</f>
        <v>795.67250000000013</v>
      </c>
    </row>
    <row r="26" spans="1:19" ht="13.5" thickBot="1">
      <c r="A26" s="756"/>
      <c r="B26" s="214"/>
      <c r="C26" s="224"/>
      <c r="D26" s="216"/>
      <c r="E26" s="225"/>
      <c r="F26" s="226">
        <f>25-6</f>
        <v>19</v>
      </c>
      <c r="G26" s="230" t="s">
        <v>11</v>
      </c>
      <c r="H26" s="231" t="s">
        <v>409</v>
      </c>
      <c r="I26" s="754"/>
      <c r="J26" s="213">
        <f>+'23'!J26</f>
        <v>0</v>
      </c>
      <c r="K26" s="237"/>
      <c r="L26" s="237"/>
      <c r="M26" s="116">
        <f>+K26+'23'!M26+L26</f>
        <v>0</v>
      </c>
      <c r="N26" s="148" t="s">
        <v>404</v>
      </c>
      <c r="O26" s="148">
        <v>1050</v>
      </c>
      <c r="P26" s="148">
        <f>+O26-(O26*0.24)</f>
        <v>798</v>
      </c>
      <c r="Q26" s="148">
        <f>60*4+26</f>
        <v>266</v>
      </c>
      <c r="R26" s="148">
        <f t="shared" ref="R26:R28" si="7">+O26*Q26</f>
        <v>279300</v>
      </c>
      <c r="S26" s="148">
        <f t="shared" ref="S26:S28" si="8">+P26*Q26</f>
        <v>212268</v>
      </c>
    </row>
    <row r="27" spans="1:19" ht="39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636</v>
      </c>
      <c r="I27" s="754"/>
      <c r="J27" s="213">
        <f>+'23'!J27</f>
        <v>0</v>
      </c>
      <c r="K27" s="237"/>
      <c r="L27" s="237"/>
      <c r="M27" s="116">
        <f>+K27+'23'!M27+L27</f>
        <v>0</v>
      </c>
      <c r="O27" s="148">
        <v>1160</v>
      </c>
      <c r="P27" s="148">
        <f t="shared" ref="P27:P28" si="9">+O27-(O27*0.24)</f>
        <v>881.6</v>
      </c>
      <c r="Q27" s="148">
        <f>60-26+180</f>
        <v>214</v>
      </c>
      <c r="R27" s="148">
        <f t="shared" si="7"/>
        <v>248240</v>
      </c>
      <c r="S27" s="148">
        <f t="shared" si="8"/>
        <v>188662.39999999999</v>
      </c>
    </row>
    <row r="28" spans="1:19" ht="77.25" thickBot="1">
      <c r="A28" s="756"/>
      <c r="B28" s="214"/>
      <c r="C28" s="215"/>
      <c r="D28" s="216"/>
      <c r="E28" s="223"/>
      <c r="F28" s="229">
        <v>17</v>
      </c>
      <c r="G28" s="230" t="s">
        <v>75</v>
      </c>
      <c r="H28" s="231" t="s">
        <v>637</v>
      </c>
      <c r="I28" s="754"/>
      <c r="J28" s="213">
        <f>+'23'!J28</f>
        <v>0</v>
      </c>
      <c r="K28" s="237"/>
      <c r="L28" s="237"/>
      <c r="M28" s="116">
        <f>+K28+'23'!M28+L28</f>
        <v>0</v>
      </c>
      <c r="O28" s="148">
        <v>1160</v>
      </c>
      <c r="P28" s="148">
        <f t="shared" si="9"/>
        <v>881.6</v>
      </c>
      <c r="Q28" s="148">
        <v>0</v>
      </c>
      <c r="R28" s="148">
        <f t="shared" si="7"/>
        <v>0</v>
      </c>
      <c r="S28" s="148">
        <f t="shared" si="8"/>
        <v>0</v>
      </c>
    </row>
    <row r="29" spans="1:19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+'23'!J29</f>
        <v>0</v>
      </c>
      <c r="K29" s="237"/>
      <c r="L29" s="237"/>
      <c r="M29" s="116">
        <f>+K29+'23'!M29+L29</f>
        <v>0</v>
      </c>
    </row>
    <row r="30" spans="1:19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+'23'!J30</f>
        <v>0</v>
      </c>
      <c r="K30" s="237"/>
      <c r="L30" s="237"/>
      <c r="M30" s="116">
        <f>+K30+'23'!M30+L30</f>
        <v>0</v>
      </c>
    </row>
    <row r="31" spans="1:19" ht="13.5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+'23'!J31</f>
        <v>0</v>
      </c>
      <c r="K31" s="237"/>
      <c r="L31" s="237"/>
      <c r="M31" s="116">
        <f>+K31+'23'!M31+L31</f>
        <v>0</v>
      </c>
    </row>
    <row r="32" spans="1:19" ht="13.5" thickBot="1">
      <c r="A32" s="757"/>
      <c r="B32" s="164" t="s">
        <v>2</v>
      </c>
      <c r="C32" s="98">
        <f>SUM(C25:C31)</f>
        <v>13816</v>
      </c>
      <c r="D32" s="99">
        <f>SUM(D25:D31)</f>
        <v>0</v>
      </c>
      <c r="E32" s="100">
        <f>SUM(E25:E31)</f>
        <v>0</v>
      </c>
      <c r="F32" s="101">
        <f>SUM(F24:F31)</f>
        <v>42</v>
      </c>
      <c r="G32" s="170"/>
      <c r="H32" s="171"/>
      <c r="I32" s="168"/>
      <c r="J32" s="213">
        <f>+'23'!J32</f>
        <v>0</v>
      </c>
      <c r="K32" s="239"/>
      <c r="L32" s="241"/>
      <c r="M32" s="116">
        <f>+K32+'23'!M32+L32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33080</v>
      </c>
      <c r="D34" s="106">
        <f>D14+D23+D32</f>
        <v>0</v>
      </c>
      <c r="E34" s="106">
        <f>E14+E23+E32</f>
        <v>0</v>
      </c>
      <c r="F34" s="107">
        <f>F14+F23+F32</f>
        <v>157</v>
      </c>
      <c r="H34" s="177"/>
      <c r="I34" s="177"/>
      <c r="J34" s="122" t="s">
        <v>27</v>
      </c>
      <c r="K34" s="123">
        <f>SUM(K7:K32)</f>
        <v>33080</v>
      </c>
      <c r="L34" s="211">
        <f>SUM(L7:L32)</f>
        <v>0</v>
      </c>
      <c r="M34" s="119">
        <f>SUM(M7:M32)</f>
        <v>930469</v>
      </c>
      <c r="Q34" s="175">
        <f>SUM(Q26:Q31)</f>
        <v>480</v>
      </c>
      <c r="R34" s="175">
        <f>SUM(R26:R31)</f>
        <v>527540</v>
      </c>
      <c r="S34" s="175">
        <f>SUM(S26:S31)</f>
        <v>400930.4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48">
        <f>480-Q34</f>
        <v>0</v>
      </c>
      <c r="R35" s="175">
        <f>+R34/Q34</f>
        <v>1099.0416666666667</v>
      </c>
      <c r="S35" s="175">
        <f>+S34/Q34</f>
        <v>835.27166666666676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(13*1440)/1440*G42*2.74*1440/1000000</f>
        <v>38.562112264000007</v>
      </c>
      <c r="J37" s="124">
        <f>+I37+'23'!J37</f>
        <v>1075.214889581337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63</v>
      </c>
      <c r="D38" s="117">
        <f>+C38+'23'!D38</f>
        <v>1573</v>
      </c>
      <c r="E38" s="142">
        <f t="shared" ref="E38:E51" si="10">D38/60</f>
        <v>26.216666666666665</v>
      </c>
      <c r="F38" s="320">
        <v>821.66666666666663</v>
      </c>
      <c r="G38" s="320">
        <v>624.4666666666667</v>
      </c>
      <c r="H38" s="186" t="s">
        <v>63</v>
      </c>
      <c r="I38" s="243">
        <f>10.06+12.915+12.797</f>
        <v>35.772000000000006</v>
      </c>
      <c r="J38" s="126">
        <f>+I38+'23'!J38</f>
        <v>970.14899999999977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+C39+'23'!D39</f>
        <v>8</v>
      </c>
      <c r="E39" s="142">
        <f t="shared" si="10"/>
        <v>0.13333333333333333</v>
      </c>
      <c r="F39" s="320">
        <v>1046.9375</v>
      </c>
      <c r="G39" s="320">
        <v>795.67250000000013</v>
      </c>
      <c r="H39" s="186" t="s">
        <v>64</v>
      </c>
      <c r="I39" s="141"/>
      <c r="J39" s="128">
        <f>J37/G4</f>
        <v>44.800620399222375</v>
      </c>
      <c r="K39" s="129" t="s">
        <v>62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+C40+'23'!D40</f>
        <v>0</v>
      </c>
      <c r="E40" s="142">
        <f t="shared" si="10"/>
        <v>0</v>
      </c>
      <c r="F40" s="320">
        <v>1099.0416666666667</v>
      </c>
      <c r="G40" s="320">
        <v>835.27166666666676</v>
      </c>
      <c r="H40" s="186" t="s">
        <v>66</v>
      </c>
      <c r="I40" s="117">
        <f>(K34+L34)/1000</f>
        <v>33.08</v>
      </c>
      <c r="J40" s="130">
        <f>+I40+'23'!J40</f>
        <v>930.46899999999994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+C41+'23'!D41</f>
        <v>87</v>
      </c>
      <c r="E41" s="142">
        <f t="shared" si="10"/>
        <v>1.45</v>
      </c>
      <c r="F41" s="320"/>
      <c r="G41" s="320"/>
      <c r="H41" s="186" t="s">
        <v>68</v>
      </c>
      <c r="I41" s="141"/>
      <c r="J41" s="128">
        <f>J40/G4</f>
        <v>38.769541666666662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+C42+'23'!D42</f>
        <v>0</v>
      </c>
      <c r="E42" s="142">
        <f t="shared" si="10"/>
        <v>0</v>
      </c>
      <c r="F42" s="320">
        <f>+(480*F38+480*F39+480*F40)/1440</f>
        <v>989.21527777777783</v>
      </c>
      <c r="G42" s="320">
        <f>+(480*G38+480*G39+480*G40)/1440</f>
        <v>751.80361111111119</v>
      </c>
      <c r="H42" s="186" t="s">
        <v>69</v>
      </c>
      <c r="I42" s="244" t="s">
        <v>642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+C43+'23'!D43</f>
        <v>0</v>
      </c>
      <c r="E43" s="142">
        <f t="shared" si="10"/>
        <v>0</v>
      </c>
      <c r="F43" s="320"/>
      <c r="G43" s="321"/>
      <c r="H43" s="187" t="s">
        <v>72</v>
      </c>
      <c r="I43" s="117">
        <f>+Report1!Z32</f>
        <v>52.9</v>
      </c>
      <c r="J43" s="132">
        <f>+I43+'23'!J43</f>
        <v>1245.9000000000001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+C44+'23'!D44</f>
        <v>0</v>
      </c>
      <c r="E44" s="142">
        <f t="shared" si="10"/>
        <v>0</v>
      </c>
      <c r="F44" s="320"/>
      <c r="G44" s="321"/>
      <c r="H44" s="187" t="s">
        <v>73</v>
      </c>
      <c r="I44" s="117">
        <f>I43/I38</f>
        <v>1.4788102426478809</v>
      </c>
      <c r="J44" s="133">
        <f>J43/J38</f>
        <v>1.2842357204924195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+C45+'23'!D45</f>
        <v>0</v>
      </c>
      <c r="E45" s="142">
        <f t="shared" si="10"/>
        <v>0</v>
      </c>
      <c r="F45" s="320"/>
      <c r="G45" s="323"/>
      <c r="H45" s="187" t="s">
        <v>74</v>
      </c>
      <c r="I45" s="117">
        <f>I43/I40</f>
        <v>1.5991535671100363</v>
      </c>
      <c r="J45" s="133">
        <f>J43/J40</f>
        <v>1.3390021591262042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94</v>
      </c>
      <c r="D46" s="117">
        <f>+C46+'23'!D46</f>
        <v>1249</v>
      </c>
      <c r="E46" s="142">
        <f t="shared" si="10"/>
        <v>20.816666666666666</v>
      </c>
      <c r="F46" s="320"/>
      <c r="G46" s="321"/>
      <c r="H46" s="187" t="s">
        <v>76</v>
      </c>
      <c r="I46" s="139">
        <f>+SUMIF(Listrik!P31,"&gt;0")</f>
        <v>36510.900000000365</v>
      </c>
      <c r="J46" s="134">
        <f>+I46+'23'!J46</f>
        <v>905589.81999999902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94</v>
      </c>
      <c r="D47" s="117">
        <f>+C47+'23'!D47</f>
        <v>1249</v>
      </c>
      <c r="E47" s="142">
        <f t="shared" si="10"/>
        <v>20.816666666666666</v>
      </c>
      <c r="F47" s="320"/>
      <c r="G47" s="321"/>
      <c r="H47" s="187" t="s">
        <v>79</v>
      </c>
      <c r="I47" s="117">
        <f>I46/I38</f>
        <v>1020.6558201945757</v>
      </c>
      <c r="J47" s="134">
        <f>J46/J38</f>
        <v>933.45436628806419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+C48+'23'!D48</f>
        <v>0</v>
      </c>
      <c r="E48" s="142">
        <f t="shared" si="10"/>
        <v>0</v>
      </c>
      <c r="F48" s="320"/>
      <c r="G48" s="321"/>
      <c r="H48" s="187" t="s">
        <v>80</v>
      </c>
      <c r="I48" s="117">
        <f>I46/I40</f>
        <v>1103.7152357920304</v>
      </c>
      <c r="J48" s="134">
        <f>J46/J40</f>
        <v>973.26167771306632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+C49+'23'!D49</f>
        <v>0</v>
      </c>
      <c r="E49" s="142">
        <f t="shared" si="10"/>
        <v>0</v>
      </c>
      <c r="F49" s="184"/>
      <c r="H49" s="187" t="s">
        <v>270</v>
      </c>
      <c r="I49" s="117">
        <f>+Report1!T32</f>
        <v>2886.1893684838587</v>
      </c>
      <c r="J49" s="134">
        <f>+I49+'23'!J49</f>
        <v>121708.70669060675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+C50+'23'!D50</f>
        <v>0</v>
      </c>
      <c r="E50" s="142">
        <f t="shared" si="10"/>
        <v>0</v>
      </c>
      <c r="F50" s="184"/>
      <c r="H50" s="187" t="s">
        <v>82</v>
      </c>
      <c r="I50" s="139">
        <f>I49/I38</f>
        <v>80.68291872089506</v>
      </c>
      <c r="J50" s="132">
        <f>J49/J38</f>
        <v>125.45362278434217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+C51+'23'!D51</f>
        <v>0</v>
      </c>
      <c r="E51" s="142">
        <f t="shared" si="10"/>
        <v>0</v>
      </c>
      <c r="F51" s="184"/>
      <c r="H51" s="189" t="s">
        <v>84</v>
      </c>
      <c r="I51" s="140">
        <f>I49/I40</f>
        <v>87.24877171958461</v>
      </c>
      <c r="J51" s="135">
        <f>J49/J40</f>
        <v>130.80361268414828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251</v>
      </c>
      <c r="D52" s="143">
        <f>SUM(D38:D51)</f>
        <v>4166</v>
      </c>
      <c r="E52" s="144">
        <f>SUM(E38:E51)</f>
        <v>69.433333333333323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0.17430555555555555</v>
      </c>
      <c r="D53" s="145">
        <f>D52/(24*60*G4)</f>
        <v>0.12054398148148149</v>
      </c>
      <c r="E53" s="146">
        <f>E52/(G4*24)</f>
        <v>0.12054398148148146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+D34+'23'!J56</f>
        <v>6150</v>
      </c>
      <c r="K56" s="200">
        <f>J56/(J40+J56/1000)/1000</f>
        <v>6.5661704492435032E-3</v>
      </c>
    </row>
    <row r="57" spans="1:11">
      <c r="A57" s="175"/>
      <c r="I57" s="198" t="s">
        <v>87</v>
      </c>
      <c r="J57" s="199">
        <f>+E34+'23'!J57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D7" zoomScale="80" zoomScaleNormal="80" workbookViewId="0">
      <selection activeCell="F28" activeCellId="1" sqref="F19 F2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3.710937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23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" si="1">+P6*Q6</f>
        <v>448704</v>
      </c>
    </row>
    <row r="7" spans="1:19" ht="13.5" customHeight="1" thickBot="1">
      <c r="A7" s="750" t="s">
        <v>431</v>
      </c>
      <c r="B7" s="214" t="s">
        <v>415</v>
      </c>
      <c r="C7" s="215">
        <v>13069</v>
      </c>
      <c r="D7" s="216"/>
      <c r="E7" s="217"/>
      <c r="F7" s="226">
        <v>9</v>
      </c>
      <c r="G7" s="227" t="s">
        <v>11</v>
      </c>
      <c r="H7" s="228" t="s">
        <v>428</v>
      </c>
      <c r="I7" s="753" t="s">
        <v>442</v>
      </c>
      <c r="J7" s="213" t="str">
        <f>+'22'!J7</f>
        <v>T 13 VP OW</v>
      </c>
      <c r="K7" s="236">
        <f>+C34</f>
        <v>36118</v>
      </c>
      <c r="L7" s="240"/>
      <c r="M7" s="116">
        <f>+K7+'22'!M7+L7</f>
        <v>150115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+'22'!J8</f>
        <v>F 12 VP OW</v>
      </c>
      <c r="K8" s="237"/>
      <c r="L8" s="237"/>
      <c r="M8" s="116">
        <f>+K8+'22'!M8+L8</f>
        <v>253437</v>
      </c>
    </row>
    <row r="9" spans="1:19" ht="13.5" thickBot="1">
      <c r="A9" s="751"/>
      <c r="B9" s="214"/>
      <c r="C9" s="215"/>
      <c r="D9" s="216"/>
      <c r="E9" s="219"/>
      <c r="F9" s="226">
        <f>21-9</f>
        <v>12</v>
      </c>
      <c r="G9" s="230" t="s">
        <v>11</v>
      </c>
      <c r="H9" s="231" t="s">
        <v>388</v>
      </c>
      <c r="I9" s="754"/>
      <c r="J9" s="213" t="str">
        <f>+'22'!J9</f>
        <v>F 13,5 VP OW</v>
      </c>
      <c r="K9" s="237"/>
      <c r="L9" s="237"/>
      <c r="M9" s="116">
        <f>+K9+'22'!M9+L9</f>
        <v>216723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623</v>
      </c>
      <c r="I10" s="754"/>
      <c r="J10" s="213" t="str">
        <f>+'22'!J10</f>
        <v>F 12,5 VP OW</v>
      </c>
      <c r="K10" s="237"/>
      <c r="L10" s="237"/>
      <c r="M10" s="116">
        <f>+K10+'22'!M10+L10</f>
        <v>50678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 t="str">
        <f>+'22'!J11</f>
        <v>F 14 VP OW</v>
      </c>
      <c r="K11" s="237"/>
      <c r="L11" s="237"/>
      <c r="M11" s="116">
        <f>+K11+'22'!M11+L11</f>
        <v>20374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+'22'!J12</f>
        <v>F 13 VP OW</v>
      </c>
      <c r="K12" s="237"/>
      <c r="L12" s="237"/>
      <c r="M12" s="116">
        <f>+K12+'22'!M12+L12</f>
        <v>154935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+'22'!J13</f>
        <v>F 16 VP OW</v>
      </c>
      <c r="K13" s="237"/>
      <c r="L13" s="237"/>
      <c r="M13" s="116">
        <f>+K13+'22'!M13+L13</f>
        <v>40814</v>
      </c>
    </row>
    <row r="14" spans="1:19" ht="13.5" thickBot="1">
      <c r="A14" s="752"/>
      <c r="B14" s="164" t="s">
        <v>2</v>
      </c>
      <c r="C14" s="98">
        <f>SUM(C7:C13)</f>
        <v>13069</v>
      </c>
      <c r="D14" s="110">
        <f>SUM(D7:D13)</f>
        <v>0</v>
      </c>
      <c r="E14" s="111">
        <f>SUM(E5:E13)</f>
        <v>0</v>
      </c>
      <c r="F14" s="115">
        <f>SUM(F7:F13)</f>
        <v>21</v>
      </c>
      <c r="G14" s="158"/>
      <c r="H14" s="165"/>
      <c r="I14" s="166"/>
      <c r="J14" s="213" t="str">
        <f>+'22'!J14</f>
        <v>F 11 VP OW</v>
      </c>
      <c r="K14" s="237"/>
      <c r="L14" s="237"/>
      <c r="M14" s="116">
        <f>+K14+'22'!M14+L14</f>
        <v>10313</v>
      </c>
      <c r="Q14" s="175">
        <f>SUM(Q6:Q11)</f>
        <v>480</v>
      </c>
      <c r="R14" s="175">
        <f>SUM(R6:R11)</f>
        <v>590400</v>
      </c>
      <c r="S14" s="175">
        <f>SUM(S6:S11)</f>
        <v>448704</v>
      </c>
    </row>
    <row r="15" spans="1:19" ht="13.5" customHeight="1" thickBot="1">
      <c r="A15" s="750" t="s">
        <v>389</v>
      </c>
      <c r="B15" s="164"/>
      <c r="C15" s="112">
        <f>C14/($C$23+$D$23+$E$23)</f>
        <v>1.2087495375508694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629</v>
      </c>
      <c r="J15" s="213">
        <f>+'22'!J15</f>
        <v>0</v>
      </c>
      <c r="K15" s="237"/>
      <c r="L15" s="237"/>
      <c r="M15" s="116">
        <f>+K15+'22'!M15+L15</f>
        <v>0</v>
      </c>
      <c r="Q15" s="148">
        <f>480-Q14</f>
        <v>0</v>
      </c>
      <c r="R15" s="175">
        <f>+R14/Q14</f>
        <v>1230</v>
      </c>
      <c r="S15" s="175">
        <f>+S14/Q14</f>
        <v>934.8</v>
      </c>
    </row>
    <row r="16" spans="1:19" ht="13.5" thickBot="1">
      <c r="A16" s="756"/>
      <c r="B16" s="214" t="s">
        <v>415</v>
      </c>
      <c r="C16" s="220">
        <v>10527</v>
      </c>
      <c r="D16" s="221">
        <v>285</v>
      </c>
      <c r="E16" s="222"/>
      <c r="F16" s="229"/>
      <c r="G16" s="230" t="s">
        <v>11</v>
      </c>
      <c r="H16" s="228" t="s">
        <v>427</v>
      </c>
      <c r="I16" s="754"/>
      <c r="J16" s="213">
        <f>+'22'!J16</f>
        <v>0</v>
      </c>
      <c r="K16" s="237"/>
      <c r="L16" s="227"/>
      <c r="M16" s="116">
        <f>+K16+'22'!M16+L16</f>
        <v>0</v>
      </c>
      <c r="N16" s="148" t="s">
        <v>404</v>
      </c>
      <c r="O16" s="148">
        <v>1230</v>
      </c>
      <c r="P16" s="148">
        <f>+O16-(O16*0.24)</f>
        <v>934.8</v>
      </c>
      <c r="Q16" s="148">
        <f>60*2+20</f>
        <v>140</v>
      </c>
      <c r="R16" s="148">
        <f t="shared" ref="R16:R17" si="2">+O16*Q16</f>
        <v>172200</v>
      </c>
      <c r="S16" s="148">
        <f t="shared" ref="S16:S17" si="3">+P16*Q16</f>
        <v>130872</v>
      </c>
    </row>
    <row r="17" spans="1:19" ht="13.5" thickBot="1">
      <c r="A17" s="756"/>
      <c r="B17" s="214"/>
      <c r="C17" s="215"/>
      <c r="D17" s="216"/>
      <c r="E17" s="223"/>
      <c r="F17" s="226">
        <v>12</v>
      </c>
      <c r="G17" s="230" t="s">
        <v>11</v>
      </c>
      <c r="H17" s="231" t="s">
        <v>426</v>
      </c>
      <c r="I17" s="754"/>
      <c r="J17" s="213">
        <f>+'22'!J17</f>
        <v>0</v>
      </c>
      <c r="K17" s="237"/>
      <c r="L17" s="227"/>
      <c r="M17" s="116">
        <f>+K17+'22'!M17+L17</f>
        <v>0</v>
      </c>
      <c r="O17" s="148">
        <v>900</v>
      </c>
      <c r="P17" s="148">
        <f>+O17-(O17*0.24)</f>
        <v>684</v>
      </c>
      <c r="Q17" s="148">
        <f>480-Q16</f>
        <v>340</v>
      </c>
      <c r="R17" s="148">
        <f t="shared" si="2"/>
        <v>306000</v>
      </c>
      <c r="S17" s="148">
        <f t="shared" si="3"/>
        <v>232560</v>
      </c>
    </row>
    <row r="18" spans="1:19" ht="39" thickBot="1">
      <c r="A18" s="756"/>
      <c r="B18" s="214"/>
      <c r="C18" s="215"/>
      <c r="D18" s="216"/>
      <c r="E18" s="223"/>
      <c r="F18" s="226"/>
      <c r="G18" s="235" t="s">
        <v>12</v>
      </c>
      <c r="H18" s="231" t="s">
        <v>626</v>
      </c>
      <c r="I18" s="754"/>
      <c r="J18" s="213">
        <f>+'22'!J18</f>
        <v>0</v>
      </c>
      <c r="K18" s="237"/>
      <c r="L18" s="237"/>
      <c r="M18" s="116">
        <f>+K18+'22'!M18+L18</f>
        <v>0</v>
      </c>
    </row>
    <row r="19" spans="1:19" ht="39" thickBot="1">
      <c r="A19" s="756"/>
      <c r="B19" s="214"/>
      <c r="C19" s="215"/>
      <c r="D19" s="216"/>
      <c r="E19" s="223"/>
      <c r="F19" s="233">
        <v>91</v>
      </c>
      <c r="G19" s="230" t="s">
        <v>75</v>
      </c>
      <c r="H19" s="231" t="s">
        <v>627</v>
      </c>
      <c r="I19" s="754"/>
      <c r="J19" s="213">
        <f>+'22'!J19</f>
        <v>0</v>
      </c>
      <c r="K19" s="237"/>
      <c r="L19" s="237"/>
      <c r="M19" s="116">
        <f>+K19+'22'!M19+L19</f>
        <v>0</v>
      </c>
    </row>
    <row r="20" spans="1:19" ht="13.5" thickBot="1">
      <c r="A20" s="756"/>
      <c r="B20" s="214"/>
      <c r="C20" s="215"/>
      <c r="D20" s="216"/>
      <c r="E20" s="223"/>
      <c r="F20" s="226"/>
      <c r="G20" s="230"/>
      <c r="H20" s="231"/>
      <c r="I20" s="754"/>
      <c r="J20" s="213">
        <f>+'22'!J20</f>
        <v>0</v>
      </c>
      <c r="K20" s="238"/>
      <c r="L20" s="238"/>
      <c r="M20" s="116">
        <f>+K20+'22'!M20+L20</f>
        <v>0</v>
      </c>
    </row>
    <row r="21" spans="1:19" ht="13.5" thickBot="1">
      <c r="A21" s="756"/>
      <c r="B21" s="214"/>
      <c r="C21" s="215"/>
      <c r="D21" s="216"/>
      <c r="E21" s="223"/>
      <c r="F21" s="229"/>
      <c r="G21" s="230"/>
      <c r="H21" s="231"/>
      <c r="I21" s="754"/>
      <c r="J21" s="213">
        <f>+'22'!J21</f>
        <v>0</v>
      </c>
      <c r="K21" s="237"/>
      <c r="L21" s="237"/>
      <c r="M21" s="116">
        <f>+K21+'22'!M21+L21</f>
        <v>0</v>
      </c>
    </row>
    <row r="22" spans="1:19" ht="13.5" thickBot="1">
      <c r="A22" s="756"/>
      <c r="B22" s="214"/>
      <c r="C22" s="215"/>
      <c r="D22" s="216"/>
      <c r="E22" s="223"/>
      <c r="F22" s="234"/>
      <c r="G22" s="230"/>
      <c r="H22" s="231"/>
      <c r="I22" s="755"/>
      <c r="J22" s="213">
        <f>+'22'!J22</f>
        <v>0</v>
      </c>
      <c r="K22" s="237"/>
      <c r="L22" s="237"/>
      <c r="M22" s="116">
        <f>+K22+'22'!M22+L22</f>
        <v>0</v>
      </c>
    </row>
    <row r="23" spans="1:19" ht="13.5" thickBot="1">
      <c r="A23" s="757"/>
      <c r="B23" s="167" t="s">
        <v>2</v>
      </c>
      <c r="C23" s="99">
        <f>SUM(C16:C22)</f>
        <v>10527</v>
      </c>
      <c r="D23" s="110">
        <f>SUM(D16:D22)</f>
        <v>285</v>
      </c>
      <c r="E23" s="111">
        <f>SUM(E18:E22)</f>
        <v>0</v>
      </c>
      <c r="F23" s="115">
        <f>SUM(F15:F22)</f>
        <v>109</v>
      </c>
      <c r="G23" s="158"/>
      <c r="H23" s="165"/>
      <c r="I23" s="168"/>
      <c r="J23" s="213">
        <f>+'22'!J23</f>
        <v>0</v>
      </c>
      <c r="K23" s="237"/>
      <c r="L23" s="237"/>
      <c r="M23" s="116">
        <f>+K23+'22'!M23+L23</f>
        <v>0</v>
      </c>
    </row>
    <row r="24" spans="1:19" ht="13.5" customHeight="1" thickBot="1">
      <c r="A24" s="750" t="s">
        <v>414</v>
      </c>
      <c r="B24" s="169"/>
      <c r="C24" s="112">
        <f>C23/($C$23+$D$23+$E$23)</f>
        <v>0.97364039955604886</v>
      </c>
      <c r="D24" s="113">
        <f>D23/($C$23+$D$23+$E$23)</f>
        <v>2.6359600443951164E-2</v>
      </c>
      <c r="E24" s="114">
        <f>E23/($C$23+$D$23+$E$23)</f>
        <v>0</v>
      </c>
      <c r="F24" s="226">
        <v>9</v>
      </c>
      <c r="G24" s="227" t="s">
        <v>11</v>
      </c>
      <c r="H24" s="228" t="s">
        <v>428</v>
      </c>
      <c r="I24" s="753" t="s">
        <v>628</v>
      </c>
      <c r="J24" s="213">
        <f>+'22'!J24</f>
        <v>0</v>
      </c>
      <c r="K24" s="237"/>
      <c r="L24" s="237"/>
      <c r="M24" s="116">
        <f>+K24+'22'!M24+L24</f>
        <v>0</v>
      </c>
      <c r="Q24" s="175">
        <f>SUM(Q16:Q21)</f>
        <v>480</v>
      </c>
      <c r="R24" s="175">
        <f>SUM(R16:R21)</f>
        <v>478200</v>
      </c>
      <c r="S24" s="175">
        <f>SUM(S16:S21)</f>
        <v>363432</v>
      </c>
    </row>
    <row r="25" spans="1:19" ht="13.5" thickBot="1">
      <c r="A25" s="756"/>
      <c r="B25" s="214" t="s">
        <v>415</v>
      </c>
      <c r="C25" s="224">
        <v>12522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+'22'!J25</f>
        <v>0</v>
      </c>
      <c r="K25" s="237"/>
      <c r="L25" s="237"/>
      <c r="M25" s="116">
        <f>+K25+'22'!M25+L25</f>
        <v>0</v>
      </c>
      <c r="Q25" s="148">
        <f>480-Q24</f>
        <v>0</v>
      </c>
      <c r="R25" s="175">
        <f>+R24/Q24</f>
        <v>996.25</v>
      </c>
      <c r="S25" s="175">
        <f>+S24/Q24</f>
        <v>757.15</v>
      </c>
    </row>
    <row r="26" spans="1:19" ht="13.5" thickBot="1">
      <c r="A26" s="756"/>
      <c r="B26" s="214"/>
      <c r="C26" s="224"/>
      <c r="D26" s="216"/>
      <c r="E26" s="225"/>
      <c r="F26" s="226">
        <f>21-9</f>
        <v>12</v>
      </c>
      <c r="G26" s="230" t="s">
        <v>11</v>
      </c>
      <c r="H26" s="231" t="s">
        <v>426</v>
      </c>
      <c r="I26" s="754"/>
      <c r="J26" s="213">
        <f>+'22'!J26</f>
        <v>0</v>
      </c>
      <c r="K26" s="237"/>
      <c r="L26" s="237"/>
      <c r="M26" s="116">
        <f>+K26+'22'!M26+L26</f>
        <v>0</v>
      </c>
      <c r="N26" s="148" t="s">
        <v>404</v>
      </c>
      <c r="O26" s="148">
        <v>900</v>
      </c>
      <c r="P26" s="148">
        <f>+O26-(O26*0.24)</f>
        <v>684</v>
      </c>
      <c r="Q26" s="148">
        <v>480</v>
      </c>
      <c r="R26" s="148">
        <f t="shared" ref="R26" si="4">+O26*Q26</f>
        <v>432000</v>
      </c>
      <c r="S26" s="148">
        <f t="shared" ref="S26" si="5">+P26*Q26</f>
        <v>328320</v>
      </c>
    </row>
    <row r="27" spans="1:19" ht="39" thickBot="1">
      <c r="A27" s="756"/>
      <c r="B27" s="214"/>
      <c r="C27" s="215"/>
      <c r="D27" s="216"/>
      <c r="E27" s="223"/>
      <c r="F27" s="226"/>
      <c r="G27" s="235" t="s">
        <v>12</v>
      </c>
      <c r="H27" s="231" t="s">
        <v>624</v>
      </c>
      <c r="I27" s="754"/>
      <c r="J27" s="213">
        <f>+'22'!J27</f>
        <v>0</v>
      </c>
      <c r="K27" s="237"/>
      <c r="L27" s="237"/>
      <c r="M27" s="116">
        <f>+K27+'22'!M27+L27</f>
        <v>0</v>
      </c>
    </row>
    <row r="28" spans="1:19" ht="51.75" thickBot="1">
      <c r="A28" s="756"/>
      <c r="B28" s="214"/>
      <c r="C28" s="215"/>
      <c r="D28" s="216"/>
      <c r="E28" s="223"/>
      <c r="F28" s="229">
        <v>129</v>
      </c>
      <c r="G28" s="230" t="s">
        <v>75</v>
      </c>
      <c r="H28" s="231" t="s">
        <v>625</v>
      </c>
      <c r="I28" s="754"/>
      <c r="J28" s="213">
        <f>+'22'!J28</f>
        <v>0</v>
      </c>
      <c r="K28" s="237"/>
      <c r="L28" s="237"/>
      <c r="M28" s="116">
        <f>+K28+'22'!M28+L28</f>
        <v>0</v>
      </c>
    </row>
    <row r="29" spans="1:19" ht="13.5" thickBot="1">
      <c r="A29" s="756"/>
      <c r="B29" s="214"/>
      <c r="C29" s="215"/>
      <c r="D29" s="216"/>
      <c r="E29" s="223"/>
      <c r="F29" s="234"/>
      <c r="G29" s="230"/>
      <c r="H29" s="231"/>
      <c r="I29" s="754"/>
      <c r="J29" s="213">
        <f>+'22'!J29</f>
        <v>0</v>
      </c>
      <c r="K29" s="237"/>
      <c r="L29" s="237"/>
      <c r="M29" s="116">
        <f>+K29+'22'!M29+L29</f>
        <v>0</v>
      </c>
    </row>
    <row r="30" spans="1:19" ht="13.5" thickBot="1">
      <c r="A30" s="756"/>
      <c r="B30" s="214"/>
      <c r="C30" s="224"/>
      <c r="D30" s="216"/>
      <c r="E30" s="223"/>
      <c r="F30" s="234"/>
      <c r="G30" s="230"/>
      <c r="H30" s="231"/>
      <c r="I30" s="754"/>
      <c r="J30" s="213">
        <f>+'22'!J30</f>
        <v>0</v>
      </c>
      <c r="K30" s="237"/>
      <c r="L30" s="237"/>
      <c r="M30" s="116">
        <f>+K30+'22'!M30+L30</f>
        <v>0</v>
      </c>
    </row>
    <row r="31" spans="1:19" ht="13.5" thickBot="1">
      <c r="A31" s="756"/>
      <c r="B31" s="214"/>
      <c r="C31" s="224"/>
      <c r="D31" s="216"/>
      <c r="E31" s="223"/>
      <c r="F31" s="234"/>
      <c r="G31" s="235"/>
      <c r="H31" s="442"/>
      <c r="I31" s="755"/>
      <c r="J31" s="213">
        <f>+'22'!J31</f>
        <v>0</v>
      </c>
      <c r="K31" s="237"/>
      <c r="L31" s="237"/>
      <c r="M31" s="116">
        <f>+K31+'22'!M31+L31</f>
        <v>0</v>
      </c>
    </row>
    <row r="32" spans="1:19" ht="13.5" thickBot="1">
      <c r="A32" s="757"/>
      <c r="B32" s="164" t="s">
        <v>2</v>
      </c>
      <c r="C32" s="98">
        <f>SUM(C25:C31)</f>
        <v>12522</v>
      </c>
      <c r="D32" s="99">
        <f>SUM(D25:D31)</f>
        <v>0</v>
      </c>
      <c r="E32" s="100">
        <f>SUM(E25:E31)</f>
        <v>0</v>
      </c>
      <c r="F32" s="101">
        <f>SUM(F24:F31)</f>
        <v>150</v>
      </c>
      <c r="G32" s="170"/>
      <c r="H32" s="171"/>
      <c r="I32" s="168"/>
      <c r="J32" s="213">
        <f>+'22'!J32</f>
        <v>0</v>
      </c>
      <c r="K32" s="239"/>
      <c r="L32" s="241"/>
      <c r="M32" s="116">
        <f>+K32+'22'!M32+L32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36118</v>
      </c>
      <c r="D34" s="106">
        <f>D14+D23+D32</f>
        <v>285</v>
      </c>
      <c r="E34" s="106">
        <f>E14+E23+E32</f>
        <v>0</v>
      </c>
      <c r="F34" s="107">
        <f>F14+F23+F32</f>
        <v>280</v>
      </c>
      <c r="H34" s="177"/>
      <c r="I34" s="177"/>
      <c r="J34" s="122" t="s">
        <v>27</v>
      </c>
      <c r="K34" s="123">
        <f>SUM(K7:K32)</f>
        <v>36118</v>
      </c>
      <c r="L34" s="211">
        <f>SUM(L7:L32)</f>
        <v>0</v>
      </c>
      <c r="M34" s="119">
        <f>SUM(M7:M32)</f>
        <v>897389</v>
      </c>
      <c r="Q34" s="175">
        <f>SUM(Q26:Q31)</f>
        <v>480</v>
      </c>
      <c r="R34" s="175">
        <f>SUM(R26:R31)</f>
        <v>432000</v>
      </c>
      <c r="S34" s="175">
        <f>SUM(S26:S31)</f>
        <v>328320</v>
      </c>
    </row>
    <row r="35" spans="1:19" ht="13.5" thickBot="1">
      <c r="A35" s="178"/>
      <c r="B35" s="179"/>
      <c r="C35" s="103">
        <f>C34/($C$34+$D$34+$E$34)</f>
        <v>0.99217097491964945</v>
      </c>
      <c r="D35" s="103">
        <f>D34/($C$34+$D$34+$E$34)</f>
        <v>7.8290250803505212E-3</v>
      </c>
      <c r="E35" s="108">
        <f>E34/($C$34+$D$34+$E$34)</f>
        <v>0</v>
      </c>
      <c r="K35" s="154"/>
      <c r="Q35" s="148">
        <f>480-Q34</f>
        <v>0</v>
      </c>
      <c r="R35" s="175">
        <f>+R34/Q34</f>
        <v>900</v>
      </c>
      <c r="S35" s="175">
        <f>+S34/Q34</f>
        <v>684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(13*1440)/1440*G42*2.74*1440/1000000</f>
        <v>40.623042720000001</v>
      </c>
      <c r="J37" s="124">
        <f>+I37+'22'!J37</f>
        <v>1036.652777317337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60</v>
      </c>
      <c r="D38" s="117">
        <f>+C38+'22'!D38</f>
        <v>1510</v>
      </c>
      <c r="E38" s="142">
        <f t="shared" ref="E38:E51" si="6">D38/60</f>
        <v>25.166666666666668</v>
      </c>
      <c r="F38" s="320">
        <v>1230</v>
      </c>
      <c r="G38" s="320">
        <v>934.8</v>
      </c>
      <c r="H38" s="186" t="s">
        <v>63</v>
      </c>
      <c r="I38" s="243">
        <f>14.256+11.27+10.364</f>
        <v>35.89</v>
      </c>
      <c r="J38" s="126">
        <f>+I38+'22'!J38</f>
        <v>934.37699999999973</v>
      </c>
      <c r="K38" s="127" t="s">
        <v>62</v>
      </c>
      <c r="N38" s="148">
        <f>+(1230-O38)/1230</f>
        <v>0.26829268292682928</v>
      </c>
      <c r="O38" s="148">
        <v>900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+C39+'22'!D39</f>
        <v>8</v>
      </c>
      <c r="E39" s="142">
        <f t="shared" si="6"/>
        <v>0.13333333333333333</v>
      </c>
      <c r="F39" s="320">
        <v>996.25</v>
      </c>
      <c r="G39" s="320">
        <v>757.15</v>
      </c>
      <c r="H39" s="186" t="s">
        <v>64</v>
      </c>
      <c r="I39" s="141"/>
      <c r="J39" s="128">
        <f>J37/G4</f>
        <v>45.071859883362478</v>
      </c>
      <c r="K39" s="129" t="s">
        <v>62</v>
      </c>
      <c r="N39" s="148">
        <f>+N38*(340)</f>
        <v>91.219512195121951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+C40+'22'!D40</f>
        <v>0</v>
      </c>
      <c r="E40" s="142">
        <f t="shared" si="6"/>
        <v>0</v>
      </c>
      <c r="F40" s="320">
        <v>900</v>
      </c>
      <c r="G40" s="320">
        <v>684</v>
      </c>
      <c r="H40" s="186" t="s">
        <v>66</v>
      </c>
      <c r="I40" s="117">
        <f>(K34+L34)/1000</f>
        <v>36.118000000000002</v>
      </c>
      <c r="J40" s="130">
        <f>+I40+'22'!J40</f>
        <v>897.3889999999999</v>
      </c>
      <c r="K40" s="129" t="s">
        <v>62</v>
      </c>
      <c r="N40" s="148">
        <f>+N39</f>
        <v>91.219512195121951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+C41+'22'!D41</f>
        <v>87</v>
      </c>
      <c r="E41" s="142">
        <f t="shared" si="6"/>
        <v>1.45</v>
      </c>
      <c r="F41" s="320"/>
      <c r="G41" s="320"/>
      <c r="H41" s="186" t="s">
        <v>68</v>
      </c>
      <c r="I41" s="141"/>
      <c r="J41" s="128">
        <f>J40/G4</f>
        <v>39.016913043478255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+C42+'22'!D42</f>
        <v>0</v>
      </c>
      <c r="E42" s="142">
        <f t="shared" si="6"/>
        <v>0</v>
      </c>
      <c r="F42" s="320">
        <f>+(480*F38+480*F39+480*F40)/1440</f>
        <v>1042.0833333333333</v>
      </c>
      <c r="G42" s="320">
        <f>+(480*G38+480*G39+480*G40)/1440</f>
        <v>791.98333333333335</v>
      </c>
      <c r="H42" s="186" t="s">
        <v>69</v>
      </c>
      <c r="I42" s="244" t="s">
        <v>630</v>
      </c>
      <c r="J42" s="131"/>
      <c r="K42" s="129" t="s">
        <v>70</v>
      </c>
      <c r="N42" s="148">
        <f>+(1230-O42)/1230</f>
        <v>0.26829268292682928</v>
      </c>
      <c r="O42" s="148">
        <v>900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+C43+'22'!D43</f>
        <v>0</v>
      </c>
      <c r="E43" s="142">
        <f t="shared" si="6"/>
        <v>0</v>
      </c>
      <c r="F43" s="320"/>
      <c r="G43" s="321"/>
      <c r="H43" s="187" t="s">
        <v>72</v>
      </c>
      <c r="I43" s="117">
        <f>+Report1!Z31</f>
        <v>57.9</v>
      </c>
      <c r="J43" s="132">
        <f>+I43+'22'!J43</f>
        <v>1193</v>
      </c>
      <c r="K43" s="129" t="s">
        <v>62</v>
      </c>
      <c r="L43" s="188"/>
      <c r="N43" s="148">
        <f>+N42*(480)</f>
        <v>128.78048780487805</v>
      </c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+C44+'22'!D44</f>
        <v>0</v>
      </c>
      <c r="E44" s="142">
        <f t="shared" si="6"/>
        <v>0</v>
      </c>
      <c r="F44" s="320"/>
      <c r="G44" s="321"/>
      <c r="H44" s="187" t="s">
        <v>73</v>
      </c>
      <c r="I44" s="117">
        <f>I43/I38</f>
        <v>1.6132627472833658</v>
      </c>
      <c r="J44" s="133">
        <f>J43/J38</f>
        <v>1.2767865647377883</v>
      </c>
      <c r="K44" s="129" t="s">
        <v>62</v>
      </c>
      <c r="N44" s="148">
        <f>+N43</f>
        <v>128.78048780487805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+C45+'22'!D45</f>
        <v>0</v>
      </c>
      <c r="E45" s="142">
        <f t="shared" si="6"/>
        <v>0</v>
      </c>
      <c r="F45" s="320"/>
      <c r="G45" s="323"/>
      <c r="H45" s="187" t="s">
        <v>74</v>
      </c>
      <c r="I45" s="117">
        <f>I43/I40</f>
        <v>1.6030787972755964</v>
      </c>
      <c r="J45" s="133">
        <f>J43/J40</f>
        <v>1.3294123284328203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220</v>
      </c>
      <c r="D46" s="117">
        <f>+C46+'22'!D46</f>
        <v>1155</v>
      </c>
      <c r="E46" s="142">
        <f t="shared" si="6"/>
        <v>19.25</v>
      </c>
      <c r="F46" s="320"/>
      <c r="G46" s="321"/>
      <c r="H46" s="187" t="s">
        <v>76</v>
      </c>
      <c r="I46" s="139">
        <f>+SUMIF(Listrik!P30,"&gt;0")</f>
        <v>37009.679999998545</v>
      </c>
      <c r="J46" s="134">
        <f>+I46+'22'!J46</f>
        <v>869078.91999999864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220</v>
      </c>
      <c r="D47" s="117">
        <f>+C47+'22'!D47</f>
        <v>1155</v>
      </c>
      <c r="E47" s="142">
        <f t="shared" si="6"/>
        <v>19.25</v>
      </c>
      <c r="F47" s="320"/>
      <c r="G47" s="321"/>
      <c r="H47" s="187" t="s">
        <v>79</v>
      </c>
      <c r="I47" s="117">
        <f>I46/I38</f>
        <v>1031.1975480634869</v>
      </c>
      <c r="J47" s="134">
        <f>J46/J38</f>
        <v>930.1159168087388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+C48+'22'!D48</f>
        <v>0</v>
      </c>
      <c r="E48" s="142">
        <f t="shared" si="6"/>
        <v>0</v>
      </c>
      <c r="F48" s="320"/>
      <c r="G48" s="321"/>
      <c r="H48" s="187" t="s">
        <v>80</v>
      </c>
      <c r="I48" s="117">
        <f>I46/I40</f>
        <v>1024.687967218521</v>
      </c>
      <c r="J48" s="134">
        <f>J46/J40</f>
        <v>968.45283372093786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+C49+'22'!D49</f>
        <v>0</v>
      </c>
      <c r="E49" s="142">
        <f t="shared" si="6"/>
        <v>0</v>
      </c>
      <c r="F49" s="184"/>
      <c r="H49" s="187" t="s">
        <v>270</v>
      </c>
      <c r="I49" s="117">
        <f>+Report1!T31</f>
        <v>3241.8264464925755</v>
      </c>
      <c r="J49" s="134">
        <f>+I49+'22'!J49</f>
        <v>118822.51732212289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+C50+'22'!D50</f>
        <v>0</v>
      </c>
      <c r="E50" s="142">
        <f t="shared" si="6"/>
        <v>0</v>
      </c>
      <c r="F50" s="184"/>
      <c r="H50" s="187" t="s">
        <v>82</v>
      </c>
      <c r="I50" s="139">
        <f>I49/I38</f>
        <v>90.326732975552389</v>
      </c>
      <c r="J50" s="132">
        <f>J49/J38</f>
        <v>127.167639317024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+C51+'22'!D51</f>
        <v>0</v>
      </c>
      <c r="E51" s="142">
        <f t="shared" si="6"/>
        <v>0</v>
      </c>
      <c r="F51" s="184"/>
      <c r="H51" s="189" t="s">
        <v>84</v>
      </c>
      <c r="I51" s="140">
        <f>I49/I40</f>
        <v>89.75653265664144</v>
      </c>
      <c r="J51" s="135">
        <f>J49/J40</f>
        <v>132.40915291152768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500</v>
      </c>
      <c r="D52" s="143">
        <f>SUM(D38:D51)</f>
        <v>3915</v>
      </c>
      <c r="E52" s="144">
        <f>SUM(E38:E51)</f>
        <v>65.25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0.34722222222222221</v>
      </c>
      <c r="D53" s="145">
        <f>D52/(24*60*G4)</f>
        <v>0.11820652173913043</v>
      </c>
      <c r="E53" s="146">
        <f>E52/(G4*24)</f>
        <v>0.11820652173913043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+D34+'22'!J56</f>
        <v>6150</v>
      </c>
      <c r="K56" s="200">
        <f>J56/(J40+J56/1000)/1000</f>
        <v>6.8065683938380089E-3</v>
      </c>
    </row>
    <row r="57" spans="1:11">
      <c r="A57" s="175"/>
      <c r="I57" s="198" t="s">
        <v>87</v>
      </c>
      <c r="J57" s="199">
        <f>+E34+'22'!J57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G15" sqref="G1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7109375" style="148" bestFit="1" customWidth="1"/>
    <col min="12" max="12" width="8.28515625" style="148" customWidth="1"/>
    <col min="13" max="13" width="15.28515625" style="148" customWidth="1"/>
    <col min="14" max="16384" width="9.140625" style="148"/>
  </cols>
  <sheetData>
    <row r="1" spans="1:18" ht="15.75">
      <c r="A1" s="147"/>
    </row>
    <row r="2" spans="1:18" ht="15.75">
      <c r="A2" s="147" t="s">
        <v>183</v>
      </c>
    </row>
    <row r="3" spans="1:18" ht="15">
      <c r="A3" s="149"/>
    </row>
    <row r="4" spans="1:18" ht="20.25">
      <c r="A4" s="150" t="s">
        <v>3</v>
      </c>
      <c r="B4" s="151"/>
      <c r="F4" s="152" t="s">
        <v>28</v>
      </c>
      <c r="G4" s="153">
        <v>22</v>
      </c>
      <c r="H4" s="153" t="str">
        <f>+'1'!H4</f>
        <v>.01.26</v>
      </c>
    </row>
    <row r="5" spans="1:18" ht="13.5" thickBot="1">
      <c r="C5" s="154"/>
      <c r="D5" s="154"/>
    </row>
    <row r="6" spans="1:18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</row>
    <row r="7" spans="1:18" ht="13.5" customHeight="1" thickBot="1">
      <c r="A7" s="750" t="s">
        <v>431</v>
      </c>
      <c r="B7" s="214" t="s">
        <v>540</v>
      </c>
      <c r="C7" s="215">
        <v>5092</v>
      </c>
      <c r="D7" s="216"/>
      <c r="E7" s="217"/>
      <c r="F7" s="226">
        <v>10</v>
      </c>
      <c r="G7" s="227" t="s">
        <v>11</v>
      </c>
      <c r="H7" s="228" t="s">
        <v>445</v>
      </c>
      <c r="I7" s="753" t="s">
        <v>618</v>
      </c>
      <c r="J7" s="213" t="str">
        <f>+'21'!J7</f>
        <v>T 13 VP OW</v>
      </c>
      <c r="K7" s="236">
        <f>+C8+C16+C25</f>
        <v>34830</v>
      </c>
      <c r="L7" s="240"/>
      <c r="M7" s="116">
        <f>+K7+'21'!M7+L7</f>
        <v>113997</v>
      </c>
    </row>
    <row r="8" spans="1:18" ht="13.5" thickBot="1">
      <c r="A8" s="751"/>
      <c r="B8" s="214" t="s">
        <v>415</v>
      </c>
      <c r="C8" s="215">
        <v>5987</v>
      </c>
      <c r="D8" s="216"/>
      <c r="E8" s="218"/>
      <c r="F8" s="229"/>
      <c r="G8" s="230" t="s">
        <v>11</v>
      </c>
      <c r="H8" s="228" t="s">
        <v>427</v>
      </c>
      <c r="I8" s="754"/>
      <c r="J8" s="213" t="str">
        <f>+'21'!J8</f>
        <v>F 12 VP OW</v>
      </c>
      <c r="K8" s="237"/>
      <c r="L8" s="237"/>
      <c r="M8" s="116">
        <f>+K8+'21'!M8+L8</f>
        <v>253437</v>
      </c>
      <c r="N8" s="148">
        <v>1150</v>
      </c>
      <c r="O8" s="148">
        <f>+N8-N8*0.24</f>
        <v>874</v>
      </c>
      <c r="P8" s="148">
        <f>120+40</f>
        <v>160</v>
      </c>
      <c r="Q8" s="148">
        <f>+N8*P8</f>
        <v>184000</v>
      </c>
      <c r="R8" s="148">
        <f>+O8*P8</f>
        <v>139840</v>
      </c>
    </row>
    <row r="9" spans="1:18" ht="13.5" thickBot="1">
      <c r="A9" s="751"/>
      <c r="B9" s="214" t="s">
        <v>613</v>
      </c>
      <c r="C9" s="215">
        <v>2645</v>
      </c>
      <c r="D9" s="216"/>
      <c r="E9" s="219"/>
      <c r="F9" s="226">
        <v>12</v>
      </c>
      <c r="G9" s="230" t="s">
        <v>11</v>
      </c>
      <c r="H9" s="231" t="s">
        <v>388</v>
      </c>
      <c r="I9" s="754"/>
      <c r="J9" s="213" t="str">
        <f>+'21'!J9</f>
        <v>F 13,5 VP OW</v>
      </c>
      <c r="K9" s="237"/>
      <c r="L9" s="237"/>
      <c r="M9" s="116">
        <f>+K9+'21'!M9+L9</f>
        <v>216723</v>
      </c>
      <c r="N9" s="148">
        <v>1230</v>
      </c>
      <c r="O9" s="148">
        <f>+N9-N9*0.24</f>
        <v>934.8</v>
      </c>
      <c r="P9" s="148">
        <f>20+300</f>
        <v>320</v>
      </c>
      <c r="Q9" s="148">
        <f>+N9*P9</f>
        <v>393600</v>
      </c>
      <c r="R9" s="148">
        <f>+O9*P9</f>
        <v>299136</v>
      </c>
    </row>
    <row r="10" spans="1:18" ht="13.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615</v>
      </c>
      <c r="I10" s="754"/>
      <c r="J10" s="213" t="str">
        <f>+'21'!J10</f>
        <v>F 12,5 VP OW</v>
      </c>
      <c r="K10" s="237"/>
      <c r="L10" s="237"/>
      <c r="M10" s="116">
        <f>+K10+'21'!M10+L10</f>
        <v>50678</v>
      </c>
      <c r="P10" s="148">
        <f>SUM(P8:P9)</f>
        <v>480</v>
      </c>
      <c r="Q10" s="148">
        <f t="shared" ref="Q10:R10" si="0">SUM(Q8:Q9)</f>
        <v>577600</v>
      </c>
      <c r="R10" s="148">
        <f t="shared" si="0"/>
        <v>438976</v>
      </c>
    </row>
    <row r="11" spans="1:18" ht="13.5" thickBot="1">
      <c r="A11" s="751"/>
      <c r="B11" s="214"/>
      <c r="C11" s="215"/>
      <c r="D11" s="216"/>
      <c r="E11" s="218"/>
      <c r="F11" s="226"/>
      <c r="G11" s="230"/>
      <c r="H11" s="231" t="s">
        <v>614</v>
      </c>
      <c r="I11" s="754"/>
      <c r="J11" s="213" t="str">
        <f>+'21'!J11</f>
        <v>F 14 VP OW</v>
      </c>
      <c r="K11" s="237">
        <f>+C7</f>
        <v>5092</v>
      </c>
      <c r="L11" s="237"/>
      <c r="M11" s="116">
        <f>+K11+'21'!M11+L11</f>
        <v>20374</v>
      </c>
      <c r="Q11" s="148">
        <f>+Q10/P10</f>
        <v>1203.3333333333333</v>
      </c>
      <c r="R11" s="148">
        <f>+R10/P10</f>
        <v>914.5333333333333</v>
      </c>
    </row>
    <row r="12" spans="1:18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+'21'!J12</f>
        <v>F 13 VP OW</v>
      </c>
      <c r="K12" s="237"/>
      <c r="L12" s="237"/>
      <c r="M12" s="116">
        <f>+K12+'21'!M12+L12</f>
        <v>154935</v>
      </c>
    </row>
    <row r="13" spans="1:18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+'21'!J13</f>
        <v>F 16 VP OW</v>
      </c>
      <c r="K13" s="237"/>
      <c r="L13" s="237"/>
      <c r="M13" s="116">
        <f>+K13+'21'!M13+L13</f>
        <v>40814</v>
      </c>
    </row>
    <row r="14" spans="1:18" ht="13.5" thickBot="1">
      <c r="A14" s="752"/>
      <c r="B14" s="164" t="s">
        <v>2</v>
      </c>
      <c r="C14" s="98">
        <f>SUM(C7:C13)</f>
        <v>13724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 t="str">
        <f>+'21'!J14</f>
        <v>F 11 VP OW</v>
      </c>
      <c r="K14" s="237">
        <f>+C9</f>
        <v>2645</v>
      </c>
      <c r="L14" s="237"/>
      <c r="M14" s="116">
        <f>+K14+'21'!M14+L14</f>
        <v>10313</v>
      </c>
    </row>
    <row r="15" spans="1:18" ht="13.5" customHeight="1" thickBot="1">
      <c r="A15" s="750" t="s">
        <v>391</v>
      </c>
      <c r="B15" s="164"/>
      <c r="C15" s="112">
        <f>C14/($C$23+$D$23+$E$23)</f>
        <v>1.0075618530210704</v>
      </c>
      <c r="D15" s="113">
        <f>D14/($C$23+$D$23+$E$23)</f>
        <v>0</v>
      </c>
      <c r="E15" s="114">
        <f>E14/($C$23+$D$23+$E$23)</f>
        <v>0</v>
      </c>
      <c r="F15" s="226">
        <v>13</v>
      </c>
      <c r="G15" s="227" t="s">
        <v>11</v>
      </c>
      <c r="H15" s="228" t="s">
        <v>428</v>
      </c>
      <c r="I15" s="753" t="s">
        <v>476</v>
      </c>
      <c r="J15" s="213">
        <f>+'21'!J15</f>
        <v>0</v>
      </c>
      <c r="K15" s="237"/>
      <c r="L15" s="237"/>
      <c r="M15" s="116">
        <f>+K15+'21'!M15+L15</f>
        <v>0</v>
      </c>
    </row>
    <row r="16" spans="1:18" ht="13.5" thickBot="1">
      <c r="A16" s="771"/>
      <c r="B16" s="214" t="s">
        <v>415</v>
      </c>
      <c r="C16" s="220">
        <v>13621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+'21'!J16</f>
        <v>0</v>
      </c>
      <c r="K16" s="227"/>
      <c r="L16" s="227"/>
      <c r="M16" s="116">
        <f>+K16+'21'!M16+L16</f>
        <v>0</v>
      </c>
    </row>
    <row r="17" spans="1:13" ht="13.5" thickBot="1">
      <c r="A17" s="771"/>
      <c r="B17" s="214"/>
      <c r="C17" s="215"/>
      <c r="D17" s="216"/>
      <c r="E17" s="223"/>
      <c r="F17" s="226">
        <v>10</v>
      </c>
      <c r="G17" s="230" t="s">
        <v>11</v>
      </c>
      <c r="H17" s="231" t="s">
        <v>386</v>
      </c>
      <c r="I17" s="754"/>
      <c r="J17" s="213">
        <f>+'21'!J17</f>
        <v>0</v>
      </c>
      <c r="K17" s="227"/>
      <c r="L17" s="227"/>
      <c r="M17" s="116">
        <f>+K17+'21'!M17+L17</f>
        <v>0</v>
      </c>
    </row>
    <row r="18" spans="1:13" ht="13.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616</v>
      </c>
      <c r="I18" s="754"/>
      <c r="J18" s="213">
        <f>+'21'!J18</f>
        <v>0</v>
      </c>
      <c r="K18" s="237"/>
      <c r="L18" s="237"/>
      <c r="M18" s="116">
        <f>+K18+'21'!M18+L18</f>
        <v>0</v>
      </c>
    </row>
    <row r="19" spans="1:13" ht="13.5" thickBot="1">
      <c r="A19" s="771"/>
      <c r="B19" s="214"/>
      <c r="C19" s="215"/>
      <c r="D19" s="216"/>
      <c r="E19" s="223"/>
      <c r="F19" s="233"/>
      <c r="G19" s="230"/>
      <c r="H19" s="231" t="s">
        <v>617</v>
      </c>
      <c r="I19" s="754"/>
      <c r="J19" s="213">
        <f>+'21'!J19</f>
        <v>0</v>
      </c>
      <c r="K19" s="237"/>
      <c r="L19" s="237"/>
      <c r="M19" s="116">
        <f>+K19+'21'!M19+L19</f>
        <v>0</v>
      </c>
    </row>
    <row r="20" spans="1:1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+'21'!J20</f>
        <v>0</v>
      </c>
      <c r="K20" s="238"/>
      <c r="L20" s="238"/>
      <c r="M20" s="116">
        <f>+K20+'21'!M20+L20</f>
        <v>0</v>
      </c>
    </row>
    <row r="21" spans="1:1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+'21'!J21</f>
        <v>0</v>
      </c>
      <c r="K21" s="237"/>
      <c r="L21" s="237"/>
      <c r="M21" s="116">
        <f>+K21+'21'!M21+L21</f>
        <v>0</v>
      </c>
    </row>
    <row r="22" spans="1:1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+'21'!J22</f>
        <v>0</v>
      </c>
      <c r="K22" s="237"/>
      <c r="L22" s="237"/>
      <c r="M22" s="116">
        <f>+K22+'21'!M22+L22</f>
        <v>0</v>
      </c>
    </row>
    <row r="23" spans="1:13" ht="13.5" thickBot="1">
      <c r="A23" s="772"/>
      <c r="B23" s="167" t="s">
        <v>2</v>
      </c>
      <c r="C23" s="99">
        <f>SUM(C16:C22)</f>
        <v>13621</v>
      </c>
      <c r="D23" s="110">
        <f>SUM(D16:D22)</f>
        <v>0</v>
      </c>
      <c r="E23" s="111">
        <f>SUM(E18:E22)</f>
        <v>0</v>
      </c>
      <c r="F23" s="115">
        <f>SUM(F15:F22)</f>
        <v>23</v>
      </c>
      <c r="G23" s="158"/>
      <c r="H23" s="165"/>
      <c r="I23" s="168"/>
      <c r="J23" s="213">
        <f>+'21'!J23</f>
        <v>0</v>
      </c>
      <c r="K23" s="237"/>
      <c r="L23" s="237"/>
      <c r="M23" s="116">
        <f>+K23+'21'!M23+L23</f>
        <v>0</v>
      </c>
    </row>
    <row r="24" spans="1:13" ht="13.5" customHeight="1" thickBot="1">
      <c r="A24" s="750" t="s">
        <v>414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15</v>
      </c>
      <c r="G24" s="227" t="s">
        <v>11</v>
      </c>
      <c r="H24" s="228" t="s">
        <v>428</v>
      </c>
      <c r="I24" s="753" t="s">
        <v>476</v>
      </c>
      <c r="J24" s="213">
        <f>+'21'!J24</f>
        <v>0</v>
      </c>
      <c r="K24" s="237"/>
      <c r="L24" s="237"/>
      <c r="M24" s="116">
        <f>+K24+'21'!M24+L24</f>
        <v>0</v>
      </c>
    </row>
    <row r="25" spans="1:13" ht="13.5" thickBot="1">
      <c r="A25" s="771"/>
      <c r="B25" s="214" t="s">
        <v>415</v>
      </c>
      <c r="C25" s="224">
        <v>15222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+'21'!J25</f>
        <v>0</v>
      </c>
      <c r="K25" s="237"/>
      <c r="L25" s="237"/>
      <c r="M25" s="116">
        <f>+K25+'21'!M25+L25</f>
        <v>0</v>
      </c>
    </row>
    <row r="26" spans="1:13" ht="13.5" thickBot="1">
      <c r="A26" s="771"/>
      <c r="B26" s="214"/>
      <c r="C26" s="224"/>
      <c r="D26" s="216"/>
      <c r="E26" s="225"/>
      <c r="F26" s="226">
        <v>9</v>
      </c>
      <c r="G26" s="230" t="s">
        <v>11</v>
      </c>
      <c r="H26" s="231" t="s">
        <v>388</v>
      </c>
      <c r="I26" s="754"/>
      <c r="J26" s="213">
        <f>+'21'!J26</f>
        <v>0</v>
      </c>
      <c r="K26" s="237"/>
      <c r="L26" s="237"/>
      <c r="M26" s="116">
        <f>+K26+'21'!M26+L26</f>
        <v>0</v>
      </c>
    </row>
    <row r="27" spans="1:13" ht="13.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616</v>
      </c>
      <c r="I27" s="754"/>
      <c r="J27" s="213">
        <f>+'21'!J27</f>
        <v>0</v>
      </c>
      <c r="K27" s="237"/>
      <c r="L27" s="237"/>
      <c r="M27" s="116">
        <f>+K27+'21'!M27+L27</f>
        <v>0</v>
      </c>
    </row>
    <row r="28" spans="1:13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+'21'!J28</f>
        <v>0</v>
      </c>
      <c r="K28" s="237"/>
      <c r="L28" s="237"/>
      <c r="M28" s="116">
        <f>+K28+'21'!M28+L28</f>
        <v>0</v>
      </c>
    </row>
    <row r="29" spans="1:13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+'21'!J29</f>
        <v>0</v>
      </c>
      <c r="K29" s="237"/>
      <c r="L29" s="237"/>
      <c r="M29" s="116">
        <f>+K29+'21'!M29+L29</f>
        <v>0</v>
      </c>
    </row>
    <row r="30" spans="1:13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+'21'!J30</f>
        <v>0</v>
      </c>
      <c r="K30" s="237"/>
      <c r="L30" s="237"/>
      <c r="M30" s="116">
        <f>+K30+'21'!M30+L30</f>
        <v>0</v>
      </c>
    </row>
    <row r="31" spans="1:13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+'21'!J31</f>
        <v>0</v>
      </c>
      <c r="K31" s="237"/>
      <c r="L31" s="237"/>
      <c r="M31" s="116">
        <f>+K31+'21'!M31+L31</f>
        <v>0</v>
      </c>
    </row>
    <row r="32" spans="1:13" ht="13.5" thickBot="1">
      <c r="A32" s="772"/>
      <c r="B32" s="164" t="s">
        <v>2</v>
      </c>
      <c r="C32" s="98">
        <f>SUM(C25:C31)</f>
        <v>15222</v>
      </c>
      <c r="D32" s="99">
        <f>SUM(D25:D31)</f>
        <v>0</v>
      </c>
      <c r="E32" s="100">
        <f>SUM(E25:E31)</f>
        <v>0</v>
      </c>
      <c r="F32" s="101">
        <f>SUM(F24:F31)</f>
        <v>24</v>
      </c>
      <c r="G32" s="170"/>
      <c r="H32" s="171"/>
      <c r="I32" s="168"/>
      <c r="J32" s="213">
        <f>+'21'!J32</f>
        <v>0</v>
      </c>
      <c r="K32" s="239"/>
      <c r="L32" s="241"/>
      <c r="M32" s="116">
        <f>+K32+'21'!M32+L32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42567</v>
      </c>
      <c r="D34" s="106">
        <f>D14+D23+D32</f>
        <v>0</v>
      </c>
      <c r="E34" s="106">
        <f>E14+E23+E32</f>
        <v>0</v>
      </c>
      <c r="F34" s="107">
        <f>F14+F23+F32</f>
        <v>69</v>
      </c>
      <c r="H34" s="177"/>
      <c r="I34" s="177"/>
      <c r="J34" s="122" t="s">
        <v>27</v>
      </c>
      <c r="K34" s="123">
        <f>SUM(K7:K32)</f>
        <v>42567</v>
      </c>
      <c r="L34" s="211">
        <f>SUM(L7:L32)</f>
        <v>0</v>
      </c>
      <c r="M34" s="119">
        <f>SUM(M7:M32)</f>
        <v>861271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(14*160+13*1280)/1440*G42*2.74*1440/1000000</f>
        <v>48.008852764444448</v>
      </c>
      <c r="J37" s="124">
        <f>+I37+'21'!J37</f>
        <v>996.02973459733698</v>
      </c>
      <c r="K37" s="125" t="s">
        <v>62</v>
      </c>
      <c r="L37" s="148">
        <v>5.181</v>
      </c>
    </row>
    <row r="38" spans="1:13" ht="17.45" customHeight="1">
      <c r="A38" s="762" t="s">
        <v>11</v>
      </c>
      <c r="B38" s="763"/>
      <c r="C38" s="163">
        <f>SUMIF($G$7:$G$31,"Process",$F$7:$F$31)</f>
        <v>69</v>
      </c>
      <c r="D38" s="117">
        <f>+C38+'21'!D38</f>
        <v>1450</v>
      </c>
      <c r="E38" s="142">
        <f t="shared" ref="E38:E51" si="1">D38/60</f>
        <v>24.166666666666668</v>
      </c>
      <c r="F38" s="320">
        <v>1203.3333333333333</v>
      </c>
      <c r="G38" s="320">
        <v>914.5333333333333</v>
      </c>
      <c r="H38" s="186" t="s">
        <v>63</v>
      </c>
      <c r="I38" s="243">
        <f>5.181+9.475+14.607+14.265</f>
        <v>43.527999999999999</v>
      </c>
      <c r="J38" s="126">
        <f>+I38+'21'!J38</f>
        <v>898.48699999999974</v>
      </c>
      <c r="K38" s="127" t="s">
        <v>62</v>
      </c>
      <c r="L38" s="154">
        <f>+I38-L37</f>
        <v>38.347000000000001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+C39+'21'!D39</f>
        <v>8</v>
      </c>
      <c r="E39" s="142">
        <f t="shared" si="1"/>
        <v>0.13333333333333333</v>
      </c>
      <c r="F39" s="320">
        <v>1230</v>
      </c>
      <c r="G39" s="320">
        <f t="shared" ref="G39:G40" si="2">+F39-F39*0.24</f>
        <v>934.8</v>
      </c>
      <c r="H39" s="186" t="s">
        <v>64</v>
      </c>
      <c r="I39" s="141"/>
      <c r="J39" s="128">
        <f>J37/G4</f>
        <v>45.274078845333499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+C40+'21'!D40</f>
        <v>0</v>
      </c>
      <c r="E40" s="142">
        <f t="shared" si="1"/>
        <v>0</v>
      </c>
      <c r="F40" s="320">
        <v>1230</v>
      </c>
      <c r="G40" s="320">
        <f t="shared" si="2"/>
        <v>934.8</v>
      </c>
      <c r="H40" s="186" t="s">
        <v>66</v>
      </c>
      <c r="I40" s="117">
        <f>(K34+L34)/1000</f>
        <v>42.567</v>
      </c>
      <c r="J40" s="130">
        <f>+I40+'21'!J40</f>
        <v>861.27099999999984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+C41+'21'!D41</f>
        <v>87</v>
      </c>
      <c r="E41" s="142">
        <f t="shared" si="1"/>
        <v>1.45</v>
      </c>
      <c r="F41" s="320"/>
      <c r="G41" s="320"/>
      <c r="H41" s="186" t="s">
        <v>68</v>
      </c>
      <c r="I41" s="141"/>
      <c r="J41" s="128">
        <f>J40/G4</f>
        <v>39.148681818181814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+C42+'21'!D42</f>
        <v>0</v>
      </c>
      <c r="E42" s="142">
        <f t="shared" si="1"/>
        <v>0</v>
      </c>
      <c r="F42" s="320">
        <f>+(480*F38+480*F39+480*F40)/1440</f>
        <v>1221.1111111111111</v>
      </c>
      <c r="G42" s="320">
        <f>+(480*G38+480*G39+480*G40)/1440</f>
        <v>928.04444444444448</v>
      </c>
      <c r="H42" s="186" t="s">
        <v>69</v>
      </c>
      <c r="I42" s="244" t="s">
        <v>619</v>
      </c>
      <c r="J42" s="131"/>
      <c r="K42" s="129" t="s">
        <v>70</v>
      </c>
    </row>
    <row r="43" spans="1:13" ht="17.45" customHeight="1">
      <c r="A43" s="764" t="s">
        <v>71</v>
      </c>
      <c r="B43" s="765"/>
      <c r="C43" s="163">
        <f>SUMIF($G$7:$G$31,"Water",$F$7:$F$31)</f>
        <v>0</v>
      </c>
      <c r="D43" s="117">
        <f>+C43+'21'!D43</f>
        <v>0</v>
      </c>
      <c r="E43" s="142">
        <f t="shared" si="1"/>
        <v>0</v>
      </c>
      <c r="F43" s="320"/>
      <c r="G43" s="321"/>
      <c r="H43" s="187" t="s">
        <v>72</v>
      </c>
      <c r="I43" s="117">
        <f>+Report1!Z30</f>
        <v>56.3</v>
      </c>
      <c r="J43" s="132">
        <f>+I43+'21'!J43</f>
        <v>1135.0999999999999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+C44+'21'!D44</f>
        <v>0</v>
      </c>
      <c r="E44" s="142">
        <f t="shared" si="1"/>
        <v>0</v>
      </c>
      <c r="F44" s="320"/>
      <c r="G44" s="321"/>
      <c r="H44" s="187" t="s">
        <v>73</v>
      </c>
      <c r="I44" s="117">
        <f>I43/I38</f>
        <v>1.2934203271457452</v>
      </c>
      <c r="J44" s="133">
        <f>J43/J38</f>
        <v>1.2633460472995159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+C45+'21'!D45</f>
        <v>0</v>
      </c>
      <c r="E45" s="142">
        <f t="shared" si="1"/>
        <v>0</v>
      </c>
      <c r="F45" s="320"/>
      <c r="G45" s="323"/>
      <c r="H45" s="187" t="s">
        <v>74</v>
      </c>
      <c r="I45" s="117">
        <f>I43/I40</f>
        <v>1.3226208095473018</v>
      </c>
      <c r="J45" s="133">
        <f>J43/J40</f>
        <v>1.3179359342181498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+C46+'21'!D46</f>
        <v>935</v>
      </c>
      <c r="E46" s="142">
        <f t="shared" si="1"/>
        <v>15.583333333333334</v>
      </c>
      <c r="F46" s="320"/>
      <c r="G46" s="321"/>
      <c r="H46" s="187" t="s">
        <v>76</v>
      </c>
      <c r="I46" s="139">
        <f>+SUMIF(Listrik!P29,"&gt;0")</f>
        <v>41312.340000001088</v>
      </c>
      <c r="J46" s="134">
        <f>+I46+'21'!J46</f>
        <v>832069.24000000011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+C47+'21'!D47</f>
        <v>935</v>
      </c>
      <c r="E47" s="142">
        <f t="shared" si="1"/>
        <v>15.583333333333334</v>
      </c>
      <c r="F47" s="320"/>
      <c r="G47" s="321"/>
      <c r="H47" s="187" t="s">
        <v>79</v>
      </c>
      <c r="I47" s="117">
        <f>I46/I38</f>
        <v>949.09805182873299</v>
      </c>
      <c r="J47" s="134">
        <f>J46/J38</f>
        <v>926.07821816008504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+C48+'21'!D48</f>
        <v>0</v>
      </c>
      <c r="E48" s="142">
        <f t="shared" si="1"/>
        <v>0</v>
      </c>
      <c r="F48" s="320"/>
      <c r="G48" s="321"/>
      <c r="H48" s="187" t="s">
        <v>80</v>
      </c>
      <c r="I48" s="117">
        <f>I46/I40</f>
        <v>970.52505461980138</v>
      </c>
      <c r="J48" s="134">
        <f>J46/J40</f>
        <v>966.09457418164584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+C49+'21'!D49</f>
        <v>0</v>
      </c>
      <c r="E49" s="142">
        <f t="shared" si="1"/>
        <v>0</v>
      </c>
      <c r="F49" s="184"/>
      <c r="H49" s="187" t="s">
        <v>270</v>
      </c>
      <c r="I49" s="117">
        <f>+Report1!T30</f>
        <v>5611.1446421475566</v>
      </c>
      <c r="J49" s="134">
        <f>+I49+'21'!J49</f>
        <v>115580.69087563032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+C50+'21'!D50</f>
        <v>0</v>
      </c>
      <c r="E50" s="142">
        <f t="shared" si="1"/>
        <v>0</v>
      </c>
      <c r="F50" s="184"/>
      <c r="H50" s="187" t="s">
        <v>82</v>
      </c>
      <c r="I50" s="139">
        <f>I49/I38</f>
        <v>128.90885503922894</v>
      </c>
      <c r="J50" s="132">
        <f>J49/J38</f>
        <v>128.63924672881228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+C51+'21'!D51</f>
        <v>0</v>
      </c>
      <c r="E51" s="142">
        <f t="shared" si="1"/>
        <v>0</v>
      </c>
      <c r="F51" s="184"/>
      <c r="H51" s="189" t="s">
        <v>84</v>
      </c>
      <c r="I51" s="140">
        <f>I49/I40</f>
        <v>131.81912378479942</v>
      </c>
      <c r="J51" s="135">
        <f>J49/J40</f>
        <v>134.19782028610081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69</v>
      </c>
      <c r="D52" s="143">
        <f>SUM(D38:D51)</f>
        <v>3415</v>
      </c>
      <c r="E52" s="144">
        <f>SUM(E38:E51)</f>
        <v>56.916666666666671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4.791666666666667E-2</v>
      </c>
      <c r="D53" s="145">
        <f>D52/(24*60*G4)</f>
        <v>0.10779671717171717</v>
      </c>
      <c r="E53" s="146">
        <f>E52/(G4*24)</f>
        <v>0.10779671717171718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+D34+'21'!J56</f>
        <v>5865</v>
      </c>
      <c r="K56" s="200">
        <f>J56/(J40+J56/1000)/1000</f>
        <v>6.7636449184441672E-3</v>
      </c>
    </row>
    <row r="57" spans="1:11">
      <c r="A57" s="175"/>
      <c r="I57" s="198" t="s">
        <v>87</v>
      </c>
      <c r="J57" s="199">
        <f>+E34+'21'!J57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topLeftCell="A4" zoomScale="80" zoomScaleNormal="80" workbookViewId="0">
      <selection activeCell="H35" sqref="H35:U3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710937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7109375" style="148" customWidth="1"/>
    <col min="14" max="15" width="0" style="148" hidden="1" customWidth="1"/>
    <col min="16" max="16" width="10.28515625" style="148" hidden="1" customWidth="1"/>
    <col min="17" max="17" width="9.28515625" style="148" hidden="1" customWidth="1"/>
    <col min="18" max="23" width="0" style="148" hidden="1" customWidth="1"/>
    <col min="24" max="16384" width="9.140625" style="148"/>
  </cols>
  <sheetData>
    <row r="1" spans="1:29" ht="15.75">
      <c r="A1" s="147"/>
    </row>
    <row r="2" spans="1:29" ht="15.75">
      <c r="A2" s="147" t="s">
        <v>183</v>
      </c>
    </row>
    <row r="3" spans="1:29" ht="15">
      <c r="A3" s="149"/>
    </row>
    <row r="4" spans="1:29" ht="20.25">
      <c r="A4" s="150" t="s">
        <v>3</v>
      </c>
      <c r="B4" s="151"/>
      <c r="F4" s="152" t="s">
        <v>28</v>
      </c>
      <c r="G4" s="153">
        <v>21</v>
      </c>
      <c r="H4" s="153" t="str">
        <f>+'1'!H4</f>
        <v>.01.26</v>
      </c>
    </row>
    <row r="5" spans="1:29" ht="13.5" thickBot="1">
      <c r="C5" s="154"/>
      <c r="D5" s="154"/>
    </row>
    <row r="6" spans="1:2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80" t="s">
        <v>91</v>
      </c>
      <c r="O6" s="420" t="s">
        <v>190</v>
      </c>
      <c r="P6" s="420" t="s">
        <v>190</v>
      </c>
      <c r="Q6" s="420" t="s">
        <v>191</v>
      </c>
      <c r="R6" s="420" t="s">
        <v>192</v>
      </c>
      <c r="S6" s="420" t="s">
        <v>193</v>
      </c>
      <c r="T6" s="420" t="s">
        <v>188</v>
      </c>
      <c r="U6" s="421" t="s">
        <v>194</v>
      </c>
      <c r="V6" s="420" t="s">
        <v>195</v>
      </c>
      <c r="W6" s="420" t="s">
        <v>189</v>
      </c>
      <c r="X6" s="148" t="s">
        <v>547</v>
      </c>
      <c r="Y6" s="148">
        <v>1230</v>
      </c>
      <c r="Z6" s="148">
        <f>+Y6-(Y6*0.24)</f>
        <v>934.8</v>
      </c>
      <c r="AA6" s="148">
        <v>480</v>
      </c>
      <c r="AB6" s="148">
        <f t="shared" ref="AB6:AB7" si="0">+Y6*AA6</f>
        <v>590400</v>
      </c>
      <c r="AC6" s="148">
        <f t="shared" ref="AC6:AC7" si="1">+Z6*AA6</f>
        <v>448704</v>
      </c>
    </row>
    <row r="7" spans="1:29" ht="13.5" customHeight="1" thickBot="1">
      <c r="A7" s="750" t="s">
        <v>431</v>
      </c>
      <c r="B7" s="214" t="s">
        <v>554</v>
      </c>
      <c r="C7" s="215">
        <v>12768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442</v>
      </c>
      <c r="J7" s="325" t="str">
        <f>+'20'!J7</f>
        <v>T 13 VP OW</v>
      </c>
      <c r="K7" s="236"/>
      <c r="L7" s="240"/>
      <c r="M7" s="116">
        <f>+K7+'20'!M7+L7</f>
        <v>79167</v>
      </c>
      <c r="N7" s="422">
        <v>14.5</v>
      </c>
      <c r="O7" s="198">
        <v>1200</v>
      </c>
      <c r="P7" s="198">
        <v>1120</v>
      </c>
      <c r="Q7" s="198">
        <v>896</v>
      </c>
      <c r="R7" s="423">
        <f>1-(Q7/P7)</f>
        <v>0.19999999999999996</v>
      </c>
      <c r="S7" s="424">
        <v>45</v>
      </c>
      <c r="T7" s="425">
        <v>256.5</v>
      </c>
      <c r="U7" s="426">
        <f>(O7*(1-R7)*N7*T7*S7)/100000000</f>
        <v>1.606716</v>
      </c>
      <c r="V7" s="427">
        <f>+C14/1000</f>
        <v>12.768000000000001</v>
      </c>
      <c r="W7" s="428">
        <f>SUM(V7:V9)/SUM(U7:U9)</f>
        <v>0.61128030476689488</v>
      </c>
      <c r="Y7" s="148">
        <v>1230</v>
      </c>
      <c r="Z7" s="148">
        <f>+Y7-(Y7*0.24)</f>
        <v>934.8</v>
      </c>
      <c r="AA7" s="148">
        <v>480</v>
      </c>
      <c r="AB7" s="148">
        <f t="shared" si="0"/>
        <v>590400</v>
      </c>
      <c r="AC7" s="148">
        <f t="shared" si="1"/>
        <v>448704</v>
      </c>
    </row>
    <row r="8" spans="1:2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+'20'!J8</f>
        <v>F 12 VP OW</v>
      </c>
      <c r="K8" s="237"/>
      <c r="L8" s="237"/>
      <c r="M8" s="116">
        <f>+K8+'20'!M8+L8</f>
        <v>253437</v>
      </c>
      <c r="N8" s="422">
        <v>18</v>
      </c>
      <c r="O8" s="198">
        <v>1200</v>
      </c>
      <c r="P8" s="198">
        <v>930</v>
      </c>
      <c r="Q8" s="198">
        <v>744</v>
      </c>
      <c r="R8" s="423">
        <f>1-(Q8/P8)</f>
        <v>0.19999999999999996</v>
      </c>
      <c r="S8" s="424">
        <f>480-S7</f>
        <v>435</v>
      </c>
      <c r="T8" s="425">
        <v>256.5</v>
      </c>
      <c r="U8" s="426">
        <f>(O8*(1-R8)*N8*T8*S8)/100000000</f>
        <v>19.280591999999999</v>
      </c>
      <c r="V8" s="427"/>
      <c r="W8" s="429"/>
    </row>
    <row r="9" spans="1:29" ht="13.5" thickBot="1">
      <c r="A9" s="751"/>
      <c r="B9" s="214"/>
      <c r="C9" s="215"/>
      <c r="D9" s="216"/>
      <c r="E9" s="219"/>
      <c r="F9" s="226">
        <v>13</v>
      </c>
      <c r="G9" s="230" t="s">
        <v>11</v>
      </c>
      <c r="H9" s="231" t="s">
        <v>388</v>
      </c>
      <c r="I9" s="754"/>
      <c r="J9" s="213" t="str">
        <f>+'20'!J9</f>
        <v>F 13,5 VP OW</v>
      </c>
      <c r="K9" s="237"/>
      <c r="L9" s="237"/>
      <c r="M9" s="116">
        <f>+K9+'20'!M9+L9</f>
        <v>216723</v>
      </c>
      <c r="N9" s="430"/>
    </row>
    <row r="10" spans="1:2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543</v>
      </c>
      <c r="I10" s="754"/>
      <c r="J10" s="213" t="str">
        <f>+'20'!J10</f>
        <v>F 12,5 VP OW</v>
      </c>
      <c r="K10" s="237"/>
      <c r="L10" s="237"/>
      <c r="M10" s="116">
        <f>+K10+'20'!M10+L10</f>
        <v>50678</v>
      </c>
      <c r="N10" s="430"/>
    </row>
    <row r="11" spans="1:2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 t="str">
        <f>+'20'!J11</f>
        <v>F 14 VP OW</v>
      </c>
      <c r="K11" s="237"/>
      <c r="L11" s="237"/>
      <c r="M11" s="116">
        <f>+K11+'20'!M11+L11</f>
        <v>15282</v>
      </c>
      <c r="N11" s="430"/>
    </row>
    <row r="12" spans="1:2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+'20'!J12</f>
        <v>F 13 VP OW</v>
      </c>
      <c r="K12" s="237">
        <f>+C7+C16+C25</f>
        <v>31542</v>
      </c>
      <c r="L12" s="237"/>
      <c r="M12" s="116">
        <f>+K12+'20'!M12+L12</f>
        <v>154935</v>
      </c>
      <c r="N12" s="430"/>
    </row>
    <row r="13" spans="1:2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+'20'!J13</f>
        <v>F 16 VP OW</v>
      </c>
      <c r="K13" s="237"/>
      <c r="L13" s="237"/>
      <c r="M13" s="116">
        <f>+K13+'20'!M13+L13</f>
        <v>40814</v>
      </c>
      <c r="N13" s="431"/>
      <c r="O13" s="432"/>
      <c r="P13" s="432"/>
      <c r="Q13" s="432"/>
      <c r="R13" s="432"/>
      <c r="S13" s="432"/>
      <c r="T13" s="432"/>
      <c r="U13" s="432"/>
      <c r="V13" s="432"/>
      <c r="W13" s="432"/>
    </row>
    <row r="14" spans="1:29" ht="13.5" thickBot="1">
      <c r="A14" s="752"/>
      <c r="B14" s="164" t="s">
        <v>2</v>
      </c>
      <c r="C14" s="98">
        <f>SUM(C7:C13)</f>
        <v>12768</v>
      </c>
      <c r="D14" s="110">
        <f>SUM(D7:D13)</f>
        <v>0</v>
      </c>
      <c r="E14" s="111">
        <f>SUM(E5:E13)</f>
        <v>0</v>
      </c>
      <c r="F14" s="115">
        <f>SUM(F7:F13)</f>
        <v>19</v>
      </c>
      <c r="G14" s="158"/>
      <c r="H14" s="165"/>
      <c r="I14" s="166"/>
      <c r="J14" s="213" t="s">
        <v>613</v>
      </c>
      <c r="K14" s="237">
        <f>+C26</f>
        <v>7668</v>
      </c>
      <c r="L14" s="237"/>
      <c r="M14" s="116">
        <f>+K14+'20'!M14+L14</f>
        <v>7668</v>
      </c>
      <c r="AA14" s="175">
        <f>SUM(AA6:AA11)</f>
        <v>960</v>
      </c>
      <c r="AB14" s="175">
        <f>SUM(AB6:AB11)</f>
        <v>1180800</v>
      </c>
      <c r="AC14" s="175">
        <f>SUM(AC6:AC11)</f>
        <v>897408</v>
      </c>
    </row>
    <row r="15" spans="1:29" ht="13.5" customHeight="1" thickBot="1">
      <c r="A15" s="750" t="s">
        <v>391</v>
      </c>
      <c r="B15" s="164"/>
      <c r="C15" s="112">
        <f>C14/($C$23+$D$23+$E$23)</f>
        <v>0.84522706209453202</v>
      </c>
      <c r="D15" s="113">
        <f>D14/($C$23+$D$23+$E$23)</f>
        <v>0</v>
      </c>
      <c r="E15" s="114">
        <f>E14/($C$23+$D$23+$E$23)</f>
        <v>0</v>
      </c>
      <c r="F15" s="226"/>
      <c r="G15" s="227" t="s">
        <v>11</v>
      </c>
      <c r="H15" s="228" t="s">
        <v>385</v>
      </c>
      <c r="I15" s="753" t="s">
        <v>442</v>
      </c>
      <c r="J15" s="213">
        <f>+'20'!J15</f>
        <v>0</v>
      </c>
      <c r="K15" s="237"/>
      <c r="L15" s="237"/>
      <c r="M15" s="116">
        <f>+K15+'20'!M15+L15</f>
        <v>0</v>
      </c>
      <c r="N15" s="422">
        <v>18</v>
      </c>
      <c r="O15" s="198">
        <v>1200</v>
      </c>
      <c r="P15" s="198">
        <v>850</v>
      </c>
      <c r="Q15" s="198">
        <v>680</v>
      </c>
      <c r="R15" s="423">
        <f>1-(Q15/P15)</f>
        <v>0.19999999999999996</v>
      </c>
      <c r="S15" s="424">
        <v>480</v>
      </c>
      <c r="T15" s="425">
        <v>256.5</v>
      </c>
      <c r="U15" s="426">
        <f>(O15*(1-R15)*N15*T15*S15)/100000000</f>
        <v>21.275136</v>
      </c>
      <c r="V15" s="427">
        <f>+C23/1000</f>
        <v>15.106</v>
      </c>
      <c r="W15" s="428">
        <f>SUM(V15:V17)/SUM(U15:U17)</f>
        <v>0.7100307137872115</v>
      </c>
      <c r="AA15" s="148">
        <f>480-AA14</f>
        <v>-480</v>
      </c>
      <c r="AB15" s="175">
        <f>+AB14/AA14</f>
        <v>1230</v>
      </c>
      <c r="AC15" s="175">
        <f>+AC14/AA14</f>
        <v>934.8</v>
      </c>
    </row>
    <row r="16" spans="1:29" ht="13.5" thickBot="1">
      <c r="A16" s="771"/>
      <c r="B16" s="214" t="s">
        <v>554</v>
      </c>
      <c r="C16" s="220">
        <v>15106</v>
      </c>
      <c r="D16" s="221"/>
      <c r="E16" s="222"/>
      <c r="F16" s="229">
        <v>9</v>
      </c>
      <c r="G16" s="230" t="s">
        <v>11</v>
      </c>
      <c r="H16" s="228" t="s">
        <v>514</v>
      </c>
      <c r="I16" s="754"/>
      <c r="J16" s="213">
        <f>+'20'!J16</f>
        <v>0</v>
      </c>
      <c r="K16" s="227"/>
      <c r="L16" s="227"/>
      <c r="M16" s="116">
        <f>+K16+'20'!M16+L16</f>
        <v>0</v>
      </c>
      <c r="N16" s="433"/>
      <c r="O16" s="198"/>
      <c r="P16" s="198"/>
      <c r="Q16" s="434"/>
      <c r="R16" s="423"/>
      <c r="S16" s="198"/>
      <c r="T16" s="425"/>
      <c r="U16" s="426"/>
      <c r="V16" s="427"/>
      <c r="W16" s="429"/>
    </row>
    <row r="17" spans="1:29" ht="13.5" thickBot="1">
      <c r="A17" s="771"/>
      <c r="B17" s="214"/>
      <c r="C17" s="215"/>
      <c r="D17" s="216"/>
      <c r="E17" s="223"/>
      <c r="F17" s="226">
        <v>10</v>
      </c>
      <c r="G17" s="230" t="s">
        <v>11</v>
      </c>
      <c r="H17" s="231" t="s">
        <v>409</v>
      </c>
      <c r="I17" s="754"/>
      <c r="J17" s="213">
        <f>+'20'!J17</f>
        <v>0</v>
      </c>
      <c r="K17" s="227"/>
      <c r="L17" s="227"/>
      <c r="M17" s="116">
        <f>+K17+'20'!M17+L17</f>
        <v>0</v>
      </c>
      <c r="N17" s="430"/>
      <c r="O17" s="198"/>
      <c r="R17" s="423"/>
      <c r="T17" s="425"/>
      <c r="U17" s="426"/>
    </row>
    <row r="18" spans="1:2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607</v>
      </c>
      <c r="I18" s="754"/>
      <c r="J18" s="213">
        <f>+'20'!J18</f>
        <v>0</v>
      </c>
      <c r="K18" s="237"/>
      <c r="L18" s="237"/>
      <c r="M18" s="116">
        <f>+K18+'20'!M18+L18</f>
        <v>0</v>
      </c>
      <c r="N18" s="430"/>
    </row>
    <row r="19" spans="1:29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+'20'!J19</f>
        <v>0</v>
      </c>
      <c r="K19" s="237"/>
      <c r="L19" s="237"/>
      <c r="M19" s="116">
        <f>+K19+'20'!M19+L19</f>
        <v>0</v>
      </c>
      <c r="N19" s="430"/>
    </row>
    <row r="20" spans="1:2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+'20'!J20</f>
        <v>0</v>
      </c>
      <c r="K20" s="238"/>
      <c r="L20" s="238"/>
      <c r="M20" s="116">
        <f>+K20+'20'!M20+L20</f>
        <v>0</v>
      </c>
      <c r="N20" s="430"/>
    </row>
    <row r="21" spans="1:2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+'20'!J21</f>
        <v>0</v>
      </c>
      <c r="K21" s="237"/>
      <c r="L21" s="237"/>
      <c r="M21" s="116">
        <f>+K21+'20'!M21+L21</f>
        <v>0</v>
      </c>
      <c r="N21" s="431"/>
      <c r="O21" s="432"/>
      <c r="P21" s="432"/>
      <c r="Q21" s="432"/>
      <c r="R21" s="432"/>
      <c r="S21" s="432"/>
      <c r="T21" s="432"/>
      <c r="U21" s="432"/>
      <c r="V21" s="432"/>
      <c r="W21" s="432"/>
    </row>
    <row r="22" spans="1:2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+'20'!J22</f>
        <v>0</v>
      </c>
      <c r="K22" s="237"/>
      <c r="L22" s="237"/>
      <c r="M22" s="116">
        <f>+K22+'20'!M22+L22</f>
        <v>0</v>
      </c>
    </row>
    <row r="23" spans="1:29" ht="13.5" thickBot="1">
      <c r="A23" s="772"/>
      <c r="B23" s="167" t="s">
        <v>2</v>
      </c>
      <c r="C23" s="99">
        <f>SUM(C16:C22)</f>
        <v>15106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+'20'!J23</f>
        <v>0</v>
      </c>
      <c r="K23" s="237"/>
      <c r="L23" s="237"/>
      <c r="M23" s="116">
        <f>+K23+'20'!M23+L23</f>
        <v>0</v>
      </c>
      <c r="N23" s="435"/>
      <c r="O23" s="436"/>
      <c r="P23" s="436"/>
      <c r="Q23" s="436"/>
      <c r="R23" s="436"/>
      <c r="S23" s="436"/>
      <c r="T23" s="436"/>
      <c r="U23" s="436"/>
      <c r="V23" s="436"/>
      <c r="W23" s="436"/>
    </row>
    <row r="24" spans="1:29" ht="13.5" customHeight="1" thickBot="1">
      <c r="A24" s="750" t="s">
        <v>414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12</v>
      </c>
      <c r="G24" s="227" t="s">
        <v>11</v>
      </c>
      <c r="H24" s="228" t="s">
        <v>428</v>
      </c>
      <c r="I24" s="753" t="s">
        <v>609</v>
      </c>
      <c r="J24" s="213">
        <f>+'20'!J24</f>
        <v>0</v>
      </c>
      <c r="K24" s="237"/>
      <c r="L24" s="237"/>
      <c r="M24" s="116">
        <f>+K24+'20'!M24+L24</f>
        <v>0</v>
      </c>
      <c r="N24" s="422">
        <v>14.5</v>
      </c>
      <c r="O24" s="198">
        <v>1130</v>
      </c>
      <c r="P24" s="198">
        <v>1130</v>
      </c>
      <c r="Q24" s="198">
        <v>915</v>
      </c>
      <c r="R24" s="423">
        <f>1-(Q24/P24)</f>
        <v>0.19026548672566368</v>
      </c>
      <c r="S24" s="424">
        <v>9</v>
      </c>
      <c r="T24" s="425">
        <v>266</v>
      </c>
      <c r="U24" s="426">
        <f>(O24*(1-R24)*N24*T24*S24)/100000000</f>
        <v>0.31762394999999999</v>
      </c>
      <c r="V24" s="427">
        <f>+C32/1000</f>
        <v>11.336</v>
      </c>
      <c r="W24" s="428">
        <f>SUM(V24:V25)/SUM(U24:U25)</f>
        <v>35.690003855187875</v>
      </c>
      <c r="X24" s="148" t="s">
        <v>547</v>
      </c>
      <c r="Y24" s="148">
        <v>1230</v>
      </c>
      <c r="Z24" s="148">
        <f>+Y24-(Y24*0.24)</f>
        <v>934.8</v>
      </c>
      <c r="AA24" s="148">
        <v>24</v>
      </c>
      <c r="AB24" s="148">
        <f t="shared" ref="AB24:AB26" si="2">+Y24*AA24</f>
        <v>29520</v>
      </c>
      <c r="AC24" s="148">
        <f t="shared" ref="AC24:AC26" si="3">+Z24*AA24</f>
        <v>22435.199999999997</v>
      </c>
    </row>
    <row r="25" spans="1:29" ht="13.5" thickBot="1">
      <c r="A25" s="771"/>
      <c r="B25" s="214" t="s">
        <v>554</v>
      </c>
      <c r="C25" s="224">
        <f>1669+1999</f>
        <v>3668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+'20'!J25</f>
        <v>0</v>
      </c>
      <c r="K25" s="237"/>
      <c r="L25" s="237"/>
      <c r="M25" s="116">
        <f>+K25+'20'!M25+L25</f>
        <v>0</v>
      </c>
      <c r="N25" s="422"/>
      <c r="O25" s="198"/>
      <c r="P25" s="198"/>
      <c r="Q25" s="198"/>
      <c r="R25" s="423"/>
      <c r="S25" s="424"/>
      <c r="T25" s="425"/>
      <c r="U25" s="426"/>
      <c r="V25" s="427"/>
      <c r="W25" s="428"/>
      <c r="X25" s="148" t="s">
        <v>608</v>
      </c>
      <c r="Y25" s="148">
        <v>1230</v>
      </c>
      <c r="Z25" s="148">
        <f>+Y25-(Y25*0.24)</f>
        <v>934.8</v>
      </c>
      <c r="AA25" s="148">
        <f>60-24+360+30</f>
        <v>426</v>
      </c>
      <c r="AB25" s="148">
        <f t="shared" si="2"/>
        <v>523980</v>
      </c>
      <c r="AC25" s="148">
        <f t="shared" si="3"/>
        <v>398224.8</v>
      </c>
    </row>
    <row r="26" spans="1:29" ht="13.5" thickBot="1">
      <c r="A26" s="771"/>
      <c r="B26" s="214" t="s">
        <v>613</v>
      </c>
      <c r="C26" s="224">
        <v>7668</v>
      </c>
      <c r="D26" s="216"/>
      <c r="E26" s="225"/>
      <c r="F26" s="226">
        <f>33-12</f>
        <v>21</v>
      </c>
      <c r="G26" s="230" t="s">
        <v>11</v>
      </c>
      <c r="H26" s="231" t="s">
        <v>568</v>
      </c>
      <c r="I26" s="754"/>
      <c r="J26" s="213">
        <f>+'20'!J26</f>
        <v>0</v>
      </c>
      <c r="K26" s="237"/>
      <c r="L26" s="237"/>
      <c r="M26" s="116">
        <f>+K26+'20'!M26+L26</f>
        <v>0</v>
      </c>
      <c r="X26" s="148" t="s">
        <v>532</v>
      </c>
      <c r="Y26" s="148">
        <v>1150</v>
      </c>
      <c r="Z26" s="148">
        <f>+Y26-(Y26*0.24)</f>
        <v>874</v>
      </c>
      <c r="AA26" s="148">
        <f>60-30</f>
        <v>30</v>
      </c>
      <c r="AB26" s="148">
        <f t="shared" si="2"/>
        <v>34500</v>
      </c>
      <c r="AC26" s="148">
        <f t="shared" si="3"/>
        <v>26220</v>
      </c>
    </row>
    <row r="27" spans="1:2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585</v>
      </c>
      <c r="I27" s="754"/>
      <c r="J27" s="213">
        <f>+'20'!J27</f>
        <v>0</v>
      </c>
      <c r="K27" s="237"/>
      <c r="L27" s="237"/>
      <c r="M27" s="116">
        <f>+K27+'20'!M27+L27</f>
        <v>0</v>
      </c>
    </row>
    <row r="28" spans="1:29" ht="64.5" thickBot="1">
      <c r="A28" s="771"/>
      <c r="B28" s="214"/>
      <c r="C28" s="215"/>
      <c r="D28" s="216"/>
      <c r="E28" s="223"/>
      <c r="F28" s="229"/>
      <c r="G28" s="230"/>
      <c r="H28" s="231" t="s">
        <v>606</v>
      </c>
      <c r="I28" s="754"/>
      <c r="J28" s="213">
        <f>+'20'!J28</f>
        <v>0</v>
      </c>
      <c r="K28" s="237"/>
      <c r="L28" s="237"/>
      <c r="M28" s="116">
        <f>+K28+'20'!M28+L28</f>
        <v>0</v>
      </c>
    </row>
    <row r="29" spans="1:2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+'20'!J29</f>
        <v>0</v>
      </c>
      <c r="K29" s="237"/>
      <c r="L29" s="237"/>
      <c r="M29" s="116">
        <f>+K29+'20'!M29+L29</f>
        <v>0</v>
      </c>
    </row>
    <row r="30" spans="1:2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+'20'!J30</f>
        <v>0</v>
      </c>
      <c r="K30" s="237"/>
      <c r="L30" s="237"/>
      <c r="M30" s="116">
        <f>+K30+'20'!M30+L30</f>
        <v>0</v>
      </c>
      <c r="N30" s="154"/>
    </row>
    <row r="31" spans="1:2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+'20'!J31</f>
        <v>0</v>
      </c>
      <c r="K31" s="237"/>
      <c r="L31" s="237"/>
      <c r="M31" s="116">
        <f>+K31+'20'!M31+L31</f>
        <v>0</v>
      </c>
    </row>
    <row r="32" spans="1:29" ht="13.5" thickBot="1">
      <c r="A32" s="772"/>
      <c r="B32" s="164" t="s">
        <v>2</v>
      </c>
      <c r="C32" s="98">
        <f>SUM(C25:C31)</f>
        <v>11336</v>
      </c>
      <c r="D32" s="99">
        <f>SUM(D25:D31)</f>
        <v>0</v>
      </c>
      <c r="E32" s="100">
        <f>SUM(E25:E31)</f>
        <v>0</v>
      </c>
      <c r="F32" s="101">
        <f>SUM(F24:F31)</f>
        <v>33</v>
      </c>
      <c r="G32" s="170"/>
      <c r="H32" s="171"/>
      <c r="I32" s="168"/>
      <c r="J32" s="213">
        <f>+'20'!J32</f>
        <v>0</v>
      </c>
      <c r="K32" s="239"/>
      <c r="L32" s="241"/>
      <c r="M32" s="116">
        <f>+K32+'20'!M32+L32</f>
        <v>0</v>
      </c>
      <c r="AA32" s="175">
        <f>SUM(AA24:AA29)</f>
        <v>480</v>
      </c>
      <c r="AB32" s="175">
        <f>SUM(AB24:AB29)</f>
        <v>588000</v>
      </c>
      <c r="AC32" s="175">
        <f>SUM(AC24:AC29)</f>
        <v>446880</v>
      </c>
    </row>
    <row r="33" spans="1:2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AA33" s="148">
        <f>480-AA32</f>
        <v>0</v>
      </c>
      <c r="AB33" s="175">
        <f>+AB32/AA32</f>
        <v>1225</v>
      </c>
      <c r="AC33" s="175">
        <f>+AC32/AA32</f>
        <v>931</v>
      </c>
    </row>
    <row r="34" spans="1:29" ht="13.5" thickBot="1">
      <c r="A34" s="758" t="s">
        <v>56</v>
      </c>
      <c r="B34" s="759"/>
      <c r="C34" s="106">
        <f>C14+C23+C32</f>
        <v>39210</v>
      </c>
      <c r="D34" s="106">
        <f>D14+D23+D32</f>
        <v>0</v>
      </c>
      <c r="E34" s="106">
        <f>E14+E23+E32</f>
        <v>0</v>
      </c>
      <c r="F34" s="107">
        <f>F14+F23+F32</f>
        <v>71</v>
      </c>
      <c r="H34" s="177"/>
      <c r="I34" s="177"/>
      <c r="J34" s="122" t="s">
        <v>27</v>
      </c>
      <c r="K34" s="123">
        <f>SUM(K7:K32)</f>
        <v>39210</v>
      </c>
      <c r="L34" s="211">
        <f>SUM(L7:L32)</f>
        <v>0</v>
      </c>
      <c r="M34" s="119">
        <f>SUM(M7:M32)</f>
        <v>818704</v>
      </c>
      <c r="N34" s="154"/>
      <c r="X34" s="148" t="s">
        <v>547</v>
      </c>
      <c r="Y34" s="148">
        <v>1230</v>
      </c>
      <c r="Z34" s="148">
        <v>934.8</v>
      </c>
      <c r="AA34" s="148">
        <f>480+480+24</f>
        <v>984</v>
      </c>
    </row>
    <row r="35" spans="1:2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X35" s="148" t="s">
        <v>608</v>
      </c>
      <c r="Y35" s="148">
        <v>1230</v>
      </c>
      <c r="Z35" s="148">
        <v>934.8</v>
      </c>
      <c r="AA35" s="148">
        <v>426</v>
      </c>
    </row>
    <row r="36" spans="1:2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X36" s="148" t="s">
        <v>532</v>
      </c>
      <c r="Y36" s="148">
        <v>1150</v>
      </c>
      <c r="Z36" s="148">
        <v>874</v>
      </c>
      <c r="AA36" s="148">
        <v>30</v>
      </c>
    </row>
    <row r="37" spans="1:2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(13*984+11*426+30*14)/1440*G42*2.74*1440/1000000</f>
        <v>45.780960104000002</v>
      </c>
      <c r="J37" s="124">
        <f>+I37+'20'!J37</f>
        <v>948.02088183289254</v>
      </c>
      <c r="K37" s="125" t="s">
        <v>62</v>
      </c>
      <c r="AA37" s="148">
        <f>+AA34+AA35+AA36</f>
        <v>1440</v>
      </c>
    </row>
    <row r="38" spans="1:29" ht="17.45" customHeight="1">
      <c r="A38" s="762" t="s">
        <v>11</v>
      </c>
      <c r="B38" s="763"/>
      <c r="C38" s="163">
        <f>SUMIF($G$7:$G$31,"Process",$F$7:$F$31)</f>
        <v>71</v>
      </c>
      <c r="D38" s="117">
        <f>+C38+'20'!D38</f>
        <v>1381</v>
      </c>
      <c r="E38" s="142">
        <f t="shared" ref="E38:E51" si="4">D38/60</f>
        <v>23.016666666666666</v>
      </c>
      <c r="F38" s="320">
        <v>1230</v>
      </c>
      <c r="G38" s="320">
        <v>934.8</v>
      </c>
      <c r="H38" s="186" t="s">
        <v>63</v>
      </c>
      <c r="I38" s="243">
        <f>14.704+14.095+12.672</f>
        <v>41.471000000000004</v>
      </c>
      <c r="J38" s="126">
        <f>+I38+'20'!J38</f>
        <v>854.95899999999972</v>
      </c>
      <c r="K38" s="127" t="s">
        <v>62</v>
      </c>
    </row>
    <row r="39" spans="1:29" ht="17.45" customHeight="1">
      <c r="A39" s="764" t="s">
        <v>12</v>
      </c>
      <c r="B39" s="765"/>
      <c r="C39" s="163">
        <f>SUMIF($G$7:$G$31,"Cleaning",$F$7:$F$31)</f>
        <v>0</v>
      </c>
      <c r="D39" s="117">
        <f>+C39+'20'!D39</f>
        <v>8</v>
      </c>
      <c r="E39" s="142">
        <f t="shared" si="4"/>
        <v>0.13333333333333333</v>
      </c>
      <c r="F39" s="320">
        <v>1230</v>
      </c>
      <c r="G39" s="320">
        <v>934.8</v>
      </c>
      <c r="H39" s="186" t="s">
        <v>64</v>
      </c>
      <c r="I39" s="141"/>
      <c r="J39" s="128">
        <f>J37/G4</f>
        <v>45.143851515852027</v>
      </c>
      <c r="K39" s="129" t="s">
        <v>62</v>
      </c>
    </row>
    <row r="40" spans="1:29" ht="17.45" customHeight="1">
      <c r="A40" s="764" t="s">
        <v>65</v>
      </c>
      <c r="B40" s="765"/>
      <c r="C40" s="163">
        <f>SUMIF($G$7:$G$31,"Mechanical",$F$7:$F$31)</f>
        <v>0</v>
      </c>
      <c r="D40" s="117">
        <f>+C40+'20'!D40</f>
        <v>0</v>
      </c>
      <c r="E40" s="142">
        <f t="shared" si="4"/>
        <v>0</v>
      </c>
      <c r="F40" s="320">
        <v>1225</v>
      </c>
      <c r="G40" s="320">
        <v>931</v>
      </c>
      <c r="H40" s="186" t="s">
        <v>66</v>
      </c>
      <c r="I40" s="117">
        <f>(K34+L34)/1000</f>
        <v>39.21</v>
      </c>
      <c r="J40" s="130">
        <f>+I40+'20'!J40</f>
        <v>818.70399999999984</v>
      </c>
      <c r="K40" s="129" t="s">
        <v>62</v>
      </c>
    </row>
    <row r="41" spans="1:29" ht="17.45" customHeight="1">
      <c r="A41" s="764" t="s">
        <v>67</v>
      </c>
      <c r="B41" s="765"/>
      <c r="C41" s="163">
        <f>SUMIF($G$7:$G$31,"Electrical",$F$7:$F$31)</f>
        <v>0</v>
      </c>
      <c r="D41" s="117">
        <f>+C41+'20'!D41</f>
        <v>87</v>
      </c>
      <c r="E41" s="142">
        <f t="shared" si="4"/>
        <v>1.45</v>
      </c>
      <c r="F41" s="320"/>
      <c r="G41" s="320"/>
      <c r="H41" s="186" t="s">
        <v>68</v>
      </c>
      <c r="I41" s="141"/>
      <c r="J41" s="128">
        <f>J40/G4</f>
        <v>38.985904761904756</v>
      </c>
      <c r="K41" s="129" t="s">
        <v>62</v>
      </c>
    </row>
    <row r="42" spans="1:29" ht="17.45" customHeight="1">
      <c r="A42" s="764" t="s">
        <v>15</v>
      </c>
      <c r="B42" s="765"/>
      <c r="C42" s="163">
        <f>SUMIF($G$7:$G$31,"Instrument",$F$7:$F$31)</f>
        <v>0</v>
      </c>
      <c r="D42" s="117">
        <f>+C42+'20'!D42</f>
        <v>0</v>
      </c>
      <c r="E42" s="142">
        <f t="shared" si="4"/>
        <v>0</v>
      </c>
      <c r="F42" s="320">
        <f>+(480*F38+480*F39+480*F40)/1440</f>
        <v>1228.3333333333333</v>
      </c>
      <c r="G42" s="320">
        <f>+(480*G38+480*G39+480*G40)/1440</f>
        <v>933.5333333333333</v>
      </c>
      <c r="H42" s="186" t="s">
        <v>69</v>
      </c>
      <c r="I42" s="244" t="s">
        <v>610</v>
      </c>
      <c r="J42" s="131"/>
      <c r="K42" s="129" t="s">
        <v>70</v>
      </c>
    </row>
    <row r="43" spans="1:29" ht="17.45" customHeight="1">
      <c r="A43" s="764" t="s">
        <v>71</v>
      </c>
      <c r="B43" s="765"/>
      <c r="C43" s="163">
        <f>SUMIF($G$7:$G$31,"Water",$F$7:$F$31)</f>
        <v>0</v>
      </c>
      <c r="D43" s="117">
        <f>+C43+'20'!D43</f>
        <v>0</v>
      </c>
      <c r="E43" s="142">
        <f t="shared" si="4"/>
        <v>0</v>
      </c>
      <c r="F43" s="320"/>
      <c r="G43" s="321"/>
      <c r="H43" s="187" t="s">
        <v>72</v>
      </c>
      <c r="I43" s="117">
        <f>+Report1!Z29</f>
        <v>54.4</v>
      </c>
      <c r="J43" s="132">
        <f>+I43+'20'!J43</f>
        <v>1078.8</v>
      </c>
      <c r="K43" s="129" t="s">
        <v>62</v>
      </c>
      <c r="L43" s="188"/>
    </row>
    <row r="44" spans="1:29" ht="17.45" customHeight="1">
      <c r="A44" s="764" t="s">
        <v>16</v>
      </c>
      <c r="B44" s="765"/>
      <c r="C44" s="163">
        <f>SUMIF($G$7:$G$31,"PLN",$F$7:$F$31)</f>
        <v>0</v>
      </c>
      <c r="D44" s="117">
        <f>+C44+'20'!D44</f>
        <v>0</v>
      </c>
      <c r="E44" s="142">
        <f t="shared" si="4"/>
        <v>0</v>
      </c>
      <c r="F44" s="320"/>
      <c r="G44" s="321"/>
      <c r="H44" s="187" t="s">
        <v>73</v>
      </c>
      <c r="I44" s="117">
        <f>I43/I38</f>
        <v>1.311760025077765</v>
      </c>
      <c r="J44" s="133">
        <f>J43/J38</f>
        <v>1.2618148940475511</v>
      </c>
      <c r="K44" s="129" t="s">
        <v>62</v>
      </c>
    </row>
    <row r="45" spans="1:29" ht="17.45" customHeight="1">
      <c r="A45" s="764" t="s">
        <v>17</v>
      </c>
      <c r="B45" s="765"/>
      <c r="C45" s="163">
        <f>SUMIF($G$7:$G$31,"Boiler",$F$7:$F$31)</f>
        <v>0</v>
      </c>
      <c r="D45" s="117">
        <f>+C45+'20'!D45</f>
        <v>0</v>
      </c>
      <c r="E45" s="142">
        <f t="shared" si="4"/>
        <v>0</v>
      </c>
      <c r="F45" s="320"/>
      <c r="G45" s="323"/>
      <c r="H45" s="187" t="s">
        <v>74</v>
      </c>
      <c r="I45" s="117">
        <f>I43/I40</f>
        <v>1.3874011731701097</v>
      </c>
      <c r="J45" s="133">
        <f>J43/J40</f>
        <v>1.3176923527917295</v>
      </c>
      <c r="K45" s="129" t="s">
        <v>62</v>
      </c>
    </row>
    <row r="46" spans="1:29" ht="17.45" customHeight="1">
      <c r="A46" s="764" t="s">
        <v>75</v>
      </c>
      <c r="B46" s="765"/>
      <c r="C46" s="163">
        <f>SUMIF($G$7:$G$31,"Gas",$F$7:$F$31)</f>
        <v>0</v>
      </c>
      <c r="D46" s="117">
        <f>+C46+'20'!D46</f>
        <v>935</v>
      </c>
      <c r="E46" s="142">
        <f t="shared" si="4"/>
        <v>15.583333333333334</v>
      </c>
      <c r="F46" s="320"/>
      <c r="G46" s="321"/>
      <c r="H46" s="187" t="s">
        <v>76</v>
      </c>
      <c r="I46" s="139">
        <f>+SUMIF(Listrik!P28,"&gt;0")</f>
        <v>38765.379999999634</v>
      </c>
      <c r="J46" s="134">
        <f>+I46+'20'!J46</f>
        <v>790756.89999999898</v>
      </c>
      <c r="K46" s="129" t="s">
        <v>77</v>
      </c>
    </row>
    <row r="47" spans="1:29" ht="17.45" customHeight="1">
      <c r="A47" s="764" t="s">
        <v>78</v>
      </c>
      <c r="B47" s="765"/>
      <c r="C47" s="163">
        <f>SUMIF($G$7:$G$31,"Gas",$F$7:$F$31)</f>
        <v>0</v>
      </c>
      <c r="D47" s="117">
        <f>+C47+'20'!D47</f>
        <v>935</v>
      </c>
      <c r="E47" s="142">
        <f t="shared" si="4"/>
        <v>15.583333333333334</v>
      </c>
      <c r="F47" s="320"/>
      <c r="G47" s="321"/>
      <c r="H47" s="187" t="s">
        <v>79</v>
      </c>
      <c r="I47" s="117">
        <f>I46/I38</f>
        <v>934.75874707626122</v>
      </c>
      <c r="J47" s="134">
        <f>J46/J38</f>
        <v>924.90622357329323</v>
      </c>
      <c r="K47" s="129" t="s">
        <v>23</v>
      </c>
    </row>
    <row r="48" spans="1:29" ht="17.45" customHeight="1">
      <c r="A48" s="764" t="s">
        <v>13</v>
      </c>
      <c r="B48" s="765"/>
      <c r="C48" s="163">
        <f>SUMIF($G$7:$G$31,"Start Up",$F$7:$F$31)</f>
        <v>0</v>
      </c>
      <c r="D48" s="117">
        <f>+C48+'20'!D48</f>
        <v>0</v>
      </c>
      <c r="E48" s="142">
        <f t="shared" si="4"/>
        <v>0</v>
      </c>
      <c r="F48" s="320"/>
      <c r="G48" s="321"/>
      <c r="H48" s="187" t="s">
        <v>80</v>
      </c>
      <c r="I48" s="117">
        <f>I46/I40</f>
        <v>988.6605457791286</v>
      </c>
      <c r="J48" s="134">
        <f>J46/J40</f>
        <v>965.86421954699028</v>
      </c>
      <c r="K48" s="129" t="s">
        <v>23</v>
      </c>
    </row>
    <row r="49" spans="1:23" ht="17.45" customHeight="1">
      <c r="A49" s="770" t="s">
        <v>19</v>
      </c>
      <c r="B49" s="765"/>
      <c r="C49" s="163">
        <f>SUMIF($G$7:$G$31,"Others",$F$7:$F$31)</f>
        <v>0</v>
      </c>
      <c r="D49" s="117">
        <f>+C49+'20'!D49</f>
        <v>0</v>
      </c>
      <c r="E49" s="142">
        <f t="shared" si="4"/>
        <v>0</v>
      </c>
      <c r="F49" s="184"/>
      <c r="H49" s="187" t="s">
        <v>270</v>
      </c>
      <c r="I49" s="117">
        <f>+Report1!T29</f>
        <v>5231.3554359025493</v>
      </c>
      <c r="J49" s="134">
        <f>+I49+'20'!J49</f>
        <v>109969.54623348276</v>
      </c>
      <c r="K49" s="129" t="s">
        <v>81</v>
      </c>
    </row>
    <row r="50" spans="1:23" ht="17.45" customHeight="1">
      <c r="A50" s="764" t="s">
        <v>18</v>
      </c>
      <c r="B50" s="765"/>
      <c r="C50" s="163">
        <f>SUMIF($G$7:$G$31,"Steam",$F$7:$F$31)</f>
        <v>0</v>
      </c>
      <c r="D50" s="117">
        <f>+C50+'20'!D50</f>
        <v>0</v>
      </c>
      <c r="E50" s="142">
        <f t="shared" si="4"/>
        <v>0</v>
      </c>
      <c r="F50" s="184"/>
      <c r="H50" s="187" t="s">
        <v>82</v>
      </c>
      <c r="I50" s="139">
        <f>I49/I38</f>
        <v>126.14490694467335</v>
      </c>
      <c r="J50" s="132">
        <f>J49/J38</f>
        <v>128.62552032727044</v>
      </c>
      <c r="K50" s="129" t="s">
        <v>81</v>
      </c>
    </row>
    <row r="51" spans="1:23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+C51+'20'!D51</f>
        <v>0</v>
      </c>
      <c r="E51" s="142">
        <f t="shared" si="4"/>
        <v>0</v>
      </c>
      <c r="F51" s="184"/>
      <c r="H51" s="189" t="s">
        <v>84</v>
      </c>
      <c r="I51" s="140">
        <f>I49/I40</f>
        <v>133.41890935737183</v>
      </c>
      <c r="J51" s="135">
        <f>J49/J40</f>
        <v>134.32149621045309</v>
      </c>
      <c r="K51" s="136" t="s">
        <v>81</v>
      </c>
    </row>
    <row r="52" spans="1:23" ht="13.5" thickBot="1">
      <c r="A52" s="762" t="s">
        <v>27</v>
      </c>
      <c r="B52" s="763"/>
      <c r="C52" s="143">
        <f>SUM(C38:C51)</f>
        <v>71</v>
      </c>
      <c r="D52" s="143">
        <f>SUM(D38:D51)</f>
        <v>3346</v>
      </c>
      <c r="E52" s="144">
        <f>SUM(E38:E51)</f>
        <v>55.766666666666666</v>
      </c>
      <c r="F52" s="184"/>
      <c r="H52" s="190"/>
      <c r="I52" s="191"/>
      <c r="J52" s="137"/>
      <c r="K52" s="138"/>
    </row>
    <row r="53" spans="1:23" ht="13.5" thickBot="1">
      <c r="A53" s="768"/>
      <c r="B53" s="769"/>
      <c r="C53" s="145">
        <f>C52/(24*60)</f>
        <v>4.9305555555555554E-2</v>
      </c>
      <c r="D53" s="145">
        <f>D52/(24*60*G4)</f>
        <v>0.11064814814814815</v>
      </c>
      <c r="E53" s="146">
        <f>E52/(G4*24)</f>
        <v>0.11064814814814815</v>
      </c>
      <c r="F53" s="184"/>
    </row>
    <row r="54" spans="1:23">
      <c r="E54" s="192"/>
      <c r="F54" s="184"/>
    </row>
    <row r="55" spans="1:23">
      <c r="E55" s="192"/>
    </row>
    <row r="56" spans="1:23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+D34+'20'!J56</f>
        <v>5865</v>
      </c>
      <c r="K56" s="200">
        <f>J56/(J40+J56/1000)/1000</f>
        <v>7.1128068118010753E-3</v>
      </c>
    </row>
    <row r="57" spans="1:23">
      <c r="A57" s="175"/>
      <c r="I57" s="198" t="s">
        <v>87</v>
      </c>
      <c r="J57" s="199">
        <f>+E34+'20'!J57</f>
        <v>0</v>
      </c>
      <c r="K57" s="200">
        <f>J57/(J40+J57/1000)/1000</f>
        <v>0</v>
      </c>
    </row>
    <row r="58" spans="1:23">
      <c r="A58" s="201"/>
      <c r="B58" s="202"/>
      <c r="F58" s="184"/>
      <c r="H58" s="203"/>
    </row>
    <row r="59" spans="1:23">
      <c r="A59" s="204"/>
      <c r="B59" s="175"/>
      <c r="C59" s="175"/>
      <c r="D59" s="175"/>
      <c r="E59" s="175"/>
      <c r="F59" s="188"/>
      <c r="G59" s="175"/>
      <c r="H59" s="203"/>
    </row>
    <row r="60" spans="1:23">
      <c r="H60" s="203"/>
    </row>
    <row r="61" spans="1:23">
      <c r="A61" s="205"/>
      <c r="B61" s="206"/>
      <c r="C61" s="206"/>
      <c r="D61" s="206"/>
      <c r="E61" s="206"/>
      <c r="F61" s="207"/>
      <c r="G61" s="206"/>
      <c r="H61" s="208"/>
      <c r="W61" s="148" t="s">
        <v>0</v>
      </c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opLeftCell="A19" zoomScale="80" zoomScaleNormal="80" workbookViewId="0">
      <selection activeCell="H13" sqref="H13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425781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28</v>
      </c>
      <c r="G4" s="153">
        <v>20</v>
      </c>
      <c r="H4" s="153" t="str">
        <f>+'1'!H4</f>
        <v>.01.26</v>
      </c>
    </row>
    <row r="5" spans="1:26" ht="13.5" thickBot="1">
      <c r="C5" s="154"/>
      <c r="D5" s="154"/>
    </row>
    <row r="6" spans="1:26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1230</v>
      </c>
      <c r="P6" s="148">
        <f>+O6-(O6*0.24)</f>
        <v>934.8</v>
      </c>
      <c r="Q6" s="148">
        <f>60*3+18</f>
        <v>198</v>
      </c>
      <c r="R6" s="148">
        <f t="shared" ref="R6:R11" si="0">+O6*Q6</f>
        <v>243540</v>
      </c>
      <c r="S6" s="148">
        <f t="shared" ref="S6:S11" si="1">+P6*Q6</f>
        <v>185090.4</v>
      </c>
    </row>
    <row r="7" spans="1:26" ht="13.5" customHeight="1" thickBot="1">
      <c r="A7" s="750" t="s">
        <v>431</v>
      </c>
      <c r="B7" s="214" t="s">
        <v>466</v>
      </c>
      <c r="C7" s="215">
        <v>15833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602</v>
      </c>
      <c r="J7" s="213" t="str">
        <f>+'19'!J7</f>
        <v>T 13 VP OW</v>
      </c>
      <c r="K7" s="236"/>
      <c r="L7" s="240"/>
      <c r="M7" s="116">
        <f>+K7+'19'!M7+L7</f>
        <v>79167</v>
      </c>
      <c r="O7" s="148">
        <v>1050</v>
      </c>
      <c r="P7" s="148">
        <f>+O7-(O7*0.24)</f>
        <v>798</v>
      </c>
      <c r="Q7" s="148">
        <f>55-18</f>
        <v>37</v>
      </c>
      <c r="R7" s="148">
        <f t="shared" si="0"/>
        <v>38850</v>
      </c>
      <c r="S7" s="148">
        <f t="shared" si="1"/>
        <v>29526</v>
      </c>
    </row>
    <row r="8" spans="1:26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+'19'!J8</f>
        <v>F 12 VP OW</v>
      </c>
      <c r="K8" s="237"/>
      <c r="L8" s="237"/>
      <c r="M8" s="116">
        <f>+K8+'19'!M8+L8</f>
        <v>253437</v>
      </c>
      <c r="O8" s="148">
        <v>1230</v>
      </c>
      <c r="P8" s="148">
        <f>+O8-(O8*0.24)</f>
        <v>934.8</v>
      </c>
      <c r="Q8" s="148">
        <f>60-55+240</f>
        <v>245</v>
      </c>
      <c r="R8" s="148">
        <f t="shared" si="0"/>
        <v>301350</v>
      </c>
      <c r="S8" s="148">
        <f t="shared" si="1"/>
        <v>229026</v>
      </c>
    </row>
    <row r="9" spans="1:26" ht="13.5" thickBot="1">
      <c r="A9" s="751"/>
      <c r="B9" s="214"/>
      <c r="C9" s="215"/>
      <c r="D9" s="216"/>
      <c r="E9" s="219"/>
      <c r="F9" s="226">
        <v>13</v>
      </c>
      <c r="G9" s="230" t="s">
        <v>11</v>
      </c>
      <c r="H9" s="231" t="s">
        <v>388</v>
      </c>
      <c r="I9" s="754"/>
      <c r="J9" s="213" t="str">
        <f>+'19'!J9</f>
        <v>F 13,5 VP OW</v>
      </c>
      <c r="K9" s="237">
        <f>+C7+C16+C25</f>
        <v>35351</v>
      </c>
      <c r="L9" s="237"/>
      <c r="M9" s="116">
        <f>+K9+'19'!M9+L9</f>
        <v>216723</v>
      </c>
      <c r="R9" s="148">
        <f t="shared" si="0"/>
        <v>0</v>
      </c>
      <c r="S9" s="148">
        <f t="shared" si="1"/>
        <v>0</v>
      </c>
    </row>
    <row r="10" spans="1:26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598</v>
      </c>
      <c r="I10" s="754"/>
      <c r="J10" s="213" t="str">
        <f>+'19'!J10</f>
        <v>F 12,5 VP OW</v>
      </c>
      <c r="K10" s="237"/>
      <c r="L10" s="237"/>
      <c r="M10" s="116">
        <f>+K10+'19'!M10+L10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26" ht="39" thickBot="1">
      <c r="A11" s="751"/>
      <c r="B11" s="214"/>
      <c r="C11" s="215"/>
      <c r="D11" s="216"/>
      <c r="E11" s="218"/>
      <c r="F11" s="226">
        <v>37</v>
      </c>
      <c r="G11" s="230" t="s">
        <v>67</v>
      </c>
      <c r="H11" s="231" t="s">
        <v>599</v>
      </c>
      <c r="I11" s="754"/>
      <c r="J11" s="213" t="str">
        <f>+'19'!J11</f>
        <v>F 14 VP OW</v>
      </c>
      <c r="K11" s="237"/>
      <c r="L11" s="237"/>
      <c r="M11" s="116">
        <f>+K11+'19'!M11+L11</f>
        <v>15282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26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+'19'!J12</f>
        <v>F 13 VP OW</v>
      </c>
      <c r="K12" s="237">
        <f>+C26</f>
        <v>10982</v>
      </c>
      <c r="L12" s="237"/>
      <c r="M12" s="116">
        <f>+K12+'19'!M12+L12</f>
        <v>123393</v>
      </c>
    </row>
    <row r="13" spans="1:26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+'19'!J13</f>
        <v>F 16 VP OW</v>
      </c>
      <c r="K13" s="237"/>
      <c r="L13" s="237"/>
      <c r="M13" s="116">
        <f>+K13+'19'!M13+L13</f>
        <v>40814</v>
      </c>
    </row>
    <row r="14" spans="1:26" ht="13.5" thickBot="1">
      <c r="A14" s="752"/>
      <c r="B14" s="164" t="s">
        <v>2</v>
      </c>
      <c r="C14" s="98">
        <f>SUM(C7:C13)</f>
        <v>15833</v>
      </c>
      <c r="D14" s="110">
        <f>SUM(D7:D13)</f>
        <v>0</v>
      </c>
      <c r="E14" s="111">
        <f>SUM(E5:E13)</f>
        <v>0</v>
      </c>
      <c r="F14" s="115">
        <f>SUM(F7:F13)</f>
        <v>56</v>
      </c>
      <c r="G14" s="158"/>
      <c r="H14" s="165"/>
      <c r="I14" s="166"/>
      <c r="J14" s="213">
        <f>+'19'!J14</f>
        <v>0</v>
      </c>
      <c r="K14" s="237"/>
      <c r="L14" s="237"/>
      <c r="M14" s="116">
        <f>+K14+'19'!M14+L14</f>
        <v>0</v>
      </c>
      <c r="Q14" s="175">
        <f>SUM(Q6:Q11)</f>
        <v>480</v>
      </c>
      <c r="R14" s="175">
        <f>SUM(R6:R11)</f>
        <v>583740</v>
      </c>
      <c r="S14" s="175">
        <f>SUM(S6:S11)</f>
        <v>443642.4</v>
      </c>
    </row>
    <row r="15" spans="1:26" ht="13.5" customHeight="1" thickBot="1">
      <c r="A15" s="750" t="s">
        <v>391</v>
      </c>
      <c r="B15" s="164"/>
      <c r="C15" s="112">
        <f>C14/($C$23+$D$23+$E$23)</f>
        <v>1.0224073356580137</v>
      </c>
      <c r="D15" s="113">
        <f>D14/($C$23+$D$23+$E$23)</f>
        <v>0</v>
      </c>
      <c r="E15" s="114">
        <f>E14/($C$23+$D$23+$E$23)</f>
        <v>0</v>
      </c>
      <c r="F15" s="226"/>
      <c r="G15" s="227" t="s">
        <v>11</v>
      </c>
      <c r="H15" s="228" t="s">
        <v>385</v>
      </c>
      <c r="I15" s="753" t="s">
        <v>442</v>
      </c>
      <c r="J15" s="213">
        <f>+'19'!J15</f>
        <v>0</v>
      </c>
      <c r="K15" s="237"/>
      <c r="L15" s="237"/>
      <c r="M15" s="116">
        <f>+K15+'19'!M15+L15</f>
        <v>0</v>
      </c>
      <c r="Q15" s="148">
        <f>480-Q14</f>
        <v>0</v>
      </c>
      <c r="R15" s="175">
        <f>+R14/Q14</f>
        <v>1216.125</v>
      </c>
      <c r="S15" s="175">
        <f>+S14/Q14</f>
        <v>924.255</v>
      </c>
    </row>
    <row r="16" spans="1:26" ht="13.5" thickBot="1">
      <c r="A16" s="771"/>
      <c r="B16" s="214" t="s">
        <v>466</v>
      </c>
      <c r="C16" s="220">
        <v>15486</v>
      </c>
      <c r="D16" s="221"/>
      <c r="E16" s="222"/>
      <c r="F16" s="229">
        <v>8</v>
      </c>
      <c r="G16" s="230" t="s">
        <v>11</v>
      </c>
      <c r="H16" s="228" t="s">
        <v>407</v>
      </c>
      <c r="I16" s="754"/>
      <c r="J16" s="213">
        <f>+'19'!J16</f>
        <v>0</v>
      </c>
      <c r="K16" s="227"/>
      <c r="L16" s="227"/>
      <c r="M16" s="116">
        <f>+K16+'19'!M16+L16</f>
        <v>0</v>
      </c>
      <c r="N16" s="148" t="s">
        <v>459</v>
      </c>
      <c r="O16" s="148">
        <v>1230</v>
      </c>
      <c r="P16" s="148">
        <f>+O16-(O16*0.24)</f>
        <v>934.8</v>
      </c>
      <c r="Q16" s="148">
        <v>480</v>
      </c>
      <c r="R16" s="148">
        <f t="shared" ref="R16" si="2">+O16*Q16</f>
        <v>590400</v>
      </c>
      <c r="S16" s="148">
        <f t="shared" ref="S16" si="3">+P16*Q16</f>
        <v>448704</v>
      </c>
      <c r="U16" s="148" t="s">
        <v>459</v>
      </c>
      <c r="V16" s="148">
        <v>1230</v>
      </c>
      <c r="W16" s="148">
        <v>934.8</v>
      </c>
      <c r="X16" s="148">
        <v>198</v>
      </c>
      <c r="Y16" s="148">
        <f t="shared" ref="Y16" si="4">+V16*X16</f>
        <v>243540</v>
      </c>
      <c r="Z16" s="148">
        <f t="shared" ref="Z16" si="5">+W16*X16</f>
        <v>185090.4</v>
      </c>
    </row>
    <row r="17" spans="1:26" ht="13.5" thickBot="1">
      <c r="A17" s="771"/>
      <c r="B17" s="214"/>
      <c r="C17" s="215"/>
      <c r="D17" s="216"/>
      <c r="E17" s="223"/>
      <c r="F17" s="226">
        <v>10</v>
      </c>
      <c r="G17" s="230" t="s">
        <v>11</v>
      </c>
      <c r="H17" s="231" t="s">
        <v>409</v>
      </c>
      <c r="I17" s="754"/>
      <c r="J17" s="213">
        <f>+'19'!J17</f>
        <v>0</v>
      </c>
      <c r="K17" s="227"/>
      <c r="L17" s="227"/>
      <c r="M17" s="116">
        <f>+K17+'19'!M17+L17</f>
        <v>0</v>
      </c>
      <c r="V17" s="148">
        <v>1050</v>
      </c>
      <c r="W17" s="148">
        <v>798</v>
      </c>
      <c r="X17" s="148">
        <v>37</v>
      </c>
      <c r="Y17" s="148">
        <f t="shared" ref="Y17:Y18" si="6">+V17*X17</f>
        <v>38850</v>
      </c>
      <c r="Z17" s="148">
        <f t="shared" ref="Z17:Z18" si="7">+W17*X17</f>
        <v>29526</v>
      </c>
    </row>
    <row r="18" spans="1:26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597</v>
      </c>
      <c r="I18" s="754"/>
      <c r="J18" s="213">
        <f>+'19'!J18</f>
        <v>0</v>
      </c>
      <c r="K18" s="237"/>
      <c r="L18" s="237"/>
      <c r="M18" s="116">
        <f>+K18+'19'!M18+L18</f>
        <v>0</v>
      </c>
      <c r="V18" s="148">
        <v>1230</v>
      </c>
      <c r="W18" s="148">
        <v>934.8</v>
      </c>
      <c r="X18" s="148">
        <v>245</v>
      </c>
      <c r="Y18" s="148">
        <f t="shared" si="6"/>
        <v>301350</v>
      </c>
      <c r="Z18" s="148">
        <f t="shared" si="7"/>
        <v>229026</v>
      </c>
    </row>
    <row r="19" spans="1:26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+'19'!J19</f>
        <v>0</v>
      </c>
      <c r="K19" s="237"/>
      <c r="L19" s="237"/>
      <c r="M19" s="116">
        <f>+K19+'19'!M19+L19</f>
        <v>0</v>
      </c>
      <c r="U19" s="148" t="s">
        <v>459</v>
      </c>
      <c r="V19" s="148">
        <v>1230</v>
      </c>
      <c r="W19" s="148">
        <v>934.8</v>
      </c>
      <c r="X19" s="148">
        <v>480</v>
      </c>
      <c r="Y19" s="148">
        <f t="shared" ref="Y19" si="8">+V19*X19</f>
        <v>590400</v>
      </c>
      <c r="Z19" s="148">
        <f t="shared" ref="Z19" si="9">+W19*X19</f>
        <v>448704</v>
      </c>
    </row>
    <row r="20" spans="1:26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+'19'!J20</f>
        <v>0</v>
      </c>
      <c r="K20" s="238"/>
      <c r="L20" s="238"/>
      <c r="M20" s="116">
        <f>+K20+'19'!M20+L20</f>
        <v>0</v>
      </c>
    </row>
    <row r="21" spans="1:26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+'19'!J21</f>
        <v>0</v>
      </c>
      <c r="K21" s="237"/>
      <c r="L21" s="237"/>
      <c r="M21" s="116">
        <f>+K21+'19'!M21+L21</f>
        <v>0</v>
      </c>
    </row>
    <row r="22" spans="1:26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+'19'!J22</f>
        <v>0</v>
      </c>
      <c r="K22" s="237"/>
      <c r="L22" s="237"/>
      <c r="M22" s="116">
        <f>+K22+'19'!M22+L22</f>
        <v>0</v>
      </c>
    </row>
    <row r="23" spans="1:26" ht="13.5" thickBot="1">
      <c r="A23" s="772"/>
      <c r="B23" s="167" t="s">
        <v>2</v>
      </c>
      <c r="C23" s="99">
        <f>SUM(C16:C22)</f>
        <v>15486</v>
      </c>
      <c r="D23" s="110">
        <f>SUM(D16:D22)</f>
        <v>0</v>
      </c>
      <c r="E23" s="111">
        <f>SUM(E18:E22)</f>
        <v>0</v>
      </c>
      <c r="F23" s="115">
        <f>SUM(F15:F22)</f>
        <v>18</v>
      </c>
      <c r="G23" s="158"/>
      <c r="H23" s="165"/>
      <c r="I23" s="168"/>
      <c r="J23" s="213">
        <f>+'19'!J23</f>
        <v>0</v>
      </c>
      <c r="K23" s="237"/>
      <c r="L23" s="237"/>
      <c r="M23" s="116">
        <f>+K23+'19'!M23+L23</f>
        <v>0</v>
      </c>
    </row>
    <row r="24" spans="1:26" ht="13.5" customHeight="1" thickBot="1">
      <c r="A24" s="750" t="s">
        <v>414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442</v>
      </c>
      <c r="J24" s="213">
        <f>+'19'!J24</f>
        <v>0</v>
      </c>
      <c r="K24" s="237"/>
      <c r="L24" s="237"/>
      <c r="M24" s="116">
        <f>+K24+'19'!M24+L24</f>
        <v>0</v>
      </c>
      <c r="Q24" s="175">
        <f>SUM(Q16:Q21)</f>
        <v>480</v>
      </c>
      <c r="R24" s="175">
        <f>SUM(R16:R21)</f>
        <v>590400</v>
      </c>
      <c r="S24" s="175">
        <f>SUM(S16:S21)</f>
        <v>448704</v>
      </c>
      <c r="X24" s="175">
        <f>SUM(X16:X21)</f>
        <v>960</v>
      </c>
      <c r="Y24" s="175">
        <f>SUM(Y16:Y21)</f>
        <v>1174140</v>
      </c>
      <c r="Z24" s="175">
        <f>SUM(Z16:Z21)</f>
        <v>892346.4</v>
      </c>
    </row>
    <row r="25" spans="1:26" ht="13.5" thickBot="1">
      <c r="A25" s="771"/>
      <c r="B25" s="214" t="s">
        <v>466</v>
      </c>
      <c r="C25" s="224">
        <v>4032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+'19'!J25</f>
        <v>0</v>
      </c>
      <c r="K25" s="237"/>
      <c r="L25" s="237"/>
      <c r="M25" s="116">
        <f>+K25+'19'!M25+L25</f>
        <v>0</v>
      </c>
      <c r="Q25" s="148">
        <f>480-Q24</f>
        <v>0</v>
      </c>
      <c r="R25" s="175">
        <f>+R24/Q24</f>
        <v>1230</v>
      </c>
      <c r="S25" s="175">
        <f>+S24/Q24</f>
        <v>934.8</v>
      </c>
      <c r="X25" s="148">
        <f>480-X24</f>
        <v>-480</v>
      </c>
      <c r="Y25" s="175">
        <f>+Y24/X24</f>
        <v>1223.0625</v>
      </c>
      <c r="Z25" s="175">
        <f>+Z24/X24</f>
        <v>929.52750000000003</v>
      </c>
    </row>
    <row r="26" spans="1:26" ht="13.5" thickBot="1">
      <c r="A26" s="771"/>
      <c r="B26" s="214" t="s">
        <v>554</v>
      </c>
      <c r="C26" s="224">
        <f>4985+5997</f>
        <v>10982</v>
      </c>
      <c r="D26" s="216"/>
      <c r="E26" s="225"/>
      <c r="F26" s="226">
        <v>16</v>
      </c>
      <c r="G26" s="230" t="s">
        <v>11</v>
      </c>
      <c r="H26" s="231" t="s">
        <v>388</v>
      </c>
      <c r="I26" s="754"/>
      <c r="J26" s="213">
        <f>+'19'!J26</f>
        <v>0</v>
      </c>
      <c r="K26" s="237"/>
      <c r="L26" s="237"/>
      <c r="M26" s="116">
        <f>+K26+'19'!M26+L26</f>
        <v>0</v>
      </c>
    </row>
    <row r="27" spans="1:26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600</v>
      </c>
      <c r="I27" s="754"/>
      <c r="J27" s="213">
        <f>+'19'!J27</f>
        <v>0</v>
      </c>
      <c r="K27" s="237"/>
      <c r="L27" s="237"/>
      <c r="M27" s="116">
        <f>+K27+'19'!M27+L27</f>
        <v>0</v>
      </c>
      <c r="N27" s="148" t="s">
        <v>547</v>
      </c>
      <c r="O27" s="148">
        <v>1230</v>
      </c>
      <c r="P27" s="148">
        <f>+O27-(O27*0.24)</f>
        <v>934.8</v>
      </c>
      <c r="Q27" s="148">
        <v>480</v>
      </c>
      <c r="R27" s="148">
        <f t="shared" ref="R27" si="10">+O27*Q27</f>
        <v>590400</v>
      </c>
      <c r="S27" s="148">
        <f t="shared" ref="S27" si="11">+P27*Q27</f>
        <v>448704</v>
      </c>
    </row>
    <row r="28" spans="1:26" ht="39" thickBot="1">
      <c r="A28" s="771"/>
      <c r="B28" s="214"/>
      <c r="C28" s="215"/>
      <c r="D28" s="216"/>
      <c r="E28" s="223"/>
      <c r="F28" s="229"/>
      <c r="G28" s="230"/>
      <c r="H28" s="231" t="s">
        <v>601</v>
      </c>
      <c r="I28" s="754"/>
      <c r="J28" s="213">
        <f>+'19'!J28</f>
        <v>0</v>
      </c>
      <c r="K28" s="237"/>
      <c r="L28" s="237"/>
      <c r="M28" s="116">
        <f>+K28+'19'!M28+L28</f>
        <v>0</v>
      </c>
    </row>
    <row r="29" spans="1:26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+'19'!J29</f>
        <v>0</v>
      </c>
      <c r="K29" s="237"/>
      <c r="L29" s="237"/>
      <c r="M29" s="116">
        <f>+K29+'19'!M29+L29</f>
        <v>0</v>
      </c>
    </row>
    <row r="30" spans="1:26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+'19'!J30</f>
        <v>0</v>
      </c>
      <c r="K30" s="237"/>
      <c r="L30" s="237"/>
      <c r="M30" s="116">
        <f>+K30+'19'!M30+L30</f>
        <v>0</v>
      </c>
    </row>
    <row r="31" spans="1:26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+'19'!J31</f>
        <v>0</v>
      </c>
      <c r="K31" s="237"/>
      <c r="L31" s="237"/>
      <c r="M31" s="116">
        <f>+K31+'19'!M31+L31</f>
        <v>0</v>
      </c>
    </row>
    <row r="32" spans="1:26" ht="13.5" thickBot="1">
      <c r="A32" s="772"/>
      <c r="B32" s="164" t="s">
        <v>2</v>
      </c>
      <c r="C32" s="98">
        <f>SUM(C25:C31)</f>
        <v>15014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+'19'!J32</f>
        <v>0</v>
      </c>
      <c r="K32" s="239"/>
      <c r="L32" s="241"/>
      <c r="M32" s="116">
        <f>+K32+'19'!M32+L32</f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46333</v>
      </c>
      <c r="D34" s="106">
        <f>D14+D23+D32</f>
        <v>0</v>
      </c>
      <c r="E34" s="106">
        <f>E14+E23+E32</f>
        <v>0</v>
      </c>
      <c r="F34" s="107">
        <f>F14+F23+F32</f>
        <v>96</v>
      </c>
      <c r="H34" s="177"/>
      <c r="I34" s="177"/>
      <c r="J34" s="122" t="s">
        <v>27</v>
      </c>
      <c r="K34" s="123">
        <f>SUM(K7:K32)</f>
        <v>46333</v>
      </c>
      <c r="L34" s="211">
        <f>SUM(L7:L32)</f>
        <v>0</v>
      </c>
      <c r="M34" s="119">
        <f>SUM(M7:M32)</f>
        <v>779494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(13.5*960+480*13)/1440*G42*2.74*1440/1000000</f>
        <v>48.99304128</v>
      </c>
      <c r="J37" s="124">
        <f>+I37+'19'!J37</f>
        <v>902.23992172889257</v>
      </c>
      <c r="K37" s="125" t="s">
        <v>62</v>
      </c>
      <c r="N37" s="148" t="s">
        <v>459</v>
      </c>
      <c r="O37" s="148">
        <v>1223.0625</v>
      </c>
      <c r="P37" s="148">
        <v>929.52750000000003</v>
      </c>
      <c r="Q37" s="148">
        <v>960</v>
      </c>
    </row>
    <row r="38" spans="1:19" ht="17.45" customHeight="1">
      <c r="A38" s="762" t="s">
        <v>11</v>
      </c>
      <c r="B38" s="763"/>
      <c r="C38" s="163">
        <f>SUMIF($G$7:$G$31,"Process",$F$7:$F$31)</f>
        <v>59</v>
      </c>
      <c r="D38" s="117">
        <f>+C38+'19'!D38</f>
        <v>1310</v>
      </c>
      <c r="E38" s="142">
        <f t="shared" ref="E38:E51" si="12">D38/60</f>
        <v>21.833333333333332</v>
      </c>
      <c r="F38" s="320">
        <v>1216.125</v>
      </c>
      <c r="G38" s="320">
        <v>924.255</v>
      </c>
      <c r="H38" s="186" t="s">
        <v>63</v>
      </c>
      <c r="I38" s="243">
        <f>15.926+15.315+14.48</f>
        <v>45.721000000000004</v>
      </c>
      <c r="J38" s="126">
        <f>+I38+'19'!J38</f>
        <v>813.48799999999972</v>
      </c>
      <c r="K38" s="127" t="s">
        <v>62</v>
      </c>
      <c r="N38" s="148" t="s">
        <v>547</v>
      </c>
      <c r="O38" s="148">
        <v>1230</v>
      </c>
      <c r="P38" s="148">
        <v>934.8</v>
      </c>
      <c r="Q38" s="148">
        <v>480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+C39+'19'!D39</f>
        <v>8</v>
      </c>
      <c r="E39" s="142">
        <f t="shared" si="12"/>
        <v>0.13333333333333333</v>
      </c>
      <c r="F39" s="320">
        <v>1230</v>
      </c>
      <c r="G39" s="320">
        <v>934.8</v>
      </c>
      <c r="H39" s="186" t="s">
        <v>64</v>
      </c>
      <c r="I39" s="141"/>
      <c r="J39" s="128">
        <f>J37/G4</f>
        <v>45.111996086444627</v>
      </c>
      <c r="K39" s="129" t="s">
        <v>62</v>
      </c>
      <c r="Q39" s="148">
        <f>+Q37+Q38</f>
        <v>1440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+C40+'19'!D40</f>
        <v>0</v>
      </c>
      <c r="E40" s="142">
        <f t="shared" si="12"/>
        <v>0</v>
      </c>
      <c r="F40" s="320">
        <v>1230</v>
      </c>
      <c r="G40" s="320">
        <v>934.8</v>
      </c>
      <c r="H40" s="186" t="s">
        <v>66</v>
      </c>
      <c r="I40" s="117">
        <f>(K34+L34)/1000</f>
        <v>46.332999999999998</v>
      </c>
      <c r="J40" s="130">
        <f>+I40+'19'!J40</f>
        <v>779.4939999999998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37</v>
      </c>
      <c r="D41" s="117">
        <f>+C41+'19'!D41</f>
        <v>87</v>
      </c>
      <c r="E41" s="142">
        <f t="shared" si="12"/>
        <v>1.45</v>
      </c>
      <c r="F41" s="320"/>
      <c r="G41" s="320"/>
      <c r="H41" s="186" t="s">
        <v>68</v>
      </c>
      <c r="I41" s="141"/>
      <c r="J41" s="128">
        <f>J40/G4</f>
        <v>38.974699999999991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+C42+'19'!D42</f>
        <v>0</v>
      </c>
      <c r="E42" s="142">
        <f t="shared" si="12"/>
        <v>0</v>
      </c>
      <c r="F42" s="320">
        <f>+(480*F38+480*F39+480*F40)/1440</f>
        <v>1225.375</v>
      </c>
      <c r="G42" s="320">
        <f>+(480*G38+480*G39+480*G40)/1440</f>
        <v>931.28499999999997</v>
      </c>
      <c r="H42" s="186" t="s">
        <v>69</v>
      </c>
      <c r="I42" s="244" t="s">
        <v>603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+C43+'19'!D43</f>
        <v>0</v>
      </c>
      <c r="E43" s="142">
        <f t="shared" si="12"/>
        <v>0</v>
      </c>
      <c r="F43" s="320"/>
      <c r="G43" s="321"/>
      <c r="H43" s="187" t="s">
        <v>72</v>
      </c>
      <c r="I43" s="117">
        <f>+Report1!Z28</f>
        <v>54.3</v>
      </c>
      <c r="J43" s="132">
        <f>+I43+'19'!J43</f>
        <v>1024.3999999999999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+C44+'19'!D44</f>
        <v>0</v>
      </c>
      <c r="E44" s="142">
        <f t="shared" si="12"/>
        <v>0</v>
      </c>
      <c r="F44" s="320"/>
      <c r="G44" s="321"/>
      <c r="H44" s="187" t="s">
        <v>73</v>
      </c>
      <c r="I44" s="117">
        <f>I43/I38</f>
        <v>1.1876380656591061</v>
      </c>
      <c r="J44" s="133">
        <f>J43/J38</f>
        <v>1.2592687292252625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+C45+'19'!D45</f>
        <v>0</v>
      </c>
      <c r="E45" s="142">
        <f t="shared" si="12"/>
        <v>0</v>
      </c>
      <c r="F45" s="320"/>
      <c r="G45" s="323"/>
      <c r="H45" s="187" t="s">
        <v>74</v>
      </c>
      <c r="I45" s="117">
        <f>I43/I40</f>
        <v>1.1719508773444414</v>
      </c>
      <c r="J45" s="133">
        <f>J43/J40</f>
        <v>1.3141858692946964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+C46+'19'!D46</f>
        <v>935</v>
      </c>
      <c r="E46" s="142">
        <f t="shared" si="12"/>
        <v>15.583333333333334</v>
      </c>
      <c r="F46" s="320"/>
      <c r="G46" s="321"/>
      <c r="H46" s="187" t="s">
        <v>76</v>
      </c>
      <c r="I46" s="139">
        <f>+SUMIF(Listrik!P27,"&gt;0")</f>
        <v>39205.320000000364</v>
      </c>
      <c r="J46" s="134">
        <f>+I46+'19'!J46</f>
        <v>751991.51999999932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+C47+'19'!D47</f>
        <v>935</v>
      </c>
      <c r="E47" s="142">
        <f t="shared" si="12"/>
        <v>15.583333333333334</v>
      </c>
      <c r="F47" s="320"/>
      <c r="G47" s="321"/>
      <c r="H47" s="187" t="s">
        <v>79</v>
      </c>
      <c r="I47" s="117">
        <f>I46/I38</f>
        <v>857.49043109294109</v>
      </c>
      <c r="J47" s="134">
        <f>J46/J38</f>
        <v>924.40394941289799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+C48+'19'!D48</f>
        <v>0</v>
      </c>
      <c r="E48" s="142">
        <f t="shared" si="12"/>
        <v>0</v>
      </c>
      <c r="F48" s="320"/>
      <c r="G48" s="321"/>
      <c r="H48" s="187" t="s">
        <v>80</v>
      </c>
      <c r="I48" s="117">
        <f>I46/I40</f>
        <v>846.16407312283604</v>
      </c>
      <c r="J48" s="134">
        <f>J46/J40</f>
        <v>964.7175218795777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+C49+'19'!D49</f>
        <v>0</v>
      </c>
      <c r="E49" s="142">
        <f t="shared" si="12"/>
        <v>0</v>
      </c>
      <c r="F49" s="184"/>
      <c r="H49" s="187" t="s">
        <v>270</v>
      </c>
      <c r="I49" s="117">
        <f>+Report1!T28</f>
        <v>5498.6401382985468</v>
      </c>
      <c r="J49" s="134">
        <f>+I49+'19'!J49</f>
        <v>104738.19079758022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+C50+'19'!D50</f>
        <v>0</v>
      </c>
      <c r="E50" s="142">
        <f t="shared" si="12"/>
        <v>0</v>
      </c>
      <c r="F50" s="184"/>
      <c r="H50" s="187" t="s">
        <v>82</v>
      </c>
      <c r="I50" s="139">
        <f>I49/I38</f>
        <v>120.26508909032056</v>
      </c>
      <c r="J50" s="132">
        <f>J49/J38</f>
        <v>128.75198011228224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+C51+'19'!D51</f>
        <v>0</v>
      </c>
      <c r="E51" s="142">
        <f t="shared" si="12"/>
        <v>0</v>
      </c>
      <c r="F51" s="184"/>
      <c r="H51" s="189" t="s">
        <v>84</v>
      </c>
      <c r="I51" s="140">
        <f>I49/I40</f>
        <v>118.67654022615731</v>
      </c>
      <c r="J51" s="135">
        <f>J49/J40</f>
        <v>134.36689801022231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96</v>
      </c>
      <c r="D52" s="143">
        <f>SUM(D38:D51)</f>
        <v>3275</v>
      </c>
      <c r="E52" s="144">
        <f>SUM(E38:E51)</f>
        <v>54.583333333333336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6.6666666666666666E-2</v>
      </c>
      <c r="D53" s="145">
        <f>D52/(24*60*G4)</f>
        <v>0.11371527777777778</v>
      </c>
      <c r="E53" s="146">
        <f>E52/(G4*24)</f>
        <v>0.11371527777777778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+D34+'19'!J56</f>
        <v>5865</v>
      </c>
      <c r="K56" s="200">
        <f>J56/(J40+J56/1000)/1000</f>
        <v>7.4679223132350951E-3</v>
      </c>
    </row>
    <row r="57" spans="1:11">
      <c r="A57" s="175"/>
      <c r="I57" s="198" t="s">
        <v>87</v>
      </c>
      <c r="J57" s="199">
        <f>+E34+'19'!J57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B1" zoomScale="80" zoomScaleNormal="80" workbookViewId="0">
      <selection activeCell="H10" sqref="H10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4.140625" style="148" customWidth="1"/>
    <col min="14" max="14" width="10.140625" style="148" bestFit="1" customWidth="1"/>
    <col min="15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19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1230</v>
      </c>
      <c r="P6" s="148">
        <f>+O6-(O6*0.24)</f>
        <v>934.8</v>
      </c>
      <c r="Q6" s="148">
        <f>60*6+15</f>
        <v>375</v>
      </c>
      <c r="R6" s="148">
        <f t="shared" ref="R6:R11" si="0">+O6*Q6</f>
        <v>461250</v>
      </c>
      <c r="S6" s="148">
        <f t="shared" ref="S6:S11" si="1">+P6*Q6</f>
        <v>350550</v>
      </c>
    </row>
    <row r="7" spans="1:19" ht="13.5" customHeight="1" thickBot="1">
      <c r="A7" s="750" t="s">
        <v>431</v>
      </c>
      <c r="B7" s="214" t="s">
        <v>466</v>
      </c>
      <c r="C7" s="215">
        <v>13951</v>
      </c>
      <c r="D7" s="216"/>
      <c r="E7" s="217"/>
      <c r="F7" s="226">
        <v>9</v>
      </c>
      <c r="G7" s="227" t="s">
        <v>11</v>
      </c>
      <c r="H7" s="228" t="s">
        <v>428</v>
      </c>
      <c r="I7" s="753" t="s">
        <v>595</v>
      </c>
      <c r="J7" s="213" t="str">
        <f>+'18'!J7</f>
        <v>T 13 VP OW</v>
      </c>
      <c r="K7" s="236"/>
      <c r="L7" s="240"/>
      <c r="M7" s="116">
        <f>+K7+'18'!M7+L7</f>
        <v>79167</v>
      </c>
      <c r="O7" s="148">
        <v>1050</v>
      </c>
      <c r="P7" s="148">
        <f>+O7-(O7*0.24)</f>
        <v>798</v>
      </c>
      <c r="Q7" s="148">
        <f>480-Q6</f>
        <v>105</v>
      </c>
      <c r="R7" s="148">
        <f t="shared" si="0"/>
        <v>110250</v>
      </c>
      <c r="S7" s="148">
        <f t="shared" si="1"/>
        <v>83790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+'18'!J8</f>
        <v>F 12 VP OW</v>
      </c>
      <c r="K8" s="237"/>
      <c r="L8" s="237"/>
      <c r="M8" s="116">
        <f>+K8+'18'!M8+L8</f>
        <v>253437</v>
      </c>
      <c r="P8" s="148">
        <f>+O8-(O8*0.24)</f>
        <v>0</v>
      </c>
      <c r="R8" s="148">
        <f t="shared" si="0"/>
        <v>0</v>
      </c>
      <c r="S8" s="148">
        <f t="shared" si="1"/>
        <v>0</v>
      </c>
    </row>
    <row r="9" spans="1:19" ht="13.5" thickBot="1">
      <c r="A9" s="751"/>
      <c r="B9" s="214"/>
      <c r="C9" s="215"/>
      <c r="D9" s="216"/>
      <c r="E9" s="219"/>
      <c r="F9" s="226">
        <f>22-9</f>
        <v>13</v>
      </c>
      <c r="G9" s="230" t="s">
        <v>11</v>
      </c>
      <c r="H9" s="231" t="s">
        <v>409</v>
      </c>
      <c r="I9" s="754"/>
      <c r="J9" s="213" t="str">
        <f>+'18'!J9</f>
        <v>F 13,5 VP OW</v>
      </c>
      <c r="K9" s="237">
        <f>+C34</f>
        <v>43503</v>
      </c>
      <c r="L9" s="237"/>
      <c r="M9" s="116">
        <f>+K9+'18'!M9+L9</f>
        <v>181372</v>
      </c>
      <c r="R9" s="148">
        <f t="shared" si="0"/>
        <v>0</v>
      </c>
      <c r="S9" s="148">
        <f t="shared" si="1"/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592</v>
      </c>
      <c r="I10" s="754"/>
      <c r="J10" s="213" t="str">
        <f>+'18'!J10</f>
        <v>F 12,5 VP OW</v>
      </c>
      <c r="K10" s="237"/>
      <c r="L10" s="237"/>
      <c r="M10" s="116">
        <f>+K10+'18'!M10+L10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26.25" thickBot="1">
      <c r="A11" s="751"/>
      <c r="B11" s="214"/>
      <c r="C11" s="215"/>
      <c r="D11" s="216"/>
      <c r="E11" s="218"/>
      <c r="F11" s="226"/>
      <c r="G11" s="230"/>
      <c r="H11" s="231" t="s">
        <v>593</v>
      </c>
      <c r="I11" s="754"/>
      <c r="J11" s="213" t="str">
        <f>+'18'!J11</f>
        <v>F 14 VP OW</v>
      </c>
      <c r="K11" s="237"/>
      <c r="L11" s="237"/>
      <c r="M11" s="116">
        <f>+K11+'18'!M11+L11</f>
        <v>15282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+'18'!J12</f>
        <v>F 13 VP OW</v>
      </c>
      <c r="K12" s="237"/>
      <c r="L12" s="237"/>
      <c r="M12" s="116">
        <f>+K12+'18'!M12+L12</f>
        <v>112411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+'18'!J13</f>
        <v>F 16 VP OW</v>
      </c>
      <c r="K13" s="237"/>
      <c r="L13" s="237"/>
      <c r="M13" s="116">
        <f>+K13+'18'!M13+L13</f>
        <v>40814</v>
      </c>
    </row>
    <row r="14" spans="1:19" ht="13.5" thickBot="1">
      <c r="A14" s="752"/>
      <c r="B14" s="164" t="s">
        <v>2</v>
      </c>
      <c r="C14" s="98">
        <f>SUM(C7:C13)</f>
        <v>13951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+'18'!J14</f>
        <v>0</v>
      </c>
      <c r="K14" s="237"/>
      <c r="L14" s="237"/>
      <c r="M14" s="116">
        <f>+K14+'18'!M14+L14</f>
        <v>0</v>
      </c>
      <c r="Q14" s="175">
        <f>SUM(Q6:Q11)</f>
        <v>480</v>
      </c>
      <c r="R14" s="175">
        <f>SUM(R6:R11)</f>
        <v>571500</v>
      </c>
      <c r="S14" s="175">
        <f>SUM(S6:S11)</f>
        <v>434340</v>
      </c>
    </row>
    <row r="15" spans="1:19" ht="13.5" customHeight="1" thickBot="1">
      <c r="A15" s="750" t="s">
        <v>391</v>
      </c>
      <c r="B15" s="164"/>
      <c r="C15" s="112">
        <f>C14/($C$23+$D$23+$E$23)</f>
        <v>1.0502898441617106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594</v>
      </c>
      <c r="J15" s="213">
        <f>+'18'!J15</f>
        <v>0</v>
      </c>
      <c r="K15" s="237"/>
      <c r="L15" s="237"/>
      <c r="M15" s="116">
        <f>+K15+'18'!M15+L15</f>
        <v>0</v>
      </c>
      <c r="Q15" s="148">
        <f>480-Q14</f>
        <v>0</v>
      </c>
      <c r="R15" s="175">
        <f>+R14/Q14</f>
        <v>1190.625</v>
      </c>
      <c r="S15" s="175">
        <f>+S14/Q14</f>
        <v>904.875</v>
      </c>
    </row>
    <row r="16" spans="1:19" ht="13.5" thickBot="1">
      <c r="A16" s="771"/>
      <c r="B16" s="214" t="s">
        <v>466</v>
      </c>
      <c r="C16" s="220">
        <v>13283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+'18'!J16</f>
        <v>0</v>
      </c>
      <c r="K16" s="227"/>
      <c r="L16" s="227"/>
      <c r="M16" s="116">
        <f>+K16+'18'!M16+L16</f>
        <v>0</v>
      </c>
    </row>
    <row r="17" spans="1:19" ht="13.5" thickBot="1">
      <c r="A17" s="771"/>
      <c r="B17" s="214"/>
      <c r="C17" s="215"/>
      <c r="D17" s="216"/>
      <c r="E17" s="223"/>
      <c r="F17" s="226">
        <v>10</v>
      </c>
      <c r="G17" s="230" t="s">
        <v>11</v>
      </c>
      <c r="H17" s="231" t="s">
        <v>386</v>
      </c>
      <c r="I17" s="754"/>
      <c r="J17" s="213">
        <f>+'18'!J17</f>
        <v>0</v>
      </c>
      <c r="K17" s="227"/>
      <c r="L17" s="227"/>
      <c r="M17" s="116">
        <f>+K17+'18'!M17+L17</f>
        <v>0</v>
      </c>
      <c r="N17" s="148" t="s">
        <v>459</v>
      </c>
      <c r="O17" s="148">
        <v>1000</v>
      </c>
      <c r="P17" s="148">
        <f>+O17-(O17*0.24)</f>
        <v>760</v>
      </c>
      <c r="Q17" s="148">
        <v>50</v>
      </c>
      <c r="R17" s="148">
        <f t="shared" ref="R17:R22" si="2">+O17*Q17</f>
        <v>50000</v>
      </c>
      <c r="S17" s="148">
        <f t="shared" ref="S17:S22" si="3">+P17*Q17</f>
        <v>38000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579</v>
      </c>
      <c r="I18" s="754"/>
      <c r="J18" s="213">
        <f>+'18'!J18</f>
        <v>0</v>
      </c>
      <c r="K18" s="237"/>
      <c r="L18" s="237"/>
      <c r="M18" s="116">
        <f>+K18+'18'!M18+L18</f>
        <v>0</v>
      </c>
      <c r="O18" s="148">
        <v>1230</v>
      </c>
      <c r="P18" s="148">
        <f>+O18-(O18*0.24)</f>
        <v>934.8</v>
      </c>
      <c r="Q18" s="148">
        <f>480-Q17</f>
        <v>430</v>
      </c>
      <c r="R18" s="148">
        <f t="shared" si="2"/>
        <v>528900</v>
      </c>
      <c r="S18" s="148">
        <f t="shared" si="3"/>
        <v>401964</v>
      </c>
    </row>
    <row r="19" spans="1:19" ht="39" thickBot="1">
      <c r="A19" s="771"/>
      <c r="B19" s="214"/>
      <c r="C19" s="215"/>
      <c r="D19" s="216"/>
      <c r="E19" s="223"/>
      <c r="F19" s="233">
        <v>50</v>
      </c>
      <c r="G19" s="230" t="s">
        <v>67</v>
      </c>
      <c r="H19" s="231" t="s">
        <v>591</v>
      </c>
      <c r="I19" s="754"/>
      <c r="J19" s="213">
        <f>+'18'!J19</f>
        <v>0</v>
      </c>
      <c r="K19" s="237"/>
      <c r="L19" s="237"/>
      <c r="M19" s="116">
        <f>+K19+'18'!M19+L19</f>
        <v>0</v>
      </c>
      <c r="P19" s="148">
        <f>+O19-(O19*0.24)</f>
        <v>0</v>
      </c>
      <c r="R19" s="148">
        <f t="shared" si="2"/>
        <v>0</v>
      </c>
      <c r="S19" s="148">
        <f t="shared" si="3"/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+'18'!J20</f>
        <v>0</v>
      </c>
      <c r="K20" s="238"/>
      <c r="L20" s="238"/>
      <c r="M20" s="116">
        <f>+K20+'18'!M20+L20</f>
        <v>0</v>
      </c>
      <c r="R20" s="148">
        <f t="shared" si="2"/>
        <v>0</v>
      </c>
      <c r="S20" s="148">
        <f t="shared" si="3"/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+'18'!J21</f>
        <v>0</v>
      </c>
      <c r="K21" s="237"/>
      <c r="L21" s="237"/>
      <c r="M21" s="116">
        <f>+K21+'18'!M21+L21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+'18'!J22</f>
        <v>0</v>
      </c>
      <c r="K22" s="237"/>
      <c r="L22" s="237"/>
      <c r="M22" s="116">
        <f>+K22+'18'!M22+L22</f>
        <v>0</v>
      </c>
      <c r="P22" s="148">
        <f>+O22-(O22*0.23)</f>
        <v>0</v>
      </c>
      <c r="R22" s="148">
        <f t="shared" si="2"/>
        <v>0</v>
      </c>
      <c r="S22" s="148">
        <f t="shared" si="3"/>
        <v>0</v>
      </c>
    </row>
    <row r="23" spans="1:19" ht="13.5" thickBot="1">
      <c r="A23" s="772"/>
      <c r="B23" s="167" t="s">
        <v>2</v>
      </c>
      <c r="C23" s="99">
        <f>SUM(C16:C22)</f>
        <v>13283</v>
      </c>
      <c r="D23" s="110">
        <f>SUM(D16:D22)</f>
        <v>0</v>
      </c>
      <c r="E23" s="111">
        <f>SUM(E18:E22)</f>
        <v>0</v>
      </c>
      <c r="F23" s="115">
        <f>SUM(F15:F22)</f>
        <v>69</v>
      </c>
      <c r="G23" s="158"/>
      <c r="H23" s="165"/>
      <c r="I23" s="168"/>
      <c r="J23" s="213">
        <f>+'18'!J23</f>
        <v>0</v>
      </c>
      <c r="K23" s="237"/>
      <c r="L23" s="237"/>
      <c r="M23" s="116">
        <f>+K23+'18'!M23+L23</f>
        <v>0</v>
      </c>
    </row>
    <row r="24" spans="1:19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9</v>
      </c>
      <c r="G24" s="227" t="s">
        <v>11</v>
      </c>
      <c r="H24" s="228" t="s">
        <v>428</v>
      </c>
      <c r="I24" s="753" t="s">
        <v>442</v>
      </c>
      <c r="J24" s="213">
        <f>+'18'!J24</f>
        <v>0</v>
      </c>
      <c r="K24" s="237"/>
      <c r="L24" s="237"/>
      <c r="M24" s="116">
        <f>+K24+'18'!M24+L24</f>
        <v>0</v>
      </c>
    </row>
    <row r="25" spans="1:19" ht="13.5" thickBot="1">
      <c r="A25" s="771"/>
      <c r="B25" s="214" t="s">
        <v>466</v>
      </c>
      <c r="C25" s="224">
        <v>16269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+'18'!J25</f>
        <v>0</v>
      </c>
      <c r="K25" s="237"/>
      <c r="L25" s="237"/>
      <c r="M25" s="116">
        <f>+K25+'18'!M25+L25</f>
        <v>0</v>
      </c>
      <c r="Q25" s="175">
        <f>SUM(Q17:Q22)</f>
        <v>480</v>
      </c>
      <c r="R25" s="175">
        <f>SUM(R17:R22)</f>
        <v>578900</v>
      </c>
      <c r="S25" s="175">
        <f>SUM(S17:S22)</f>
        <v>439964</v>
      </c>
    </row>
    <row r="26" spans="1:19" ht="13.5" thickBot="1">
      <c r="A26" s="771"/>
      <c r="B26" s="214"/>
      <c r="C26" s="224"/>
      <c r="D26" s="216"/>
      <c r="E26" s="225"/>
      <c r="F26" s="226">
        <f>22-9</f>
        <v>13</v>
      </c>
      <c r="G26" s="230" t="s">
        <v>11</v>
      </c>
      <c r="H26" s="231" t="s">
        <v>409</v>
      </c>
      <c r="I26" s="754"/>
      <c r="J26" s="213">
        <f>+'18'!J26</f>
        <v>0</v>
      </c>
      <c r="K26" s="237"/>
      <c r="L26" s="237"/>
      <c r="M26" s="116">
        <f>+K26+'18'!M26+L26</f>
        <v>0</v>
      </c>
      <c r="Q26" s="148">
        <f>480-Q25</f>
        <v>0</v>
      </c>
      <c r="R26" s="175">
        <f>+R25/Q25</f>
        <v>1206.0416666666667</v>
      </c>
      <c r="S26" s="175">
        <f>+S25/Q25</f>
        <v>916.5916666666667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579</v>
      </c>
      <c r="I27" s="754"/>
      <c r="J27" s="213">
        <f>+'18'!J27</f>
        <v>0</v>
      </c>
      <c r="K27" s="237"/>
      <c r="L27" s="237"/>
      <c r="M27" s="116">
        <f>+K27+'18'!M27+L27</f>
        <v>0</v>
      </c>
      <c r="N27" s="148" t="s">
        <v>459</v>
      </c>
      <c r="O27" s="148">
        <v>1230</v>
      </c>
      <c r="P27" s="148">
        <f>+O27-(O27*0.24)</f>
        <v>934.8</v>
      </c>
      <c r="Q27" s="148">
        <v>480</v>
      </c>
      <c r="R27" s="148">
        <f t="shared" ref="R27:R32" si="4">+O27*Q27</f>
        <v>590400</v>
      </c>
      <c r="S27" s="148">
        <f t="shared" ref="S27:S32" si="5">+P27*Q27</f>
        <v>448704</v>
      </c>
    </row>
    <row r="28" spans="1:19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+'18'!J28</f>
        <v>0</v>
      </c>
      <c r="K28" s="237"/>
      <c r="L28" s="237"/>
      <c r="M28" s="116">
        <f>+K28+'18'!M28+L28</f>
        <v>0</v>
      </c>
      <c r="P28" s="148">
        <f>+O28-(O28*0.24)</f>
        <v>0</v>
      </c>
      <c r="Q28" s="148">
        <f>480-Q27</f>
        <v>0</v>
      </c>
      <c r="R28" s="148">
        <f t="shared" si="4"/>
        <v>0</v>
      </c>
      <c r="S28" s="148">
        <f t="shared" si="5"/>
        <v>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+'18'!J29</f>
        <v>0</v>
      </c>
      <c r="K29" s="237"/>
      <c r="L29" s="237"/>
      <c r="M29" s="116">
        <f>+K29+'18'!M29+L29</f>
        <v>0</v>
      </c>
      <c r="P29" s="148">
        <f>+O29-(O29*0.24)</f>
        <v>0</v>
      </c>
      <c r="R29" s="148">
        <f t="shared" si="4"/>
        <v>0</v>
      </c>
      <c r="S29" s="148">
        <f t="shared" si="5"/>
        <v>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+'18'!J30</f>
        <v>0</v>
      </c>
      <c r="K30" s="237"/>
      <c r="L30" s="237"/>
      <c r="M30" s="116">
        <f>+K30+'18'!M30+L30</f>
        <v>0</v>
      </c>
      <c r="R30" s="148">
        <f t="shared" si="4"/>
        <v>0</v>
      </c>
      <c r="S30" s="148">
        <f t="shared" si="5"/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+'18'!J31</f>
        <v>0</v>
      </c>
      <c r="K31" s="237"/>
      <c r="L31" s="237"/>
      <c r="M31" s="116">
        <f>+K31+'18'!M31+L31</f>
        <v>0</v>
      </c>
      <c r="P31" s="148">
        <f>+O31-(O31*0.23)</f>
        <v>0</v>
      </c>
      <c r="R31" s="148">
        <f t="shared" si="4"/>
        <v>0</v>
      </c>
      <c r="S31" s="148">
        <f t="shared" si="5"/>
        <v>0</v>
      </c>
    </row>
    <row r="32" spans="1:19" ht="13.5" thickBot="1">
      <c r="A32" s="772"/>
      <c r="B32" s="164" t="s">
        <v>2</v>
      </c>
      <c r="C32" s="98">
        <f>SUM(C25:C31)</f>
        <v>16269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+'18'!J32</f>
        <v>0</v>
      </c>
      <c r="K32" s="239"/>
      <c r="L32" s="241"/>
      <c r="M32" s="116">
        <f>+K32+'18'!M32+L32</f>
        <v>0</v>
      </c>
      <c r="P32" s="148">
        <f>+O32-(O32*0.23)</f>
        <v>0</v>
      </c>
      <c r="R32" s="148">
        <f t="shared" si="4"/>
        <v>0</v>
      </c>
      <c r="S32" s="148">
        <f t="shared" si="5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43503</v>
      </c>
      <c r="D34" s="106">
        <f>D14+D23+D32</f>
        <v>0</v>
      </c>
      <c r="E34" s="106">
        <f>E14+E23+E32</f>
        <v>0</v>
      </c>
      <c r="F34" s="107">
        <f>F14+F23+F32</f>
        <v>113</v>
      </c>
      <c r="H34" s="177"/>
      <c r="I34" s="177"/>
      <c r="J34" s="122" t="s">
        <v>27</v>
      </c>
      <c r="K34" s="123">
        <f>SUM(K7:K32)</f>
        <v>43503</v>
      </c>
      <c r="L34" s="211">
        <f>SUM(L7:L32)</f>
        <v>0</v>
      </c>
      <c r="M34" s="119">
        <f>SUM(M7:M32)</f>
        <v>733161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 t="s">
        <v>228</v>
      </c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(13.5*1440)/1440*G42*2.74*1440/1000000</f>
        <v>48.93806592</v>
      </c>
      <c r="J37" s="124">
        <f>+I37+'18'!J37</f>
        <v>853.24688044889263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63</v>
      </c>
      <c r="D38" s="117">
        <f>+C38+'18'!D38</f>
        <v>1251</v>
      </c>
      <c r="E38" s="142">
        <f t="shared" ref="E38:E51" si="6">D38/60</f>
        <v>20.85</v>
      </c>
      <c r="F38" s="320">
        <v>1190.625</v>
      </c>
      <c r="G38" s="320">
        <v>904.875</v>
      </c>
      <c r="H38" s="186" t="s">
        <v>63</v>
      </c>
      <c r="I38" s="243">
        <f>14.179+14.367+15.86</f>
        <v>44.405999999999999</v>
      </c>
      <c r="J38" s="126">
        <f>+I38+'18'!J38</f>
        <v>767.76699999999971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+C39+'18'!D39</f>
        <v>8</v>
      </c>
      <c r="E39" s="142">
        <f t="shared" si="6"/>
        <v>0.13333333333333333</v>
      </c>
      <c r="F39" s="320">
        <v>1206.0416666666667</v>
      </c>
      <c r="G39" s="320">
        <v>916.5916666666667</v>
      </c>
      <c r="H39" s="186" t="s">
        <v>64</v>
      </c>
      <c r="I39" s="141"/>
      <c r="J39" s="128">
        <f>J37/G4</f>
        <v>44.907730549941718</v>
      </c>
      <c r="K39" s="129" t="s">
        <v>62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+C40+'18'!D40</f>
        <v>0</v>
      </c>
      <c r="E40" s="142">
        <f t="shared" si="6"/>
        <v>0</v>
      </c>
      <c r="F40" s="320">
        <v>1230</v>
      </c>
      <c r="G40" s="320">
        <v>934.8</v>
      </c>
      <c r="H40" s="186" t="s">
        <v>66</v>
      </c>
      <c r="I40" s="117">
        <f>(K34+L34)/1000</f>
        <v>43.503</v>
      </c>
      <c r="J40" s="130">
        <f>+I40+'18'!J40</f>
        <v>733.16099999999983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50</v>
      </c>
      <c r="D41" s="117">
        <f>+C41+'18'!D41</f>
        <v>50</v>
      </c>
      <c r="E41" s="142">
        <f t="shared" si="6"/>
        <v>0.83333333333333337</v>
      </c>
      <c r="F41" s="320"/>
      <c r="G41" s="320"/>
      <c r="H41" s="186" t="s">
        <v>68</v>
      </c>
      <c r="I41" s="141"/>
      <c r="J41" s="128">
        <f>J40/G4</f>
        <v>38.587421052631569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+C42+'18'!D42</f>
        <v>0</v>
      </c>
      <c r="E42" s="142">
        <f t="shared" si="6"/>
        <v>0</v>
      </c>
      <c r="F42" s="320">
        <f>+(480*F38+480*F39+480*F40)/1440</f>
        <v>1208.8888888888889</v>
      </c>
      <c r="G42" s="320">
        <f>+(480*G38+480*G39+480*G40)/1440</f>
        <v>918.75555555555559</v>
      </c>
      <c r="H42" s="186" t="s">
        <v>69</v>
      </c>
      <c r="I42" s="244"/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+C43+'18'!D43</f>
        <v>0</v>
      </c>
      <c r="E43" s="142">
        <f t="shared" si="6"/>
        <v>0</v>
      </c>
      <c r="F43" s="320"/>
      <c r="G43" s="321"/>
      <c r="H43" s="187" t="s">
        <v>72</v>
      </c>
      <c r="I43" s="117">
        <f>+Report1!Z27</f>
        <v>54.4</v>
      </c>
      <c r="J43" s="132">
        <f>+I43+'18'!J43</f>
        <v>970.0999999999998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+C44+'18'!D44</f>
        <v>0</v>
      </c>
      <c r="E44" s="142">
        <f t="shared" si="6"/>
        <v>0</v>
      </c>
      <c r="F44" s="320"/>
      <c r="G44" s="321"/>
      <c r="H44" s="187" t="s">
        <v>73</v>
      </c>
      <c r="I44" s="117">
        <f>I43/I38</f>
        <v>1.2250596766202766</v>
      </c>
      <c r="J44" s="133">
        <f>J43/J38</f>
        <v>1.2635343795708855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+C45+'18'!D45</f>
        <v>0</v>
      </c>
      <c r="E45" s="142">
        <f t="shared" si="6"/>
        <v>0</v>
      </c>
      <c r="F45" s="320"/>
      <c r="G45" s="323"/>
      <c r="H45" s="187" t="s">
        <v>74</v>
      </c>
      <c r="I45" s="117">
        <f>I43/I40</f>
        <v>1.2504884720593981</v>
      </c>
      <c r="J45" s="133">
        <f>J43/J40</f>
        <v>1.3231745823904981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+C46+'18'!D46</f>
        <v>935</v>
      </c>
      <c r="E46" s="142">
        <f t="shared" si="6"/>
        <v>15.583333333333334</v>
      </c>
      <c r="F46" s="320"/>
      <c r="G46" s="321"/>
      <c r="H46" s="187" t="s">
        <v>76</v>
      </c>
      <c r="I46" s="139">
        <f>+SUMIF(Listrik!P26,"&gt;0")</f>
        <v>38192.980000000003</v>
      </c>
      <c r="J46" s="134">
        <f>+I46+'18'!J46</f>
        <v>712786.19999999891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+C47+'18'!D47</f>
        <v>935</v>
      </c>
      <c r="E47" s="142">
        <f t="shared" si="6"/>
        <v>15.583333333333334</v>
      </c>
      <c r="F47" s="320"/>
      <c r="G47" s="321"/>
      <c r="H47" s="187" t="s">
        <v>79</v>
      </c>
      <c r="I47" s="117">
        <f>I46/I38</f>
        <v>860.08602441111566</v>
      </c>
      <c r="J47" s="134">
        <f>J46/J38</f>
        <v>928.38869083979796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+C48+'18'!D48</f>
        <v>0</v>
      </c>
      <c r="E48" s="142">
        <f t="shared" si="6"/>
        <v>0</v>
      </c>
      <c r="F48" s="320"/>
      <c r="G48" s="321"/>
      <c r="H48" s="187" t="s">
        <v>80</v>
      </c>
      <c r="I48" s="117">
        <f>I46/I40</f>
        <v>877.93899271314626</v>
      </c>
      <c r="J48" s="134">
        <f>J46/J40</f>
        <v>972.20965108618577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+C49+'18'!D49</f>
        <v>0</v>
      </c>
      <c r="E49" s="142">
        <f t="shared" si="6"/>
        <v>0</v>
      </c>
      <c r="F49" s="184"/>
      <c r="H49" s="187" t="s">
        <v>270</v>
      </c>
      <c r="I49" s="117">
        <f>+Report1!T27</f>
        <v>5468.3954653591554</v>
      </c>
      <c r="J49" s="134">
        <f>+I49+'18'!J49</f>
        <v>99239.550659281667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+C50+'18'!D50</f>
        <v>0</v>
      </c>
      <c r="E50" s="142">
        <f t="shared" si="6"/>
        <v>0</v>
      </c>
      <c r="F50" s="184"/>
      <c r="H50" s="187" t="s">
        <v>82</v>
      </c>
      <c r="I50" s="139">
        <f>I49/I38</f>
        <v>123.1454187578065</v>
      </c>
      <c r="J50" s="132">
        <f>J49/J38</f>
        <v>129.25737972494483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+C51+'18'!D51</f>
        <v>0</v>
      </c>
      <c r="E51" s="142">
        <f t="shared" si="6"/>
        <v>0</v>
      </c>
      <c r="F51" s="184"/>
      <c r="H51" s="189" t="s">
        <v>84</v>
      </c>
      <c r="I51" s="140">
        <f>I49/I40</f>
        <v>125.70157150907191</v>
      </c>
      <c r="J51" s="135">
        <f>J49/J40</f>
        <v>135.35846923019866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113</v>
      </c>
      <c r="D52" s="143">
        <f>SUM(D38:D51)</f>
        <v>3179</v>
      </c>
      <c r="E52" s="144">
        <f>SUM(E38:E51)</f>
        <v>52.983333333333334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7.8472222222222221E-2</v>
      </c>
      <c r="D53" s="145">
        <f>D52/(24*60*G4)</f>
        <v>0.11619152046783626</v>
      </c>
      <c r="E53" s="146">
        <f>E52/(G4*24)</f>
        <v>0.11619152046783626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+D34+'18'!J56</f>
        <v>5865</v>
      </c>
      <c r="K56" s="200">
        <f>J56/(J40+J56/1000)/1000</f>
        <v>7.9361213272604765E-3</v>
      </c>
    </row>
    <row r="57" spans="1:11">
      <c r="A57" s="175"/>
      <c r="I57" s="198" t="s">
        <v>87</v>
      </c>
      <c r="J57" s="199">
        <f>+E34+'18'!J57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I24:I31"/>
    <mergeCell ref="A7:A14"/>
    <mergeCell ref="A41:B41"/>
    <mergeCell ref="I7:I13"/>
    <mergeCell ref="A15:A23"/>
    <mergeCell ref="I15:I22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C1" zoomScale="80" zoomScaleNormal="80" workbookViewId="0">
      <selection activeCell="H8" sqref="H8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2.285156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5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18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" si="1">+P6*Q6</f>
        <v>448704</v>
      </c>
    </row>
    <row r="7" spans="1:19" ht="13.5" customHeight="1" thickBot="1">
      <c r="A7" s="750" t="s">
        <v>431</v>
      </c>
      <c r="B7" s="214" t="s">
        <v>554</v>
      </c>
      <c r="C7" s="215">
        <f>5724+6708</f>
        <v>12432</v>
      </c>
      <c r="D7" s="216"/>
      <c r="E7" s="217"/>
      <c r="F7" s="226">
        <v>6</v>
      </c>
      <c r="G7" s="227" t="s">
        <v>11</v>
      </c>
      <c r="H7" s="228" t="s">
        <v>445</v>
      </c>
      <c r="I7" s="753" t="s">
        <v>442</v>
      </c>
      <c r="J7" s="213" t="str">
        <f>+'17'!J7</f>
        <v>T 13 VP OW</v>
      </c>
      <c r="K7" s="236"/>
      <c r="L7" s="240"/>
      <c r="M7" s="116">
        <f>+K7+'17'!M7+L7</f>
        <v>79167</v>
      </c>
      <c r="O7" s="148">
        <v>1230</v>
      </c>
      <c r="P7" s="148">
        <f>+O7-(O7*0.24)</f>
        <v>934.8</v>
      </c>
      <c r="Q7" s="148">
        <v>480</v>
      </c>
      <c r="R7" s="148">
        <f t="shared" ref="R7:R9" si="2">+O7*Q7</f>
        <v>590400</v>
      </c>
      <c r="S7" s="148">
        <f t="shared" ref="S7:S9" si="3">+P7*Q7</f>
        <v>448704</v>
      </c>
    </row>
    <row r="8" spans="1:19" ht="13.5" thickBot="1">
      <c r="A8" s="751"/>
      <c r="B8" s="214" t="s">
        <v>466</v>
      </c>
      <c r="C8" s="215">
        <v>2058</v>
      </c>
      <c r="D8" s="216"/>
      <c r="E8" s="218"/>
      <c r="F8" s="229"/>
      <c r="G8" s="230" t="s">
        <v>11</v>
      </c>
      <c r="H8" s="228" t="s">
        <v>427</v>
      </c>
      <c r="I8" s="754"/>
      <c r="J8" s="213" t="str">
        <f>+'17'!J8</f>
        <v>F 12 VP OW</v>
      </c>
      <c r="K8" s="237"/>
      <c r="L8" s="237"/>
      <c r="M8" s="116">
        <f>+K8+'17'!M8+L8</f>
        <v>253437</v>
      </c>
      <c r="O8" s="148">
        <v>1230</v>
      </c>
      <c r="P8" s="148">
        <f>+O8-(O8*0.24)</f>
        <v>934.8</v>
      </c>
      <c r="Q8" s="148">
        <v>480</v>
      </c>
      <c r="R8" s="148">
        <f t="shared" si="2"/>
        <v>590400</v>
      </c>
      <c r="S8" s="148">
        <f t="shared" si="3"/>
        <v>448704</v>
      </c>
    </row>
    <row r="9" spans="1:19" ht="13.5" thickBot="1">
      <c r="A9" s="751"/>
      <c r="B9" s="214"/>
      <c r="C9" s="215"/>
      <c r="D9" s="216"/>
      <c r="E9" s="219"/>
      <c r="F9" s="226">
        <v>18</v>
      </c>
      <c r="G9" s="230" t="s">
        <v>11</v>
      </c>
      <c r="H9" s="231" t="s">
        <v>386</v>
      </c>
      <c r="I9" s="754"/>
      <c r="J9" s="213" t="str">
        <f>+'17'!J9</f>
        <v>F 13,5 VP OW</v>
      </c>
      <c r="K9" s="237">
        <f>+C8+C17+C25</f>
        <v>26067</v>
      </c>
      <c r="L9" s="237"/>
      <c r="M9" s="116">
        <f>+K9+'17'!M9+L9</f>
        <v>137869</v>
      </c>
      <c r="R9" s="148">
        <f t="shared" si="2"/>
        <v>0</v>
      </c>
      <c r="S9" s="148">
        <f t="shared" si="3"/>
        <v>0</v>
      </c>
    </row>
    <row r="10" spans="1:19" ht="39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587</v>
      </c>
      <c r="I10" s="754"/>
      <c r="J10" s="213" t="str">
        <f>+'17'!J10</f>
        <v>F 12,5 VP OW</v>
      </c>
      <c r="K10" s="237"/>
      <c r="L10" s="237"/>
      <c r="M10" s="116">
        <f>+K10+'17'!M10+L10</f>
        <v>50678</v>
      </c>
      <c r="P10" s="148">
        <f>+O10-(O10*0.23)</f>
        <v>0</v>
      </c>
      <c r="R10" s="148">
        <f t="shared" ref="R10:R11" si="4">+O10*Q10</f>
        <v>0</v>
      </c>
      <c r="S10" s="148">
        <f t="shared" ref="S10:S11" si="5">+P10*Q10</f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 t="str">
        <f>+'17'!J11</f>
        <v>F 14 VP OW</v>
      </c>
      <c r="K11" s="237"/>
      <c r="L11" s="237"/>
      <c r="M11" s="116">
        <f>+K11+'17'!M11+L11</f>
        <v>15282</v>
      </c>
      <c r="P11" s="148">
        <f>+O11-(O11*0.23)</f>
        <v>0</v>
      </c>
      <c r="R11" s="148">
        <f t="shared" si="4"/>
        <v>0</v>
      </c>
      <c r="S11" s="148">
        <f t="shared" si="5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+'17'!J12</f>
        <v>F 13 VP OW</v>
      </c>
      <c r="K12" s="237">
        <f>+C7+C16</f>
        <v>15583</v>
      </c>
      <c r="L12" s="237"/>
      <c r="M12" s="116">
        <f>+K12+'17'!M12+L12</f>
        <v>112411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+'17'!J13</f>
        <v>F 16 VP OW</v>
      </c>
      <c r="K13" s="237"/>
      <c r="L13" s="237"/>
      <c r="M13" s="116">
        <f>+K13+'17'!M13+L13</f>
        <v>40814</v>
      </c>
    </row>
    <row r="14" spans="1:19" ht="13.5" thickBot="1">
      <c r="A14" s="752"/>
      <c r="B14" s="164" t="s">
        <v>2</v>
      </c>
      <c r="C14" s="98">
        <f>SUM(C7:C13)</f>
        <v>14490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>
        <f>+'17'!J14</f>
        <v>0</v>
      </c>
      <c r="K14" s="237"/>
      <c r="L14" s="237"/>
      <c r="M14" s="116">
        <f>+K14+'17'!M14+L14</f>
        <v>0</v>
      </c>
      <c r="Q14" s="175">
        <f>SUM(Q6:Q11)</f>
        <v>1440</v>
      </c>
      <c r="R14" s="175">
        <f>SUM(R6:R11)</f>
        <v>1771200</v>
      </c>
      <c r="S14" s="175">
        <f>SUM(S6:S11)</f>
        <v>1346112</v>
      </c>
    </row>
    <row r="15" spans="1:19" ht="13.5" customHeight="1" thickBot="1">
      <c r="A15" s="750" t="s">
        <v>391</v>
      </c>
      <c r="B15" s="164"/>
      <c r="C15" s="112">
        <f>C14/($C$23+$D$23+$E$23)</f>
        <v>1.0960665658093798</v>
      </c>
      <c r="D15" s="113">
        <f>D14/($C$23+$D$23+$E$23)</f>
        <v>0</v>
      </c>
      <c r="E15" s="114">
        <f>E14/($C$23+$D$23+$E$23)</f>
        <v>0</v>
      </c>
      <c r="F15" s="226">
        <v>5</v>
      </c>
      <c r="G15" s="227" t="s">
        <v>11</v>
      </c>
      <c r="H15" s="228" t="s">
        <v>445</v>
      </c>
      <c r="I15" s="753" t="s">
        <v>442</v>
      </c>
      <c r="J15" s="213">
        <f>+'17'!J15</f>
        <v>0</v>
      </c>
      <c r="K15" s="237"/>
      <c r="L15" s="237"/>
      <c r="M15" s="116">
        <f>+K15+'17'!M15+L15</f>
        <v>0</v>
      </c>
      <c r="Q15" s="148">
        <f>480-Q14</f>
        <v>-960</v>
      </c>
      <c r="R15" s="175">
        <f>+R14/Q14</f>
        <v>1230</v>
      </c>
      <c r="S15" s="175">
        <f>+S14/Q14</f>
        <v>934.8</v>
      </c>
    </row>
    <row r="16" spans="1:19" ht="13.5" thickBot="1">
      <c r="A16" s="771"/>
      <c r="B16" s="214" t="s">
        <v>554</v>
      </c>
      <c r="C16" s="220">
        <f>1697+1454</f>
        <v>3151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+'17'!J16</f>
        <v>0</v>
      </c>
      <c r="K16" s="227"/>
      <c r="L16" s="227"/>
      <c r="M16" s="116">
        <f>+K16+'17'!M16+L16</f>
        <v>0</v>
      </c>
    </row>
    <row r="17" spans="1:13" ht="13.5" thickBot="1">
      <c r="A17" s="771"/>
      <c r="B17" s="214" t="s">
        <v>466</v>
      </c>
      <c r="C17" s="215">
        <v>10069</v>
      </c>
      <c r="D17" s="216"/>
      <c r="E17" s="223"/>
      <c r="F17" s="226">
        <v>9</v>
      </c>
      <c r="G17" s="230" t="s">
        <v>11</v>
      </c>
      <c r="H17" s="231" t="s">
        <v>409</v>
      </c>
      <c r="I17" s="754"/>
      <c r="J17" s="213">
        <f>+'17'!J17</f>
        <v>0</v>
      </c>
      <c r="K17" s="227"/>
      <c r="L17" s="227"/>
      <c r="M17" s="116">
        <f>+K17+'17'!M17+L17</f>
        <v>0</v>
      </c>
    </row>
    <row r="18" spans="1:13" ht="26.25" thickBot="1">
      <c r="A18" s="771"/>
      <c r="B18" s="214"/>
      <c r="C18" s="215"/>
      <c r="D18" s="216"/>
      <c r="E18" s="223"/>
      <c r="F18" s="226">
        <v>8</v>
      </c>
      <c r="G18" s="235" t="s">
        <v>12</v>
      </c>
      <c r="H18" s="231" t="s">
        <v>586</v>
      </c>
      <c r="I18" s="754"/>
      <c r="J18" s="213">
        <f>+'17'!J18</f>
        <v>0</v>
      </c>
      <c r="K18" s="237"/>
      <c r="L18" s="237"/>
      <c r="M18" s="116">
        <f>+K18+'17'!M18+L18</f>
        <v>0</v>
      </c>
    </row>
    <row r="19" spans="1:13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+'17'!J19</f>
        <v>0</v>
      </c>
      <c r="K19" s="237"/>
      <c r="L19" s="237"/>
      <c r="M19" s="116">
        <f>+K19+'17'!M19+L19</f>
        <v>0</v>
      </c>
    </row>
    <row r="20" spans="1:1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+'17'!J20</f>
        <v>0</v>
      </c>
      <c r="K20" s="238"/>
      <c r="L20" s="238"/>
      <c r="M20" s="116">
        <f>+K20+'17'!M20+L20</f>
        <v>0</v>
      </c>
    </row>
    <row r="21" spans="1:1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+'17'!J21</f>
        <v>0</v>
      </c>
      <c r="K21" s="237"/>
      <c r="L21" s="237"/>
      <c r="M21" s="116">
        <f>+K21+'17'!M21+L21</f>
        <v>0</v>
      </c>
    </row>
    <row r="22" spans="1:1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+'17'!J22</f>
        <v>0</v>
      </c>
      <c r="K22" s="237"/>
      <c r="L22" s="237"/>
      <c r="M22" s="116">
        <f>+K22+'17'!M22+L22</f>
        <v>0</v>
      </c>
    </row>
    <row r="23" spans="1:13" ht="13.5" thickBot="1">
      <c r="A23" s="772"/>
      <c r="B23" s="167" t="s">
        <v>2</v>
      </c>
      <c r="C23" s="99">
        <f>SUM(C16:C22)</f>
        <v>13220</v>
      </c>
      <c r="D23" s="110">
        <f>SUM(D16:D22)</f>
        <v>0</v>
      </c>
      <c r="E23" s="111">
        <f>SUM(E18:E22)</f>
        <v>0</v>
      </c>
      <c r="F23" s="115">
        <f>SUM(F15:F22)</f>
        <v>22</v>
      </c>
      <c r="G23" s="158"/>
      <c r="H23" s="165"/>
      <c r="I23" s="168"/>
      <c r="J23" s="213">
        <f>+'17'!J23</f>
        <v>0</v>
      </c>
      <c r="K23" s="237"/>
      <c r="L23" s="237"/>
      <c r="M23" s="116">
        <f>+K23+'17'!M23+L23</f>
        <v>0</v>
      </c>
    </row>
    <row r="24" spans="1:13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12</v>
      </c>
      <c r="G24" s="227" t="s">
        <v>11</v>
      </c>
      <c r="H24" s="228" t="s">
        <v>550</v>
      </c>
      <c r="I24" s="753" t="s">
        <v>442</v>
      </c>
      <c r="J24" s="213">
        <f>+'17'!J24</f>
        <v>0</v>
      </c>
      <c r="K24" s="237"/>
      <c r="L24" s="237"/>
      <c r="M24" s="116">
        <f>+K24+'17'!M24+L24</f>
        <v>0</v>
      </c>
    </row>
    <row r="25" spans="1:13" ht="13.5" thickBot="1">
      <c r="A25" s="771"/>
      <c r="B25" s="214" t="s">
        <v>466</v>
      </c>
      <c r="C25" s="224">
        <v>13940</v>
      </c>
      <c r="D25" s="216">
        <v>840</v>
      </c>
      <c r="E25" s="223"/>
      <c r="F25" s="229"/>
      <c r="G25" s="230" t="s">
        <v>11</v>
      </c>
      <c r="H25" s="228" t="s">
        <v>427</v>
      </c>
      <c r="I25" s="754"/>
      <c r="J25" s="213">
        <f>+'17'!J25</f>
        <v>0</v>
      </c>
      <c r="K25" s="237"/>
      <c r="L25" s="237"/>
      <c r="M25" s="116">
        <f>+K25+'17'!M25+L25</f>
        <v>0</v>
      </c>
    </row>
    <row r="26" spans="1:13" ht="13.5" thickBot="1">
      <c r="A26" s="771"/>
      <c r="B26" s="214"/>
      <c r="C26" s="224"/>
      <c r="D26" s="216"/>
      <c r="E26" s="225"/>
      <c r="F26" s="226">
        <f>34-12</f>
        <v>22</v>
      </c>
      <c r="G26" s="230" t="s">
        <v>11</v>
      </c>
      <c r="H26" s="231" t="s">
        <v>409</v>
      </c>
      <c r="I26" s="754"/>
      <c r="J26" s="213">
        <f>+'17'!J26</f>
        <v>0</v>
      </c>
      <c r="K26" s="237"/>
      <c r="L26" s="237"/>
      <c r="M26" s="116">
        <f>+K26+'17'!M26+L26</f>
        <v>0</v>
      </c>
    </row>
    <row r="27" spans="1:13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579</v>
      </c>
      <c r="I27" s="754"/>
      <c r="J27" s="213">
        <f>+'17'!J27</f>
        <v>0</v>
      </c>
      <c r="K27" s="237"/>
      <c r="L27" s="237"/>
      <c r="M27" s="116">
        <f>+K27+'17'!M27+L27</f>
        <v>0</v>
      </c>
    </row>
    <row r="28" spans="1:13" ht="13.5" thickBot="1">
      <c r="A28" s="771"/>
      <c r="B28" s="214"/>
      <c r="C28" s="215"/>
      <c r="D28" s="216"/>
      <c r="E28" s="223"/>
      <c r="F28" s="229"/>
      <c r="G28" s="230"/>
      <c r="H28" s="231" t="s">
        <v>580</v>
      </c>
      <c r="I28" s="754"/>
      <c r="J28" s="213">
        <f>+'17'!J28</f>
        <v>0</v>
      </c>
      <c r="K28" s="237"/>
      <c r="L28" s="237"/>
      <c r="M28" s="116">
        <f>+K28+'17'!M28+L28</f>
        <v>0</v>
      </c>
    </row>
    <row r="29" spans="1:13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+'17'!J29</f>
        <v>0</v>
      </c>
      <c r="K29" s="237"/>
      <c r="L29" s="237"/>
      <c r="M29" s="116">
        <f>+K29+'17'!M29+L29</f>
        <v>0</v>
      </c>
    </row>
    <row r="30" spans="1:13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+'17'!J30</f>
        <v>0</v>
      </c>
      <c r="K30" s="237"/>
      <c r="L30" s="237"/>
      <c r="M30" s="116">
        <f>+K30+'17'!M30+L30</f>
        <v>0</v>
      </c>
    </row>
    <row r="31" spans="1:13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+'17'!J31</f>
        <v>0</v>
      </c>
      <c r="K31" s="237"/>
      <c r="L31" s="237"/>
      <c r="M31" s="116">
        <f>+K31+'17'!M31+L31</f>
        <v>0</v>
      </c>
    </row>
    <row r="32" spans="1:13" ht="13.5" thickBot="1">
      <c r="A32" s="772"/>
      <c r="B32" s="164" t="s">
        <v>2</v>
      </c>
      <c r="C32" s="98">
        <f>SUM(C25:C31)</f>
        <v>13940</v>
      </c>
      <c r="D32" s="99">
        <f>SUM(D25:D31)</f>
        <v>840</v>
      </c>
      <c r="E32" s="100">
        <f>SUM(E25:E31)</f>
        <v>0</v>
      </c>
      <c r="F32" s="101">
        <f>SUM(F24:F31)</f>
        <v>34</v>
      </c>
      <c r="G32" s="170"/>
      <c r="H32" s="171"/>
      <c r="I32" s="168"/>
      <c r="J32" s="213">
        <f>+'17'!J32</f>
        <v>0</v>
      </c>
      <c r="K32" s="239"/>
      <c r="L32" s="241"/>
      <c r="M32" s="116">
        <f>+K32+'17'!M32+L32</f>
        <v>0</v>
      </c>
    </row>
    <row r="33" spans="1:13" ht="13.5" thickBot="1">
      <c r="A33" s="172"/>
      <c r="B33" s="173"/>
      <c r="C33" s="102">
        <f>C32/($C$32+$D$32+$E$32)</f>
        <v>0.94316644113667114</v>
      </c>
      <c r="D33" s="103">
        <f>D32/($C$32+$D$32+$E$32)</f>
        <v>5.6833558863328824E-2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41650</v>
      </c>
      <c r="D34" s="106">
        <f>D14+D23+D32</f>
        <v>840</v>
      </c>
      <c r="E34" s="106">
        <f>E14+E23+E32</f>
        <v>0</v>
      </c>
      <c r="F34" s="107">
        <f>F14+F23+F32</f>
        <v>80</v>
      </c>
      <c r="H34" s="177"/>
      <c r="I34" s="177"/>
      <c r="J34" s="122" t="s">
        <v>27</v>
      </c>
      <c r="K34" s="123">
        <f>SUM(K7:K32)</f>
        <v>41650</v>
      </c>
      <c r="L34" s="211">
        <f>SUM(L7:L32)</f>
        <v>0</v>
      </c>
      <c r="M34" s="119">
        <f>SUM(M7:M32)</f>
        <v>689658</v>
      </c>
    </row>
    <row r="35" spans="1:13" ht="13.5" thickBot="1">
      <c r="A35" s="178"/>
      <c r="B35" s="179"/>
      <c r="C35" s="103">
        <f>C34/($C$34+$D$34+$E$34)</f>
        <v>0.98023064250411862</v>
      </c>
      <c r="D35" s="103">
        <f>D34/($C$34+$D$34+$E$34)</f>
        <v>1.9769357495881382E-2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(13*480+13.5*960)/1440*G42*2.74*1440/1000000</f>
        <v>49.177958400000001</v>
      </c>
      <c r="J37" s="124">
        <f>+I37+'17'!J37</f>
        <v>804.30881452889264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72</v>
      </c>
      <c r="D38" s="117">
        <f>+C38+'17'!D38</f>
        <v>1188</v>
      </c>
      <c r="E38" s="142">
        <f t="shared" ref="E38:E51" si="6">D38/60</f>
        <v>19.8</v>
      </c>
      <c r="F38" s="320">
        <v>1230</v>
      </c>
      <c r="G38" s="320">
        <v>934.8</v>
      </c>
      <c r="H38" s="186" t="s">
        <v>63</v>
      </c>
      <c r="I38" s="243">
        <f>13.081+15.486+15.401</f>
        <v>43.968000000000004</v>
      </c>
      <c r="J38" s="126">
        <f>+I38+'17'!J38</f>
        <v>723.36099999999976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8</v>
      </c>
      <c r="D39" s="117">
        <f>+C39+'17'!D39</f>
        <v>8</v>
      </c>
      <c r="E39" s="142">
        <f t="shared" si="6"/>
        <v>0.13333333333333333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44.683823029382921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+C40+'17'!D40</f>
        <v>0</v>
      </c>
      <c r="E40" s="142">
        <f t="shared" si="6"/>
        <v>0</v>
      </c>
      <c r="F40" s="320">
        <v>1230</v>
      </c>
      <c r="G40" s="320">
        <v>934.8</v>
      </c>
      <c r="H40" s="186" t="s">
        <v>66</v>
      </c>
      <c r="I40" s="117">
        <f>(K34+L34)/1000</f>
        <v>41.65</v>
      </c>
      <c r="J40" s="130">
        <f>+I40+'17'!J40</f>
        <v>689.65799999999979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+C41+'17'!D41</f>
        <v>0</v>
      </c>
      <c r="E41" s="142">
        <f t="shared" si="6"/>
        <v>0</v>
      </c>
      <c r="F41" s="320"/>
      <c r="G41" s="320"/>
      <c r="H41" s="186" t="s">
        <v>68</v>
      </c>
      <c r="I41" s="141"/>
      <c r="J41" s="128">
        <f>J40/G4</f>
        <v>38.314333333333323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+C42+'17'!D42</f>
        <v>0</v>
      </c>
      <c r="E42" s="142">
        <f t="shared" si="6"/>
        <v>0</v>
      </c>
      <c r="F42" s="320">
        <f>+(F38*480+F39*480+F40*480)/1440</f>
        <v>1230</v>
      </c>
      <c r="G42" s="320">
        <f>+(G38*480+G39*480+G40*480)/1440</f>
        <v>934.8</v>
      </c>
      <c r="H42" s="186" t="s">
        <v>69</v>
      </c>
      <c r="I42" s="244" t="s">
        <v>442</v>
      </c>
      <c r="J42" s="131"/>
      <c r="K42" s="129" t="s">
        <v>70</v>
      </c>
    </row>
    <row r="43" spans="1:13" ht="17.45" customHeight="1">
      <c r="A43" s="764" t="s">
        <v>221</v>
      </c>
      <c r="B43" s="765"/>
      <c r="C43" s="163">
        <f>SUMIF($G$7:$G$31,"Change Grade",$F$7:$F$31)</f>
        <v>0</v>
      </c>
      <c r="D43" s="117">
        <f>+C43+'17'!D43</f>
        <v>0</v>
      </c>
      <c r="E43" s="142">
        <f t="shared" si="6"/>
        <v>0</v>
      </c>
      <c r="F43" s="320"/>
      <c r="G43" s="321"/>
      <c r="H43" s="187" t="s">
        <v>72</v>
      </c>
      <c r="I43" s="117">
        <f>+Report1!Z26</f>
        <v>53.7</v>
      </c>
      <c r="J43" s="132">
        <f>+I43+'17'!J43</f>
        <v>915.69999999999982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+C44+'17'!D44</f>
        <v>0</v>
      </c>
      <c r="E44" s="142">
        <f t="shared" si="6"/>
        <v>0</v>
      </c>
      <c r="F44" s="320"/>
      <c r="G44" s="321"/>
      <c r="H44" s="187" t="s">
        <v>73</v>
      </c>
      <c r="I44" s="117">
        <f>I43/I38</f>
        <v>1.2213427947598252</v>
      </c>
      <c r="J44" s="133">
        <f>J43/J38</f>
        <v>1.2658962813864725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+C45+'17'!D45</f>
        <v>0</v>
      </c>
      <c r="E45" s="142">
        <f t="shared" si="6"/>
        <v>0</v>
      </c>
      <c r="F45" s="320"/>
      <c r="G45" s="323"/>
      <c r="H45" s="187" t="s">
        <v>74</v>
      </c>
      <c r="I45" s="117">
        <f>I43/I40</f>
        <v>1.2893157262905164</v>
      </c>
      <c r="J45" s="133">
        <f>J43/J40</f>
        <v>1.3277595561858198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+C46+'17'!D46</f>
        <v>935</v>
      </c>
      <c r="E46" s="142">
        <f t="shared" si="6"/>
        <v>15.583333333333334</v>
      </c>
      <c r="F46" s="320"/>
      <c r="G46" s="321"/>
      <c r="H46" s="187" t="s">
        <v>76</v>
      </c>
      <c r="I46" s="139">
        <f>+SUMIF(Listrik!P25,"&gt;0")</f>
        <v>39292.019999999633</v>
      </c>
      <c r="J46" s="134">
        <f>+I46+'17'!J46</f>
        <v>674593.21999999892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+C47+'17'!D47</f>
        <v>935</v>
      </c>
      <c r="E47" s="142">
        <f t="shared" si="6"/>
        <v>15.583333333333334</v>
      </c>
      <c r="F47" s="320"/>
      <c r="G47" s="321"/>
      <c r="H47" s="187" t="s">
        <v>79</v>
      </c>
      <c r="I47" s="117">
        <f>I46/I38</f>
        <v>893.65038209606143</v>
      </c>
      <c r="J47" s="134">
        <f>J46/J38</f>
        <v>932.58168466367295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+C48+'17'!D48</f>
        <v>0</v>
      </c>
      <c r="E48" s="142">
        <f t="shared" si="6"/>
        <v>0</v>
      </c>
      <c r="F48" s="320"/>
      <c r="G48" s="321"/>
      <c r="H48" s="187" t="s">
        <v>80</v>
      </c>
      <c r="I48" s="117">
        <f>I46/I40</f>
        <v>943.38583433372469</v>
      </c>
      <c r="J48" s="134">
        <f>J46/J40</f>
        <v>978.15615855974863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+C49+'17'!D49</f>
        <v>0</v>
      </c>
      <c r="E49" s="142">
        <f t="shared" si="6"/>
        <v>0</v>
      </c>
      <c r="F49" s="184"/>
      <c r="H49" s="187" t="s">
        <v>270</v>
      </c>
      <c r="I49" s="117">
        <f>+Report1!T26</f>
        <v>5314.1826582473432</v>
      </c>
      <c r="J49" s="134">
        <f>+I49+'17'!J49</f>
        <v>93771.155193922517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+C50+'17'!D50</f>
        <v>0</v>
      </c>
      <c r="E50" s="142">
        <f t="shared" si="6"/>
        <v>0</v>
      </c>
      <c r="F50" s="184"/>
      <c r="H50" s="187" t="s">
        <v>82</v>
      </c>
      <c r="I50" s="139">
        <f>I49/I38</f>
        <v>120.86478025489771</v>
      </c>
      <c r="J50" s="132">
        <f>J49/J38</f>
        <v>129.63258344577957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+C51+'17'!D51</f>
        <v>0</v>
      </c>
      <c r="E51" s="142">
        <f t="shared" si="6"/>
        <v>0</v>
      </c>
      <c r="F51" s="184"/>
      <c r="H51" s="189" t="s">
        <v>84</v>
      </c>
      <c r="I51" s="140">
        <f>I49/I40</f>
        <v>127.59142036608267</v>
      </c>
      <c r="J51" s="135">
        <f>J49/J40</f>
        <v>135.96761756395568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80</v>
      </c>
      <c r="D52" s="143">
        <f>SUM(D38:D51)</f>
        <v>3066</v>
      </c>
      <c r="E52" s="144">
        <f>SUM(E38:E51)</f>
        <v>51.1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5.5555555555555552E-2</v>
      </c>
      <c r="D53" s="145">
        <f>D52/(24*60*G4)</f>
        <v>0.11828703703703704</v>
      </c>
      <c r="E53" s="146">
        <f>E52/(G4*24)</f>
        <v>0.11828703703703704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+D34+'17'!J56</f>
        <v>5865</v>
      </c>
      <c r="K56" s="200">
        <f>J56/(J40+J56/1000)/1000</f>
        <v>8.4325033104584637E-3</v>
      </c>
    </row>
    <row r="57" spans="1:11">
      <c r="A57" s="175"/>
      <c r="I57" s="198" t="s">
        <v>87</v>
      </c>
      <c r="J57" s="199">
        <f>+E34+'17'!J57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zoomScale="80" zoomScaleNormal="80" workbookViewId="0">
      <selection activeCell="G9" sqref="G9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17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1210</v>
      </c>
      <c r="P6" s="148">
        <f>+O6-(O6*0.24)</f>
        <v>919.6</v>
      </c>
      <c r="Q6" s="148">
        <f>60*6+3</f>
        <v>363</v>
      </c>
      <c r="R6" s="148">
        <f t="shared" ref="R6:R7" si="0">+O6*Q6</f>
        <v>439230</v>
      </c>
      <c r="S6" s="148">
        <f t="shared" ref="S6:S7" si="1">+P6*Q6</f>
        <v>333814.8</v>
      </c>
    </row>
    <row r="7" spans="1:19" ht="13.5" customHeight="1" thickBot="1">
      <c r="A7" s="750" t="s">
        <v>414</v>
      </c>
      <c r="B7" s="214" t="s">
        <v>554</v>
      </c>
      <c r="C7" s="215">
        <v>15576</v>
      </c>
      <c r="D7" s="216">
        <v>240</v>
      </c>
      <c r="E7" s="217"/>
      <c r="F7" s="226">
        <v>6</v>
      </c>
      <c r="G7" s="227" t="s">
        <v>11</v>
      </c>
      <c r="H7" s="228" t="s">
        <v>445</v>
      </c>
      <c r="I7" s="753" t="s">
        <v>582</v>
      </c>
      <c r="J7" s="213" t="str">
        <f>+'16'!J7</f>
        <v>T 13 VP OW</v>
      </c>
      <c r="K7" s="236"/>
      <c r="L7" s="240"/>
      <c r="M7" s="116">
        <f>+K7+'16'!M7+L7</f>
        <v>79167</v>
      </c>
      <c r="O7" s="148">
        <v>1230</v>
      </c>
      <c r="P7" s="148">
        <f>+O7-(O7*0.24)</f>
        <v>934.8</v>
      </c>
      <c r="Q7" s="148">
        <f>480-Q6</f>
        <v>117</v>
      </c>
      <c r="R7" s="148">
        <f t="shared" si="0"/>
        <v>143910</v>
      </c>
      <c r="S7" s="148">
        <f t="shared" si="1"/>
        <v>109371.59999999999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+'16'!J8</f>
        <v>F 12 VP OW</v>
      </c>
      <c r="K8" s="237"/>
      <c r="L8" s="237"/>
      <c r="M8" s="116">
        <f>+K8+'16'!M8+L8</f>
        <v>253437</v>
      </c>
    </row>
    <row r="9" spans="1:19" ht="13.5" thickBot="1">
      <c r="A9" s="751"/>
      <c r="B9" s="214"/>
      <c r="C9" s="215"/>
      <c r="D9" s="216"/>
      <c r="E9" s="219"/>
      <c r="F9" s="226">
        <v>22</v>
      </c>
      <c r="G9" s="230" t="s">
        <v>11</v>
      </c>
      <c r="H9" s="231" t="s">
        <v>409</v>
      </c>
      <c r="I9" s="754"/>
      <c r="J9" s="213" t="str">
        <f>+'16'!J9</f>
        <v>F 13,5 VP OW</v>
      </c>
      <c r="K9" s="237"/>
      <c r="L9" s="237"/>
      <c r="M9" s="116">
        <f>+K9+'16'!M9+L9</f>
        <v>111802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584</v>
      </c>
      <c r="I10" s="754"/>
      <c r="J10" s="213" t="str">
        <f>+'16'!J10</f>
        <v>F 12,5 VP OW</v>
      </c>
      <c r="K10" s="237"/>
      <c r="L10" s="237"/>
      <c r="M10" s="116">
        <f>+K10+'16'!M10+L10</f>
        <v>50678</v>
      </c>
      <c r="P10" s="148">
        <f>+O10-(O10*0.23)</f>
        <v>0</v>
      </c>
      <c r="R10" s="148">
        <f t="shared" ref="R10:R11" si="2">+O10*Q10</f>
        <v>0</v>
      </c>
      <c r="S10" s="148">
        <f t="shared" ref="S10:S11" si="3">+P10*Q10</f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 t="s">
        <v>581</v>
      </c>
      <c r="I11" s="754"/>
      <c r="J11" s="213" t="str">
        <f>+'16'!J11</f>
        <v>F 14 VP OW</v>
      </c>
      <c r="K11" s="237"/>
      <c r="L11" s="237"/>
      <c r="M11" s="116">
        <f>+K11+'16'!M11+L11</f>
        <v>15282</v>
      </c>
      <c r="P11" s="148">
        <f>+O11-(O11*0.23)</f>
        <v>0</v>
      </c>
      <c r="R11" s="148">
        <f t="shared" si="2"/>
        <v>0</v>
      </c>
      <c r="S11" s="148">
        <f t="shared" si="3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+'16'!J12</f>
        <v>F 13 VP OW</v>
      </c>
      <c r="K12" s="237">
        <f>+C34</f>
        <v>43940</v>
      </c>
      <c r="L12" s="237"/>
      <c r="M12" s="116">
        <f>+K12+'16'!M12+L12</f>
        <v>96828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+'16'!J13</f>
        <v>F 16 VP OW</v>
      </c>
      <c r="K13" s="237"/>
      <c r="L13" s="237"/>
      <c r="M13" s="116">
        <f>+K13+'16'!M13+L13</f>
        <v>40814</v>
      </c>
    </row>
    <row r="14" spans="1:19" ht="13.5" thickBot="1">
      <c r="A14" s="752"/>
      <c r="B14" s="164" t="s">
        <v>2</v>
      </c>
      <c r="C14" s="98">
        <f>SUM(C7:C13)</f>
        <v>15576</v>
      </c>
      <c r="D14" s="110">
        <f>SUM(D7:D13)</f>
        <v>240</v>
      </c>
      <c r="E14" s="111">
        <f>SUM(E5:E13)</f>
        <v>0</v>
      </c>
      <c r="F14" s="115">
        <f>SUM(F7:F13)</f>
        <v>28</v>
      </c>
      <c r="G14" s="158"/>
      <c r="H14" s="165"/>
      <c r="I14" s="166"/>
      <c r="J14" s="213">
        <f>+'16'!J14</f>
        <v>0</v>
      </c>
      <c r="K14" s="237"/>
      <c r="L14" s="237"/>
      <c r="M14" s="116">
        <f>+K14+'16'!M14+L14</f>
        <v>0</v>
      </c>
      <c r="Q14" s="175">
        <f>SUM(Q6:Q11)</f>
        <v>480</v>
      </c>
      <c r="R14" s="175">
        <f>SUM(R6:R11)</f>
        <v>583140</v>
      </c>
      <c r="S14" s="175">
        <f>SUM(S6:S11)</f>
        <v>443186.39999999997</v>
      </c>
    </row>
    <row r="15" spans="1:19" ht="13.5" customHeight="1" thickBot="1">
      <c r="A15" s="750" t="s">
        <v>391</v>
      </c>
      <c r="B15" s="164"/>
      <c r="C15" s="112">
        <f>C14/($C$23+$D$23+$E$23)</f>
        <v>1.216684892985471</v>
      </c>
      <c r="D15" s="113">
        <f>D14/($C$23+$D$23+$E$23)</f>
        <v>1.8747070770192158E-2</v>
      </c>
      <c r="E15" s="114">
        <f>E14/($C$23+$D$23+$E$23)</f>
        <v>0</v>
      </c>
      <c r="F15" s="226">
        <v>6</v>
      </c>
      <c r="G15" s="227" t="s">
        <v>11</v>
      </c>
      <c r="H15" s="228" t="s">
        <v>445</v>
      </c>
      <c r="I15" s="753" t="s">
        <v>442</v>
      </c>
      <c r="J15" s="213">
        <f>+'16'!J15</f>
        <v>0</v>
      </c>
      <c r="K15" s="237"/>
      <c r="L15" s="237"/>
      <c r="M15" s="116">
        <f>+K15+'16'!M15+L15</f>
        <v>0</v>
      </c>
      <c r="Q15" s="148">
        <f>480-Q14</f>
        <v>0</v>
      </c>
      <c r="R15" s="175">
        <f>+R14/Q14</f>
        <v>1214.875</v>
      </c>
      <c r="S15" s="175">
        <f>+S14/Q14</f>
        <v>923.30499999999995</v>
      </c>
    </row>
    <row r="16" spans="1:19" ht="13.5" thickBot="1">
      <c r="A16" s="771"/>
      <c r="B16" s="214" t="s">
        <v>554</v>
      </c>
      <c r="C16" s="220">
        <v>12802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+'16'!J16</f>
        <v>0</v>
      </c>
      <c r="K16" s="227"/>
      <c r="L16" s="227"/>
      <c r="M16" s="116">
        <f>+K16+'16'!M16+L16</f>
        <v>0</v>
      </c>
      <c r="N16" s="148" t="s">
        <v>459</v>
      </c>
      <c r="O16" s="148">
        <v>1230</v>
      </c>
      <c r="P16" s="148">
        <f>+O16-(O16*0.24)</f>
        <v>934.8</v>
      </c>
      <c r="Q16" s="148">
        <v>480</v>
      </c>
      <c r="R16" s="148">
        <f t="shared" ref="R16" si="4">+O16*Q16</f>
        <v>590400</v>
      </c>
      <c r="S16" s="148">
        <f t="shared" ref="S16" si="5">+P16*Q16</f>
        <v>448704</v>
      </c>
    </row>
    <row r="17" spans="1:19" ht="13.5" thickBot="1">
      <c r="A17" s="771"/>
      <c r="B17" s="214"/>
      <c r="C17" s="215"/>
      <c r="D17" s="216"/>
      <c r="E17" s="223"/>
      <c r="F17" s="226">
        <f>24-6</f>
        <v>18</v>
      </c>
      <c r="G17" s="230" t="s">
        <v>11</v>
      </c>
      <c r="H17" s="231" t="s">
        <v>409</v>
      </c>
      <c r="I17" s="754"/>
      <c r="J17" s="213">
        <f>+'16'!J17</f>
        <v>0</v>
      </c>
      <c r="K17" s="227"/>
      <c r="L17" s="227"/>
      <c r="M17" s="116">
        <f>+K17+'16'!M17+L17</f>
        <v>0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585</v>
      </c>
      <c r="I18" s="754"/>
      <c r="J18" s="213">
        <f>+'16'!J18</f>
        <v>0</v>
      </c>
      <c r="K18" s="237"/>
      <c r="L18" s="237"/>
      <c r="M18" s="116">
        <f>+K18+'16'!M18+L18</f>
        <v>0</v>
      </c>
    </row>
    <row r="19" spans="1:19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+'16'!J19</f>
        <v>0</v>
      </c>
      <c r="K19" s="237"/>
      <c r="L19" s="237"/>
      <c r="M19" s="116">
        <f>+K19+'16'!M19+L19</f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+'16'!J20</f>
        <v>0</v>
      </c>
      <c r="K20" s="238"/>
      <c r="L20" s="238"/>
      <c r="M20" s="116">
        <f>+K20+'16'!M20+L20</f>
        <v>0</v>
      </c>
      <c r="P20" s="148">
        <f>+O20-(O20*0.23)</f>
        <v>0</v>
      </c>
      <c r="R20" s="148">
        <f t="shared" ref="R20:R21" si="6">+O20*Q20</f>
        <v>0</v>
      </c>
      <c r="S20" s="148">
        <f t="shared" ref="S20:S21" si="7">+P20*Q20</f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+'16'!J21</f>
        <v>0</v>
      </c>
      <c r="K21" s="237"/>
      <c r="L21" s="237"/>
      <c r="M21" s="116">
        <f>+K21+'16'!M21+L21</f>
        <v>0</v>
      </c>
      <c r="P21" s="148">
        <f>+O21-(O21*0.23)</f>
        <v>0</v>
      </c>
      <c r="R21" s="148">
        <f t="shared" si="6"/>
        <v>0</v>
      </c>
      <c r="S21" s="148">
        <f t="shared" si="7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+'16'!J22</f>
        <v>0</v>
      </c>
      <c r="K22" s="237"/>
      <c r="L22" s="237"/>
      <c r="M22" s="116">
        <f>+K22+'16'!M22+L22</f>
        <v>0</v>
      </c>
    </row>
    <row r="23" spans="1:19" ht="13.5" thickBot="1">
      <c r="A23" s="772"/>
      <c r="B23" s="167" t="s">
        <v>2</v>
      </c>
      <c r="C23" s="99">
        <f>SUM(C16:C22)</f>
        <v>12802</v>
      </c>
      <c r="D23" s="110">
        <f>SUM(D16:D22)</f>
        <v>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+'16'!J23</f>
        <v>0</v>
      </c>
      <c r="K23" s="237"/>
      <c r="L23" s="237"/>
      <c r="M23" s="116">
        <f>+K23+'16'!M23+L23</f>
        <v>0</v>
      </c>
    </row>
    <row r="24" spans="1:19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442</v>
      </c>
      <c r="J24" s="213">
        <f>+'16'!J24</f>
        <v>0</v>
      </c>
      <c r="K24" s="237"/>
      <c r="L24" s="237"/>
      <c r="M24" s="116">
        <f>+K24+'16'!M24+L24</f>
        <v>0</v>
      </c>
      <c r="Q24" s="175">
        <f>SUM(Q16:Q21)</f>
        <v>480</v>
      </c>
      <c r="R24" s="175">
        <f>SUM(R16:R21)</f>
        <v>590400</v>
      </c>
      <c r="S24" s="175">
        <f>SUM(S16:S21)</f>
        <v>448704</v>
      </c>
    </row>
    <row r="25" spans="1:19" ht="13.5" thickBot="1">
      <c r="A25" s="771"/>
      <c r="B25" s="214" t="s">
        <v>554</v>
      </c>
      <c r="C25" s="224">
        <v>15562</v>
      </c>
      <c r="D25" s="216">
        <v>287</v>
      </c>
      <c r="E25" s="223"/>
      <c r="F25" s="229"/>
      <c r="G25" s="230" t="s">
        <v>11</v>
      </c>
      <c r="H25" s="228" t="s">
        <v>427</v>
      </c>
      <c r="I25" s="754"/>
      <c r="J25" s="213">
        <f>+'16'!J25</f>
        <v>0</v>
      </c>
      <c r="K25" s="237"/>
      <c r="L25" s="237"/>
      <c r="M25" s="116">
        <f>+K25+'16'!M25+L25</f>
        <v>0</v>
      </c>
      <c r="Q25" s="148">
        <f>480-Q24</f>
        <v>0</v>
      </c>
      <c r="R25" s="175">
        <f>+R24/Q24</f>
        <v>1230</v>
      </c>
      <c r="S25" s="175">
        <f>+S24/Q24</f>
        <v>934.8</v>
      </c>
    </row>
    <row r="26" spans="1:19" ht="13.5" thickBot="1">
      <c r="A26" s="771"/>
      <c r="B26" s="214"/>
      <c r="C26" s="224"/>
      <c r="D26" s="216"/>
      <c r="E26" s="225"/>
      <c r="F26" s="226">
        <v>21</v>
      </c>
      <c r="G26" s="230" t="s">
        <v>11</v>
      </c>
      <c r="H26" s="231" t="s">
        <v>388</v>
      </c>
      <c r="I26" s="754"/>
      <c r="J26" s="213">
        <f>+'16'!J26</f>
        <v>0</v>
      </c>
      <c r="K26" s="237"/>
      <c r="L26" s="237"/>
      <c r="M26" s="116">
        <f>+K26+'16'!M26+L26</f>
        <v>0</v>
      </c>
      <c r="N26" s="148" t="s">
        <v>459</v>
      </c>
      <c r="O26" s="148">
        <v>1230</v>
      </c>
      <c r="P26" s="148">
        <f>+O26-(O26*0.24)</f>
        <v>934.8</v>
      </c>
      <c r="Q26" s="148">
        <v>480</v>
      </c>
      <c r="R26" s="148">
        <f t="shared" ref="R26" si="8">+O26*Q26</f>
        <v>590400</v>
      </c>
      <c r="S26" s="148">
        <f t="shared" ref="S26" si="9">+P26*Q26</f>
        <v>448704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585</v>
      </c>
      <c r="I27" s="754"/>
      <c r="J27" s="213">
        <f>+'16'!J27</f>
        <v>0</v>
      </c>
      <c r="K27" s="237"/>
      <c r="L27" s="237"/>
      <c r="M27" s="116">
        <f>+K27+'16'!M27+L27</f>
        <v>0</v>
      </c>
    </row>
    <row r="28" spans="1:19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+'16'!J28</f>
        <v>0</v>
      </c>
      <c r="K28" s="237"/>
      <c r="L28" s="237"/>
      <c r="M28" s="116">
        <f>+K28+'16'!M28+L28</f>
        <v>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+'16'!J29</f>
        <v>0</v>
      </c>
      <c r="K29" s="237"/>
      <c r="L29" s="237"/>
      <c r="M29" s="116">
        <f>+K29+'16'!M29+L29</f>
        <v>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+'16'!J30</f>
        <v>0</v>
      </c>
      <c r="K30" s="237"/>
      <c r="L30" s="237"/>
      <c r="M30" s="116">
        <f>+K30+'16'!M30+L30</f>
        <v>0</v>
      </c>
      <c r="P30" s="148">
        <f>+O30-(O30*0.23)</f>
        <v>0</v>
      </c>
      <c r="R30" s="148">
        <f t="shared" ref="R30:R31" si="10">+O30*Q30</f>
        <v>0</v>
      </c>
      <c r="S30" s="148">
        <f t="shared" ref="S30:S31" si="11">+P30*Q30</f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+'16'!J31</f>
        <v>0</v>
      </c>
      <c r="K31" s="237"/>
      <c r="L31" s="237"/>
      <c r="M31" s="116">
        <f>+K31+'16'!M31+L31</f>
        <v>0</v>
      </c>
      <c r="P31" s="148">
        <f>+O31-(O31*0.23)</f>
        <v>0</v>
      </c>
      <c r="R31" s="148">
        <f t="shared" si="10"/>
        <v>0</v>
      </c>
      <c r="S31" s="148">
        <f t="shared" si="11"/>
        <v>0</v>
      </c>
    </row>
    <row r="32" spans="1:19" ht="13.5" thickBot="1">
      <c r="A32" s="772"/>
      <c r="B32" s="164" t="s">
        <v>2</v>
      </c>
      <c r="C32" s="98">
        <f>SUM(C25:C31)</f>
        <v>15562</v>
      </c>
      <c r="D32" s="99">
        <f>SUM(D25:D31)</f>
        <v>287</v>
      </c>
      <c r="E32" s="100">
        <f>SUM(E25:E31)</f>
        <v>0</v>
      </c>
      <c r="F32" s="101">
        <f>SUM(F24:F31)</f>
        <v>25</v>
      </c>
      <c r="G32" s="170"/>
      <c r="H32" s="171"/>
      <c r="I32" s="168"/>
      <c r="J32" s="213">
        <f>+'16'!J32</f>
        <v>0</v>
      </c>
      <c r="K32" s="239"/>
      <c r="L32" s="241"/>
      <c r="M32" s="116">
        <f>+K32+'16'!M32+L32</f>
        <v>0</v>
      </c>
    </row>
    <row r="33" spans="1:19" ht="13.5" thickBot="1">
      <c r="A33" s="172"/>
      <c r="B33" s="173"/>
      <c r="C33" s="102">
        <f>C32/($C$32+$D$32+$E$32)</f>
        <v>0.98189160199381664</v>
      </c>
      <c r="D33" s="103">
        <f>D32/($C$32+$D$32+$E$32)</f>
        <v>1.8108398006183354E-2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43940</v>
      </c>
      <c r="D34" s="106">
        <f>D14+D23+D32</f>
        <v>527</v>
      </c>
      <c r="E34" s="106">
        <f>E14+E23+E32</f>
        <v>0</v>
      </c>
      <c r="F34" s="107">
        <f>F14+F23+F32</f>
        <v>77</v>
      </c>
      <c r="H34" s="177"/>
      <c r="I34" s="177"/>
      <c r="J34" s="122" t="s">
        <v>27</v>
      </c>
      <c r="K34" s="123">
        <f>SUM(K7:K32)</f>
        <v>43940</v>
      </c>
      <c r="L34" s="211">
        <f>SUM(L7:L32)</f>
        <v>0</v>
      </c>
      <c r="M34" s="119">
        <f>SUM(M7:M32)</f>
        <v>648008</v>
      </c>
      <c r="Q34" s="175">
        <f>SUM(Q26:Q31)</f>
        <v>480</v>
      </c>
      <c r="R34" s="175">
        <f>SUM(R26:R31)</f>
        <v>590400</v>
      </c>
      <c r="S34" s="175">
        <f>SUM(S26:S31)</f>
        <v>448704</v>
      </c>
    </row>
    <row r="35" spans="1:19" ht="13.5" thickBot="1">
      <c r="A35" s="178"/>
      <c r="B35" s="179"/>
      <c r="C35" s="103">
        <f>C34/($C$34+$D$34+$E$34)</f>
        <v>0.98814851462882591</v>
      </c>
      <c r="D35" s="103">
        <f>D34/($C$34+$D$34+$E$34)</f>
        <v>1.185148537117413E-2</v>
      </c>
      <c r="E35" s="108">
        <f>E34/($C$34+$D$34+$E$34)</f>
        <v>0</v>
      </c>
      <c r="K35" s="154"/>
      <c r="Q35" s="148">
        <f>480-Q34</f>
        <v>0</v>
      </c>
      <c r="R35" s="175">
        <f>+R34/Q34</f>
        <v>1230</v>
      </c>
      <c r="S35" s="175">
        <f>+S34/Q34</f>
        <v>934.8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(13*1440)/1440*G42*2.74*1440/1000000</f>
        <v>47.751972528000003</v>
      </c>
      <c r="J37" s="124">
        <f>+I37+'16'!J37</f>
        <v>755.13085612889267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77</v>
      </c>
      <c r="D38" s="117">
        <f>+C38+'16'!D38</f>
        <v>1116</v>
      </c>
      <c r="E38" s="142">
        <f t="shared" ref="E38:E51" si="12">D38/60</f>
        <v>18.600000000000001</v>
      </c>
      <c r="F38" s="320">
        <v>1214.875</v>
      </c>
      <c r="G38" s="320">
        <v>923.30499999999995</v>
      </c>
      <c r="H38" s="186" t="s">
        <v>63</v>
      </c>
      <c r="I38" s="243">
        <f>14.414+15.279+16.567</f>
        <v>46.26</v>
      </c>
      <c r="J38" s="126">
        <f>+I38+'16'!J38</f>
        <v>679.3929999999998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+C39+'16'!D39</f>
        <v>0</v>
      </c>
      <c r="E39" s="142">
        <f t="shared" si="12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44.419462125228982</v>
      </c>
      <c r="K39" s="129" t="s">
        <v>62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+C40+'16'!D40</f>
        <v>0</v>
      </c>
      <c r="E40" s="142">
        <f t="shared" si="12"/>
        <v>0</v>
      </c>
      <c r="F40" s="320">
        <v>1230</v>
      </c>
      <c r="G40" s="320">
        <v>934.8</v>
      </c>
      <c r="H40" s="186" t="s">
        <v>66</v>
      </c>
      <c r="I40" s="117">
        <f>(K34+L34)/1000</f>
        <v>43.94</v>
      </c>
      <c r="J40" s="130">
        <f>+I40+'16'!J40</f>
        <v>648.00799999999981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+C41+'16'!D41</f>
        <v>0</v>
      </c>
      <c r="E41" s="142">
        <f t="shared" si="12"/>
        <v>0</v>
      </c>
      <c r="F41" s="320"/>
      <c r="G41" s="320"/>
      <c r="H41" s="186" t="s">
        <v>68</v>
      </c>
      <c r="I41" s="141"/>
      <c r="J41" s="128">
        <f>J40/G4</f>
        <v>38.11811764705881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+C42+'16'!D42</f>
        <v>0</v>
      </c>
      <c r="E42" s="142">
        <f t="shared" si="12"/>
        <v>0</v>
      </c>
      <c r="F42" s="320">
        <f>+(F38*480+F39*480+F40*480)/1440</f>
        <v>1224.9583333333333</v>
      </c>
      <c r="G42" s="320">
        <f>+(G38*480+G39*480+G40*480)/1440</f>
        <v>930.96833333333325</v>
      </c>
      <c r="H42" s="186" t="s">
        <v>69</v>
      </c>
      <c r="I42" s="244" t="s">
        <v>583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+C43+'16'!D43</f>
        <v>0</v>
      </c>
      <c r="E43" s="142">
        <f t="shared" si="12"/>
        <v>0</v>
      </c>
      <c r="F43" s="320"/>
      <c r="G43" s="321"/>
      <c r="H43" s="187" t="s">
        <v>72</v>
      </c>
      <c r="I43" s="117">
        <f>+Report1!Z25</f>
        <v>56</v>
      </c>
      <c r="J43" s="132">
        <f>+I43+'16'!J43</f>
        <v>861.99999999999977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+C44+'16'!D44</f>
        <v>0</v>
      </c>
      <c r="E44" s="142">
        <f t="shared" si="12"/>
        <v>0</v>
      </c>
      <c r="F44" s="320"/>
      <c r="G44" s="321"/>
      <c r="H44" s="187" t="s">
        <v>73</v>
      </c>
      <c r="I44" s="117">
        <f>I43/I38</f>
        <v>1.2105490704712496</v>
      </c>
      <c r="J44" s="133">
        <f>J43/J38</f>
        <v>1.2687796312296418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+C45+'16'!D45</f>
        <v>0</v>
      </c>
      <c r="E45" s="142">
        <f t="shared" si="12"/>
        <v>0</v>
      </c>
      <c r="F45" s="320"/>
      <c r="G45" s="323"/>
      <c r="H45" s="187" t="s">
        <v>74</v>
      </c>
      <c r="I45" s="117">
        <f>I43/I40</f>
        <v>1.2744651797906237</v>
      </c>
      <c r="J45" s="133">
        <f>J43/J40</f>
        <v>1.330230490981593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+C46+'16'!D46</f>
        <v>935</v>
      </c>
      <c r="E46" s="142">
        <f t="shared" si="12"/>
        <v>15.583333333333334</v>
      </c>
      <c r="F46" s="320"/>
      <c r="G46" s="321"/>
      <c r="H46" s="187" t="s">
        <v>76</v>
      </c>
      <c r="I46" s="139">
        <f>+SUMIF(Listrik!P24,"&gt;0")</f>
        <v>36600.239999999998</v>
      </c>
      <c r="J46" s="134">
        <f>+I46+'16'!J46</f>
        <v>635301.19999999925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+C47+'16'!D47</f>
        <v>935</v>
      </c>
      <c r="E47" s="142">
        <f t="shared" si="12"/>
        <v>15.583333333333334</v>
      </c>
      <c r="F47" s="320"/>
      <c r="G47" s="321"/>
      <c r="H47" s="187" t="s">
        <v>79</v>
      </c>
      <c r="I47" s="117">
        <f>I46/I38</f>
        <v>791.18547341115436</v>
      </c>
      <c r="J47" s="134">
        <f>J46/J38</f>
        <v>935.10118591154082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+C48+'16'!D48</f>
        <v>0</v>
      </c>
      <c r="E48" s="142">
        <f t="shared" si="12"/>
        <v>0</v>
      </c>
      <c r="F48" s="320"/>
      <c r="G48" s="321"/>
      <c r="H48" s="187" t="s">
        <v>80</v>
      </c>
      <c r="I48" s="117">
        <f>I46/I40</f>
        <v>832.95949021392812</v>
      </c>
      <c r="J48" s="134">
        <f>J46/J40</f>
        <v>980.39098282737166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+C49+'16'!D49</f>
        <v>0</v>
      </c>
      <c r="E49" s="142">
        <f t="shared" si="12"/>
        <v>0</v>
      </c>
      <c r="F49" s="184"/>
      <c r="H49" s="187" t="s">
        <v>270</v>
      </c>
      <c r="I49" s="117">
        <f>+Report1!T25</f>
        <v>5587.7336325919023</v>
      </c>
      <c r="J49" s="134">
        <f>+I49+'16'!J49</f>
        <v>88456.972535675173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+C50+'16'!D50</f>
        <v>0</v>
      </c>
      <c r="E50" s="142">
        <f t="shared" si="12"/>
        <v>0</v>
      </c>
      <c r="F50" s="184"/>
      <c r="H50" s="187" t="s">
        <v>82</v>
      </c>
      <c r="I50" s="139">
        <f>I49/I38</f>
        <v>120.78974562455474</v>
      </c>
      <c r="J50" s="132">
        <f>J49/J38</f>
        <v>130.20000579292869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+C51+'16'!D51</f>
        <v>0</v>
      </c>
      <c r="E51" s="142">
        <f t="shared" si="12"/>
        <v>0</v>
      </c>
      <c r="F51" s="184"/>
      <c r="H51" s="189" t="s">
        <v>84</v>
      </c>
      <c r="I51" s="140">
        <f>I49/I40</f>
        <v>127.16735622648845</v>
      </c>
      <c r="J51" s="135">
        <f>J49/J40</f>
        <v>136.5059884070493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77</v>
      </c>
      <c r="D52" s="143">
        <f>SUM(D38:D51)</f>
        <v>2986</v>
      </c>
      <c r="E52" s="144">
        <f>SUM(E38:E51)</f>
        <v>49.766666666666673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5.347222222222222E-2</v>
      </c>
      <c r="D53" s="145">
        <f>D52/(24*60*G4)</f>
        <v>0.12197712418300653</v>
      </c>
      <c r="E53" s="146">
        <f>E52/(G4*24)</f>
        <v>0.12197712418300655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+D34+'16'!J56</f>
        <v>5025</v>
      </c>
      <c r="K56" s="200">
        <f>J56/(J40+J56/1000)/1000</f>
        <v>7.6948638123953946E-3</v>
      </c>
    </row>
    <row r="57" spans="1:11">
      <c r="A57" s="175"/>
      <c r="I57" s="198" t="s">
        <v>87</v>
      </c>
      <c r="J57" s="199">
        <f>+E34+'16'!J57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37:B37"/>
    <mergeCell ref="A38:B38"/>
    <mergeCell ref="I24:I31"/>
    <mergeCell ref="A24:A32"/>
    <mergeCell ref="A39:B39"/>
    <mergeCell ref="A7:A14"/>
    <mergeCell ref="I7:I13"/>
    <mergeCell ref="A15:A23"/>
    <mergeCell ref="I15:I22"/>
    <mergeCell ref="A34:B3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topLeftCell="D4" zoomScale="80" zoomScaleNormal="80" workbookViewId="0">
      <selection activeCell="X19" sqref="E15:X2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7" ht="15.75">
      <c r="A1" s="147"/>
    </row>
    <row r="2" spans="1:27" ht="15.75">
      <c r="A2" s="147" t="s">
        <v>183</v>
      </c>
    </row>
    <row r="3" spans="1:27" ht="15">
      <c r="A3" s="149"/>
    </row>
    <row r="4" spans="1:27" ht="20.25">
      <c r="A4" s="150" t="s">
        <v>3</v>
      </c>
      <c r="B4" s="151"/>
      <c r="F4" s="152" t="s">
        <v>28</v>
      </c>
      <c r="G4" s="153">
        <v>16</v>
      </c>
      <c r="H4" s="153" t="str">
        <f>+'1'!H4</f>
        <v>.01.26</v>
      </c>
    </row>
    <row r="5" spans="1:27" ht="13.5" thickBot="1">
      <c r="C5" s="154"/>
      <c r="D5" s="154"/>
    </row>
    <row r="6" spans="1:27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O6" s="148" t="s">
        <v>564</v>
      </c>
      <c r="P6" s="148">
        <v>1080</v>
      </c>
      <c r="Q6" s="148">
        <f>+P6-(P6*0.26)</f>
        <v>799.2</v>
      </c>
      <c r="R6" s="148">
        <f>60*5+37</f>
        <v>337</v>
      </c>
      <c r="S6" s="148">
        <f t="shared" ref="S6:S8" si="0">+P6*R6</f>
        <v>363960</v>
      </c>
      <c r="T6" s="148">
        <f t="shared" ref="T6:T8" si="1">+Q6*R6</f>
        <v>269330.40000000002</v>
      </c>
      <c r="V6" s="148" t="s">
        <v>547</v>
      </c>
      <c r="W6" s="148">
        <v>1210</v>
      </c>
      <c r="X6" s="148">
        <v>907.5</v>
      </c>
      <c r="Y6" s="148">
        <v>480</v>
      </c>
      <c r="Z6" s="148">
        <f t="shared" ref="Z6:Z7" si="2">+W6*Y6</f>
        <v>580800</v>
      </c>
      <c r="AA6" s="148">
        <f t="shared" ref="AA6:AA7" si="3">+X6*Y6</f>
        <v>435600</v>
      </c>
    </row>
    <row r="7" spans="1:27" ht="13.5" customHeight="1" thickBot="1">
      <c r="A7" s="750" t="s">
        <v>414</v>
      </c>
      <c r="B7" s="214" t="s">
        <v>576</v>
      </c>
      <c r="C7" s="215">
        <v>12034</v>
      </c>
      <c r="D7" s="216"/>
      <c r="E7" s="217"/>
      <c r="F7" s="226">
        <v>4</v>
      </c>
      <c r="G7" s="227" t="s">
        <v>11</v>
      </c>
      <c r="H7" s="228" t="s">
        <v>445</v>
      </c>
      <c r="I7" s="753" t="s">
        <v>571</v>
      </c>
      <c r="J7" s="213" t="str">
        <f>+'15'!J7</f>
        <v>T 13 VP OW</v>
      </c>
      <c r="K7" s="236"/>
      <c r="L7" s="240"/>
      <c r="M7" s="116">
        <f>+K7+'15'!M7+L7</f>
        <v>79167</v>
      </c>
      <c r="O7" s="148" t="s">
        <v>547</v>
      </c>
      <c r="P7" s="148">
        <v>1200</v>
      </c>
      <c r="Q7" s="148">
        <f>+P7-(P7*0.24)</f>
        <v>912</v>
      </c>
      <c r="R7" s="148">
        <f>60-37+36</f>
        <v>59</v>
      </c>
      <c r="S7" s="148">
        <f t="shared" si="0"/>
        <v>70800</v>
      </c>
      <c r="T7" s="148">
        <f t="shared" si="1"/>
        <v>53808</v>
      </c>
      <c r="V7" s="148" t="s">
        <v>547</v>
      </c>
      <c r="W7" s="148">
        <v>1210</v>
      </c>
      <c r="X7" s="148">
        <v>919.6</v>
      </c>
      <c r="Y7" s="148">
        <v>480</v>
      </c>
      <c r="Z7" s="148">
        <f t="shared" si="2"/>
        <v>580800</v>
      </c>
      <c r="AA7" s="148">
        <f t="shared" si="3"/>
        <v>441408</v>
      </c>
    </row>
    <row r="8" spans="1:27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+'15'!J8</f>
        <v>F 12 VP OW</v>
      </c>
      <c r="K8" s="237"/>
      <c r="L8" s="237"/>
      <c r="M8" s="116">
        <f>+K8+'15'!M8+L8</f>
        <v>253437</v>
      </c>
      <c r="P8" s="148">
        <v>1210</v>
      </c>
      <c r="Q8" s="148">
        <f>+P8-(P8*0.24)</f>
        <v>919.6</v>
      </c>
      <c r="R8" s="148">
        <f>60-36+60</f>
        <v>84</v>
      </c>
      <c r="S8" s="148">
        <f t="shared" si="0"/>
        <v>101640</v>
      </c>
      <c r="T8" s="148">
        <f t="shared" si="1"/>
        <v>77246.400000000009</v>
      </c>
      <c r="V8" s="148" t="s">
        <v>547</v>
      </c>
      <c r="W8" s="148">
        <v>1200</v>
      </c>
      <c r="X8" s="148">
        <v>912</v>
      </c>
      <c r="Y8" s="148">
        <v>59</v>
      </c>
      <c r="Z8" s="148">
        <f t="shared" ref="Z8:Z9" si="4">+W8*Y8</f>
        <v>70800</v>
      </c>
      <c r="AA8" s="148">
        <f t="shared" ref="AA8:AA9" si="5">+X8*Y8</f>
        <v>53808</v>
      </c>
    </row>
    <row r="9" spans="1:27" ht="13.5" thickBot="1">
      <c r="A9" s="751"/>
      <c r="B9" s="214"/>
      <c r="C9" s="215"/>
      <c r="D9" s="216"/>
      <c r="E9" s="219"/>
      <c r="F9" s="226">
        <v>24</v>
      </c>
      <c r="G9" s="230" t="s">
        <v>11</v>
      </c>
      <c r="H9" s="231" t="s">
        <v>409</v>
      </c>
      <c r="I9" s="754"/>
      <c r="J9" s="213" t="str">
        <f>+'15'!J9</f>
        <v>F 13,5 VP OW</v>
      </c>
      <c r="K9" s="237"/>
      <c r="L9" s="237"/>
      <c r="M9" s="116">
        <f>+K9+'15'!M9+L9</f>
        <v>111802</v>
      </c>
      <c r="W9" s="148">
        <v>1210</v>
      </c>
      <c r="X9" s="148">
        <v>919.6</v>
      </c>
      <c r="Y9" s="148">
        <v>84</v>
      </c>
      <c r="Z9" s="148">
        <f t="shared" si="4"/>
        <v>101640</v>
      </c>
      <c r="AA9" s="148">
        <f t="shared" si="5"/>
        <v>77246.400000000009</v>
      </c>
    </row>
    <row r="10" spans="1:27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557</v>
      </c>
      <c r="I10" s="754"/>
      <c r="J10" s="213" t="str">
        <f>+'15'!J10</f>
        <v>F 12,5 VP OW</v>
      </c>
      <c r="K10" s="237"/>
      <c r="L10" s="237"/>
      <c r="M10" s="116">
        <f>+K10+'15'!M10+L10</f>
        <v>50678</v>
      </c>
      <c r="Q10" s="148">
        <f>+P10-(P10*0.23)</f>
        <v>0</v>
      </c>
      <c r="S10" s="148">
        <f t="shared" ref="S10:S11" si="6">+P10*R10</f>
        <v>0</v>
      </c>
      <c r="T10" s="148">
        <f t="shared" ref="T10:T11" si="7">+Q10*R10</f>
        <v>0</v>
      </c>
      <c r="X10" s="148">
        <f>+W10-(W10*0.23)</f>
        <v>0</v>
      </c>
      <c r="Z10" s="148">
        <f t="shared" ref="Z10:Z11" si="8">+W10*Y10</f>
        <v>0</v>
      </c>
      <c r="AA10" s="148">
        <f t="shared" ref="AA10:AA11" si="9">+X10*Y10</f>
        <v>0</v>
      </c>
    </row>
    <row r="11" spans="1:27" ht="51.75" thickBot="1">
      <c r="A11" s="751"/>
      <c r="B11" s="214"/>
      <c r="C11" s="215"/>
      <c r="D11" s="216"/>
      <c r="E11" s="218"/>
      <c r="F11" s="226"/>
      <c r="G11" s="230"/>
      <c r="H11" s="231" t="s">
        <v>558</v>
      </c>
      <c r="I11" s="754"/>
      <c r="J11" s="213" t="str">
        <f>+'15'!J11</f>
        <v>F 14 VP OW</v>
      </c>
      <c r="K11" s="237"/>
      <c r="L11" s="237"/>
      <c r="M11" s="116">
        <f>+K11+'15'!M11+L11</f>
        <v>15282</v>
      </c>
      <c r="Q11" s="148">
        <f>+P11-(P11*0.23)</f>
        <v>0</v>
      </c>
      <c r="S11" s="148">
        <f t="shared" si="6"/>
        <v>0</v>
      </c>
      <c r="T11" s="148">
        <f t="shared" si="7"/>
        <v>0</v>
      </c>
      <c r="X11" s="148">
        <f>+W11-(W11*0.23)</f>
        <v>0</v>
      </c>
      <c r="Z11" s="148">
        <f t="shared" si="8"/>
        <v>0</v>
      </c>
      <c r="AA11" s="148">
        <f t="shared" si="9"/>
        <v>0</v>
      </c>
    </row>
    <row r="12" spans="1:27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+'15'!J12</f>
        <v>F 13 VP OW</v>
      </c>
      <c r="K12" s="237">
        <f>+C16+C25</f>
        <v>27060</v>
      </c>
      <c r="L12" s="237"/>
      <c r="M12" s="116">
        <f>+K12+'15'!M12+L12</f>
        <v>52888</v>
      </c>
    </row>
    <row r="13" spans="1:27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tr">
        <f>+'15'!J13</f>
        <v>F 16 VP OW</v>
      </c>
      <c r="K13" s="237">
        <f>+C7</f>
        <v>12034</v>
      </c>
      <c r="L13" s="237"/>
      <c r="M13" s="116">
        <f>+K13+'15'!M13+L13</f>
        <v>40814</v>
      </c>
    </row>
    <row r="14" spans="1:27" ht="13.5" thickBot="1">
      <c r="A14" s="752"/>
      <c r="B14" s="164" t="s">
        <v>2</v>
      </c>
      <c r="C14" s="98">
        <f>SUM(C7:C13)</f>
        <v>12034</v>
      </c>
      <c r="D14" s="110">
        <f>SUM(D7:D13)</f>
        <v>0</v>
      </c>
      <c r="E14" s="111">
        <f>SUM(E5:E13)</f>
        <v>0</v>
      </c>
      <c r="F14" s="115">
        <f>SUM(F7:F13)</f>
        <v>28</v>
      </c>
      <c r="G14" s="158"/>
      <c r="H14" s="165"/>
      <c r="I14" s="166"/>
      <c r="J14" s="213">
        <f>+'15'!J14</f>
        <v>0</v>
      </c>
      <c r="K14" s="237"/>
      <c r="L14" s="237"/>
      <c r="M14" s="116">
        <f>+K14+'15'!M14+L14</f>
        <v>0</v>
      </c>
      <c r="R14" s="175">
        <f>SUM(R6:R11)</f>
        <v>480</v>
      </c>
      <c r="S14" s="175">
        <f>SUM(S6:S11)</f>
        <v>536400</v>
      </c>
      <c r="T14" s="175">
        <f>SUM(T6:T11)</f>
        <v>400384.80000000005</v>
      </c>
      <c r="Y14" s="175">
        <f>SUM(Y6:Y11)</f>
        <v>1103</v>
      </c>
      <c r="Z14" s="175">
        <f>SUM(Z6:Z11)</f>
        <v>1334040</v>
      </c>
      <c r="AA14" s="175">
        <f>SUM(AA6:AA11)</f>
        <v>1008062.4</v>
      </c>
    </row>
    <row r="15" spans="1:27" ht="13.5" customHeight="1" thickBot="1">
      <c r="A15" s="750" t="s">
        <v>431</v>
      </c>
      <c r="B15" s="164"/>
      <c r="C15" s="112">
        <f>C14/($C$23+$D$23+$E$23)</f>
        <v>0.80511139359068706</v>
      </c>
      <c r="D15" s="113">
        <f>D14/($C$23+$D$23+$E$23)</f>
        <v>0</v>
      </c>
      <c r="E15" s="114">
        <f>E14/($C$23+$D$23+$E$23)</f>
        <v>0</v>
      </c>
      <c r="F15" s="226"/>
      <c r="G15" s="227" t="s">
        <v>11</v>
      </c>
      <c r="H15" s="228" t="s">
        <v>385</v>
      </c>
      <c r="I15" s="753" t="s">
        <v>570</v>
      </c>
      <c r="J15" s="213">
        <f>+'15'!J15</f>
        <v>0</v>
      </c>
      <c r="K15" s="237"/>
      <c r="L15" s="237"/>
      <c r="M15" s="116">
        <f>+K15+'15'!M15+L15</f>
        <v>0</v>
      </c>
      <c r="R15" s="148">
        <f>480-R14</f>
        <v>0</v>
      </c>
      <c r="S15" s="175">
        <f>+S14/R14</f>
        <v>1117.5</v>
      </c>
      <c r="T15" s="175">
        <f>+T14/R14</f>
        <v>834.1350000000001</v>
      </c>
      <c r="Y15" s="148">
        <f>480-Y14</f>
        <v>-623</v>
      </c>
      <c r="Z15" s="175">
        <f>+Z14/Y14</f>
        <v>1209.4650951949229</v>
      </c>
      <c r="AA15" s="175">
        <f>+AA14/Y14</f>
        <v>913.9278331822303</v>
      </c>
    </row>
    <row r="16" spans="1:27" ht="13.5" thickBot="1">
      <c r="A16" s="771"/>
      <c r="B16" s="214" t="s">
        <v>554</v>
      </c>
      <c r="C16" s="220">
        <v>14947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+'15'!J16</f>
        <v>0</v>
      </c>
      <c r="K16" s="227"/>
      <c r="L16" s="227"/>
      <c r="M16" s="116">
        <f>+K16+'15'!M16+L16</f>
        <v>0</v>
      </c>
    </row>
    <row r="17" spans="1:20" ht="13.5" thickBot="1">
      <c r="A17" s="771"/>
      <c r="B17" s="214"/>
      <c r="C17" s="215"/>
      <c r="D17" s="216"/>
      <c r="E17" s="223"/>
      <c r="F17" s="226">
        <v>16</v>
      </c>
      <c r="G17" s="230" t="s">
        <v>11</v>
      </c>
      <c r="H17" s="231" t="s">
        <v>409</v>
      </c>
      <c r="I17" s="754"/>
      <c r="J17" s="213">
        <f>+'15'!J17</f>
        <v>0</v>
      </c>
      <c r="K17" s="227"/>
      <c r="L17" s="227"/>
      <c r="M17" s="116">
        <f>+K17+'15'!M17+L17</f>
        <v>0</v>
      </c>
      <c r="O17" s="148" t="s">
        <v>547</v>
      </c>
      <c r="P17" s="148">
        <v>1210</v>
      </c>
      <c r="Q17" s="148">
        <f>+P17-(P17*0.25)</f>
        <v>907.5</v>
      </c>
      <c r="R17" s="148">
        <v>480</v>
      </c>
      <c r="S17" s="148">
        <f t="shared" ref="S17" si="10">+P17*R17</f>
        <v>580800</v>
      </c>
      <c r="T17" s="148">
        <f t="shared" ref="T17" si="11">+Q17*R17</f>
        <v>435600</v>
      </c>
    </row>
    <row r="18" spans="1:20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556</v>
      </c>
      <c r="I18" s="754"/>
      <c r="J18" s="213">
        <f>+'15'!J18</f>
        <v>0</v>
      </c>
      <c r="K18" s="237"/>
      <c r="L18" s="237"/>
      <c r="M18" s="116">
        <f>+K18+'15'!M18+L18</f>
        <v>0</v>
      </c>
    </row>
    <row r="19" spans="1:20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+'15'!J19</f>
        <v>0</v>
      </c>
      <c r="K19" s="237"/>
      <c r="L19" s="237"/>
      <c r="M19" s="116">
        <f>+K19+'15'!M19+L19</f>
        <v>0</v>
      </c>
    </row>
    <row r="20" spans="1:20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+'15'!J20</f>
        <v>0</v>
      </c>
      <c r="K20" s="238"/>
      <c r="L20" s="238"/>
      <c r="M20" s="116">
        <f>+K20+'15'!M20+L20</f>
        <v>0</v>
      </c>
    </row>
    <row r="21" spans="1:20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+'15'!J21</f>
        <v>0</v>
      </c>
      <c r="K21" s="237"/>
      <c r="L21" s="237"/>
      <c r="M21" s="116">
        <f>+K21+'15'!M21+L21</f>
        <v>0</v>
      </c>
      <c r="Q21" s="148">
        <f>+P21-(P21*0.23)</f>
        <v>0</v>
      </c>
      <c r="S21" s="148">
        <f t="shared" ref="S21:S22" si="12">+P21*R21</f>
        <v>0</v>
      </c>
      <c r="T21" s="148">
        <f t="shared" ref="T21:T22" si="13">+Q21*R21</f>
        <v>0</v>
      </c>
    </row>
    <row r="22" spans="1:20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+'15'!J22</f>
        <v>0</v>
      </c>
      <c r="K22" s="237"/>
      <c r="L22" s="237"/>
      <c r="M22" s="116">
        <f>+K22+'15'!M22+L22</f>
        <v>0</v>
      </c>
      <c r="Q22" s="148">
        <f>+P22-(P22*0.23)</f>
        <v>0</v>
      </c>
      <c r="S22" s="148">
        <f t="shared" si="12"/>
        <v>0</v>
      </c>
      <c r="T22" s="148">
        <f t="shared" si="13"/>
        <v>0</v>
      </c>
    </row>
    <row r="23" spans="1:20" ht="13.5" thickBot="1">
      <c r="A23" s="772"/>
      <c r="B23" s="167" t="s">
        <v>2</v>
      </c>
      <c r="C23" s="99">
        <f>SUM(C16:C22)</f>
        <v>14947</v>
      </c>
      <c r="D23" s="110">
        <f>SUM(D16:D22)</f>
        <v>0</v>
      </c>
      <c r="E23" s="111">
        <f>SUM(E18:E22)</f>
        <v>0</v>
      </c>
      <c r="F23" s="115">
        <f>SUM(F15:F22)</f>
        <v>16</v>
      </c>
      <c r="G23" s="158"/>
      <c r="H23" s="165"/>
      <c r="I23" s="168"/>
      <c r="J23" s="213">
        <f>+'15'!J23</f>
        <v>0</v>
      </c>
      <c r="K23" s="237"/>
      <c r="L23" s="237"/>
      <c r="M23" s="116">
        <f>+K23+'15'!M23+L23</f>
        <v>0</v>
      </c>
    </row>
    <row r="24" spans="1:20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569</v>
      </c>
      <c r="J24" s="213">
        <f>+'15'!J24</f>
        <v>0</v>
      </c>
      <c r="K24" s="237"/>
      <c r="L24" s="237"/>
      <c r="M24" s="116">
        <f>+K24+'15'!M24+L24</f>
        <v>0</v>
      </c>
    </row>
    <row r="25" spans="1:20" ht="13.5" thickBot="1">
      <c r="A25" s="771"/>
      <c r="B25" s="214" t="s">
        <v>554</v>
      </c>
      <c r="C25" s="224">
        <v>12113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+'15'!J25</f>
        <v>0</v>
      </c>
      <c r="K25" s="237"/>
      <c r="L25" s="237"/>
      <c r="M25" s="116">
        <f>+K25+'15'!M25+L25</f>
        <v>0</v>
      </c>
      <c r="R25" s="175">
        <f>SUM(R17:R22)</f>
        <v>480</v>
      </c>
      <c r="S25" s="175">
        <f>SUM(S17:S22)</f>
        <v>580800</v>
      </c>
      <c r="T25" s="175">
        <f>SUM(T17:T22)</f>
        <v>435600</v>
      </c>
    </row>
    <row r="26" spans="1:20" ht="13.5" thickBot="1">
      <c r="A26" s="771"/>
      <c r="B26" s="214"/>
      <c r="C26" s="224"/>
      <c r="D26" s="216"/>
      <c r="E26" s="225"/>
      <c r="F26" s="226">
        <v>10</v>
      </c>
      <c r="G26" s="230" t="s">
        <v>11</v>
      </c>
      <c r="H26" s="231" t="s">
        <v>386</v>
      </c>
      <c r="I26" s="754"/>
      <c r="J26" s="213">
        <f>+'15'!J26</f>
        <v>0</v>
      </c>
      <c r="K26" s="237"/>
      <c r="L26" s="237"/>
      <c r="M26" s="116">
        <f>+K26+'15'!M26+L26</f>
        <v>0</v>
      </c>
      <c r="R26" s="148">
        <f>480-R25</f>
        <v>0</v>
      </c>
      <c r="S26" s="175">
        <f>+S25/R25</f>
        <v>1210</v>
      </c>
      <c r="T26" s="175">
        <f>+T25/R25</f>
        <v>907.5</v>
      </c>
    </row>
    <row r="27" spans="1:20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555</v>
      </c>
      <c r="I27" s="754"/>
      <c r="J27" s="213">
        <f>+'15'!J27</f>
        <v>0</v>
      </c>
      <c r="K27" s="237"/>
      <c r="L27" s="237"/>
      <c r="M27" s="116">
        <f>+K27+'15'!M27+L27</f>
        <v>0</v>
      </c>
      <c r="O27" s="148" t="s">
        <v>547</v>
      </c>
      <c r="P27" s="148">
        <v>1210</v>
      </c>
      <c r="Q27" s="148">
        <f>+P27-(P27*0.24)</f>
        <v>919.6</v>
      </c>
      <c r="R27" s="148">
        <v>480</v>
      </c>
      <c r="S27" s="148">
        <f t="shared" ref="S27" si="14">+P27*R27</f>
        <v>580800</v>
      </c>
      <c r="T27" s="148">
        <f t="shared" ref="T27" si="15">+Q27*R27</f>
        <v>441408</v>
      </c>
    </row>
    <row r="28" spans="1:20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+'15'!J28</f>
        <v>0</v>
      </c>
      <c r="K28" s="237"/>
      <c r="L28" s="237"/>
      <c r="M28" s="116">
        <f>+K28+'15'!M28+L28</f>
        <v>0</v>
      </c>
    </row>
    <row r="29" spans="1:20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+'15'!J29</f>
        <v>0</v>
      </c>
      <c r="K29" s="237"/>
      <c r="L29" s="237"/>
      <c r="M29" s="116">
        <f>+K29+'15'!M29+L29</f>
        <v>0</v>
      </c>
    </row>
    <row r="30" spans="1:20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+'15'!J30</f>
        <v>0</v>
      </c>
      <c r="K30" s="237"/>
      <c r="L30" s="237"/>
      <c r="M30" s="116">
        <f>+K30+'15'!M30+L30</f>
        <v>0</v>
      </c>
    </row>
    <row r="31" spans="1:20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+'15'!J31</f>
        <v>0</v>
      </c>
      <c r="K31" s="237"/>
      <c r="L31" s="237"/>
      <c r="M31" s="116">
        <f>+K31+'15'!M31+L31</f>
        <v>0</v>
      </c>
      <c r="Q31" s="148">
        <f>+P31-(P31*0.23)</f>
        <v>0</v>
      </c>
      <c r="S31" s="148">
        <f t="shared" ref="S31:S32" si="16">+P31*R31</f>
        <v>0</v>
      </c>
      <c r="T31" s="148">
        <f t="shared" ref="T31:T32" si="17">+Q31*R31</f>
        <v>0</v>
      </c>
    </row>
    <row r="32" spans="1:20" ht="13.5" thickBot="1">
      <c r="A32" s="772"/>
      <c r="B32" s="164" t="s">
        <v>2</v>
      </c>
      <c r="C32" s="98">
        <f>SUM(C25:C31)</f>
        <v>12113</v>
      </c>
      <c r="D32" s="99">
        <f>SUM(D25:D31)</f>
        <v>0</v>
      </c>
      <c r="E32" s="100">
        <f>SUM(E25:E31)</f>
        <v>0</v>
      </c>
      <c r="F32" s="101">
        <f>SUM(F24:F31)</f>
        <v>14</v>
      </c>
      <c r="G32" s="170"/>
      <c r="H32" s="171"/>
      <c r="I32" s="168"/>
      <c r="J32" s="213">
        <f>+'15'!J32</f>
        <v>0</v>
      </c>
      <c r="K32" s="239"/>
      <c r="L32" s="241"/>
      <c r="M32" s="116">
        <f>+K32+'15'!M32+L32</f>
        <v>0</v>
      </c>
      <c r="Q32" s="148">
        <f>+P32-(P32*0.23)</f>
        <v>0</v>
      </c>
      <c r="S32" s="148">
        <f t="shared" si="16"/>
        <v>0</v>
      </c>
      <c r="T32" s="148">
        <f t="shared" si="17"/>
        <v>0</v>
      </c>
    </row>
    <row r="33" spans="1:20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0" ht="13.5" thickBot="1">
      <c r="A34" s="758" t="s">
        <v>56</v>
      </c>
      <c r="B34" s="759"/>
      <c r="C34" s="106">
        <f>C14+C23+C32</f>
        <v>39094</v>
      </c>
      <c r="D34" s="106">
        <f>D14+D23+D32</f>
        <v>0</v>
      </c>
      <c r="E34" s="106">
        <f>E14+E23+E32</f>
        <v>0</v>
      </c>
      <c r="F34" s="107">
        <f>F14+F23+F32</f>
        <v>58</v>
      </c>
      <c r="H34" s="177"/>
      <c r="I34" s="177"/>
      <c r="J34" s="122" t="s">
        <v>27</v>
      </c>
      <c r="K34" s="123">
        <f>SUM(K7:K32)</f>
        <v>39094</v>
      </c>
      <c r="L34" s="211">
        <f>SUM(L7:L32)</f>
        <v>0</v>
      </c>
      <c r="M34" s="119">
        <f>SUM(M7:M32)</f>
        <v>604068</v>
      </c>
    </row>
    <row r="35" spans="1:20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R35" s="175">
        <f>SUM(R27:R32)</f>
        <v>480</v>
      </c>
      <c r="S35" s="175">
        <f>SUM(S27:S32)</f>
        <v>580800</v>
      </c>
      <c r="T35" s="175">
        <f>SUM(T27:T32)</f>
        <v>441408</v>
      </c>
    </row>
    <row r="36" spans="1:20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R36" s="148">
        <f>480-R35</f>
        <v>0</v>
      </c>
      <c r="S36" s="175">
        <f>+S35/R35</f>
        <v>1210</v>
      </c>
      <c r="T36" s="175">
        <f>+T35/R35</f>
        <v>919.6</v>
      </c>
    </row>
    <row r="37" spans="1:20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(16*337+13*1103)/1440*G42*2.74*1440/1000000</f>
        <v>47.958062710300005</v>
      </c>
      <c r="J37" s="124">
        <f>+I37+'15'!J37</f>
        <v>707.37888360089266</v>
      </c>
      <c r="K37" s="125" t="s">
        <v>62</v>
      </c>
    </row>
    <row r="38" spans="1:20" ht="17.45" customHeight="1">
      <c r="A38" s="762" t="s">
        <v>11</v>
      </c>
      <c r="B38" s="763"/>
      <c r="C38" s="163">
        <f>SUMIF($G$7:$G$31,"Process",$F$7:$F$31)</f>
        <v>58</v>
      </c>
      <c r="D38" s="117">
        <f>+C38+'15'!D38</f>
        <v>1039</v>
      </c>
      <c r="E38" s="142">
        <f t="shared" ref="E38:E51" si="18">D38/60</f>
        <v>17.316666666666666</v>
      </c>
      <c r="F38" s="320">
        <v>1117.5</v>
      </c>
      <c r="G38" s="320">
        <v>834.1350000000001</v>
      </c>
      <c r="H38" s="186" t="s">
        <v>63</v>
      </c>
      <c r="I38" s="243">
        <f>15.061+15.372+13.765</f>
        <v>44.198</v>
      </c>
      <c r="J38" s="126">
        <f>+I38+'15'!J38</f>
        <v>633.13299999999981</v>
      </c>
      <c r="K38" s="127" t="s">
        <v>62</v>
      </c>
    </row>
    <row r="39" spans="1:20" ht="17.45" customHeight="1">
      <c r="A39" s="764" t="s">
        <v>12</v>
      </c>
      <c r="B39" s="765"/>
      <c r="C39" s="163">
        <f>SUMIF($G$7:$G$31,"Cleaning",$F$7:$F$31)</f>
        <v>0</v>
      </c>
      <c r="D39" s="117">
        <f>+C39+'15'!D39</f>
        <v>0</v>
      </c>
      <c r="E39" s="142">
        <f t="shared" si="18"/>
        <v>0</v>
      </c>
      <c r="F39" s="320">
        <v>1210</v>
      </c>
      <c r="G39" s="320">
        <v>907.5</v>
      </c>
      <c r="H39" s="186" t="s">
        <v>64</v>
      </c>
      <c r="I39" s="141"/>
      <c r="J39" s="128">
        <f>J37/G4</f>
        <v>44.211180225055791</v>
      </c>
      <c r="K39" s="129" t="s">
        <v>62</v>
      </c>
      <c r="O39" s="148" t="s">
        <v>564</v>
      </c>
      <c r="P39" s="148">
        <v>1080</v>
      </c>
      <c r="Q39" s="148">
        <v>799.2</v>
      </c>
      <c r="R39" s="148">
        <v>337</v>
      </c>
    </row>
    <row r="40" spans="1:20" ht="17.45" customHeight="1">
      <c r="A40" s="764" t="s">
        <v>65</v>
      </c>
      <c r="B40" s="765"/>
      <c r="C40" s="163">
        <f>SUMIF($G$7:$G$31,"Mechanical",$F$7:$F$31)</f>
        <v>0</v>
      </c>
      <c r="D40" s="117">
        <f>+C40+'15'!D40</f>
        <v>0</v>
      </c>
      <c r="E40" s="142">
        <f t="shared" si="18"/>
        <v>0</v>
      </c>
      <c r="F40" s="320">
        <v>1210</v>
      </c>
      <c r="G40" s="320">
        <v>919.6</v>
      </c>
      <c r="H40" s="186" t="s">
        <v>66</v>
      </c>
      <c r="I40" s="117">
        <f>(K34+L34)/1000</f>
        <v>39.094000000000001</v>
      </c>
      <c r="J40" s="130">
        <f>+I40+'15'!J40</f>
        <v>604.06799999999987</v>
      </c>
      <c r="K40" s="129" t="s">
        <v>62</v>
      </c>
      <c r="O40" s="148" t="s">
        <v>547</v>
      </c>
      <c r="P40" s="148">
        <v>1209.4650951949229</v>
      </c>
      <c r="Q40" s="148">
        <v>913.9278331822303</v>
      </c>
      <c r="R40" s="148">
        <v>1103</v>
      </c>
    </row>
    <row r="41" spans="1:20" ht="17.45" customHeight="1">
      <c r="A41" s="764" t="s">
        <v>67</v>
      </c>
      <c r="B41" s="765"/>
      <c r="C41" s="163">
        <f>SUMIF($G$7:$G$31,"Electrical",$F$7:$F$31)</f>
        <v>0</v>
      </c>
      <c r="D41" s="117">
        <f>+C41+'15'!D41</f>
        <v>0</v>
      </c>
      <c r="E41" s="142">
        <f t="shared" si="18"/>
        <v>0</v>
      </c>
      <c r="F41" s="320"/>
      <c r="G41" s="320"/>
      <c r="H41" s="186" t="s">
        <v>68</v>
      </c>
      <c r="I41" s="141"/>
      <c r="J41" s="128">
        <f>J40/G4</f>
        <v>37.754249999999992</v>
      </c>
      <c r="K41" s="129" t="s">
        <v>62</v>
      </c>
      <c r="R41" s="148">
        <f>+R39+R40</f>
        <v>1440</v>
      </c>
    </row>
    <row r="42" spans="1:20" ht="17.45" customHeight="1">
      <c r="A42" s="764" t="s">
        <v>15</v>
      </c>
      <c r="B42" s="765"/>
      <c r="C42" s="163">
        <f>SUMIF($G$7:$G$31,"Instrument",$F$7:$F$31)</f>
        <v>0</v>
      </c>
      <c r="D42" s="117">
        <f>+C42+'15'!D42</f>
        <v>0</v>
      </c>
      <c r="E42" s="142">
        <f t="shared" si="18"/>
        <v>0</v>
      </c>
      <c r="F42" s="320">
        <f>+(F38*480+F40*480+F39*480)/1440</f>
        <v>1179.1666666666667</v>
      </c>
      <c r="G42" s="320">
        <f>+(G38*480+G40*480+G39*480)/1440</f>
        <v>887.07833333333338</v>
      </c>
      <c r="H42" s="186" t="s">
        <v>69</v>
      </c>
      <c r="I42" s="244" t="s">
        <v>572</v>
      </c>
      <c r="J42" s="131"/>
      <c r="K42" s="129" t="s">
        <v>70</v>
      </c>
    </row>
    <row r="43" spans="1:20" ht="17.45" customHeight="1">
      <c r="A43" s="764" t="s">
        <v>221</v>
      </c>
      <c r="B43" s="765"/>
      <c r="C43" s="163">
        <f>SUMIF($G$7:$G$31,"Change Grade",$F$7:$F$31)</f>
        <v>0</v>
      </c>
      <c r="D43" s="117">
        <f>+C43+'15'!D43</f>
        <v>0</v>
      </c>
      <c r="E43" s="142">
        <f t="shared" si="18"/>
        <v>0</v>
      </c>
      <c r="F43" s="320"/>
      <c r="G43" s="321"/>
      <c r="H43" s="187" t="s">
        <v>72</v>
      </c>
      <c r="I43" s="117">
        <f>+Report1!Z24</f>
        <v>54.8</v>
      </c>
      <c r="J43" s="132">
        <f>+I43+'15'!J43</f>
        <v>805.99999999999977</v>
      </c>
      <c r="K43" s="129" t="s">
        <v>62</v>
      </c>
      <c r="L43" s="188"/>
    </row>
    <row r="44" spans="1:20" ht="17.45" customHeight="1">
      <c r="A44" s="764" t="s">
        <v>16</v>
      </c>
      <c r="B44" s="765"/>
      <c r="C44" s="163">
        <f>SUMIF($G$7:$G$31,"PLN",$F$7:$F$31)</f>
        <v>0</v>
      </c>
      <c r="D44" s="117">
        <f>+C44+'15'!D44</f>
        <v>0</v>
      </c>
      <c r="E44" s="142">
        <f t="shared" si="18"/>
        <v>0</v>
      </c>
      <c r="F44" s="320"/>
      <c r="G44" s="321"/>
      <c r="H44" s="187" t="s">
        <v>73</v>
      </c>
      <c r="I44" s="117">
        <f>I43/I38</f>
        <v>1.2398751074709262</v>
      </c>
      <c r="J44" s="133">
        <f>J43/J38</f>
        <v>1.2730342597842792</v>
      </c>
      <c r="K44" s="129" t="s">
        <v>62</v>
      </c>
    </row>
    <row r="45" spans="1:20" ht="17.45" customHeight="1">
      <c r="A45" s="764" t="s">
        <v>17</v>
      </c>
      <c r="B45" s="765"/>
      <c r="C45" s="163">
        <f>SUMIF($G$7:$G$31,"Boiler",$F$7:$F$31)</f>
        <v>0</v>
      </c>
      <c r="D45" s="117">
        <f>+C45+'15'!D45</f>
        <v>0</v>
      </c>
      <c r="E45" s="142">
        <f t="shared" si="18"/>
        <v>0</v>
      </c>
      <c r="F45" s="320"/>
      <c r="G45" s="323"/>
      <c r="H45" s="187" t="s">
        <v>74</v>
      </c>
      <c r="I45" s="117">
        <f>I43/I40</f>
        <v>1.4017496290990943</v>
      </c>
      <c r="J45" s="133">
        <f>J43/J40</f>
        <v>1.3342868683658131</v>
      </c>
      <c r="K45" s="129" t="s">
        <v>62</v>
      </c>
    </row>
    <row r="46" spans="1:20" ht="17.45" customHeight="1">
      <c r="A46" s="764" t="s">
        <v>75</v>
      </c>
      <c r="B46" s="765"/>
      <c r="C46" s="163">
        <f>SUMIF($G$7:$G$31,"Gas",$F$7:$F$31)</f>
        <v>0</v>
      </c>
      <c r="D46" s="117">
        <f>+C46+'15'!D46</f>
        <v>935</v>
      </c>
      <c r="E46" s="142">
        <f t="shared" si="18"/>
        <v>15.583333333333334</v>
      </c>
      <c r="F46" s="320"/>
      <c r="G46" s="321"/>
      <c r="H46" s="187" t="s">
        <v>76</v>
      </c>
      <c r="I46" s="139">
        <f>+SUMIF(Listrik!P23,"&gt;0")</f>
        <v>37061.779999999271</v>
      </c>
      <c r="J46" s="134">
        <f>+I46+'15'!J46</f>
        <v>598700.95999999926</v>
      </c>
      <c r="K46" s="129" t="s">
        <v>77</v>
      </c>
    </row>
    <row r="47" spans="1:20" ht="17.45" customHeight="1">
      <c r="A47" s="764" t="s">
        <v>78</v>
      </c>
      <c r="B47" s="765"/>
      <c r="C47" s="163">
        <f>SUMIF($G$7:$G$31,"Gas",$F$7:$F$31)</f>
        <v>0</v>
      </c>
      <c r="D47" s="117">
        <f>+C47+'15'!D47</f>
        <v>935</v>
      </c>
      <c r="E47" s="142">
        <f t="shared" si="18"/>
        <v>15.583333333333334</v>
      </c>
      <c r="F47" s="320"/>
      <c r="G47" s="321"/>
      <c r="H47" s="187" t="s">
        <v>79</v>
      </c>
      <c r="I47" s="117">
        <f>I46/I38</f>
        <v>838.5397529299803</v>
      </c>
      <c r="J47" s="134">
        <f>J46/J38</f>
        <v>945.61641866716695</v>
      </c>
      <c r="K47" s="129" t="s">
        <v>23</v>
      </c>
    </row>
    <row r="48" spans="1:20" ht="17.45" customHeight="1">
      <c r="A48" s="764" t="s">
        <v>13</v>
      </c>
      <c r="B48" s="765"/>
      <c r="C48" s="163">
        <f>SUMIF($G$7:$G$31,"Start Up",$F$7:$F$31)</f>
        <v>0</v>
      </c>
      <c r="D48" s="117">
        <f>+C48+'15'!D48</f>
        <v>0</v>
      </c>
      <c r="E48" s="142">
        <f t="shared" si="18"/>
        <v>0</v>
      </c>
      <c r="F48" s="320"/>
      <c r="G48" s="321"/>
      <c r="H48" s="187" t="s">
        <v>80</v>
      </c>
      <c r="I48" s="117">
        <f>I46/I40</f>
        <v>948.01708702100757</v>
      </c>
      <c r="J48" s="134">
        <f>J46/J40</f>
        <v>991.11517246402627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+C49+'15'!D49</f>
        <v>0</v>
      </c>
      <c r="E49" s="142">
        <f t="shared" si="18"/>
        <v>0</v>
      </c>
      <c r="F49" s="184"/>
      <c r="H49" s="187" t="s">
        <v>270</v>
      </c>
      <c r="I49" s="117">
        <f>+Report1!T24</f>
        <v>5332.2498086103551</v>
      </c>
      <c r="J49" s="134">
        <f>+I49+'15'!J49</f>
        <v>82869.238903083271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+C50+'15'!D50</f>
        <v>0</v>
      </c>
      <c r="E50" s="142">
        <f t="shared" si="18"/>
        <v>0</v>
      </c>
      <c r="F50" s="184"/>
      <c r="H50" s="187" t="s">
        <v>82</v>
      </c>
      <c r="I50" s="139">
        <f>I49/I38</f>
        <v>120.64459497285749</v>
      </c>
      <c r="J50" s="132">
        <f>J49/J38</f>
        <v>130.88756849363924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+C51+'15'!D51</f>
        <v>0</v>
      </c>
      <c r="E51" s="142">
        <f t="shared" si="18"/>
        <v>0</v>
      </c>
      <c r="F51" s="184"/>
      <c r="H51" s="189" t="s">
        <v>84</v>
      </c>
      <c r="I51" s="140">
        <f>I49/I40</f>
        <v>136.39560568400151</v>
      </c>
      <c r="J51" s="135">
        <f>J49/J40</f>
        <v>137.1852819601159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58</v>
      </c>
      <c r="D52" s="143">
        <f>SUM(D38:D51)</f>
        <v>2909</v>
      </c>
      <c r="E52" s="144">
        <f>SUM(E38:E51)</f>
        <v>48.483333333333334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4.027777777777778E-2</v>
      </c>
      <c r="D53" s="145">
        <f>D52/(24*60*G4)</f>
        <v>0.12625868055555556</v>
      </c>
      <c r="E53" s="146">
        <f>E52/(G4*24)</f>
        <v>0.12625868055555556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+D34+'15'!J56</f>
        <v>4498</v>
      </c>
      <c r="K56" s="200">
        <f>J56/(J40+J56/1000)/1000</f>
        <v>7.3911457426146061E-3</v>
      </c>
    </row>
    <row r="57" spans="1:11">
      <c r="A57" s="175"/>
      <c r="I57" s="198" t="s">
        <v>87</v>
      </c>
      <c r="J57" s="199">
        <f>+E34+'15'!J57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C1" zoomScale="80" zoomScaleNormal="75" zoomScaleSheetLayoutView="80" workbookViewId="0">
      <selection activeCell="S20" sqref="D15:S2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5" ht="15.75">
      <c r="A1" s="147"/>
    </row>
    <row r="2" spans="1:25" ht="15.75">
      <c r="A2" s="147" t="s">
        <v>183</v>
      </c>
    </row>
    <row r="3" spans="1:25" ht="15">
      <c r="A3" s="149"/>
    </row>
    <row r="4" spans="1:25" ht="20.25">
      <c r="A4" s="150" t="s">
        <v>3</v>
      </c>
      <c r="B4" s="151"/>
      <c r="F4" s="152" t="s">
        <v>28</v>
      </c>
      <c r="G4" s="153">
        <v>15</v>
      </c>
      <c r="H4" s="153" t="str">
        <f>+'1'!H4</f>
        <v>.01.26</v>
      </c>
    </row>
    <row r="5" spans="1:25" ht="13.5" thickBot="1">
      <c r="C5" s="154"/>
      <c r="D5" s="154"/>
    </row>
    <row r="6" spans="1:25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1230</v>
      </c>
      <c r="P6" s="148">
        <f t="shared" ref="P6:P8" si="0">+O6-(O6*0.24)</f>
        <v>934.8</v>
      </c>
      <c r="Q6" s="148">
        <f>60*3+44</f>
        <v>224</v>
      </c>
      <c r="R6" s="148">
        <f t="shared" ref="R6:R9" si="1">+O6*Q6</f>
        <v>275520</v>
      </c>
      <c r="S6" s="148">
        <f t="shared" ref="S6:S9" si="2">+P6*Q6</f>
        <v>209395.19999999998</v>
      </c>
      <c r="T6" s="148" t="s">
        <v>564</v>
      </c>
      <c r="U6" s="148">
        <v>1050</v>
      </c>
      <c r="V6" s="148">
        <v>777</v>
      </c>
      <c r="W6" s="148">
        <v>113</v>
      </c>
      <c r="X6" s="148">
        <f t="shared" ref="X6:X11" si="3">+U6*W6</f>
        <v>118650</v>
      </c>
      <c r="Y6" s="148">
        <f t="shared" ref="Y6:Y11" si="4">+V6*W6</f>
        <v>87801</v>
      </c>
    </row>
    <row r="7" spans="1:25" ht="13.5" customHeight="1" thickBot="1">
      <c r="A7" s="750" t="s">
        <v>414</v>
      </c>
      <c r="B7" s="214" t="s">
        <v>390</v>
      </c>
      <c r="C7" s="215">
        <f>3058+6708</f>
        <v>9766</v>
      </c>
      <c r="D7" s="216"/>
      <c r="E7" s="217"/>
      <c r="F7" s="226">
        <v>6</v>
      </c>
      <c r="G7" s="227" t="s">
        <v>11</v>
      </c>
      <c r="H7" s="228" t="s">
        <v>445</v>
      </c>
      <c r="I7" s="753" t="s">
        <v>565</v>
      </c>
      <c r="J7" s="213" t="str">
        <f>+'14'!J7</f>
        <v>T 13 VP OW</v>
      </c>
      <c r="K7" s="236"/>
      <c r="L7" s="240"/>
      <c r="M7" s="116">
        <f>+K7+'14'!M7+L7</f>
        <v>79167</v>
      </c>
      <c r="N7" s="148" t="s">
        <v>564</v>
      </c>
      <c r="O7" s="148">
        <v>1050</v>
      </c>
      <c r="P7" s="148">
        <f>+O7-(O7*0.26)</f>
        <v>777</v>
      </c>
      <c r="Q7" s="148">
        <f>60-44+60+37</f>
        <v>113</v>
      </c>
      <c r="R7" s="148">
        <f t="shared" si="1"/>
        <v>118650</v>
      </c>
      <c r="S7" s="148">
        <f t="shared" si="2"/>
        <v>87801</v>
      </c>
      <c r="T7" s="148" t="s">
        <v>564</v>
      </c>
      <c r="U7" s="148">
        <v>1080</v>
      </c>
      <c r="V7" s="148">
        <v>799.2</v>
      </c>
      <c r="W7" s="148">
        <v>60</v>
      </c>
      <c r="X7" s="148">
        <f t="shared" si="3"/>
        <v>64800</v>
      </c>
      <c r="Y7" s="148">
        <f t="shared" si="4"/>
        <v>47952</v>
      </c>
    </row>
    <row r="8" spans="1:25" ht="13.5" thickBot="1">
      <c r="A8" s="751"/>
      <c r="B8" s="214" t="s">
        <v>540</v>
      </c>
      <c r="C8" s="215">
        <v>1470</v>
      </c>
      <c r="D8" s="216"/>
      <c r="E8" s="218"/>
      <c r="F8" s="229"/>
      <c r="G8" s="230" t="s">
        <v>11</v>
      </c>
      <c r="H8" s="228" t="s">
        <v>427</v>
      </c>
      <c r="I8" s="754"/>
      <c r="J8" s="213" t="str">
        <f>+'14'!J8</f>
        <v>F 12 VP OW</v>
      </c>
      <c r="K8" s="237">
        <f>+C7</f>
        <v>9766</v>
      </c>
      <c r="L8" s="237"/>
      <c r="M8" s="116">
        <f>+K8+'14'!M8+L8</f>
        <v>253437</v>
      </c>
      <c r="N8" s="148" t="s">
        <v>547</v>
      </c>
      <c r="O8" s="148">
        <v>1200</v>
      </c>
      <c r="P8" s="148">
        <f t="shared" si="0"/>
        <v>912</v>
      </c>
      <c r="Q8" s="148">
        <f>60-37+60</f>
        <v>83</v>
      </c>
      <c r="R8" s="148">
        <f t="shared" si="1"/>
        <v>99600</v>
      </c>
      <c r="S8" s="148">
        <f t="shared" si="2"/>
        <v>75696</v>
      </c>
      <c r="T8" s="148" t="s">
        <v>564</v>
      </c>
      <c r="U8" s="148">
        <v>1080</v>
      </c>
      <c r="V8" s="148">
        <v>799.2</v>
      </c>
      <c r="W8" s="148">
        <v>480</v>
      </c>
      <c r="X8" s="148">
        <f t="shared" si="3"/>
        <v>518400</v>
      </c>
      <c r="Y8" s="148">
        <f t="shared" si="4"/>
        <v>383616</v>
      </c>
    </row>
    <row r="9" spans="1:25" ht="13.5" thickBot="1">
      <c r="A9" s="751"/>
      <c r="B9" s="214"/>
      <c r="C9" s="215"/>
      <c r="D9" s="216"/>
      <c r="E9" s="219"/>
      <c r="F9" s="226">
        <f>31-6</f>
        <v>25</v>
      </c>
      <c r="G9" s="230" t="s">
        <v>11</v>
      </c>
      <c r="H9" s="231" t="s">
        <v>568</v>
      </c>
      <c r="I9" s="754"/>
      <c r="J9" s="213" t="str">
        <f>+'14'!J9</f>
        <v>F 13,5 VP OW</v>
      </c>
      <c r="K9" s="237"/>
      <c r="L9" s="237"/>
      <c r="M9" s="116">
        <f>+K9+'14'!M9+L9</f>
        <v>111802</v>
      </c>
      <c r="N9" s="148" t="s">
        <v>564</v>
      </c>
      <c r="O9" s="148">
        <v>1080</v>
      </c>
      <c r="P9" s="148">
        <f>+O9-(O9*0.26)</f>
        <v>799.2</v>
      </c>
      <c r="Q9" s="148">
        <v>60</v>
      </c>
      <c r="R9" s="148">
        <f t="shared" si="1"/>
        <v>64800</v>
      </c>
      <c r="S9" s="148">
        <f t="shared" si="2"/>
        <v>47952</v>
      </c>
      <c r="T9" s="148" t="s">
        <v>564</v>
      </c>
      <c r="U9" s="148">
        <v>1080</v>
      </c>
      <c r="V9" s="148">
        <v>799.2</v>
      </c>
      <c r="W9" s="148">
        <v>480</v>
      </c>
      <c r="X9" s="148">
        <f t="shared" si="3"/>
        <v>518400</v>
      </c>
      <c r="Y9" s="148">
        <f t="shared" si="4"/>
        <v>383616</v>
      </c>
    </row>
    <row r="10" spans="1:25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562</v>
      </c>
      <c r="I10" s="754"/>
      <c r="J10" s="213" t="str">
        <f>+'14'!J10</f>
        <v>F 12,5 VP OW</v>
      </c>
      <c r="K10" s="237"/>
      <c r="L10" s="237"/>
      <c r="M10" s="116">
        <f>+K10+'14'!M10+L10</f>
        <v>50678</v>
      </c>
      <c r="P10" s="148">
        <f>+O10-(O10*0.23)</f>
        <v>0</v>
      </c>
      <c r="R10" s="148">
        <f t="shared" ref="R10:R11" si="5">+O10*Q10</f>
        <v>0</v>
      </c>
      <c r="S10" s="148">
        <f t="shared" ref="S10:S11" si="6">+P10*Q10</f>
        <v>0</v>
      </c>
      <c r="V10" s="148">
        <f>+U10-(U10*0.23)</f>
        <v>0</v>
      </c>
      <c r="X10" s="148">
        <f t="shared" si="3"/>
        <v>0</v>
      </c>
      <c r="Y10" s="148">
        <f t="shared" si="4"/>
        <v>0</v>
      </c>
    </row>
    <row r="11" spans="1:25" ht="77.25" thickBot="1">
      <c r="A11" s="751"/>
      <c r="B11" s="214"/>
      <c r="C11" s="215"/>
      <c r="D11" s="216"/>
      <c r="E11" s="218"/>
      <c r="F11" s="226"/>
      <c r="G11" s="230"/>
      <c r="H11" s="231" t="s">
        <v>563</v>
      </c>
      <c r="I11" s="754"/>
      <c r="J11" s="213" t="str">
        <f>+'14'!J11</f>
        <v>F 14 VP OW</v>
      </c>
      <c r="K11" s="237"/>
      <c r="L11" s="237"/>
      <c r="M11" s="116">
        <f>+K11+'14'!M11+L11</f>
        <v>15282</v>
      </c>
      <c r="P11" s="148">
        <f>+O11-(O11*0.23)</f>
        <v>0</v>
      </c>
      <c r="R11" s="148">
        <f t="shared" si="5"/>
        <v>0</v>
      </c>
      <c r="S11" s="148">
        <f t="shared" si="6"/>
        <v>0</v>
      </c>
      <c r="V11" s="148">
        <f>+U11-(U11*0.23)</f>
        <v>0</v>
      </c>
      <c r="X11" s="148">
        <f t="shared" si="3"/>
        <v>0</v>
      </c>
      <c r="Y11" s="148">
        <f t="shared" si="4"/>
        <v>0</v>
      </c>
    </row>
    <row r="12" spans="1:25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tr">
        <f>+'14'!J12</f>
        <v>F 13 VP OW</v>
      </c>
      <c r="K12" s="237">
        <f>+C16+C8+C18</f>
        <v>5379</v>
      </c>
      <c r="L12" s="237"/>
      <c r="M12" s="116">
        <f>+K12+'14'!M12+L12</f>
        <v>25828</v>
      </c>
    </row>
    <row r="13" spans="1:25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 t="s">
        <v>576</v>
      </c>
      <c r="K13" s="237">
        <f>+C17+C25</f>
        <v>28780</v>
      </c>
      <c r="L13" s="237"/>
      <c r="M13" s="116">
        <f>+K13+'14'!M13+L13</f>
        <v>28780</v>
      </c>
    </row>
    <row r="14" spans="1:25" ht="13.5" thickBot="1">
      <c r="A14" s="752"/>
      <c r="B14" s="164" t="s">
        <v>2</v>
      </c>
      <c r="C14" s="98">
        <f>SUM(C7:C13)</f>
        <v>11236</v>
      </c>
      <c r="D14" s="110">
        <f>SUM(D7:D13)</f>
        <v>0</v>
      </c>
      <c r="E14" s="111">
        <f>SUM(E5:E13)</f>
        <v>0</v>
      </c>
      <c r="F14" s="115">
        <f>SUM(F7:F13)</f>
        <v>31</v>
      </c>
      <c r="G14" s="158"/>
      <c r="H14" s="165"/>
      <c r="I14" s="166"/>
      <c r="J14" s="213">
        <f>+'14'!J14</f>
        <v>0</v>
      </c>
      <c r="K14" s="237"/>
      <c r="L14" s="237"/>
      <c r="M14" s="116">
        <f>+K14+'14'!M14+L14</f>
        <v>0</v>
      </c>
      <c r="Q14" s="175">
        <f>SUM(Q6:Q11)</f>
        <v>480</v>
      </c>
      <c r="R14" s="175">
        <f>SUM(R6:R11)</f>
        <v>558570</v>
      </c>
      <c r="S14" s="175">
        <f>SUM(S6:S11)</f>
        <v>420844.19999999995</v>
      </c>
      <c r="W14" s="175">
        <f>SUM(W6:W11)</f>
        <v>1133</v>
      </c>
      <c r="X14" s="175">
        <f>SUM(X6:X11)</f>
        <v>1220250</v>
      </c>
      <c r="Y14" s="175">
        <f>SUM(Y6:Y11)</f>
        <v>902985</v>
      </c>
    </row>
    <row r="15" spans="1:25" ht="13.5" customHeight="1" thickBot="1">
      <c r="A15" s="750" t="s">
        <v>431</v>
      </c>
      <c r="B15" s="164"/>
      <c r="C15" s="112">
        <f>C14/($C$23+$D$23+$E$23)</f>
        <v>0.73562917375932957</v>
      </c>
      <c r="D15" s="113">
        <f>D14/($C$23+$D$23+$E$23)</f>
        <v>0</v>
      </c>
      <c r="E15" s="114">
        <f>E14/($C$23+$D$23+$E$23)</f>
        <v>0</v>
      </c>
      <c r="F15" s="226">
        <v>4</v>
      </c>
      <c r="G15" s="227" t="s">
        <v>11</v>
      </c>
      <c r="H15" s="228" t="s">
        <v>445</v>
      </c>
      <c r="I15" s="753" t="s">
        <v>566</v>
      </c>
      <c r="J15" s="213">
        <f>+'14'!J15</f>
        <v>0</v>
      </c>
      <c r="K15" s="237"/>
      <c r="L15" s="237"/>
      <c r="M15" s="116">
        <f>+K15+'14'!M15+L15</f>
        <v>0</v>
      </c>
      <c r="Q15" s="148">
        <f>480-Q14</f>
        <v>0</v>
      </c>
      <c r="R15" s="175">
        <f>+R14/Q14</f>
        <v>1163.6875</v>
      </c>
      <c r="S15" s="175">
        <f>+S14/Q14</f>
        <v>876.75874999999985</v>
      </c>
      <c r="W15" s="148">
        <f>480-W14</f>
        <v>-653</v>
      </c>
      <c r="X15" s="175">
        <f>+X14/W14</f>
        <v>1077.007943512798</v>
      </c>
      <c r="Y15" s="175">
        <f>+Y14/W14</f>
        <v>796.98587819947045</v>
      </c>
    </row>
    <row r="16" spans="1:25" ht="13.5" thickBot="1">
      <c r="A16" s="771"/>
      <c r="B16" s="214" t="s">
        <v>554</v>
      </c>
      <c r="C16" s="220">
        <f>750+830</f>
        <v>1580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+'14'!J16</f>
        <v>0</v>
      </c>
      <c r="K16" s="227"/>
      <c r="L16" s="227"/>
      <c r="M16" s="116">
        <f>+K16+'14'!M16+L16</f>
        <v>0</v>
      </c>
      <c r="N16" s="148" t="s">
        <v>564</v>
      </c>
      <c r="O16" s="148">
        <v>1080</v>
      </c>
      <c r="P16" s="148">
        <f>+O16-(O16*0.26)</f>
        <v>799.2</v>
      </c>
      <c r="Q16" s="148">
        <v>480</v>
      </c>
      <c r="R16" s="148">
        <f t="shared" ref="R16" si="7">+O16*Q16</f>
        <v>518400</v>
      </c>
      <c r="S16" s="148">
        <f t="shared" ref="S16:S21" si="8">+P16*Q16</f>
        <v>383616</v>
      </c>
    </row>
    <row r="17" spans="1:19" ht="13.5" thickBot="1">
      <c r="A17" s="771"/>
      <c r="B17" s="214" t="s">
        <v>576</v>
      </c>
      <c r="C17" s="215">
        <v>11365</v>
      </c>
      <c r="D17" s="216"/>
      <c r="E17" s="223"/>
      <c r="F17" s="226">
        <v>10</v>
      </c>
      <c r="G17" s="230" t="s">
        <v>11</v>
      </c>
      <c r="H17" s="231" t="s">
        <v>388</v>
      </c>
      <c r="I17" s="754"/>
      <c r="J17" s="213">
        <f>+'14'!J17</f>
        <v>0</v>
      </c>
      <c r="K17" s="227"/>
      <c r="L17" s="227"/>
      <c r="M17" s="116">
        <f>+K17+'14'!M17+L17</f>
        <v>0</v>
      </c>
    </row>
    <row r="18" spans="1:19" ht="26.25" thickBot="1">
      <c r="A18" s="771"/>
      <c r="B18" s="214" t="s">
        <v>540</v>
      </c>
      <c r="C18" s="215">
        <v>2329</v>
      </c>
      <c r="D18" s="216"/>
      <c r="E18" s="223"/>
      <c r="F18" s="226"/>
      <c r="G18" s="235" t="s">
        <v>12</v>
      </c>
      <c r="H18" s="231" t="s">
        <v>560</v>
      </c>
      <c r="I18" s="754"/>
      <c r="J18" s="213">
        <f>+'14'!J18</f>
        <v>0</v>
      </c>
      <c r="K18" s="237"/>
      <c r="L18" s="237"/>
      <c r="M18" s="116">
        <f>+K18+'14'!M18+L18</f>
        <v>0</v>
      </c>
    </row>
    <row r="19" spans="1:19" ht="13.5" thickBot="1">
      <c r="A19" s="771"/>
      <c r="B19" s="214"/>
      <c r="C19" s="215"/>
      <c r="D19" s="216"/>
      <c r="E19" s="223"/>
      <c r="F19" s="233"/>
      <c r="G19" s="230"/>
      <c r="H19" s="231" t="s">
        <v>561</v>
      </c>
      <c r="I19" s="754"/>
      <c r="J19" s="213">
        <f>+'14'!J19</f>
        <v>0</v>
      </c>
      <c r="K19" s="237"/>
      <c r="L19" s="237"/>
      <c r="M19" s="116">
        <f>+K19+'14'!M19+L19</f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+'14'!J20</f>
        <v>0</v>
      </c>
      <c r="K20" s="238"/>
      <c r="L20" s="238"/>
      <c r="M20" s="116">
        <f>+K20+'14'!M20+L20</f>
        <v>0</v>
      </c>
      <c r="P20" s="148">
        <f>+O20-(O20*0.23)</f>
        <v>0</v>
      </c>
      <c r="R20" s="148">
        <f t="shared" ref="R20:R21" si="9">+O20*Q20</f>
        <v>0</v>
      </c>
      <c r="S20" s="148">
        <f t="shared" si="8"/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+'14'!J21</f>
        <v>0</v>
      </c>
      <c r="K21" s="237"/>
      <c r="L21" s="237"/>
      <c r="M21" s="116">
        <f>+K21+'14'!M21+L21</f>
        <v>0</v>
      </c>
      <c r="P21" s="148">
        <f>+O21-(O21*0.23)</f>
        <v>0</v>
      </c>
      <c r="R21" s="148">
        <f t="shared" si="9"/>
        <v>0</v>
      </c>
      <c r="S21" s="148">
        <f t="shared" si="8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+'14'!J22</f>
        <v>0</v>
      </c>
      <c r="K22" s="237"/>
      <c r="L22" s="237"/>
      <c r="M22" s="116">
        <f>+K22+'14'!M22+L22</f>
        <v>0</v>
      </c>
    </row>
    <row r="23" spans="1:19" ht="13.5" thickBot="1">
      <c r="A23" s="772"/>
      <c r="B23" s="167" t="s">
        <v>2</v>
      </c>
      <c r="C23" s="99">
        <f>SUM(C16:C22)</f>
        <v>15274</v>
      </c>
      <c r="D23" s="110">
        <f>SUM(D16:D22)</f>
        <v>0</v>
      </c>
      <c r="E23" s="111">
        <f>SUM(E18:E22)</f>
        <v>0</v>
      </c>
      <c r="F23" s="115">
        <f>SUM(F15:F22)</f>
        <v>14</v>
      </c>
      <c r="G23" s="158"/>
      <c r="H23" s="165"/>
      <c r="I23" s="168"/>
      <c r="J23" s="213">
        <f>+'14'!J23</f>
        <v>0</v>
      </c>
      <c r="K23" s="237"/>
      <c r="L23" s="237"/>
      <c r="M23" s="116">
        <f>+K23+'14'!M23+L23</f>
        <v>0</v>
      </c>
    </row>
    <row r="24" spans="1:19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566</v>
      </c>
      <c r="J24" s="213">
        <f>+'14'!J24</f>
        <v>0</v>
      </c>
      <c r="K24" s="237"/>
      <c r="L24" s="237"/>
      <c r="M24" s="116">
        <f>+K24+'14'!M24+L24</f>
        <v>0</v>
      </c>
      <c r="Q24" s="175">
        <f>SUM(Q16:Q21)</f>
        <v>480</v>
      </c>
      <c r="R24" s="175">
        <f>SUM(R16:R21)</f>
        <v>518400</v>
      </c>
      <c r="S24" s="175">
        <f>SUM(S16:S21)</f>
        <v>383616</v>
      </c>
    </row>
    <row r="25" spans="1:19" ht="13.5" thickBot="1">
      <c r="A25" s="771"/>
      <c r="B25" s="214" t="s">
        <v>576</v>
      </c>
      <c r="C25" s="224">
        <v>17415</v>
      </c>
      <c r="D25" s="216">
        <v>1336</v>
      </c>
      <c r="E25" s="223"/>
      <c r="F25" s="229"/>
      <c r="G25" s="230" t="s">
        <v>11</v>
      </c>
      <c r="H25" s="228" t="s">
        <v>427</v>
      </c>
      <c r="I25" s="754"/>
      <c r="J25" s="213">
        <f>+'14'!J25</f>
        <v>0</v>
      </c>
      <c r="K25" s="237"/>
      <c r="L25" s="237"/>
      <c r="M25" s="116">
        <f>+K25+'14'!M25+L25</f>
        <v>0</v>
      </c>
      <c r="Q25" s="148">
        <f>480-Q24</f>
        <v>0</v>
      </c>
      <c r="R25" s="175">
        <f>+R24/Q24</f>
        <v>1080</v>
      </c>
      <c r="S25" s="175">
        <f>+S24/Q24</f>
        <v>799.2</v>
      </c>
    </row>
    <row r="26" spans="1:19" ht="13.5" thickBot="1">
      <c r="A26" s="771"/>
      <c r="B26" s="214"/>
      <c r="C26" s="224"/>
      <c r="D26" s="216"/>
      <c r="E26" s="225"/>
      <c r="F26" s="226">
        <v>11</v>
      </c>
      <c r="G26" s="230" t="s">
        <v>11</v>
      </c>
      <c r="H26" s="231" t="s">
        <v>409</v>
      </c>
      <c r="I26" s="754"/>
      <c r="J26" s="213">
        <f>+'14'!J26</f>
        <v>0</v>
      </c>
      <c r="K26" s="237"/>
      <c r="L26" s="237"/>
      <c r="M26" s="116">
        <f>+K26+'14'!M26+L26</f>
        <v>0</v>
      </c>
    </row>
    <row r="27" spans="1:19" ht="39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559</v>
      </c>
      <c r="I27" s="754"/>
      <c r="J27" s="213">
        <f>+'14'!J27</f>
        <v>0</v>
      </c>
      <c r="K27" s="237"/>
      <c r="L27" s="237"/>
      <c r="M27" s="116">
        <f>+K27+'14'!M27+L27</f>
        <v>0</v>
      </c>
      <c r="N27" s="148" t="s">
        <v>564</v>
      </c>
      <c r="O27" s="148">
        <v>1080</v>
      </c>
      <c r="P27" s="148">
        <f>+O27-(O27*0.26)</f>
        <v>799.2</v>
      </c>
      <c r="Q27" s="148">
        <v>480</v>
      </c>
      <c r="R27" s="148">
        <f t="shared" ref="R27" si="10">+O27*Q27</f>
        <v>518400</v>
      </c>
      <c r="S27" s="148">
        <f t="shared" ref="S27" si="11">+P27*Q27</f>
        <v>383616</v>
      </c>
    </row>
    <row r="28" spans="1:19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+'14'!J28</f>
        <v>0</v>
      </c>
      <c r="K28" s="237"/>
      <c r="L28" s="237"/>
      <c r="M28" s="116">
        <f>+K28+'14'!M28+L28</f>
        <v>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+'14'!J29</f>
        <v>0</v>
      </c>
      <c r="K29" s="237"/>
      <c r="L29" s="237"/>
      <c r="M29" s="116">
        <f>+K29+'14'!M29+L29</f>
        <v>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+'14'!J30</f>
        <v>0</v>
      </c>
      <c r="K30" s="237"/>
      <c r="L30" s="237"/>
      <c r="M30" s="116">
        <f>+K30+'14'!M30+L30</f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+'14'!J31</f>
        <v>0</v>
      </c>
      <c r="K31" s="237"/>
      <c r="L31" s="237"/>
      <c r="M31" s="116">
        <f>+K31+'14'!M31+L31</f>
        <v>0</v>
      </c>
      <c r="P31" s="148">
        <f>+O31-(O31*0.23)</f>
        <v>0</v>
      </c>
      <c r="R31" s="148">
        <f t="shared" ref="R31:R32" si="12">+O31*Q31</f>
        <v>0</v>
      </c>
      <c r="S31" s="148">
        <f t="shared" ref="S31:S32" si="13">+P31*Q31</f>
        <v>0</v>
      </c>
    </row>
    <row r="32" spans="1:19" ht="13.5" thickBot="1">
      <c r="A32" s="772"/>
      <c r="B32" s="164" t="s">
        <v>2</v>
      </c>
      <c r="C32" s="98">
        <f>SUM(C25:C31)</f>
        <v>17415</v>
      </c>
      <c r="D32" s="99">
        <f>SUM(D25:D31)</f>
        <v>1336</v>
      </c>
      <c r="E32" s="100">
        <f>SUM(E25:E31)</f>
        <v>0</v>
      </c>
      <c r="F32" s="101">
        <f>SUM(F24:F31)</f>
        <v>15</v>
      </c>
      <c r="G32" s="170"/>
      <c r="H32" s="171"/>
      <c r="I32" s="168"/>
      <c r="J32" s="213">
        <f>+'14'!J32</f>
        <v>0</v>
      </c>
      <c r="K32" s="239"/>
      <c r="L32" s="241"/>
      <c r="M32" s="116">
        <f>+K32+'14'!M32+L32</f>
        <v>0</v>
      </c>
      <c r="P32" s="148">
        <f>+O32-(O32*0.23)</f>
        <v>0</v>
      </c>
      <c r="R32" s="148">
        <f t="shared" si="12"/>
        <v>0</v>
      </c>
      <c r="S32" s="148">
        <f t="shared" si="13"/>
        <v>0</v>
      </c>
    </row>
    <row r="33" spans="1:19" ht="13.5" thickBot="1">
      <c r="A33" s="172"/>
      <c r="B33" s="173"/>
      <c r="C33" s="102">
        <f>C32/($C$32+$D$32+$E$32)</f>
        <v>0.92875046664177907</v>
      </c>
      <c r="D33" s="103">
        <f>D32/($C$32+$D$32+$E$32)</f>
        <v>7.1249533358220901E-2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43925</v>
      </c>
      <c r="D34" s="106">
        <f>D14+D23+D32</f>
        <v>1336</v>
      </c>
      <c r="E34" s="106">
        <f>E14+E23+E32</f>
        <v>0</v>
      </c>
      <c r="F34" s="107">
        <f>F14+F23+F32</f>
        <v>60</v>
      </c>
      <c r="H34" s="177"/>
      <c r="I34" s="177"/>
      <c r="J34" s="122" t="s">
        <v>27</v>
      </c>
      <c r="K34" s="123">
        <f>SUM(K7:K32)</f>
        <v>43925</v>
      </c>
      <c r="L34" s="211">
        <f>SUM(L7:L32)</f>
        <v>0</v>
      </c>
      <c r="M34" s="119">
        <f>SUM(M7:M32)</f>
        <v>564974</v>
      </c>
    </row>
    <row r="35" spans="1:19" ht="13.5" thickBot="1">
      <c r="A35" s="178"/>
      <c r="B35" s="179"/>
      <c r="C35" s="103">
        <f>C34/($C$34+$D$34+$E$34)</f>
        <v>0.97048231369169924</v>
      </c>
      <c r="D35" s="103">
        <f>D34/($C$34+$D$34+$E$34)</f>
        <v>2.9517686308300744E-2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518400</v>
      </c>
      <c r="S35" s="175">
        <f>SUM(S27:S32)</f>
        <v>383616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1080</v>
      </c>
      <c r="S36" s="175">
        <f>+S35/Q35</f>
        <v>799.2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(12*224+13*83+16*1133)/1440*G42*2.74*1440/1000000</f>
        <v>49.49682209254167</v>
      </c>
      <c r="J37" s="124">
        <f>+I37+'14'!J37</f>
        <v>659.42082089059261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60</v>
      </c>
      <c r="D38" s="117">
        <f>+C38+'14'!D38</f>
        <v>981</v>
      </c>
      <c r="E38" s="142">
        <f t="shared" ref="E38:E51" si="14">D38/60</f>
        <v>16.350000000000001</v>
      </c>
      <c r="F38" s="320">
        <v>1163.6875</v>
      </c>
      <c r="G38" s="320">
        <v>876.75874999999985</v>
      </c>
      <c r="H38" s="186" t="s">
        <v>63</v>
      </c>
      <c r="I38" s="243">
        <f>14.622+15.266+16.364</f>
        <v>46.251999999999995</v>
      </c>
      <c r="J38" s="126">
        <f>+I38+'14'!J38</f>
        <v>588.93499999999983</v>
      </c>
      <c r="K38" s="127" t="s">
        <v>62</v>
      </c>
      <c r="N38" s="148" t="s">
        <v>440</v>
      </c>
      <c r="O38" s="148">
        <v>1230</v>
      </c>
      <c r="P38" s="148">
        <v>934.8</v>
      </c>
      <c r="Q38" s="148">
        <v>224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+C39+'14'!D39</f>
        <v>0</v>
      </c>
      <c r="E39" s="142">
        <f t="shared" si="14"/>
        <v>0</v>
      </c>
      <c r="F39" s="320">
        <v>1080</v>
      </c>
      <c r="G39" s="320">
        <v>799.2</v>
      </c>
      <c r="H39" s="186" t="s">
        <v>64</v>
      </c>
      <c r="I39" s="141"/>
      <c r="J39" s="128">
        <f>J37/G4</f>
        <v>43.961388059372844</v>
      </c>
      <c r="K39" s="129" t="s">
        <v>62</v>
      </c>
      <c r="N39" s="148" t="s">
        <v>547</v>
      </c>
      <c r="O39" s="148">
        <v>1200</v>
      </c>
      <c r="P39" s="148">
        <v>912</v>
      </c>
      <c r="Q39" s="148">
        <v>83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+C40+'14'!D40</f>
        <v>0</v>
      </c>
      <c r="E40" s="142">
        <f t="shared" si="14"/>
        <v>0</v>
      </c>
      <c r="F40" s="320">
        <v>1080</v>
      </c>
      <c r="G40" s="320">
        <v>799.2</v>
      </c>
      <c r="H40" s="186" t="s">
        <v>66</v>
      </c>
      <c r="I40" s="117">
        <f>(K34+L34)/1000</f>
        <v>43.924999999999997</v>
      </c>
      <c r="J40" s="130">
        <f>+I40+'14'!J40</f>
        <v>564.97399999999982</v>
      </c>
      <c r="K40" s="129" t="s">
        <v>62</v>
      </c>
      <c r="N40" s="148" t="s">
        <v>564</v>
      </c>
      <c r="O40" s="148">
        <v>1077.007943512798</v>
      </c>
      <c r="P40" s="148">
        <v>796.98587819947045</v>
      </c>
      <c r="Q40" s="148">
        <v>1133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+C41+'14'!D41</f>
        <v>0</v>
      </c>
      <c r="E41" s="142">
        <f t="shared" si="14"/>
        <v>0</v>
      </c>
      <c r="F41" s="320"/>
      <c r="G41" s="320"/>
      <c r="H41" s="186" t="s">
        <v>68</v>
      </c>
      <c r="I41" s="141"/>
      <c r="J41" s="128">
        <f>J40/G4</f>
        <v>37.664933333333323</v>
      </c>
      <c r="K41" s="129" t="s">
        <v>62</v>
      </c>
      <c r="Q41" s="148">
        <f>SUM(Q38:Q40)</f>
        <v>1440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+C42+'14'!D42</f>
        <v>0</v>
      </c>
      <c r="E42" s="142">
        <f t="shared" si="14"/>
        <v>0</v>
      </c>
      <c r="F42" s="320">
        <f>+(F38*480+F39*480+F40*480)/1440</f>
        <v>1107.8958333333333</v>
      </c>
      <c r="G42" s="320">
        <f>+(G38*480+G39*480+G40*480)/1440</f>
        <v>825.05291666666665</v>
      </c>
      <c r="H42" s="186" t="s">
        <v>69</v>
      </c>
      <c r="I42" s="244" t="s">
        <v>567</v>
      </c>
      <c r="J42" s="131"/>
      <c r="K42" s="129" t="s">
        <v>70</v>
      </c>
    </row>
    <row r="43" spans="1:19" ht="17.45" customHeight="1">
      <c r="A43" s="764" t="s">
        <v>221</v>
      </c>
      <c r="B43" s="765"/>
      <c r="C43" s="163">
        <f>SUMIF($G$7:$G$31,"Change Grade",$F$7:$F$31)</f>
        <v>0</v>
      </c>
      <c r="D43" s="117">
        <f>+C43+'14'!D43</f>
        <v>0</v>
      </c>
      <c r="E43" s="142">
        <f t="shared" si="14"/>
        <v>0</v>
      </c>
      <c r="F43" s="320"/>
      <c r="G43" s="321"/>
      <c r="H43" s="187" t="s">
        <v>72</v>
      </c>
      <c r="I43" s="117">
        <f>+Report1!Z23</f>
        <v>52.3</v>
      </c>
      <c r="J43" s="132">
        <f>+I43+'14'!J43</f>
        <v>751.19999999999982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+C44+'14'!D44</f>
        <v>0</v>
      </c>
      <c r="E44" s="142">
        <f t="shared" si="14"/>
        <v>0</v>
      </c>
      <c r="F44" s="320"/>
      <c r="G44" s="321"/>
      <c r="H44" s="187" t="s">
        <v>73</v>
      </c>
      <c r="I44" s="117">
        <f>I43/I38</f>
        <v>1.1307619129983568</v>
      </c>
      <c r="J44" s="133">
        <f>J43/J38</f>
        <v>1.2755227656702353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+C45+'14'!D45</f>
        <v>0</v>
      </c>
      <c r="E45" s="142">
        <f t="shared" si="14"/>
        <v>0</v>
      </c>
      <c r="F45" s="320"/>
      <c r="G45" s="323"/>
      <c r="H45" s="187" t="s">
        <v>74</v>
      </c>
      <c r="I45" s="117">
        <f>I43/I40</f>
        <v>1.190665907797382</v>
      </c>
      <c r="J45" s="133">
        <f>J43/J40</f>
        <v>1.3296187081175419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+C46+'14'!D46</f>
        <v>935</v>
      </c>
      <c r="E46" s="142">
        <f t="shared" si="14"/>
        <v>15.583333333333334</v>
      </c>
      <c r="F46" s="320"/>
      <c r="G46" s="321"/>
      <c r="H46" s="187" t="s">
        <v>76</v>
      </c>
      <c r="I46" s="139">
        <f>+SUMIF(Listrik!P22,"&gt;0")</f>
        <v>35513.520000000361</v>
      </c>
      <c r="J46" s="134">
        <f>+I46+'14'!J46</f>
        <v>561639.18000000005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+C47+'14'!D47</f>
        <v>935</v>
      </c>
      <c r="E47" s="142">
        <f t="shared" si="14"/>
        <v>15.583333333333334</v>
      </c>
      <c r="F47" s="320"/>
      <c r="G47" s="321"/>
      <c r="H47" s="187" t="s">
        <v>79</v>
      </c>
      <c r="I47" s="117">
        <f>I46/I38</f>
        <v>767.82668857563704</v>
      </c>
      <c r="J47" s="134">
        <f>J46/J38</f>
        <v>953.65223666448799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+C48+'14'!D48</f>
        <v>0</v>
      </c>
      <c r="E48" s="142">
        <f t="shared" si="14"/>
        <v>0</v>
      </c>
      <c r="F48" s="320"/>
      <c r="G48" s="321"/>
      <c r="H48" s="187" t="s">
        <v>80</v>
      </c>
      <c r="I48" s="117">
        <f>I46/I40</f>
        <v>808.50358565737884</v>
      </c>
      <c r="J48" s="134">
        <f>J46/J40</f>
        <v>994.09739209237989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+C49+'14'!D49</f>
        <v>0</v>
      </c>
      <c r="E49" s="142">
        <f t="shared" si="14"/>
        <v>0</v>
      </c>
      <c r="F49" s="184"/>
      <c r="H49" s="187" t="s">
        <v>270</v>
      </c>
      <c r="I49" s="117">
        <f>+Report1!T23</f>
        <v>4986.9276888297054</v>
      </c>
      <c r="J49" s="134">
        <f>+I49+'14'!J49</f>
        <v>77536.989094472912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+C50+'14'!D50</f>
        <v>0</v>
      </c>
      <c r="E50" s="142">
        <f t="shared" si="14"/>
        <v>0</v>
      </c>
      <c r="F50" s="184"/>
      <c r="H50" s="187" t="s">
        <v>82</v>
      </c>
      <c r="I50" s="139">
        <f>I49/I38</f>
        <v>107.82080102113868</v>
      </c>
      <c r="J50" s="132">
        <f>J49/J38</f>
        <v>131.65627631992143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+C51+'14'!D51</f>
        <v>0</v>
      </c>
      <c r="E51" s="142">
        <f t="shared" si="14"/>
        <v>0</v>
      </c>
      <c r="F51" s="184"/>
      <c r="H51" s="189" t="s">
        <v>84</v>
      </c>
      <c r="I51" s="140">
        <f>I49/I40</f>
        <v>113.53278745201379</v>
      </c>
      <c r="J51" s="135">
        <f>J49/J40</f>
        <v>137.23992448231766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60</v>
      </c>
      <c r="D52" s="143">
        <f>SUM(D38:D51)</f>
        <v>2851</v>
      </c>
      <c r="E52" s="144">
        <f>SUM(E38:E51)</f>
        <v>47.516666666666673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4.1666666666666664E-2</v>
      </c>
      <c r="D53" s="145">
        <f>D52/(24*60*G4)</f>
        <v>0.13199074074074074</v>
      </c>
      <c r="E53" s="146">
        <f>E52/(G4*24)</f>
        <v>0.13199074074074077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+D34+'14'!J56</f>
        <v>4498</v>
      </c>
      <c r="K56" s="200">
        <f>J56/(J40+J56/1000)/1000</f>
        <v>7.8985446167678143E-3</v>
      </c>
    </row>
    <row r="57" spans="1:11">
      <c r="A57" s="175"/>
      <c r="I57" s="198" t="s">
        <v>87</v>
      </c>
      <c r="J57" s="199">
        <f>+E34+'14'!J57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3:B53"/>
    <mergeCell ref="A48:B48"/>
    <mergeCell ref="A49:B49"/>
    <mergeCell ref="A50:B50"/>
    <mergeCell ref="A51:B51"/>
    <mergeCell ref="A52:B5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I7:I13"/>
    <mergeCell ref="A15:A23"/>
    <mergeCell ref="I15:I22"/>
    <mergeCell ref="A44:B44"/>
    <mergeCell ref="A45:B45"/>
    <mergeCell ref="A42:B42"/>
    <mergeCell ref="I24:I31"/>
    <mergeCell ref="A24:A3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8"/>
  <sheetViews>
    <sheetView view="pageBreakPreview" topLeftCell="C4" zoomScale="80" zoomScaleNormal="75" zoomScaleSheetLayoutView="80" workbookViewId="0">
      <selection activeCell="G11" sqref="G1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28</v>
      </c>
      <c r="G4" s="153">
        <v>14</v>
      </c>
      <c r="H4" s="153" t="str">
        <f>+'1'!H4</f>
        <v>.01.26</v>
      </c>
    </row>
    <row r="5" spans="1:26" ht="13.5" thickBot="1">
      <c r="C5" s="154"/>
      <c r="D5" s="154"/>
    </row>
    <row r="6" spans="1:26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1230</v>
      </c>
      <c r="P6" s="148">
        <f t="shared" ref="P6:P8" si="0">+O6-(O6*0.24)</f>
        <v>934.8</v>
      </c>
      <c r="Q6" s="148">
        <f>60+15</f>
        <v>75</v>
      </c>
      <c r="R6" s="148">
        <f t="shared" ref="R6:R8" si="1">+O6*Q6</f>
        <v>92250</v>
      </c>
      <c r="S6" s="148">
        <f t="shared" ref="S6:S8" si="2">+P6*Q6</f>
        <v>70110</v>
      </c>
      <c r="U6" s="148" t="s">
        <v>440</v>
      </c>
      <c r="V6" s="148">
        <v>1230</v>
      </c>
      <c r="W6" s="148">
        <f t="shared" ref="W6" si="3">+V6-(V6*0.24)</f>
        <v>934.8</v>
      </c>
      <c r="X6" s="148">
        <f>60+15</f>
        <v>75</v>
      </c>
      <c r="Y6" s="148">
        <f t="shared" ref="Y6:Y8" si="4">+V6*X6</f>
        <v>92250</v>
      </c>
      <c r="Z6" s="148">
        <f t="shared" ref="Z6:Z8" si="5">+W6*X6</f>
        <v>70110</v>
      </c>
    </row>
    <row r="7" spans="1:26" ht="13.5" customHeight="1" thickBot="1">
      <c r="A7" s="750" t="s">
        <v>414</v>
      </c>
      <c r="B7" s="214" t="s">
        <v>390</v>
      </c>
      <c r="C7" s="215">
        <v>4509</v>
      </c>
      <c r="D7" s="216"/>
      <c r="E7" s="217"/>
      <c r="F7" s="226">
        <v>8</v>
      </c>
      <c r="G7" s="227" t="s">
        <v>11</v>
      </c>
      <c r="H7" s="228" t="s">
        <v>550</v>
      </c>
      <c r="I7" s="753" t="s">
        <v>548</v>
      </c>
      <c r="J7" s="213" t="str">
        <f>+'13'!J7</f>
        <v>T 13 VP OW</v>
      </c>
      <c r="K7" s="236"/>
      <c r="L7" s="240"/>
      <c r="M7" s="116">
        <f>+K7+'13'!M7+L7</f>
        <v>79167</v>
      </c>
      <c r="N7" s="148" t="s">
        <v>547</v>
      </c>
      <c r="O7" s="148">
        <v>1210</v>
      </c>
      <c r="P7" s="148">
        <f t="shared" si="0"/>
        <v>919.6</v>
      </c>
      <c r="Q7" s="148">
        <f>60-15+120+12</f>
        <v>177</v>
      </c>
      <c r="R7" s="148">
        <f t="shared" si="1"/>
        <v>214170</v>
      </c>
      <c r="S7" s="148">
        <f t="shared" si="2"/>
        <v>162769.20000000001</v>
      </c>
      <c r="U7" s="148" t="s">
        <v>440</v>
      </c>
      <c r="V7" s="148">
        <v>1230</v>
      </c>
      <c r="W7" s="148">
        <v>934.8</v>
      </c>
      <c r="X7" s="148">
        <v>240</v>
      </c>
      <c r="Y7" s="148">
        <f t="shared" si="4"/>
        <v>295200</v>
      </c>
      <c r="Z7" s="148">
        <f t="shared" si="5"/>
        <v>224352</v>
      </c>
    </row>
    <row r="8" spans="1:26" ht="13.5" thickBot="1">
      <c r="A8" s="751"/>
      <c r="B8" s="214" t="s">
        <v>554</v>
      </c>
      <c r="C8" s="215">
        <v>5837</v>
      </c>
      <c r="D8" s="216"/>
      <c r="E8" s="218"/>
      <c r="F8" s="229"/>
      <c r="G8" s="230" t="s">
        <v>11</v>
      </c>
      <c r="H8" s="228" t="s">
        <v>427</v>
      </c>
      <c r="I8" s="754"/>
      <c r="J8" s="213" t="str">
        <f>+'13'!J8</f>
        <v>F 12 VP OW</v>
      </c>
      <c r="K8" s="237">
        <f>+C7+C25</f>
        <v>17624</v>
      </c>
      <c r="L8" s="237"/>
      <c r="M8" s="116">
        <f>+K8+'13'!M8+L8</f>
        <v>243671</v>
      </c>
      <c r="O8" s="148">
        <v>1230</v>
      </c>
      <c r="P8" s="148">
        <f t="shared" si="0"/>
        <v>934.8</v>
      </c>
      <c r="Q8" s="148">
        <f>60-12+180</f>
        <v>228</v>
      </c>
      <c r="R8" s="148">
        <f t="shared" si="1"/>
        <v>280440</v>
      </c>
      <c r="S8" s="148">
        <f t="shared" si="2"/>
        <v>213134.4</v>
      </c>
      <c r="U8" s="148" t="s">
        <v>440</v>
      </c>
      <c r="V8" s="148">
        <v>1230</v>
      </c>
      <c r="W8" s="148">
        <v>934.8</v>
      </c>
      <c r="X8" s="148">
        <v>480</v>
      </c>
      <c r="Y8" s="148">
        <f t="shared" si="4"/>
        <v>590400</v>
      </c>
      <c r="Z8" s="148">
        <f t="shared" si="5"/>
        <v>448704</v>
      </c>
    </row>
    <row r="9" spans="1:26" ht="13.5" thickBot="1">
      <c r="A9" s="751"/>
      <c r="B9" s="214"/>
      <c r="C9" s="215"/>
      <c r="D9" s="216"/>
      <c r="E9" s="219"/>
      <c r="F9" s="226">
        <f>27-8</f>
        <v>19</v>
      </c>
      <c r="G9" s="230" t="s">
        <v>11</v>
      </c>
      <c r="H9" s="231" t="s">
        <v>446</v>
      </c>
      <c r="I9" s="754"/>
      <c r="J9" s="213" t="str">
        <f>+'13'!J9</f>
        <v>F 13,5 VP OW</v>
      </c>
      <c r="K9" s="237"/>
      <c r="L9" s="237"/>
      <c r="M9" s="116">
        <f>+K9+'13'!M9+L9</f>
        <v>111802</v>
      </c>
    </row>
    <row r="10" spans="1:26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530</v>
      </c>
      <c r="I10" s="754"/>
      <c r="J10" s="213" t="str">
        <f>+'13'!J10</f>
        <v>F 12,5 VP OW</v>
      </c>
      <c r="K10" s="237"/>
      <c r="L10" s="237"/>
      <c r="M10" s="116">
        <f>+K10+'13'!M10+L10</f>
        <v>50678</v>
      </c>
      <c r="P10" s="148">
        <f>+O10-(O10*0.23)</f>
        <v>0</v>
      </c>
      <c r="R10" s="148">
        <f t="shared" ref="R10:R11" si="6">+O10*Q10</f>
        <v>0</v>
      </c>
      <c r="S10" s="148">
        <f t="shared" ref="S10:S11" si="7">+P10*Q10</f>
        <v>0</v>
      </c>
      <c r="W10" s="148">
        <f>+V10-(V10*0.23)</f>
        <v>0</v>
      </c>
      <c r="Y10" s="148">
        <f t="shared" ref="Y10:Y11" si="8">+V10*X10</f>
        <v>0</v>
      </c>
      <c r="Z10" s="148">
        <f t="shared" ref="Z10:Z11" si="9">+W10*X10</f>
        <v>0</v>
      </c>
    </row>
    <row r="11" spans="1:26" ht="39" thickBot="1">
      <c r="A11" s="751"/>
      <c r="B11" s="214"/>
      <c r="C11" s="215"/>
      <c r="D11" s="216"/>
      <c r="E11" s="218"/>
      <c r="F11" s="226"/>
      <c r="G11" s="230"/>
      <c r="H11" s="231" t="s">
        <v>546</v>
      </c>
      <c r="I11" s="754"/>
      <c r="J11" s="213" t="str">
        <f>+'13'!J11</f>
        <v>F 14 VP OW</v>
      </c>
      <c r="K11" s="237"/>
      <c r="L11" s="237"/>
      <c r="M11" s="116">
        <f>+K11+'13'!M11+L11</f>
        <v>15282</v>
      </c>
      <c r="P11" s="148">
        <f>+O11-(O11*0.23)</f>
        <v>0</v>
      </c>
      <c r="R11" s="148">
        <f t="shared" si="6"/>
        <v>0</v>
      </c>
      <c r="S11" s="148">
        <f t="shared" si="7"/>
        <v>0</v>
      </c>
      <c r="W11" s="148">
        <f>+V11-(V11*0.23)</f>
        <v>0</v>
      </c>
      <c r="Y11" s="148">
        <f t="shared" si="8"/>
        <v>0</v>
      </c>
      <c r="Z11" s="148">
        <f t="shared" si="9"/>
        <v>0</v>
      </c>
    </row>
    <row r="12" spans="1:26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 t="s">
        <v>554</v>
      </c>
      <c r="K12" s="237">
        <f>+C8+C16+C26</f>
        <v>20449</v>
      </c>
      <c r="L12" s="237"/>
      <c r="M12" s="116">
        <f>+K12+'13'!M12+L12</f>
        <v>20449</v>
      </c>
    </row>
    <row r="13" spans="1:26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+'13'!J13</f>
        <v>0</v>
      </c>
      <c r="K13" s="237"/>
      <c r="L13" s="237"/>
      <c r="M13" s="116">
        <f>+K13+'13'!M13+L13</f>
        <v>0</v>
      </c>
    </row>
    <row r="14" spans="1:26" ht="13.5" thickBot="1">
      <c r="A14" s="752"/>
      <c r="B14" s="164" t="s">
        <v>2</v>
      </c>
      <c r="C14" s="98">
        <f>SUM(C7:C13)</f>
        <v>10346</v>
      </c>
      <c r="D14" s="110">
        <f>SUM(D7:D13)</f>
        <v>0</v>
      </c>
      <c r="E14" s="111">
        <f>SUM(E5:E13)</f>
        <v>0</v>
      </c>
      <c r="F14" s="115">
        <f>SUM(F7:F13)</f>
        <v>27</v>
      </c>
      <c r="G14" s="158"/>
      <c r="H14" s="165"/>
      <c r="I14" s="166"/>
      <c r="J14" s="213">
        <f>+'13'!J14</f>
        <v>0</v>
      </c>
      <c r="K14" s="237"/>
      <c r="L14" s="237"/>
      <c r="M14" s="116">
        <f>+K14+'13'!M14+L14</f>
        <v>0</v>
      </c>
      <c r="Q14" s="175">
        <f>SUM(Q6:Q11)</f>
        <v>480</v>
      </c>
      <c r="R14" s="175">
        <f>SUM(R6:R11)</f>
        <v>586860</v>
      </c>
      <c r="S14" s="175">
        <f>SUM(S6:S11)</f>
        <v>446013.6</v>
      </c>
      <c r="X14" s="175">
        <f>SUM(X6:X11)</f>
        <v>795</v>
      </c>
      <c r="Y14" s="175">
        <f>SUM(Y6:Y11)</f>
        <v>977850</v>
      </c>
      <c r="Z14" s="175">
        <f>SUM(Z6:Z11)</f>
        <v>743166</v>
      </c>
    </row>
    <row r="15" spans="1:26" ht="13.5" customHeight="1" thickBot="1">
      <c r="A15" s="750" t="s">
        <v>431</v>
      </c>
      <c r="B15" s="164"/>
      <c r="C15" s="112">
        <f>C14/($C$23+$D$23+$E$23)</f>
        <v>0.73626530031312265</v>
      </c>
      <c r="D15" s="113">
        <f>D14/($C$23+$D$23+$E$23)</f>
        <v>0</v>
      </c>
      <c r="E15" s="114">
        <f>E14/($C$23+$D$23+$E$23)</f>
        <v>0</v>
      </c>
      <c r="F15" s="226">
        <v>4</v>
      </c>
      <c r="G15" s="227" t="s">
        <v>11</v>
      </c>
      <c r="H15" s="228" t="s">
        <v>445</v>
      </c>
      <c r="I15" s="753" t="s">
        <v>442</v>
      </c>
      <c r="J15" s="213">
        <f>+'13'!J15</f>
        <v>0</v>
      </c>
      <c r="K15" s="237"/>
      <c r="L15" s="237"/>
      <c r="M15" s="116">
        <f>+K15+'13'!M15+L15</f>
        <v>0</v>
      </c>
      <c r="Q15" s="148">
        <f>480-Q14</f>
        <v>0</v>
      </c>
      <c r="R15" s="175">
        <f>+R14/Q14</f>
        <v>1222.625</v>
      </c>
      <c r="S15" s="175">
        <f>+S14/Q14</f>
        <v>929.19499999999994</v>
      </c>
      <c r="X15" s="148">
        <f>480-X14</f>
        <v>-315</v>
      </c>
      <c r="Y15" s="175">
        <f>+Y14/X14</f>
        <v>1230</v>
      </c>
      <c r="Z15" s="175">
        <f>+Z14/X14</f>
        <v>934.8</v>
      </c>
    </row>
    <row r="16" spans="1:26" ht="13.5" thickBot="1">
      <c r="A16" s="771"/>
      <c r="B16" s="214" t="s">
        <v>554</v>
      </c>
      <c r="C16" s="220">
        <v>14052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+'13'!J16</f>
        <v>0</v>
      </c>
      <c r="K16" s="227"/>
      <c r="L16" s="227"/>
      <c r="M16" s="116">
        <f>+K16+'13'!M16+L16</f>
        <v>0</v>
      </c>
    </row>
    <row r="17" spans="1:26" ht="13.5" thickBot="1">
      <c r="A17" s="771"/>
      <c r="B17" s="214"/>
      <c r="C17" s="215"/>
      <c r="D17" s="216"/>
      <c r="E17" s="223"/>
      <c r="F17" s="226">
        <v>22</v>
      </c>
      <c r="G17" s="230" t="s">
        <v>11</v>
      </c>
      <c r="H17" s="231" t="s">
        <v>446</v>
      </c>
      <c r="I17" s="754"/>
      <c r="J17" s="213">
        <f>+'13'!J17</f>
        <v>0</v>
      </c>
      <c r="K17" s="227"/>
      <c r="L17" s="227"/>
      <c r="M17" s="116">
        <f>+K17+'13'!M17+L17</f>
        <v>0</v>
      </c>
      <c r="N17" s="148" t="s">
        <v>547</v>
      </c>
      <c r="O17" s="148">
        <v>1230</v>
      </c>
      <c r="P17" s="148">
        <f t="shared" ref="P17:P19" si="10">+O17-(O17*0.24)</f>
        <v>934.8</v>
      </c>
      <c r="Q17" s="148">
        <f>60*4</f>
        <v>240</v>
      </c>
      <c r="R17" s="148">
        <f t="shared" ref="R17:R19" si="11">+O17*Q17</f>
        <v>295200</v>
      </c>
      <c r="S17" s="148">
        <f t="shared" ref="S17:S19" si="12">+P17*Q17</f>
        <v>224352</v>
      </c>
      <c r="U17" s="148" t="s">
        <v>547</v>
      </c>
      <c r="V17" s="148">
        <v>1210</v>
      </c>
      <c r="W17" s="148">
        <v>919.6</v>
      </c>
      <c r="X17" s="148">
        <v>177</v>
      </c>
      <c r="Y17" s="148">
        <f t="shared" ref="Y17:Y19" si="13">+V17*X17</f>
        <v>214170</v>
      </c>
      <c r="Z17" s="148">
        <f t="shared" ref="Z17:Z19" si="14">+W17*X17</f>
        <v>162769.20000000001</v>
      </c>
    </row>
    <row r="18" spans="1:26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543</v>
      </c>
      <c r="I18" s="754"/>
      <c r="J18" s="213">
        <f>+'13'!J18</f>
        <v>0</v>
      </c>
      <c r="K18" s="237"/>
      <c r="L18" s="237"/>
      <c r="M18" s="116">
        <f>+K18+'13'!M18+L18</f>
        <v>0</v>
      </c>
      <c r="N18" s="148" t="s">
        <v>440</v>
      </c>
      <c r="O18" s="148">
        <v>1230</v>
      </c>
      <c r="P18" s="148">
        <f t="shared" si="10"/>
        <v>934.8</v>
      </c>
      <c r="Q18" s="148">
        <f>480-Q17</f>
        <v>240</v>
      </c>
      <c r="R18" s="148">
        <f t="shared" si="11"/>
        <v>295200</v>
      </c>
      <c r="S18" s="148">
        <f t="shared" si="12"/>
        <v>224352</v>
      </c>
      <c r="V18" s="148">
        <v>1230</v>
      </c>
      <c r="W18" s="148">
        <v>934.8</v>
      </c>
      <c r="X18" s="148">
        <v>228</v>
      </c>
      <c r="Y18" s="148">
        <f t="shared" si="13"/>
        <v>280440</v>
      </c>
      <c r="Z18" s="148">
        <f t="shared" si="14"/>
        <v>213134.4</v>
      </c>
    </row>
    <row r="19" spans="1:26" ht="13.5" thickBot="1">
      <c r="A19" s="771"/>
      <c r="B19" s="214"/>
      <c r="C19" s="215"/>
      <c r="D19" s="216"/>
      <c r="E19" s="223"/>
      <c r="F19" s="233"/>
      <c r="G19" s="230"/>
      <c r="H19" s="231" t="s">
        <v>545</v>
      </c>
      <c r="I19" s="754"/>
      <c r="J19" s="213">
        <f>+'13'!J19</f>
        <v>0</v>
      </c>
      <c r="K19" s="237"/>
      <c r="L19" s="237"/>
      <c r="M19" s="116">
        <f>+K19+'13'!M19+L19</f>
        <v>0</v>
      </c>
      <c r="P19" s="148">
        <f t="shared" si="10"/>
        <v>0</v>
      </c>
      <c r="R19" s="148">
        <f t="shared" si="11"/>
        <v>0</v>
      </c>
      <c r="S19" s="148">
        <f t="shared" si="12"/>
        <v>0</v>
      </c>
      <c r="U19" s="148" t="s">
        <v>547</v>
      </c>
      <c r="V19" s="148">
        <v>1230</v>
      </c>
      <c r="W19" s="148">
        <v>934.8</v>
      </c>
      <c r="X19" s="148">
        <v>240</v>
      </c>
      <c r="Y19" s="148">
        <f t="shared" si="13"/>
        <v>295200</v>
      </c>
      <c r="Z19" s="148">
        <f t="shared" si="14"/>
        <v>224352</v>
      </c>
    </row>
    <row r="20" spans="1:26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+'13'!J20</f>
        <v>0</v>
      </c>
      <c r="K20" s="238"/>
      <c r="L20" s="238"/>
      <c r="M20" s="116">
        <f>+K20+'13'!M20+L20</f>
        <v>0</v>
      </c>
    </row>
    <row r="21" spans="1:26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+'13'!J21</f>
        <v>0</v>
      </c>
      <c r="K21" s="237"/>
      <c r="L21" s="237"/>
      <c r="M21" s="116">
        <f>+K21+'13'!M21+L21</f>
        <v>0</v>
      </c>
      <c r="P21" s="148">
        <f>+O21-(O21*0.23)</f>
        <v>0</v>
      </c>
      <c r="R21" s="148">
        <f t="shared" ref="R21:R22" si="15">+O21*Q21</f>
        <v>0</v>
      </c>
      <c r="S21" s="148">
        <f t="shared" ref="S21:S22" si="16">+P21*Q21</f>
        <v>0</v>
      </c>
      <c r="W21" s="148">
        <f>+V21-(V21*0.23)</f>
        <v>0</v>
      </c>
      <c r="Y21" s="148">
        <f t="shared" ref="Y21:Y22" si="17">+V21*X21</f>
        <v>0</v>
      </c>
      <c r="Z21" s="148">
        <f t="shared" ref="Z21:Z22" si="18">+W21*X21</f>
        <v>0</v>
      </c>
    </row>
    <row r="22" spans="1:26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+'13'!J22</f>
        <v>0</v>
      </c>
      <c r="K22" s="237"/>
      <c r="L22" s="237"/>
      <c r="M22" s="116">
        <f>+K22+'13'!M22+L22</f>
        <v>0</v>
      </c>
      <c r="P22" s="148">
        <f>+O22-(O22*0.23)</f>
        <v>0</v>
      </c>
      <c r="R22" s="148">
        <f t="shared" si="15"/>
        <v>0</v>
      </c>
      <c r="S22" s="148">
        <f t="shared" si="16"/>
        <v>0</v>
      </c>
      <c r="W22" s="148">
        <f>+V22-(V22*0.23)</f>
        <v>0</v>
      </c>
      <c r="Y22" s="148">
        <f t="shared" si="17"/>
        <v>0</v>
      </c>
      <c r="Z22" s="148">
        <f t="shared" si="18"/>
        <v>0</v>
      </c>
    </row>
    <row r="23" spans="1:26" ht="13.5" thickBot="1">
      <c r="A23" s="772"/>
      <c r="B23" s="167" t="s">
        <v>2</v>
      </c>
      <c r="C23" s="99">
        <f>SUM(C16:C22)</f>
        <v>14052</v>
      </c>
      <c r="D23" s="110">
        <f>SUM(D16:D22)</f>
        <v>0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+'13'!J23</f>
        <v>0</v>
      </c>
      <c r="K23" s="237"/>
      <c r="L23" s="237"/>
      <c r="M23" s="116">
        <f>+K23+'13'!M23+L23</f>
        <v>0</v>
      </c>
    </row>
    <row r="24" spans="1:26" ht="13.5" customHeight="1" thickBot="1">
      <c r="A24" s="750" t="s">
        <v>389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4</v>
      </c>
      <c r="G24" s="227" t="s">
        <v>11</v>
      </c>
      <c r="H24" s="228" t="s">
        <v>445</v>
      </c>
      <c r="I24" s="753" t="s">
        <v>442</v>
      </c>
      <c r="J24" s="213">
        <f>+'13'!J24</f>
        <v>0</v>
      </c>
      <c r="K24" s="237"/>
      <c r="L24" s="237"/>
      <c r="M24" s="116">
        <f>+K24+'13'!M24+L24</f>
        <v>0</v>
      </c>
    </row>
    <row r="25" spans="1:26" ht="13.5" thickBot="1">
      <c r="A25" s="771"/>
      <c r="B25" s="214" t="s">
        <v>390</v>
      </c>
      <c r="C25" s="224">
        <v>13115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+'13'!J25</f>
        <v>0</v>
      </c>
      <c r="K25" s="237"/>
      <c r="L25" s="237"/>
      <c r="M25" s="116">
        <f>+K25+'13'!M25+L25</f>
        <v>0</v>
      </c>
      <c r="Q25" s="175">
        <f>SUM(Q17:Q22)</f>
        <v>480</v>
      </c>
      <c r="R25" s="175">
        <f>SUM(R17:R22)</f>
        <v>590400</v>
      </c>
      <c r="S25" s="175">
        <f>SUM(S17:S22)</f>
        <v>448704</v>
      </c>
      <c r="X25" s="175">
        <f>SUM(X17:X22)</f>
        <v>645</v>
      </c>
      <c r="Y25" s="175">
        <f>SUM(Y17:Y22)</f>
        <v>789810</v>
      </c>
      <c r="Z25" s="175">
        <f>SUM(Z17:Z22)</f>
        <v>600255.6</v>
      </c>
    </row>
    <row r="26" spans="1:26" ht="13.5" thickBot="1">
      <c r="A26" s="771"/>
      <c r="B26" s="214" t="s">
        <v>554</v>
      </c>
      <c r="C26" s="224">
        <v>560</v>
      </c>
      <c r="D26" s="216"/>
      <c r="E26" s="225"/>
      <c r="F26" s="226">
        <v>14</v>
      </c>
      <c r="G26" s="230" t="s">
        <v>11</v>
      </c>
      <c r="H26" s="231" t="s">
        <v>386</v>
      </c>
      <c r="I26" s="754"/>
      <c r="J26" s="213">
        <f>+'13'!J26</f>
        <v>0</v>
      </c>
      <c r="K26" s="237"/>
      <c r="L26" s="237"/>
      <c r="M26" s="116">
        <f>+K26+'13'!M26+L26</f>
        <v>0</v>
      </c>
      <c r="Q26" s="148">
        <f>480-Q25</f>
        <v>0</v>
      </c>
      <c r="R26" s="175">
        <f>+R25/Q25</f>
        <v>1230</v>
      </c>
      <c r="S26" s="175">
        <f>+S25/Q25</f>
        <v>934.8</v>
      </c>
      <c r="X26" s="148">
        <f>480-X25</f>
        <v>-165</v>
      </c>
      <c r="Y26" s="175">
        <f>+Y25/X25</f>
        <v>1224.5116279069769</v>
      </c>
      <c r="Z26" s="175">
        <f>+Z25/X25</f>
        <v>930.62883720930233</v>
      </c>
    </row>
    <row r="27" spans="1:26" ht="39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544</v>
      </c>
      <c r="I27" s="754"/>
      <c r="J27" s="213">
        <f>+'13'!J27</f>
        <v>0</v>
      </c>
      <c r="K27" s="237"/>
      <c r="L27" s="237"/>
      <c r="M27" s="116">
        <f>+K27+'13'!M27+L27</f>
        <v>0</v>
      </c>
      <c r="N27" s="148" t="s">
        <v>440</v>
      </c>
      <c r="O27" s="148">
        <v>1230</v>
      </c>
      <c r="P27" s="148">
        <f t="shared" ref="P27:P29" si="19">+O27-(O27*0.24)</f>
        <v>934.8</v>
      </c>
      <c r="Q27" s="148">
        <v>480</v>
      </c>
      <c r="R27" s="148">
        <f t="shared" ref="R27:R29" si="20">+O27*Q27</f>
        <v>590400</v>
      </c>
      <c r="S27" s="148">
        <f t="shared" ref="S27:S29" si="21">+P27*Q27</f>
        <v>448704</v>
      </c>
    </row>
    <row r="28" spans="1:26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+'13'!J28</f>
        <v>0</v>
      </c>
      <c r="K28" s="237"/>
      <c r="L28" s="237"/>
      <c r="M28" s="116">
        <f>+K28+'13'!M28+L28</f>
        <v>0</v>
      </c>
    </row>
    <row r="29" spans="1:26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+'13'!J29</f>
        <v>0</v>
      </c>
      <c r="K29" s="237"/>
      <c r="L29" s="237"/>
      <c r="M29" s="116">
        <f>+K29+'13'!M29+L29</f>
        <v>0</v>
      </c>
      <c r="P29" s="148">
        <f t="shared" si="19"/>
        <v>0</v>
      </c>
      <c r="R29" s="148">
        <f t="shared" si="20"/>
        <v>0</v>
      </c>
      <c r="S29" s="148">
        <f t="shared" si="21"/>
        <v>0</v>
      </c>
    </row>
    <row r="30" spans="1:26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+'13'!J30</f>
        <v>0</v>
      </c>
      <c r="K30" s="237"/>
      <c r="L30" s="237"/>
      <c r="M30" s="116">
        <f>+K30+'13'!M30+L30</f>
        <v>0</v>
      </c>
    </row>
    <row r="31" spans="1:26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+'13'!J31</f>
        <v>0</v>
      </c>
      <c r="K31" s="237"/>
      <c r="L31" s="237"/>
      <c r="M31" s="116">
        <f>+K31+'13'!M31+L31</f>
        <v>0</v>
      </c>
      <c r="P31" s="148">
        <f>+O31-(O31*0.23)</f>
        <v>0</v>
      </c>
      <c r="R31" s="148">
        <f t="shared" ref="R31:R32" si="22">+O31*Q31</f>
        <v>0</v>
      </c>
      <c r="S31" s="148">
        <f t="shared" ref="S31:S32" si="23">+P31*Q31</f>
        <v>0</v>
      </c>
    </row>
    <row r="32" spans="1:26" ht="13.5" thickBot="1">
      <c r="A32" s="772"/>
      <c r="B32" s="164" t="s">
        <v>2</v>
      </c>
      <c r="C32" s="98">
        <f>SUM(C25:C31)</f>
        <v>13675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+'13'!J32</f>
        <v>0</v>
      </c>
      <c r="K32" s="239"/>
      <c r="L32" s="241"/>
      <c r="M32" s="116">
        <f>+K32+'13'!M32+L32</f>
        <v>0</v>
      </c>
      <c r="P32" s="148">
        <f>+O32-(O32*0.23)</f>
        <v>0</v>
      </c>
      <c r="R32" s="148">
        <f t="shared" si="22"/>
        <v>0</v>
      </c>
      <c r="S32" s="148">
        <f t="shared" si="23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38073</v>
      </c>
      <c r="D34" s="106">
        <f>D14+D23+D32</f>
        <v>0</v>
      </c>
      <c r="E34" s="106">
        <f>E14+E23+E32</f>
        <v>0</v>
      </c>
      <c r="F34" s="107">
        <f>F14+F23+F32</f>
        <v>71</v>
      </c>
      <c r="H34" s="177"/>
      <c r="I34" s="177"/>
      <c r="J34" s="122" t="s">
        <v>27</v>
      </c>
      <c r="K34" s="123">
        <f>SUM(K7:K32)</f>
        <v>38073</v>
      </c>
      <c r="L34" s="211">
        <f>SUM(L7:L32)</f>
        <v>0</v>
      </c>
      <c r="M34" s="119">
        <f>SUM(M7:M32)</f>
        <v>521049</v>
      </c>
    </row>
    <row r="35" spans="1:19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(12*795+13*645)/1440*G42*2.74*1440/1000000</f>
        <v>45.820472342500004</v>
      </c>
      <c r="J37" s="124">
        <f>+I37+'13'!J37</f>
        <v>609.92399879805089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71</v>
      </c>
      <c r="D38" s="117">
        <f>+C38+'13'!D38</f>
        <v>921</v>
      </c>
      <c r="E38" s="142">
        <f t="shared" ref="E38:E51" si="24">D38/60</f>
        <v>15.35</v>
      </c>
      <c r="F38" s="320">
        <v>1222.625</v>
      </c>
      <c r="G38" s="320">
        <v>929.19499999999994</v>
      </c>
      <c r="H38" s="186" t="s">
        <v>63</v>
      </c>
      <c r="I38" s="243">
        <f>13.075+11.819+2.97+12.381</f>
        <v>40.244999999999997</v>
      </c>
      <c r="J38" s="126">
        <f>+I38+'13'!J38</f>
        <v>542.68299999999988</v>
      </c>
      <c r="K38" s="127" t="s">
        <v>62</v>
      </c>
      <c r="N38" s="148" t="s">
        <v>440</v>
      </c>
      <c r="O38" s="148">
        <v>1230</v>
      </c>
      <c r="P38" s="148">
        <v>934.8</v>
      </c>
      <c r="Q38" s="148">
        <v>795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+C39+'13'!D39</f>
        <v>0</v>
      </c>
      <c r="E39" s="142">
        <f t="shared" si="24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43.565999914146495</v>
      </c>
      <c r="K39" s="129" t="s">
        <v>62</v>
      </c>
      <c r="N39" s="148" t="s">
        <v>547</v>
      </c>
      <c r="O39" s="148">
        <v>1224.5116279069769</v>
      </c>
      <c r="P39" s="148">
        <v>930.62883720930233</v>
      </c>
      <c r="Q39" s="148">
        <v>645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+C40+'13'!D40</f>
        <v>0</v>
      </c>
      <c r="E40" s="142">
        <f t="shared" si="24"/>
        <v>0</v>
      </c>
      <c r="F40" s="320">
        <v>1230</v>
      </c>
      <c r="G40" s="320">
        <v>934.8</v>
      </c>
      <c r="H40" s="186" t="s">
        <v>66</v>
      </c>
      <c r="I40" s="117">
        <f>(K34+L34)/1000</f>
        <v>38.073</v>
      </c>
      <c r="J40" s="130">
        <f>+I40+'13'!J40</f>
        <v>521.04899999999986</v>
      </c>
      <c r="K40" s="129" t="s">
        <v>62</v>
      </c>
      <c r="Q40" s="148">
        <f>+Q38+Q39</f>
        <v>1440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+C41+'13'!D41</f>
        <v>0</v>
      </c>
      <c r="E41" s="142">
        <f t="shared" si="24"/>
        <v>0</v>
      </c>
      <c r="F41" s="320"/>
      <c r="G41" s="320"/>
      <c r="H41" s="186" t="s">
        <v>68</v>
      </c>
      <c r="I41" s="141"/>
      <c r="J41" s="128">
        <f>J40/G4</f>
        <v>37.217785714285704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+C42+'13'!D42</f>
        <v>0</v>
      </c>
      <c r="E42" s="142">
        <f t="shared" si="24"/>
        <v>0</v>
      </c>
      <c r="F42" s="320">
        <f>+(480*F38+480*F39+480*F40)/1440</f>
        <v>1227.5416666666667</v>
      </c>
      <c r="G42" s="320">
        <f>+(480*G38+480*G39+480*G40)/1440</f>
        <v>932.93166666666673</v>
      </c>
      <c r="H42" s="186" t="s">
        <v>69</v>
      </c>
      <c r="I42" s="244" t="s">
        <v>549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+C43+'13'!D43</f>
        <v>0</v>
      </c>
      <c r="E43" s="142">
        <f t="shared" si="24"/>
        <v>0</v>
      </c>
      <c r="F43" s="320"/>
      <c r="G43" s="321"/>
      <c r="H43" s="187" t="s">
        <v>72</v>
      </c>
      <c r="I43" s="117">
        <f>+Report1!Z22</f>
        <v>53</v>
      </c>
      <c r="J43" s="132">
        <f>+I43+'13'!J43</f>
        <v>698.89999999999986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+C44+'13'!D44</f>
        <v>0</v>
      </c>
      <c r="E44" s="142">
        <f t="shared" si="24"/>
        <v>0</v>
      </c>
      <c r="F44" s="320"/>
      <c r="G44" s="321"/>
      <c r="H44" s="187" t="s">
        <v>73</v>
      </c>
      <c r="I44" s="117">
        <f>I43/I38</f>
        <v>1.3169337805938626</v>
      </c>
      <c r="J44" s="133">
        <f>J43/J38</f>
        <v>1.2878605005131909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+C45+'13'!D45</f>
        <v>0</v>
      </c>
      <c r="E45" s="142">
        <f t="shared" si="24"/>
        <v>0</v>
      </c>
      <c r="F45" s="320"/>
      <c r="G45" s="323"/>
      <c r="H45" s="187" t="s">
        <v>74</v>
      </c>
      <c r="I45" s="117">
        <f>I43/I40</f>
        <v>1.3920626165524124</v>
      </c>
      <c r="J45" s="133">
        <f>J43/J40</f>
        <v>1.3413325810048575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+C46+'13'!D46</f>
        <v>935</v>
      </c>
      <c r="E46" s="142">
        <f t="shared" si="24"/>
        <v>15.583333333333334</v>
      </c>
      <c r="F46" s="320"/>
      <c r="G46" s="321"/>
      <c r="H46" s="187" t="s">
        <v>76</v>
      </c>
      <c r="I46" s="139">
        <f>+SUMIF(Listrik!P21,"&gt;0")</f>
        <v>39390.379999999634</v>
      </c>
      <c r="J46" s="134">
        <f>+I46+'13'!J46</f>
        <v>526125.65999999968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+C47+'13'!D47</f>
        <v>935</v>
      </c>
      <c r="E47" s="142">
        <f t="shared" si="24"/>
        <v>15.583333333333334</v>
      </c>
      <c r="F47" s="320"/>
      <c r="G47" s="321"/>
      <c r="H47" s="187" t="s">
        <v>79</v>
      </c>
      <c r="I47" s="117">
        <f>I46/I38</f>
        <v>978.76456702695077</v>
      </c>
      <c r="J47" s="134">
        <f>J46/J38</f>
        <v>969.48984950698616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+C48+'13'!D48</f>
        <v>0</v>
      </c>
      <c r="E48" s="142">
        <f t="shared" si="24"/>
        <v>0</v>
      </c>
      <c r="F48" s="320"/>
      <c r="G48" s="321"/>
      <c r="H48" s="187" t="s">
        <v>80</v>
      </c>
      <c r="I48" s="117">
        <f>I46/I40</f>
        <v>1034.6014235810057</v>
      </c>
      <c r="J48" s="134">
        <f>J46/J40</f>
        <v>1009.7431527553067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+C49+'13'!D49</f>
        <v>0</v>
      </c>
      <c r="E49" s="142">
        <f t="shared" si="24"/>
        <v>0</v>
      </c>
      <c r="F49" s="184"/>
      <c r="H49" s="187" t="s">
        <v>270</v>
      </c>
      <c r="I49" s="117">
        <f>+Report1!T22</f>
        <v>5374.6149575166146</v>
      </c>
      <c r="J49" s="134">
        <f>+I49+'13'!J49</f>
        <v>72550.06140564321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+C50+'13'!D50</f>
        <v>0</v>
      </c>
      <c r="E50" s="142">
        <f t="shared" si="24"/>
        <v>0</v>
      </c>
      <c r="F50" s="184"/>
      <c r="H50" s="187" t="s">
        <v>82</v>
      </c>
      <c r="I50" s="139">
        <f>I49/I38</f>
        <v>133.54739613657884</v>
      </c>
      <c r="J50" s="132">
        <f>J49/J38</f>
        <v>133.68773557609734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+C51+'13'!D51</f>
        <v>0</v>
      </c>
      <c r="E51" s="142">
        <f t="shared" si="24"/>
        <v>0</v>
      </c>
      <c r="F51" s="184"/>
      <c r="H51" s="189" t="s">
        <v>84</v>
      </c>
      <c r="I51" s="140">
        <f>I49/I40</f>
        <v>141.16604831551533</v>
      </c>
      <c r="J51" s="135">
        <f>J49/J40</f>
        <v>139.23846203647494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71</v>
      </c>
      <c r="D52" s="143">
        <f>SUM(D38:D51)</f>
        <v>2791</v>
      </c>
      <c r="E52" s="144">
        <f>SUM(E38:E51)</f>
        <v>46.516666666666666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4.9305555555555554E-2</v>
      </c>
      <c r="D53" s="145">
        <f>D52/(24*60*G4)</f>
        <v>0.13844246031746033</v>
      </c>
      <c r="E53" s="146">
        <f>E52/(G4*24)</f>
        <v>0.13844246031746033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+D34+'13'!J56</f>
        <v>3162</v>
      </c>
      <c r="K56" s="200">
        <f>J56/(J40+J56/1000)/1000</f>
        <v>6.0319222603112113E-3</v>
      </c>
    </row>
    <row r="57" spans="1:11">
      <c r="A57" s="175"/>
      <c r="I57" s="198" t="s">
        <v>87</v>
      </c>
      <c r="J57" s="199">
        <f>+E34+'13'!J57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  <row r="78" spans="23:23">
      <c r="W78" s="148">
        <f>+'14'!K8/1000</f>
        <v>17.623999999999999</v>
      </c>
    </row>
  </sheetData>
  <mergeCells count="24"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B1" zoomScale="85" zoomScaleNormal="70" zoomScaleSheetLayoutView="85" workbookViewId="0">
      <selection activeCell="H27" sqref="C24:H27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28</v>
      </c>
      <c r="G4" s="153">
        <v>13</v>
      </c>
      <c r="H4" s="153" t="str">
        <f>+'1'!H4</f>
        <v>.01.26</v>
      </c>
    </row>
    <row r="5" spans="1:26" ht="13.5" thickBot="1">
      <c r="C5" s="154"/>
      <c r="D5" s="154"/>
    </row>
    <row r="6" spans="1:26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1230</v>
      </c>
      <c r="P6" s="148">
        <f t="shared" ref="P6" si="0">+O6-(O6*0.24)</f>
        <v>934.8</v>
      </c>
      <c r="Q6" s="148">
        <f>60*2+7</f>
        <v>127</v>
      </c>
      <c r="R6" s="148">
        <f t="shared" ref="R6:R7" si="1">+O6*Q6</f>
        <v>156210</v>
      </c>
      <c r="S6" s="148">
        <f t="shared" ref="S6:S7" si="2">+P6*Q6</f>
        <v>118719.59999999999</v>
      </c>
      <c r="U6" s="148" t="s">
        <v>440</v>
      </c>
      <c r="V6" s="148">
        <v>1230</v>
      </c>
      <c r="W6" s="148">
        <f t="shared" ref="W6" si="3">+V6-(V6*0.24)</f>
        <v>934.8</v>
      </c>
      <c r="X6" s="148">
        <f>60*2+7</f>
        <v>127</v>
      </c>
      <c r="Y6" s="148">
        <f t="shared" ref="Y6:Y8" si="4">+V6*X6</f>
        <v>156210</v>
      </c>
      <c r="Z6" s="148">
        <f t="shared" ref="Z6:Z8" si="5">+W6*X6</f>
        <v>118719.59999999999</v>
      </c>
    </row>
    <row r="7" spans="1:26" ht="13.5" customHeight="1" thickBot="1">
      <c r="A7" s="750" t="s">
        <v>414</v>
      </c>
      <c r="B7" s="214" t="s">
        <v>390</v>
      </c>
      <c r="C7" s="215">
        <v>4982</v>
      </c>
      <c r="D7" s="216">
        <v>500</v>
      </c>
      <c r="E7" s="217"/>
      <c r="F7" s="226"/>
      <c r="G7" s="227" t="s">
        <v>11</v>
      </c>
      <c r="H7" s="228" t="s">
        <v>385</v>
      </c>
      <c r="I7" s="753" t="s">
        <v>533</v>
      </c>
      <c r="J7" s="213" t="str">
        <f>+'12'!J7</f>
        <v>T 13 VP OW</v>
      </c>
      <c r="K7" s="236"/>
      <c r="L7" s="240"/>
      <c r="M7" s="116">
        <f>+K7+'12'!M7+L7</f>
        <v>79167</v>
      </c>
      <c r="N7" s="148" t="s">
        <v>532</v>
      </c>
      <c r="O7" s="148">
        <v>1180</v>
      </c>
      <c r="P7" s="148">
        <f>+O7-(O7*0.28)</f>
        <v>849.59999999999991</v>
      </c>
      <c r="Q7" s="148">
        <f>480-Q6</f>
        <v>353</v>
      </c>
      <c r="R7" s="148">
        <f t="shared" si="1"/>
        <v>416540</v>
      </c>
      <c r="S7" s="148">
        <f t="shared" si="2"/>
        <v>299908.8</v>
      </c>
      <c r="U7" s="148" t="s">
        <v>440</v>
      </c>
      <c r="V7" s="148">
        <v>1230</v>
      </c>
      <c r="W7" s="148">
        <v>934.8</v>
      </c>
      <c r="X7" s="148">
        <v>322</v>
      </c>
      <c r="Y7" s="148">
        <f t="shared" si="4"/>
        <v>396060</v>
      </c>
      <c r="Z7" s="148">
        <f t="shared" si="5"/>
        <v>301005.59999999998</v>
      </c>
    </row>
    <row r="8" spans="1:26" ht="13.5" thickBot="1">
      <c r="A8" s="751"/>
      <c r="B8" s="214" t="s">
        <v>540</v>
      </c>
      <c r="C8" s="215">
        <v>8911</v>
      </c>
      <c r="D8" s="216"/>
      <c r="E8" s="218"/>
      <c r="F8" s="229">
        <v>6</v>
      </c>
      <c r="G8" s="230" t="s">
        <v>11</v>
      </c>
      <c r="H8" s="228" t="s">
        <v>514</v>
      </c>
      <c r="I8" s="754"/>
      <c r="J8" s="213" t="str">
        <f>+'12'!J8</f>
        <v>F 12 VP OW</v>
      </c>
      <c r="K8" s="237">
        <f>+C7+C17+C25</f>
        <v>23678</v>
      </c>
      <c r="L8" s="237"/>
      <c r="M8" s="116">
        <f>+K8+'12'!M8+L8</f>
        <v>226047</v>
      </c>
      <c r="U8" s="148" t="s">
        <v>440</v>
      </c>
      <c r="V8" s="148">
        <v>1230</v>
      </c>
      <c r="W8" s="148">
        <v>934.8</v>
      </c>
      <c r="X8" s="148">
        <v>480</v>
      </c>
      <c r="Y8" s="148">
        <f t="shared" si="4"/>
        <v>590400</v>
      </c>
      <c r="Z8" s="148">
        <f t="shared" si="5"/>
        <v>448704</v>
      </c>
    </row>
    <row r="9" spans="1:26" ht="13.5" thickBot="1">
      <c r="A9" s="751"/>
      <c r="B9" s="214"/>
      <c r="C9" s="215"/>
      <c r="D9" s="216"/>
      <c r="E9" s="219"/>
      <c r="F9" s="226">
        <v>20</v>
      </c>
      <c r="G9" s="230" t="s">
        <v>11</v>
      </c>
      <c r="H9" s="231" t="s">
        <v>535</v>
      </c>
      <c r="I9" s="754"/>
      <c r="J9" s="213" t="str">
        <f>+'12'!J9</f>
        <v>F 13,5 VP OW</v>
      </c>
      <c r="K9" s="237"/>
      <c r="L9" s="237"/>
      <c r="M9" s="116">
        <f>+K9+'12'!M9+L9</f>
        <v>111802</v>
      </c>
    </row>
    <row r="10" spans="1:26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530</v>
      </c>
      <c r="I10" s="754"/>
      <c r="J10" s="213" t="str">
        <f>+'12'!J10</f>
        <v>F 12,5 VP OW</v>
      </c>
      <c r="K10" s="237"/>
      <c r="L10" s="237"/>
      <c r="M10" s="116">
        <f>+K10+'12'!M10+L10</f>
        <v>50678</v>
      </c>
      <c r="P10" s="148">
        <f>+O10-(O10*0.23)</f>
        <v>0</v>
      </c>
      <c r="R10" s="148">
        <f t="shared" ref="R10:R11" si="6">+O10*Q10</f>
        <v>0</v>
      </c>
      <c r="S10" s="148">
        <f t="shared" ref="S10:S11" si="7">+P10*Q10</f>
        <v>0</v>
      </c>
      <c r="W10" s="148">
        <f>+V10-(V10*0.23)</f>
        <v>0</v>
      </c>
      <c r="Y10" s="148">
        <f t="shared" ref="Y10:Y11" si="8">+V10*X10</f>
        <v>0</v>
      </c>
      <c r="Z10" s="148">
        <f t="shared" ref="Z10:Z11" si="9">+W10*X10</f>
        <v>0</v>
      </c>
    </row>
    <row r="11" spans="1:26" ht="39" thickBot="1">
      <c r="A11" s="751"/>
      <c r="B11" s="214"/>
      <c r="C11" s="215"/>
      <c r="D11" s="216"/>
      <c r="E11" s="218"/>
      <c r="F11" s="226"/>
      <c r="G11" s="230"/>
      <c r="H11" s="231" t="s">
        <v>531</v>
      </c>
      <c r="I11" s="754"/>
      <c r="J11" s="213" t="s">
        <v>540</v>
      </c>
      <c r="K11" s="237">
        <f>+C8+C16</f>
        <v>15282</v>
      </c>
      <c r="L11" s="237"/>
      <c r="M11" s="116">
        <f>+K11+'12'!M11+L11</f>
        <v>15282</v>
      </c>
      <c r="P11" s="148">
        <f>+O11-(O11*0.23)</f>
        <v>0</v>
      </c>
      <c r="R11" s="148">
        <f t="shared" si="6"/>
        <v>0</v>
      </c>
      <c r="S11" s="148">
        <f t="shared" si="7"/>
        <v>0</v>
      </c>
      <c r="W11" s="148">
        <f>+V11-(V11*0.23)</f>
        <v>0</v>
      </c>
      <c r="Y11" s="148">
        <f t="shared" si="8"/>
        <v>0</v>
      </c>
      <c r="Z11" s="148">
        <f t="shared" si="9"/>
        <v>0</v>
      </c>
    </row>
    <row r="12" spans="1:26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+'12'!J12</f>
        <v>0</v>
      </c>
      <c r="K12" s="237"/>
      <c r="L12" s="237"/>
      <c r="M12" s="116">
        <f>+K12+'12'!M12+L12</f>
        <v>0</v>
      </c>
    </row>
    <row r="13" spans="1:26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+'12'!J13</f>
        <v>0</v>
      </c>
      <c r="K13" s="237"/>
      <c r="L13" s="237"/>
      <c r="M13" s="116">
        <f>+K13+'12'!M13+L13</f>
        <v>0</v>
      </c>
    </row>
    <row r="14" spans="1:26" ht="13.5" thickBot="1">
      <c r="A14" s="752"/>
      <c r="B14" s="164" t="s">
        <v>2</v>
      </c>
      <c r="C14" s="98">
        <f>SUM(C7:C13)</f>
        <v>13893</v>
      </c>
      <c r="D14" s="110">
        <f>SUM(D7:D13)</f>
        <v>500</v>
      </c>
      <c r="E14" s="111">
        <f>SUM(E5:E13)</f>
        <v>0</v>
      </c>
      <c r="F14" s="115">
        <f>SUM(F7:F13)</f>
        <v>26</v>
      </c>
      <c r="G14" s="158"/>
      <c r="H14" s="165"/>
      <c r="I14" s="166"/>
      <c r="J14" s="213">
        <f>+'12'!J14</f>
        <v>0</v>
      </c>
      <c r="K14" s="237"/>
      <c r="L14" s="237"/>
      <c r="M14" s="116">
        <f>+K14+'12'!M14+L14</f>
        <v>0</v>
      </c>
      <c r="Q14" s="175">
        <f>SUM(Q6:Q11)</f>
        <v>480</v>
      </c>
      <c r="R14" s="175">
        <f>SUM(R6:R11)</f>
        <v>572750</v>
      </c>
      <c r="S14" s="175">
        <f>SUM(S6:S11)</f>
        <v>418628.39999999997</v>
      </c>
      <c r="X14" s="175">
        <f>SUM(X6:X11)</f>
        <v>929</v>
      </c>
      <c r="Y14" s="175">
        <f>SUM(Y6:Y11)</f>
        <v>1142670</v>
      </c>
      <c r="Z14" s="175">
        <f>SUM(Z6:Z11)</f>
        <v>868429.2</v>
      </c>
    </row>
    <row r="15" spans="1:26" ht="13.5" customHeight="1" thickBot="1">
      <c r="A15" s="750" t="s">
        <v>431</v>
      </c>
      <c r="B15" s="164"/>
      <c r="C15" s="112">
        <f>C14/($C$23+$D$23+$E$23)</f>
        <v>1.1199516324062877</v>
      </c>
      <c r="D15" s="113">
        <f>D14/($C$23+$D$23+$E$23)</f>
        <v>4.0306328093510681E-2</v>
      </c>
      <c r="E15" s="114">
        <f>E14/($C$23+$D$23+$E$23)</f>
        <v>0</v>
      </c>
      <c r="F15" s="226">
        <v>8</v>
      </c>
      <c r="G15" s="227" t="s">
        <v>11</v>
      </c>
      <c r="H15" s="228" t="s">
        <v>428</v>
      </c>
      <c r="I15" s="753" t="s">
        <v>542</v>
      </c>
      <c r="J15" s="213">
        <f>+'12'!J15</f>
        <v>0</v>
      </c>
      <c r="K15" s="237"/>
      <c r="L15" s="237"/>
      <c r="M15" s="116">
        <f>+K15+'12'!M15+L15</f>
        <v>0</v>
      </c>
      <c r="Q15" s="148">
        <f>480-Q14</f>
        <v>0</v>
      </c>
      <c r="R15" s="175">
        <f>+R14/Q14</f>
        <v>1193.2291666666667</v>
      </c>
      <c r="S15" s="175">
        <f>+S14/Q14</f>
        <v>872.14249999999993</v>
      </c>
      <c r="X15" s="148">
        <f>480-X14</f>
        <v>-449</v>
      </c>
      <c r="Y15" s="175">
        <f>+Y14/X14</f>
        <v>1230</v>
      </c>
      <c r="Z15" s="175">
        <f>+Z14/X14</f>
        <v>934.8</v>
      </c>
    </row>
    <row r="16" spans="1:26" ht="13.5" thickBot="1">
      <c r="A16" s="771"/>
      <c r="B16" s="214" t="s">
        <v>540</v>
      </c>
      <c r="C16" s="220">
        <v>6371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+'12'!J16</f>
        <v>0</v>
      </c>
      <c r="K16" s="227"/>
      <c r="L16" s="227"/>
      <c r="M16" s="116">
        <f>+K16+'12'!M16+L16</f>
        <v>0</v>
      </c>
      <c r="N16" s="148" t="s">
        <v>532</v>
      </c>
      <c r="O16" s="148">
        <v>1180</v>
      </c>
      <c r="P16" s="148">
        <f>+O16-(O16*0.28)</f>
        <v>849.59999999999991</v>
      </c>
      <c r="Q16" s="148">
        <f>60*2+38</f>
        <v>158</v>
      </c>
      <c r="R16" s="148">
        <f t="shared" ref="R16:R17" si="10">+O16*Q16</f>
        <v>186440</v>
      </c>
      <c r="S16" s="148">
        <f t="shared" ref="S16:S17" si="11">+P16*Q16</f>
        <v>134236.79999999999</v>
      </c>
    </row>
    <row r="17" spans="1:26" ht="13.5" thickBot="1">
      <c r="A17" s="771"/>
      <c r="B17" s="214" t="s">
        <v>390</v>
      </c>
      <c r="C17" s="215">
        <v>6034</v>
      </c>
      <c r="D17" s="216"/>
      <c r="E17" s="223"/>
      <c r="F17" s="226">
        <f>19-8</f>
        <v>11</v>
      </c>
      <c r="G17" s="230" t="s">
        <v>11</v>
      </c>
      <c r="H17" s="231" t="s">
        <v>446</v>
      </c>
      <c r="I17" s="754"/>
      <c r="J17" s="213">
        <f>+'12'!J17</f>
        <v>0</v>
      </c>
      <c r="K17" s="227"/>
      <c r="L17" s="227"/>
      <c r="M17" s="116">
        <f>+K17+'12'!M17+L17</f>
        <v>0</v>
      </c>
      <c r="N17" s="148" t="s">
        <v>440</v>
      </c>
      <c r="O17" s="148">
        <v>1230</v>
      </c>
      <c r="P17" s="148">
        <f>+O17-(O17*0.24)</f>
        <v>934.8</v>
      </c>
      <c r="Q17" s="148">
        <f>480-Q16</f>
        <v>322</v>
      </c>
      <c r="R17" s="148">
        <f t="shared" si="10"/>
        <v>396060</v>
      </c>
      <c r="S17" s="148">
        <f t="shared" si="11"/>
        <v>301005.59999999998</v>
      </c>
    </row>
    <row r="18" spans="1:26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541</v>
      </c>
      <c r="I18" s="754"/>
      <c r="J18" s="213">
        <f>+'12'!J18</f>
        <v>0</v>
      </c>
      <c r="K18" s="237"/>
      <c r="L18" s="237"/>
      <c r="M18" s="116">
        <f>+K18+'12'!M18+L18</f>
        <v>0</v>
      </c>
    </row>
    <row r="19" spans="1:26" ht="13.5" thickBot="1">
      <c r="A19" s="771"/>
      <c r="B19" s="214"/>
      <c r="C19" s="215"/>
      <c r="D19" s="216"/>
      <c r="E19" s="223"/>
      <c r="F19" s="233"/>
      <c r="G19" s="230"/>
      <c r="H19" s="231" t="s">
        <v>529</v>
      </c>
      <c r="I19" s="754"/>
      <c r="J19" s="213">
        <f>+'12'!J19</f>
        <v>0</v>
      </c>
      <c r="K19" s="237"/>
      <c r="L19" s="237"/>
      <c r="M19" s="116">
        <f>+K19+'12'!M19+L19</f>
        <v>0</v>
      </c>
    </row>
    <row r="20" spans="1:26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+'12'!J20</f>
        <v>0</v>
      </c>
      <c r="K20" s="238"/>
      <c r="L20" s="238"/>
      <c r="M20" s="116">
        <f>+K20+'12'!M20+L20</f>
        <v>0</v>
      </c>
      <c r="P20" s="148">
        <f>+O20-(O20*0.23)</f>
        <v>0</v>
      </c>
      <c r="R20" s="148">
        <f t="shared" ref="R20:R21" si="12">+O20*Q20</f>
        <v>0</v>
      </c>
      <c r="S20" s="148">
        <f t="shared" ref="S20:S21" si="13">+P20*Q20</f>
        <v>0</v>
      </c>
    </row>
    <row r="21" spans="1:26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+'12'!J21</f>
        <v>0</v>
      </c>
      <c r="K21" s="237"/>
      <c r="L21" s="237"/>
      <c r="M21" s="116">
        <f>+K21+'12'!M21+L21</f>
        <v>0</v>
      </c>
      <c r="P21" s="148">
        <f>+O21-(O21*0.23)</f>
        <v>0</v>
      </c>
      <c r="R21" s="148">
        <f t="shared" si="12"/>
        <v>0</v>
      </c>
      <c r="S21" s="148">
        <f t="shared" si="13"/>
        <v>0</v>
      </c>
    </row>
    <row r="22" spans="1:26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+'12'!J22</f>
        <v>0</v>
      </c>
      <c r="K22" s="237"/>
      <c r="L22" s="237"/>
      <c r="M22" s="116">
        <f>+K22+'12'!M22+L22</f>
        <v>0</v>
      </c>
    </row>
    <row r="23" spans="1:26" ht="13.5" thickBot="1">
      <c r="A23" s="772"/>
      <c r="B23" s="167" t="s">
        <v>2</v>
      </c>
      <c r="C23" s="99">
        <f>SUM(C16:C22)</f>
        <v>12405</v>
      </c>
      <c r="D23" s="110">
        <f>SUM(D16:D22)</f>
        <v>0</v>
      </c>
      <c r="E23" s="111">
        <f>SUM(E18:E22)</f>
        <v>0</v>
      </c>
      <c r="F23" s="115">
        <f>SUM(F15:F22)</f>
        <v>19</v>
      </c>
      <c r="G23" s="158"/>
      <c r="H23" s="165"/>
      <c r="I23" s="168"/>
      <c r="J23" s="213">
        <f>+'12'!J23</f>
        <v>0</v>
      </c>
      <c r="K23" s="237"/>
      <c r="L23" s="237"/>
      <c r="M23" s="116">
        <f>+K23+'12'!M23+L23</f>
        <v>0</v>
      </c>
    </row>
    <row r="24" spans="1:26" ht="13.5" customHeight="1" thickBot="1">
      <c r="A24" s="750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442</v>
      </c>
      <c r="J24" s="213">
        <f>+'12'!J24</f>
        <v>0</v>
      </c>
      <c r="K24" s="237"/>
      <c r="L24" s="237"/>
      <c r="M24" s="116">
        <f>+K24+'12'!M24+L24</f>
        <v>0</v>
      </c>
      <c r="Q24" s="175">
        <f>SUM(Q16:Q21)</f>
        <v>480</v>
      </c>
      <c r="R24" s="175">
        <f>SUM(R16:R21)</f>
        <v>582500</v>
      </c>
      <c r="S24" s="175">
        <f>SUM(S16:S21)</f>
        <v>435242.39999999997</v>
      </c>
    </row>
    <row r="25" spans="1:26" ht="13.5" thickBot="1">
      <c r="A25" s="771"/>
      <c r="B25" s="214" t="s">
        <v>390</v>
      </c>
      <c r="C25" s="224">
        <v>12662</v>
      </c>
      <c r="D25" s="216"/>
      <c r="E25" s="223"/>
      <c r="F25" s="229">
        <v>8</v>
      </c>
      <c r="G25" s="230" t="s">
        <v>11</v>
      </c>
      <c r="H25" s="228" t="s">
        <v>407</v>
      </c>
      <c r="I25" s="754"/>
      <c r="J25" s="213">
        <f>+'12'!J25</f>
        <v>0</v>
      </c>
      <c r="K25" s="237"/>
      <c r="L25" s="237"/>
      <c r="M25" s="116">
        <f>+K25+'12'!M25+L25</f>
        <v>0</v>
      </c>
      <c r="Q25" s="148">
        <f>480-Q24</f>
        <v>0</v>
      </c>
      <c r="R25" s="175">
        <f>+R24/Q24</f>
        <v>1213.5416666666667</v>
      </c>
      <c r="S25" s="175">
        <f>+S24/Q24</f>
        <v>906.75499999999988</v>
      </c>
    </row>
    <row r="26" spans="1:26" ht="13.5" thickBot="1">
      <c r="A26" s="771"/>
      <c r="B26" s="214"/>
      <c r="C26" s="224"/>
      <c r="D26" s="216"/>
      <c r="E26" s="225"/>
      <c r="F26" s="226">
        <v>10</v>
      </c>
      <c r="G26" s="230" t="s">
        <v>11</v>
      </c>
      <c r="H26" s="231" t="s">
        <v>388</v>
      </c>
      <c r="I26" s="754"/>
      <c r="J26" s="213">
        <f>+'12'!J26</f>
        <v>0</v>
      </c>
      <c r="K26" s="237"/>
      <c r="L26" s="237"/>
      <c r="M26" s="116">
        <f>+K26+'12'!M26+L26</f>
        <v>0</v>
      </c>
      <c r="N26" s="148" t="s">
        <v>440</v>
      </c>
      <c r="O26" s="148">
        <v>1230</v>
      </c>
      <c r="P26" s="148">
        <f t="shared" ref="P26" si="14">+O26-(O26*0.24)</f>
        <v>934.8</v>
      </c>
      <c r="Q26" s="148">
        <v>480</v>
      </c>
      <c r="R26" s="148">
        <f t="shared" ref="R26" si="15">+O26*Q26</f>
        <v>590400</v>
      </c>
      <c r="S26" s="148">
        <f t="shared" ref="S26" si="16">+P26*Q26</f>
        <v>448704</v>
      </c>
      <c r="U26" s="148" t="s">
        <v>532</v>
      </c>
      <c r="V26" s="148">
        <v>1180</v>
      </c>
      <c r="W26" s="148">
        <v>849.59999999999991</v>
      </c>
      <c r="X26" s="148">
        <v>353</v>
      </c>
      <c r="Y26" s="148">
        <f t="shared" ref="Y26:Y27" si="17">+V26*X26</f>
        <v>416540</v>
      </c>
      <c r="Z26" s="148">
        <f t="shared" ref="Z26:Z27" si="18">+W26*X26</f>
        <v>299908.8</v>
      </c>
    </row>
    <row r="27" spans="1:26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477</v>
      </c>
      <c r="I27" s="754"/>
      <c r="J27" s="213">
        <f>+'12'!J27</f>
        <v>0</v>
      </c>
      <c r="K27" s="237"/>
      <c r="L27" s="237"/>
      <c r="M27" s="116">
        <f>+K27+'12'!M27+L27</f>
        <v>0</v>
      </c>
      <c r="U27" s="148" t="s">
        <v>532</v>
      </c>
      <c r="V27" s="148">
        <v>1180</v>
      </c>
      <c r="W27" s="148">
        <v>849.59999999999991</v>
      </c>
      <c r="X27" s="148">
        <v>158</v>
      </c>
      <c r="Y27" s="148">
        <f t="shared" si="17"/>
        <v>186440</v>
      </c>
      <c r="Z27" s="148">
        <f t="shared" si="18"/>
        <v>134236.79999999999</v>
      </c>
    </row>
    <row r="28" spans="1:26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+'12'!J28</f>
        <v>0</v>
      </c>
      <c r="K28" s="237"/>
      <c r="L28" s="237"/>
      <c r="M28" s="116">
        <f>+K28+'12'!M28+L28</f>
        <v>0</v>
      </c>
    </row>
    <row r="29" spans="1:26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+'12'!J29</f>
        <v>0</v>
      </c>
      <c r="K29" s="237"/>
      <c r="L29" s="237"/>
      <c r="M29" s="116">
        <f>+K29+'12'!M29+L29</f>
        <v>0</v>
      </c>
    </row>
    <row r="30" spans="1:26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+'12'!J30</f>
        <v>0</v>
      </c>
      <c r="K30" s="237"/>
      <c r="L30" s="237"/>
      <c r="M30" s="116">
        <f>+K30+'12'!M30+L30</f>
        <v>0</v>
      </c>
      <c r="P30" s="148">
        <f>+O30-(O30*0.23)</f>
        <v>0</v>
      </c>
      <c r="R30" s="148">
        <f t="shared" ref="R30:R31" si="19">+O30*Q30</f>
        <v>0</v>
      </c>
      <c r="S30" s="148">
        <f t="shared" ref="S30:S31" si="20">+P30*Q30</f>
        <v>0</v>
      </c>
      <c r="W30" s="148">
        <f>+V30-(V30*0.23)</f>
        <v>0</v>
      </c>
      <c r="Y30" s="148">
        <f t="shared" ref="Y30:Y31" si="21">+V30*X30</f>
        <v>0</v>
      </c>
      <c r="Z30" s="148">
        <f t="shared" ref="Z30:Z31" si="22">+W30*X30</f>
        <v>0</v>
      </c>
    </row>
    <row r="31" spans="1:26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+'12'!J31</f>
        <v>0</v>
      </c>
      <c r="K31" s="237"/>
      <c r="L31" s="237"/>
      <c r="M31" s="116">
        <f>+K31+'12'!M31+L31</f>
        <v>0</v>
      </c>
      <c r="P31" s="148">
        <f>+O31-(O31*0.23)</f>
        <v>0</v>
      </c>
      <c r="R31" s="148">
        <f t="shared" si="19"/>
        <v>0</v>
      </c>
      <c r="S31" s="148">
        <f t="shared" si="20"/>
        <v>0</v>
      </c>
      <c r="W31" s="148">
        <f>+V31-(V31*0.23)</f>
        <v>0</v>
      </c>
      <c r="Y31" s="148">
        <f t="shared" si="21"/>
        <v>0</v>
      </c>
      <c r="Z31" s="148">
        <f t="shared" si="22"/>
        <v>0</v>
      </c>
    </row>
    <row r="32" spans="1:26" ht="13.5" thickBot="1">
      <c r="A32" s="772"/>
      <c r="B32" s="164" t="s">
        <v>2</v>
      </c>
      <c r="C32" s="98">
        <f>SUM(C25:C31)</f>
        <v>12662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+'12'!J32</f>
        <v>0</v>
      </c>
      <c r="K32" s="239"/>
      <c r="L32" s="241"/>
      <c r="M32" s="116">
        <f>+K32+'12'!M32+L32</f>
        <v>0</v>
      </c>
    </row>
    <row r="33" spans="1:26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26" ht="13.5" thickBot="1">
      <c r="A34" s="758" t="s">
        <v>56</v>
      </c>
      <c r="B34" s="759"/>
      <c r="C34" s="106">
        <f>C14+C23+C32</f>
        <v>38960</v>
      </c>
      <c r="D34" s="106">
        <f>D14+D23+D32</f>
        <v>500</v>
      </c>
      <c r="E34" s="106">
        <f>E14+E23+E32</f>
        <v>0</v>
      </c>
      <c r="F34" s="107">
        <f>F14+F23+F32</f>
        <v>63</v>
      </c>
      <c r="H34" s="177"/>
      <c r="I34" s="177"/>
      <c r="J34" s="122" t="s">
        <v>27</v>
      </c>
      <c r="K34" s="123">
        <f>SUM(K7:K32)</f>
        <v>38960</v>
      </c>
      <c r="L34" s="211">
        <f>SUM(L7:L32)</f>
        <v>0</v>
      </c>
      <c r="M34" s="119">
        <f>SUM(M7:M32)</f>
        <v>482976</v>
      </c>
      <c r="Q34" s="175">
        <f>SUM(Q26:Q31)</f>
        <v>480</v>
      </c>
      <c r="R34" s="175">
        <f>SUM(R26:R31)</f>
        <v>590400</v>
      </c>
      <c r="S34" s="175">
        <f>SUM(S26:S31)</f>
        <v>448704</v>
      </c>
      <c r="X34" s="175">
        <f>SUM(X26:X31)</f>
        <v>511</v>
      </c>
      <c r="Y34" s="175">
        <f>SUM(Y26:Y31)</f>
        <v>602980</v>
      </c>
      <c r="Z34" s="175">
        <f>SUM(Z26:Z31)</f>
        <v>434145.6</v>
      </c>
    </row>
    <row r="35" spans="1:26" ht="13.5" thickBot="1">
      <c r="A35" s="178"/>
      <c r="B35" s="179"/>
      <c r="C35" s="103">
        <f>C34/($C$34+$D$34+$E$34)</f>
        <v>0.98732894069944244</v>
      </c>
      <c r="D35" s="103">
        <f>D34/($C$34+$D$34+$E$34)</f>
        <v>1.2671059300557527E-2</v>
      </c>
      <c r="E35" s="108">
        <f>E34/($C$34+$D$34+$E$34)</f>
        <v>0</v>
      </c>
      <c r="K35" s="154"/>
      <c r="Q35" s="148">
        <f>480-Q34</f>
        <v>0</v>
      </c>
      <c r="R35" s="175">
        <f>+R34/Q34</f>
        <v>1230</v>
      </c>
      <c r="S35" s="175">
        <f>+S34/Q34</f>
        <v>934.8</v>
      </c>
      <c r="X35" s="148">
        <f>480-X34</f>
        <v>-31</v>
      </c>
      <c r="Y35" s="175">
        <f>+Y34/X34</f>
        <v>1180</v>
      </c>
      <c r="Z35" s="175">
        <f>+Z34/X34</f>
        <v>849.59999999999991</v>
      </c>
    </row>
    <row r="36" spans="1:26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26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(12*929+14*511)/1440*G42*2.74*1440/1000000</f>
        <v>45.36169703576666</v>
      </c>
      <c r="J37" s="124">
        <f>+I37+'12'!J37</f>
        <v>564.10352645555088</v>
      </c>
      <c r="K37" s="125" t="s">
        <v>62</v>
      </c>
    </row>
    <row r="38" spans="1:26" ht="17.45" customHeight="1">
      <c r="A38" s="762" t="s">
        <v>11</v>
      </c>
      <c r="B38" s="763"/>
      <c r="C38" s="163">
        <f>SUMIF($G$7:$G$31,"Process",$F$7:$F$31)</f>
        <v>63</v>
      </c>
      <c r="D38" s="117">
        <f>+C38+'12'!D38</f>
        <v>850</v>
      </c>
      <c r="E38" s="142">
        <f t="shared" ref="E38:E51" si="23">D38/60</f>
        <v>14.166666666666666</v>
      </c>
      <c r="F38" s="320">
        <v>1193.2291666666667</v>
      </c>
      <c r="G38" s="320">
        <v>872.14249999999993</v>
      </c>
      <c r="H38" s="186" t="s">
        <v>63</v>
      </c>
      <c r="I38" s="243">
        <f>15.278+5.263+7.869+13.081</f>
        <v>41.491</v>
      </c>
      <c r="J38" s="126">
        <f>+I38+'12'!J38</f>
        <v>502.43799999999993</v>
      </c>
      <c r="K38" s="127" t="s">
        <v>62</v>
      </c>
      <c r="N38" s="148" t="s">
        <v>440</v>
      </c>
      <c r="O38" s="148">
        <v>1230</v>
      </c>
      <c r="P38" s="148">
        <v>934.8</v>
      </c>
      <c r="Q38" s="148">
        <v>929</v>
      </c>
    </row>
    <row r="39" spans="1:26" ht="17.45" customHeight="1">
      <c r="A39" s="764" t="s">
        <v>12</v>
      </c>
      <c r="B39" s="765"/>
      <c r="C39" s="163">
        <f>SUMIF($G$7:$G$31,"Cleaning",$F$7:$F$31)</f>
        <v>0</v>
      </c>
      <c r="D39" s="117">
        <f>+C39+'12'!D39</f>
        <v>0</v>
      </c>
      <c r="E39" s="142">
        <f t="shared" si="23"/>
        <v>0</v>
      </c>
      <c r="F39" s="320">
        <v>1213.5416666666667</v>
      </c>
      <c r="G39" s="320">
        <v>906.75499999999988</v>
      </c>
      <c r="H39" s="186" t="s">
        <v>64</v>
      </c>
      <c r="I39" s="141"/>
      <c r="J39" s="128">
        <f>J37/G4</f>
        <v>43.392578958119302</v>
      </c>
      <c r="K39" s="129" t="s">
        <v>62</v>
      </c>
      <c r="N39" s="148" t="s">
        <v>532</v>
      </c>
      <c r="O39" s="148">
        <v>1180</v>
      </c>
      <c r="P39" s="148">
        <v>849.59999999999991</v>
      </c>
      <c r="Q39" s="148">
        <v>511</v>
      </c>
    </row>
    <row r="40" spans="1:26" ht="17.45" customHeight="1">
      <c r="A40" s="764" t="s">
        <v>65</v>
      </c>
      <c r="B40" s="765"/>
      <c r="C40" s="163">
        <f>SUMIF($G$7:$G$31,"Mechanical",$F$7:$F$31)</f>
        <v>0</v>
      </c>
      <c r="D40" s="117">
        <f>+C40+'12'!D40</f>
        <v>0</v>
      </c>
      <c r="E40" s="142">
        <f t="shared" si="23"/>
        <v>0</v>
      </c>
      <c r="F40" s="320">
        <v>1230</v>
      </c>
      <c r="G40" s="320">
        <v>934.8</v>
      </c>
      <c r="H40" s="186" t="s">
        <v>66</v>
      </c>
      <c r="I40" s="117">
        <f>(K34+L34)/1000</f>
        <v>38.96</v>
      </c>
      <c r="J40" s="130">
        <f>+I40+'12'!J40</f>
        <v>482.97599999999989</v>
      </c>
      <c r="K40" s="129" t="s">
        <v>62</v>
      </c>
      <c r="Q40" s="148">
        <f>+Q38+Q39</f>
        <v>1440</v>
      </c>
    </row>
    <row r="41" spans="1:26" ht="17.45" customHeight="1">
      <c r="A41" s="764" t="s">
        <v>67</v>
      </c>
      <c r="B41" s="765"/>
      <c r="C41" s="163">
        <f>SUMIF($G$7:$G$31,"Electrical",$F$7:$F$31)</f>
        <v>0</v>
      </c>
      <c r="D41" s="117">
        <f>+C41+'12'!D41</f>
        <v>0</v>
      </c>
      <c r="E41" s="142">
        <f t="shared" si="23"/>
        <v>0</v>
      </c>
      <c r="F41" s="320"/>
      <c r="G41" s="320"/>
      <c r="H41" s="186" t="s">
        <v>68</v>
      </c>
      <c r="I41" s="141"/>
      <c r="J41" s="128">
        <f>J40/G4</f>
        <v>37.151999999999994</v>
      </c>
      <c r="K41" s="129" t="s">
        <v>62</v>
      </c>
    </row>
    <row r="42" spans="1:26" ht="17.45" customHeight="1">
      <c r="A42" s="764" t="s">
        <v>15</v>
      </c>
      <c r="B42" s="765"/>
      <c r="C42" s="163">
        <f>SUMIF($G$7:$G$31,"Instrument",$F$7:$F$31)</f>
        <v>0</v>
      </c>
      <c r="D42" s="117">
        <f>+C42+'12'!D42</f>
        <v>0</v>
      </c>
      <c r="E42" s="142">
        <f t="shared" si="23"/>
        <v>0</v>
      </c>
      <c r="F42" s="320">
        <f>+(480*F38+480*F39+480*F40)/1440</f>
        <v>1212.2569444444443</v>
      </c>
      <c r="G42" s="320">
        <f>+(480*G38+480*G39+480*G40)/1440</f>
        <v>904.56583333333322</v>
      </c>
      <c r="H42" s="186" t="s">
        <v>69</v>
      </c>
      <c r="I42" s="244" t="s">
        <v>534</v>
      </c>
      <c r="J42" s="131"/>
      <c r="K42" s="129" t="s">
        <v>70</v>
      </c>
    </row>
    <row r="43" spans="1:26" ht="17.45" customHeight="1">
      <c r="A43" s="764" t="s">
        <v>71</v>
      </c>
      <c r="B43" s="765"/>
      <c r="C43" s="163">
        <f>SUMIF($G$7:$G$31,"Water",$F$7:$F$31)</f>
        <v>0</v>
      </c>
      <c r="D43" s="117">
        <f>+C43+'12'!D43</f>
        <v>0</v>
      </c>
      <c r="E43" s="142">
        <f t="shared" si="23"/>
        <v>0</v>
      </c>
      <c r="F43" s="320"/>
      <c r="G43" s="321"/>
      <c r="H43" s="187" t="s">
        <v>72</v>
      </c>
      <c r="I43" s="117">
        <f>+Report1!Z21</f>
        <v>50</v>
      </c>
      <c r="J43" s="132">
        <f>+I43+'12'!J43</f>
        <v>645.89999999999986</v>
      </c>
      <c r="K43" s="129" t="s">
        <v>62</v>
      </c>
      <c r="L43" s="188"/>
    </row>
    <row r="44" spans="1:26" ht="17.45" customHeight="1">
      <c r="A44" s="764" t="s">
        <v>16</v>
      </c>
      <c r="B44" s="765"/>
      <c r="C44" s="163">
        <f>SUMIF($G$7:$G$31,"PLN",$F$7:$F$31)</f>
        <v>0</v>
      </c>
      <c r="D44" s="117">
        <f>+C44+'12'!D44</f>
        <v>0</v>
      </c>
      <c r="E44" s="142">
        <f t="shared" si="23"/>
        <v>0</v>
      </c>
      <c r="F44" s="320"/>
      <c r="G44" s="321"/>
      <c r="H44" s="187" t="s">
        <v>73</v>
      </c>
      <c r="I44" s="117">
        <f>I43/I38</f>
        <v>1.2050806198934709</v>
      </c>
      <c r="J44" s="133">
        <f>J43/J38</f>
        <v>1.2855317472006496</v>
      </c>
      <c r="K44" s="129" t="s">
        <v>62</v>
      </c>
    </row>
    <row r="45" spans="1:26" ht="17.45" customHeight="1">
      <c r="A45" s="764" t="s">
        <v>17</v>
      </c>
      <c r="B45" s="765"/>
      <c r="C45" s="163">
        <f>SUMIF($G$7:$G$31,"Boiler",$F$7:$F$31)</f>
        <v>0</v>
      </c>
      <c r="D45" s="117">
        <f>+C45+'12'!D45</f>
        <v>0</v>
      </c>
      <c r="E45" s="142">
        <f t="shared" si="23"/>
        <v>0</v>
      </c>
      <c r="F45" s="320"/>
      <c r="G45" s="323"/>
      <c r="H45" s="187" t="s">
        <v>74</v>
      </c>
      <c r="I45" s="117">
        <f>I43/I40</f>
        <v>1.2833675564681724</v>
      </c>
      <c r="J45" s="133">
        <f>J43/J40</f>
        <v>1.3373335321009741</v>
      </c>
      <c r="K45" s="129" t="s">
        <v>62</v>
      </c>
    </row>
    <row r="46" spans="1:26" ht="17.45" customHeight="1">
      <c r="A46" s="764" t="s">
        <v>75</v>
      </c>
      <c r="B46" s="765"/>
      <c r="C46" s="163">
        <f>SUMIF($G$7:$G$31,"Gas",$F$7:$F$31)</f>
        <v>0</v>
      </c>
      <c r="D46" s="117">
        <f>+C46+'12'!D46</f>
        <v>935</v>
      </c>
      <c r="E46" s="142">
        <f t="shared" si="23"/>
        <v>15.583333333333334</v>
      </c>
      <c r="F46" s="320"/>
      <c r="G46" s="321"/>
      <c r="H46" s="187" t="s">
        <v>76</v>
      </c>
      <c r="I46" s="139">
        <f>+SUMIF(Listrik!P20,"&gt;0")</f>
        <v>38028.860000000728</v>
      </c>
      <c r="J46" s="134">
        <f>+I46+'12'!J46</f>
        <v>486735.28</v>
      </c>
      <c r="K46" s="129" t="s">
        <v>77</v>
      </c>
    </row>
    <row r="47" spans="1:26" ht="17.45" customHeight="1">
      <c r="A47" s="764" t="s">
        <v>78</v>
      </c>
      <c r="B47" s="765"/>
      <c r="C47" s="163">
        <f>SUMIF($G$7:$G$31,"Gas",$F$7:$F$31)</f>
        <v>0</v>
      </c>
      <c r="D47" s="117">
        <f>+C47+'12'!D47</f>
        <v>935</v>
      </c>
      <c r="E47" s="142">
        <f t="shared" si="23"/>
        <v>15.583333333333334</v>
      </c>
      <c r="F47" s="320"/>
      <c r="G47" s="321"/>
      <c r="H47" s="187" t="s">
        <v>79</v>
      </c>
      <c r="I47" s="117">
        <f>I46/I38</f>
        <v>916.55684365285788</v>
      </c>
      <c r="J47" s="134">
        <f>J46/J38</f>
        <v>968.74694987242231</v>
      </c>
      <c r="K47" s="129" t="s">
        <v>23</v>
      </c>
    </row>
    <row r="48" spans="1:26" ht="17.45" customHeight="1">
      <c r="A48" s="764" t="s">
        <v>13</v>
      </c>
      <c r="B48" s="765"/>
      <c r="C48" s="163">
        <f>SUMIF($G$7:$G$31,"Start Up",$F$7:$F$31)</f>
        <v>0</v>
      </c>
      <c r="D48" s="117">
        <f>+C48+'12'!D48</f>
        <v>0</v>
      </c>
      <c r="E48" s="142">
        <f t="shared" si="23"/>
        <v>0</v>
      </c>
      <c r="F48" s="320"/>
      <c r="G48" s="321"/>
      <c r="H48" s="187" t="s">
        <v>80</v>
      </c>
      <c r="I48" s="117">
        <f>I46/I40</f>
        <v>976.10010266942322</v>
      </c>
      <c r="J48" s="134">
        <f>J46/J40</f>
        <v>1007.7835751672964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+C49+'12'!D49</f>
        <v>0</v>
      </c>
      <c r="E49" s="142">
        <f t="shared" si="23"/>
        <v>0</v>
      </c>
      <c r="F49" s="184"/>
      <c r="H49" s="187" t="s">
        <v>270</v>
      </c>
      <c r="I49" s="117">
        <f>+Report1!T21</f>
        <v>5614.3241788155583</v>
      </c>
      <c r="J49" s="134">
        <f>+I49+'12'!J49</f>
        <v>67175.44644812659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+C50+'12'!D50</f>
        <v>0</v>
      </c>
      <c r="E50" s="142">
        <f t="shared" si="23"/>
        <v>0</v>
      </c>
      <c r="F50" s="184"/>
      <c r="H50" s="187" t="s">
        <v>82</v>
      </c>
      <c r="I50" s="139">
        <f>I49/I38</f>
        <v>135.31426523379909</v>
      </c>
      <c r="J50" s="132">
        <f>J49/J38</f>
        <v>133.69897668593259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+C51+'12'!D51</f>
        <v>0</v>
      </c>
      <c r="E51" s="142">
        <f t="shared" si="23"/>
        <v>0</v>
      </c>
      <c r="F51" s="184"/>
      <c r="H51" s="189" t="s">
        <v>84</v>
      </c>
      <c r="I51" s="140">
        <f>I49/I40</f>
        <v>144.10483005173404</v>
      </c>
      <c r="J51" s="135">
        <f>J49/J40</f>
        <v>139.08651040243532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63</v>
      </c>
      <c r="D52" s="143">
        <f>SUM(D38:D51)</f>
        <v>2720</v>
      </c>
      <c r="E52" s="144">
        <f>SUM(E38:E51)</f>
        <v>45.333333333333336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4.3749999999999997E-2</v>
      </c>
      <c r="D53" s="145">
        <f>D52/(24*60*G4)</f>
        <v>0.14529914529914531</v>
      </c>
      <c r="E53" s="146">
        <f>E52/(G4*24)</f>
        <v>0.14529914529914531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+D34+'12'!J56</f>
        <v>3162</v>
      </c>
      <c r="K56" s="200">
        <f>J56/(J40+J56/1000)/1000</f>
        <v>6.5043259321427268E-3</v>
      </c>
    </row>
    <row r="57" spans="1:11">
      <c r="A57" s="175"/>
      <c r="I57" s="198" t="s">
        <v>87</v>
      </c>
      <c r="J57" s="199">
        <f>+E34+'12'!J57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2:B42"/>
    <mergeCell ref="A39:B39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12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1200</v>
      </c>
      <c r="P6" s="148">
        <f>+O6-(O6*0.23)</f>
        <v>924</v>
      </c>
      <c r="Q6" s="148">
        <f>480-Q7</f>
        <v>422</v>
      </c>
      <c r="R6" s="148">
        <f t="shared" ref="R6:R11" si="0">+O6*Q6</f>
        <v>506400</v>
      </c>
      <c r="S6" s="148">
        <f t="shared" ref="S6:S11" si="1">+P6*Q6</f>
        <v>389928</v>
      </c>
    </row>
    <row r="7" spans="1:19" ht="13.5" customHeight="1" thickBot="1">
      <c r="A7" s="750" t="s">
        <v>414</v>
      </c>
      <c r="B7" s="214" t="s">
        <v>466</v>
      </c>
      <c r="C7" s="215">
        <v>13932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525</v>
      </c>
      <c r="J7" s="213" t="str">
        <f>+'11'!J7</f>
        <v>T 13 VP OW</v>
      </c>
      <c r="K7" s="236"/>
      <c r="L7" s="240"/>
      <c r="M7" s="116">
        <f>+K7+'11'!M7+L7</f>
        <v>79167</v>
      </c>
      <c r="N7" s="148" t="s">
        <v>440</v>
      </c>
      <c r="O7" s="148">
        <v>1230</v>
      </c>
      <c r="P7" s="148">
        <f t="shared" ref="P7" si="2">+O7-(O7*0.24)</f>
        <v>934.8</v>
      </c>
      <c r="Q7" s="148">
        <f>60-2</f>
        <v>58</v>
      </c>
      <c r="R7" s="148">
        <f t="shared" si="0"/>
        <v>71340</v>
      </c>
      <c r="S7" s="148">
        <f t="shared" si="1"/>
        <v>54218.399999999994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+'11'!J8</f>
        <v>F 12 VP OW</v>
      </c>
      <c r="K8" s="237">
        <f>+C17+C25</f>
        <v>22327</v>
      </c>
      <c r="L8" s="237"/>
      <c r="M8" s="116">
        <f>+K8+'11'!M8+L8</f>
        <v>202369</v>
      </c>
    </row>
    <row r="9" spans="1:19" ht="13.5" thickBot="1">
      <c r="A9" s="751"/>
      <c r="B9" s="214"/>
      <c r="C9" s="215"/>
      <c r="D9" s="216"/>
      <c r="E9" s="219"/>
      <c r="F9" s="226">
        <f>23-6</f>
        <v>17</v>
      </c>
      <c r="G9" s="230" t="s">
        <v>11</v>
      </c>
      <c r="H9" s="231" t="s">
        <v>388</v>
      </c>
      <c r="I9" s="754"/>
      <c r="J9" s="213" t="str">
        <f>+'11'!J9</f>
        <v>F 13,5 VP OW</v>
      </c>
      <c r="K9" s="237">
        <f>+C16+C7</f>
        <v>16573</v>
      </c>
      <c r="L9" s="237"/>
      <c r="M9" s="116">
        <f>+K9+'11'!M9+L9</f>
        <v>111802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523</v>
      </c>
      <c r="I10" s="754"/>
      <c r="J10" s="213" t="str">
        <f>+'11'!J10</f>
        <v>F 12,5 VP OW</v>
      </c>
      <c r="K10" s="237"/>
      <c r="L10" s="237"/>
      <c r="M10" s="116">
        <f>+K10+'11'!M10+L10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39" thickBot="1">
      <c r="A11" s="751"/>
      <c r="B11" s="214"/>
      <c r="C11" s="215"/>
      <c r="D11" s="216"/>
      <c r="E11" s="218"/>
      <c r="F11" s="226"/>
      <c r="G11" s="230"/>
      <c r="H11" s="231" t="s">
        <v>524</v>
      </c>
      <c r="I11" s="754"/>
      <c r="J11" s="213">
        <f>+'11'!J11</f>
        <v>0</v>
      </c>
      <c r="K11" s="237"/>
      <c r="L11" s="237"/>
      <c r="M11" s="116">
        <f>+K11+'11'!M11+L11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+'11'!J12</f>
        <v>0</v>
      </c>
      <c r="K12" s="237"/>
      <c r="L12" s="237"/>
      <c r="M12" s="116">
        <f>+K12+'11'!M12+L12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+'11'!J13</f>
        <v>0</v>
      </c>
      <c r="K13" s="237"/>
      <c r="L13" s="237"/>
      <c r="M13" s="116">
        <f>+K13+'11'!M13+L13</f>
        <v>0</v>
      </c>
    </row>
    <row r="14" spans="1:19" ht="13.5" thickBot="1">
      <c r="A14" s="752"/>
      <c r="B14" s="164" t="s">
        <v>2</v>
      </c>
      <c r="C14" s="98">
        <f>SUM(C7:C13)</f>
        <v>13932</v>
      </c>
      <c r="D14" s="110">
        <f>SUM(D7:D13)</f>
        <v>0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>
        <f>+'11'!J14</f>
        <v>0</v>
      </c>
      <c r="K14" s="237"/>
      <c r="L14" s="237"/>
      <c r="M14" s="116">
        <f>+K14+'11'!M14+L14</f>
        <v>0</v>
      </c>
      <c r="Q14" s="175">
        <f>SUM(Q6:Q11)</f>
        <v>480</v>
      </c>
      <c r="R14" s="175">
        <f>SUM(R6:R11)</f>
        <v>577740</v>
      </c>
      <c r="S14" s="175">
        <f>SUM(S6:S11)</f>
        <v>444146.4</v>
      </c>
    </row>
    <row r="15" spans="1:19" ht="13.5" customHeight="1" thickBot="1">
      <c r="A15" s="750" t="s">
        <v>431</v>
      </c>
      <c r="B15" s="164"/>
      <c r="C15" s="112">
        <f>C14/($C$23+$D$23+$E$23)</f>
        <v>1.1896507556997695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442</v>
      </c>
      <c r="J15" s="213">
        <f>+'11'!J15</f>
        <v>0</v>
      </c>
      <c r="K15" s="237"/>
      <c r="L15" s="237"/>
      <c r="M15" s="116">
        <f>+K15+'11'!M15+L15</f>
        <v>0</v>
      </c>
      <c r="Q15" s="148">
        <f>480-Q14</f>
        <v>0</v>
      </c>
      <c r="R15" s="175">
        <f>+R14/Q14</f>
        <v>1203.625</v>
      </c>
      <c r="S15" s="175">
        <f>+S14/Q14</f>
        <v>925.30500000000006</v>
      </c>
    </row>
    <row r="16" spans="1:19" ht="13.5" thickBot="1">
      <c r="A16" s="771"/>
      <c r="B16" s="214" t="s">
        <v>466</v>
      </c>
      <c r="C16" s="220">
        <v>2641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+'11'!J16</f>
        <v>0</v>
      </c>
      <c r="K16" s="227"/>
      <c r="L16" s="227"/>
      <c r="M16" s="116">
        <f>+K16+'11'!M16+L16</f>
        <v>0</v>
      </c>
    </row>
    <row r="17" spans="1:19" ht="13.5" thickBot="1">
      <c r="A17" s="771"/>
      <c r="B17" s="214" t="s">
        <v>390</v>
      </c>
      <c r="C17" s="215">
        <v>8827</v>
      </c>
      <c r="D17" s="216">
        <v>243</v>
      </c>
      <c r="E17" s="223"/>
      <c r="F17" s="226">
        <v>20</v>
      </c>
      <c r="G17" s="230" t="s">
        <v>11</v>
      </c>
      <c r="H17" s="231" t="s">
        <v>409</v>
      </c>
      <c r="I17" s="754"/>
      <c r="J17" s="213">
        <f>+'11'!J17</f>
        <v>0</v>
      </c>
      <c r="K17" s="227"/>
      <c r="L17" s="227"/>
      <c r="M17" s="116">
        <f>+K17+'11'!M17+L17</f>
        <v>0</v>
      </c>
      <c r="N17" s="148" t="s">
        <v>440</v>
      </c>
      <c r="O17" s="148">
        <v>1230</v>
      </c>
      <c r="P17" s="148">
        <f t="shared" ref="P17" si="3">+O17-(O17*0.24)</f>
        <v>934.8</v>
      </c>
      <c r="Q17" s="148">
        <v>480</v>
      </c>
      <c r="R17" s="148">
        <f t="shared" ref="R17" si="4">+O17*Q17</f>
        <v>590400</v>
      </c>
      <c r="S17" s="148">
        <f t="shared" ref="S17" si="5">+P17*Q17</f>
        <v>448704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434</v>
      </c>
      <c r="I18" s="754"/>
      <c r="J18" s="213">
        <f>+'11'!J18</f>
        <v>0</v>
      </c>
      <c r="K18" s="237"/>
      <c r="L18" s="237"/>
      <c r="M18" s="116">
        <f>+K18+'11'!M18+L18</f>
        <v>0</v>
      </c>
    </row>
    <row r="19" spans="1:19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+'11'!J19</f>
        <v>0</v>
      </c>
      <c r="K19" s="237"/>
      <c r="L19" s="237"/>
      <c r="M19" s="116">
        <f>+K19+'11'!M19+L19</f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+'11'!J20</f>
        <v>0</v>
      </c>
      <c r="K20" s="238"/>
      <c r="L20" s="238"/>
      <c r="M20" s="116">
        <f>+K20+'11'!M20+L20</f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+'11'!J21</f>
        <v>0</v>
      </c>
      <c r="K21" s="237"/>
      <c r="L21" s="237"/>
      <c r="M21" s="116">
        <f>+K21+'11'!M21+L21</f>
        <v>0</v>
      </c>
      <c r="P21" s="148">
        <f>+O21-(O21*0.23)</f>
        <v>0</v>
      </c>
      <c r="R21" s="148">
        <f t="shared" ref="R21:R22" si="6">+O21*Q21</f>
        <v>0</v>
      </c>
      <c r="S21" s="148">
        <f t="shared" ref="S21:S22" si="7">+P21*Q21</f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+'11'!J22</f>
        <v>0</v>
      </c>
      <c r="K22" s="237"/>
      <c r="L22" s="237"/>
      <c r="M22" s="116">
        <f>+K22+'11'!M22+L22</f>
        <v>0</v>
      </c>
      <c r="P22" s="148">
        <f>+O22-(O22*0.23)</f>
        <v>0</v>
      </c>
      <c r="R22" s="148">
        <f t="shared" si="6"/>
        <v>0</v>
      </c>
      <c r="S22" s="148">
        <f t="shared" si="7"/>
        <v>0</v>
      </c>
    </row>
    <row r="23" spans="1:19" ht="13.5" thickBot="1">
      <c r="A23" s="772"/>
      <c r="B23" s="167" t="s">
        <v>2</v>
      </c>
      <c r="C23" s="99">
        <f>SUM(C16:C22)</f>
        <v>11468</v>
      </c>
      <c r="D23" s="110">
        <f>SUM(D16:D22)</f>
        <v>243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+'11'!J23</f>
        <v>0</v>
      </c>
      <c r="K23" s="237"/>
      <c r="L23" s="237"/>
      <c r="M23" s="116">
        <f>+K23+'11'!M23+L23</f>
        <v>0</v>
      </c>
    </row>
    <row r="24" spans="1:19" ht="13.5" customHeight="1" thickBot="1">
      <c r="A24" s="750" t="s">
        <v>391</v>
      </c>
      <c r="B24" s="169"/>
      <c r="C24" s="112">
        <f>C23/($C$23+$D$23+$E$23)</f>
        <v>0.97925027751686444</v>
      </c>
      <c r="D24" s="113">
        <f>D23/($C$23+$D$23+$E$23)</f>
        <v>2.0749722483135512E-2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442</v>
      </c>
      <c r="J24" s="213">
        <f>+'11'!J24</f>
        <v>0</v>
      </c>
      <c r="K24" s="237"/>
      <c r="L24" s="237"/>
      <c r="M24" s="116">
        <f>+K24+'11'!M24+L24</f>
        <v>0</v>
      </c>
    </row>
    <row r="25" spans="1:19" ht="13.5" customHeight="1" thickBot="1">
      <c r="A25" s="771"/>
      <c r="B25" s="214" t="s">
        <v>390</v>
      </c>
      <c r="C25" s="224">
        <v>13500</v>
      </c>
      <c r="D25" s="216"/>
      <c r="E25" s="223"/>
      <c r="F25" s="229">
        <v>10</v>
      </c>
      <c r="G25" s="230" t="s">
        <v>11</v>
      </c>
      <c r="H25" s="228" t="s">
        <v>514</v>
      </c>
      <c r="I25" s="754"/>
      <c r="J25" s="213">
        <f>+'11'!J25</f>
        <v>0</v>
      </c>
      <c r="K25" s="237"/>
      <c r="L25" s="237"/>
      <c r="M25" s="116">
        <f>+K25+'11'!M25+L25</f>
        <v>0</v>
      </c>
      <c r="Q25" s="175">
        <f>SUM(Q17:Q22)</f>
        <v>480</v>
      </c>
      <c r="R25" s="175">
        <f>SUM(R17:R22)</f>
        <v>590400</v>
      </c>
      <c r="S25" s="175">
        <f>SUM(S17:S22)</f>
        <v>448704</v>
      </c>
    </row>
    <row r="26" spans="1:19" ht="13.5" customHeight="1" thickBot="1">
      <c r="A26" s="771"/>
      <c r="B26" s="214"/>
      <c r="C26" s="224"/>
      <c r="D26" s="216"/>
      <c r="E26" s="225"/>
      <c r="F26" s="226">
        <v>12</v>
      </c>
      <c r="G26" s="230" t="s">
        <v>11</v>
      </c>
      <c r="H26" s="231" t="s">
        <v>386</v>
      </c>
      <c r="I26" s="754"/>
      <c r="J26" s="213">
        <f>+'11'!J26</f>
        <v>0</v>
      </c>
      <c r="K26" s="237"/>
      <c r="L26" s="237"/>
      <c r="M26" s="116">
        <f>+K26+'11'!M26+L26</f>
        <v>0</v>
      </c>
      <c r="Q26" s="148">
        <f>480-Q25</f>
        <v>0</v>
      </c>
      <c r="R26" s="175">
        <f>+R25/Q25</f>
        <v>1230</v>
      </c>
      <c r="S26" s="175">
        <f>+S25/Q25</f>
        <v>934.8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521</v>
      </c>
      <c r="I27" s="754"/>
      <c r="J27" s="213">
        <f>+'11'!J27</f>
        <v>0</v>
      </c>
      <c r="K27" s="237"/>
      <c r="L27" s="237"/>
      <c r="M27" s="116">
        <f>+K27+'11'!M27+L27</f>
        <v>0</v>
      </c>
      <c r="N27" s="148" t="s">
        <v>440</v>
      </c>
      <c r="O27" s="148">
        <v>1230</v>
      </c>
      <c r="P27" s="148">
        <f t="shared" ref="P27" si="8">+O27-(O27*0.24)</f>
        <v>934.8</v>
      </c>
      <c r="Q27" s="148">
        <v>480</v>
      </c>
      <c r="R27" s="148">
        <f t="shared" ref="R27" si="9">+O27*Q27</f>
        <v>590400</v>
      </c>
      <c r="S27" s="148">
        <f t="shared" ref="S27" si="10">+P27*Q27</f>
        <v>448704</v>
      </c>
    </row>
    <row r="28" spans="1:19" ht="81" customHeight="1" thickBot="1">
      <c r="A28" s="771"/>
      <c r="B28" s="214"/>
      <c r="C28" s="215"/>
      <c r="D28" s="216"/>
      <c r="E28" s="223"/>
      <c r="F28" s="229"/>
      <c r="G28" s="230"/>
      <c r="H28" s="231" t="s">
        <v>522</v>
      </c>
      <c r="I28" s="754"/>
      <c r="J28" s="213">
        <f>+'11'!J28</f>
        <v>0</v>
      </c>
      <c r="K28" s="237"/>
      <c r="L28" s="237"/>
      <c r="M28" s="116">
        <f>+K28+'11'!M28+L28</f>
        <v>0</v>
      </c>
    </row>
    <row r="29" spans="1:19" ht="13.5" customHeight="1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+'11'!J29</f>
        <v>0</v>
      </c>
      <c r="K29" s="237"/>
      <c r="L29" s="237"/>
      <c r="M29" s="116">
        <f>+K29+'11'!M29+L29</f>
        <v>0</v>
      </c>
    </row>
    <row r="30" spans="1:19" ht="13.5" customHeight="1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+'11'!J30</f>
        <v>0</v>
      </c>
      <c r="K30" s="237"/>
      <c r="L30" s="237"/>
      <c r="M30" s="116">
        <f>+K30+'11'!M30+L30</f>
        <v>0</v>
      </c>
    </row>
    <row r="31" spans="1:19" ht="13.5" customHeight="1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+'11'!J31</f>
        <v>0</v>
      </c>
      <c r="K31" s="237"/>
      <c r="L31" s="237"/>
      <c r="M31" s="116">
        <f>+K31+'11'!M31+L31</f>
        <v>0</v>
      </c>
      <c r="P31" s="148">
        <f>+O31-(O31*0.23)</f>
        <v>0</v>
      </c>
      <c r="R31" s="148">
        <f t="shared" ref="R31:R32" si="11">+O31*Q31</f>
        <v>0</v>
      </c>
      <c r="S31" s="148">
        <f t="shared" ref="S31:S32" si="12">+P31*Q31</f>
        <v>0</v>
      </c>
    </row>
    <row r="32" spans="1:19" ht="13.5" customHeight="1" thickBot="1">
      <c r="A32" s="772"/>
      <c r="B32" s="164" t="s">
        <v>2</v>
      </c>
      <c r="C32" s="98">
        <f>SUM(C25:C31)</f>
        <v>13500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+'1'!J32</f>
        <v>0</v>
      </c>
      <c r="K32" s="239"/>
      <c r="L32" s="241"/>
      <c r="M32" s="116">
        <f>+K32+'11'!M32+L32</f>
        <v>0</v>
      </c>
      <c r="P32" s="148">
        <f>+O32-(O32*0.23)</f>
        <v>0</v>
      </c>
      <c r="R32" s="148">
        <f t="shared" si="11"/>
        <v>0</v>
      </c>
      <c r="S32" s="148">
        <f t="shared" si="12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38900</v>
      </c>
      <c r="D34" s="106">
        <f>D14+D23+D32</f>
        <v>243</v>
      </c>
      <c r="E34" s="106">
        <f>E14+E23+E32</f>
        <v>0</v>
      </c>
      <c r="F34" s="107">
        <f>F14+F23+F32</f>
        <v>71</v>
      </c>
      <c r="H34" s="177"/>
      <c r="I34" s="177"/>
      <c r="J34" s="122" t="s">
        <v>27</v>
      </c>
      <c r="K34" s="123">
        <f>SUM(K7:K32)</f>
        <v>38900</v>
      </c>
      <c r="L34" s="211">
        <f>SUM(L7:L32)</f>
        <v>0</v>
      </c>
      <c r="M34" s="119">
        <f>SUM(M7:M32)</f>
        <v>444016</v>
      </c>
    </row>
    <row r="35" spans="1:19" ht="13.5" thickBot="1">
      <c r="A35" s="178"/>
      <c r="B35" s="179"/>
      <c r="C35" s="103">
        <f>C34/($C$34+$D$34+$E$34)</f>
        <v>0.9937919934598779</v>
      </c>
      <c r="D35" s="103">
        <f>D34/($C$34+$D$34+$E$34)</f>
        <v>6.2080065401221166E-3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(13.5*422+12*1018)/1440*G42*2.74*1440/1000000</f>
        <v>45.726155048700001</v>
      </c>
      <c r="J37" s="124">
        <f>+I37+'11'!J37</f>
        <v>518.74182941978427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71</v>
      </c>
      <c r="D38" s="117">
        <f>+C38+'11'!D38</f>
        <v>787</v>
      </c>
      <c r="E38" s="142">
        <f t="shared" ref="E38:E51" si="13">D38/60</f>
        <v>13.116666666666667</v>
      </c>
      <c r="F38" s="320">
        <v>1203.625</v>
      </c>
      <c r="G38" s="320">
        <v>925.30500000000006</v>
      </c>
      <c r="H38" s="186" t="s">
        <v>63</v>
      </c>
      <c r="I38" s="243">
        <f>14.233+14.524+11.852</f>
        <v>40.608999999999995</v>
      </c>
      <c r="J38" s="126">
        <f>+I38+'11'!J38</f>
        <v>460.94699999999995</v>
      </c>
      <c r="K38" s="127" t="s">
        <v>62</v>
      </c>
      <c r="N38" s="148" t="s">
        <v>459</v>
      </c>
      <c r="O38" s="148">
        <v>1200</v>
      </c>
      <c r="P38" s="148">
        <v>924</v>
      </c>
      <c r="Q38" s="148">
        <v>422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+C39+'11'!D39</f>
        <v>0</v>
      </c>
      <c r="E39" s="142">
        <f t="shared" si="13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43.22848578498202</v>
      </c>
      <c r="K39" s="129" t="s">
        <v>62</v>
      </c>
      <c r="N39" s="148" t="s">
        <v>440</v>
      </c>
      <c r="O39" s="148">
        <v>1230</v>
      </c>
      <c r="P39" s="148">
        <v>934.8</v>
      </c>
      <c r="Q39" s="148">
        <f>58+480+480</f>
        <v>1018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+C40+'11'!D40</f>
        <v>0</v>
      </c>
      <c r="E40" s="142">
        <f t="shared" si="13"/>
        <v>0</v>
      </c>
      <c r="F40" s="320">
        <v>1230</v>
      </c>
      <c r="G40" s="320">
        <v>934.8</v>
      </c>
      <c r="H40" s="186" t="s">
        <v>66</v>
      </c>
      <c r="I40" s="117">
        <f>(K34+L34)/1000</f>
        <v>38.9</v>
      </c>
      <c r="J40" s="130">
        <f>+I40+'11'!J40</f>
        <v>444.01599999999991</v>
      </c>
      <c r="K40" s="129" t="s">
        <v>62</v>
      </c>
      <c r="Q40" s="148">
        <f>+Q38+Q39</f>
        <v>1440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+C41+'11'!D41</f>
        <v>0</v>
      </c>
      <c r="E41" s="142">
        <f t="shared" si="13"/>
        <v>0</v>
      </c>
      <c r="F41" s="320"/>
      <c r="G41" s="320"/>
      <c r="H41" s="186" t="s">
        <v>68</v>
      </c>
      <c r="I41" s="141"/>
      <c r="J41" s="128">
        <f>J40/G4</f>
        <v>37.001333333333328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+C42+'11'!D42</f>
        <v>0</v>
      </c>
      <c r="E42" s="142">
        <f t="shared" si="13"/>
        <v>0</v>
      </c>
      <c r="F42" s="320">
        <f>+(480*F38+480*F39+480*F40)/1440</f>
        <v>1221.2083333333333</v>
      </c>
      <c r="G42" s="320">
        <f>+(480*G38+480*G39+480*G40)/1440</f>
        <v>931.63499999999999</v>
      </c>
      <c r="H42" s="186" t="s">
        <v>69</v>
      </c>
      <c r="I42" s="244" t="s">
        <v>526</v>
      </c>
      <c r="J42" s="131"/>
      <c r="K42" s="129" t="s">
        <v>70</v>
      </c>
    </row>
    <row r="43" spans="1:19" ht="17.45" customHeight="1">
      <c r="A43" s="764" t="s">
        <v>71</v>
      </c>
      <c r="B43" s="765"/>
      <c r="C43" s="163">
        <f>SUMIF($G$7:$G$31,"Water",$F$7:$F$31)</f>
        <v>0</v>
      </c>
      <c r="D43" s="117">
        <f>+C43+'11'!D43</f>
        <v>0</v>
      </c>
      <c r="E43" s="142">
        <f t="shared" si="13"/>
        <v>0</v>
      </c>
      <c r="F43" s="320"/>
      <c r="G43" s="321"/>
      <c r="H43" s="187" t="s">
        <v>72</v>
      </c>
      <c r="I43" s="117">
        <f>+Report1!Z20</f>
        <v>51.4</v>
      </c>
      <c r="J43" s="132">
        <f>+I43+'11'!J43</f>
        <v>595.89999999999986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+C44+'11'!D44</f>
        <v>0</v>
      </c>
      <c r="E44" s="142">
        <f t="shared" si="13"/>
        <v>0</v>
      </c>
      <c r="F44" s="320"/>
      <c r="G44" s="321"/>
      <c r="H44" s="187" t="s">
        <v>73</v>
      </c>
      <c r="I44" s="117">
        <f>I43/I38</f>
        <v>1.2657292718362925</v>
      </c>
      <c r="J44" s="133">
        <f>J43/J38</f>
        <v>1.2927733557220242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+C45+'11'!D45</f>
        <v>0</v>
      </c>
      <c r="E45" s="142">
        <f t="shared" si="13"/>
        <v>0</v>
      </c>
      <c r="F45" s="320"/>
      <c r="G45" s="323"/>
      <c r="H45" s="187" t="s">
        <v>74</v>
      </c>
      <c r="I45" s="117">
        <f>I43/I40</f>
        <v>1.3213367609254498</v>
      </c>
      <c r="J45" s="133">
        <f>J43/J40</f>
        <v>1.342068754279125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+C46+'11'!D46</f>
        <v>935</v>
      </c>
      <c r="E46" s="142">
        <f t="shared" si="13"/>
        <v>15.583333333333334</v>
      </c>
      <c r="F46" s="320"/>
      <c r="G46" s="321"/>
      <c r="H46" s="187" t="s">
        <v>76</v>
      </c>
      <c r="I46" s="139">
        <f>+SUMIF(Listrik!P19,"&gt;0")</f>
        <v>38692.880000000361</v>
      </c>
      <c r="J46" s="134">
        <f>+I46+'11'!J46</f>
        <v>448706.41999999929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+C47+'11'!D47</f>
        <v>935</v>
      </c>
      <c r="E47" s="142">
        <f t="shared" si="13"/>
        <v>15.583333333333334</v>
      </c>
      <c r="F47" s="320"/>
      <c r="G47" s="321"/>
      <c r="H47" s="187" t="s">
        <v>79</v>
      </c>
      <c r="I47" s="117">
        <f>I46/I38</f>
        <v>952.81538575193588</v>
      </c>
      <c r="J47" s="134">
        <f>J46/J38</f>
        <v>973.4447127326988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+C48+'11'!D48</f>
        <v>0</v>
      </c>
      <c r="E48" s="142">
        <f t="shared" si="13"/>
        <v>0</v>
      </c>
      <c r="F48" s="320"/>
      <c r="G48" s="321"/>
      <c r="H48" s="187" t="s">
        <v>80</v>
      </c>
      <c r="I48" s="117">
        <f>I46/I40</f>
        <v>994.67557840617894</v>
      </c>
      <c r="J48" s="134">
        <f>J46/J40</f>
        <v>1010.5636283377162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+C49+'11'!D49</f>
        <v>0</v>
      </c>
      <c r="E49" s="142">
        <f t="shared" si="13"/>
        <v>0</v>
      </c>
      <c r="F49" s="184"/>
      <c r="H49" s="187" t="s">
        <v>270</v>
      </c>
      <c r="I49" s="117">
        <f>+Report1!T20</f>
        <v>5666.3386892940962</v>
      </c>
      <c r="J49" s="134">
        <f>+I49+'11'!J49</f>
        <v>61561.122269311025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+C50+'11'!D50</f>
        <v>0</v>
      </c>
      <c r="E50" s="142">
        <f t="shared" si="13"/>
        <v>0</v>
      </c>
      <c r="F50" s="184"/>
      <c r="H50" s="187" t="s">
        <v>82</v>
      </c>
      <c r="I50" s="139">
        <f>I49/I38</f>
        <v>139.53406115132353</v>
      </c>
      <c r="J50" s="132">
        <f>J49/J38</f>
        <v>133.55358049691404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+C51+'11'!D51</f>
        <v>0</v>
      </c>
      <c r="E51" s="142">
        <f t="shared" si="13"/>
        <v>0</v>
      </c>
      <c r="F51" s="184"/>
      <c r="H51" s="189" t="s">
        <v>84</v>
      </c>
      <c r="I51" s="140">
        <f>I49/I40</f>
        <v>145.66423365794591</v>
      </c>
      <c r="J51" s="135">
        <f>J49/J40</f>
        <v>138.64618002349249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71</v>
      </c>
      <c r="D52" s="143">
        <f>SUM(D38:D51)</f>
        <v>2657</v>
      </c>
      <c r="E52" s="144">
        <f>SUM(E38:E51)</f>
        <v>44.283333333333339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4.9305555555555554E-2</v>
      </c>
      <c r="D53" s="145">
        <f>D52/(24*60*G4)</f>
        <v>0.15376157407407406</v>
      </c>
      <c r="E53" s="146">
        <f>E52/(G4*24)</f>
        <v>0.15376157407407409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+D34+'11'!J56</f>
        <v>2662</v>
      </c>
      <c r="K56" s="200">
        <f>J56/(J40+J56/1000)/1000</f>
        <v>5.9595502800675222E-3</v>
      </c>
    </row>
    <row r="57" spans="1:11">
      <c r="A57" s="175"/>
      <c r="I57" s="198" t="s">
        <v>87</v>
      </c>
      <c r="J57" s="199">
        <f>+E34+'11'!J57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2:B52"/>
    <mergeCell ref="A53:B53"/>
    <mergeCell ref="A48:B48"/>
    <mergeCell ref="A49:B49"/>
    <mergeCell ref="A50:B50"/>
    <mergeCell ref="A51:B51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7:A14"/>
    <mergeCell ref="I7:I13"/>
    <mergeCell ref="A15:A23"/>
    <mergeCell ref="I15:I22"/>
    <mergeCell ref="A24:A32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B1" zoomScale="80" zoomScaleNormal="70" zoomScaleSheetLayoutView="80" workbookViewId="0">
      <selection activeCell="J25" sqref="J25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11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459</v>
      </c>
      <c r="O6" s="148">
        <v>1200</v>
      </c>
      <c r="P6" s="148">
        <f>+O6-(O6*0.24)</f>
        <v>912</v>
      </c>
      <c r="Q6" s="148">
        <v>480</v>
      </c>
      <c r="R6" s="148">
        <f t="shared" ref="R6:R11" si="0">+O6*Q6</f>
        <v>576000</v>
      </c>
      <c r="S6" s="148">
        <f t="shared" ref="S6:S11" si="1">+P6*Q6</f>
        <v>437760</v>
      </c>
    </row>
    <row r="7" spans="1:19" ht="13.5" customHeight="1" thickBot="1">
      <c r="A7" s="750" t="s">
        <v>389</v>
      </c>
      <c r="B7" s="214" t="s">
        <v>466</v>
      </c>
      <c r="C7" s="215">
        <v>14857</v>
      </c>
      <c r="D7" s="216"/>
      <c r="E7" s="217"/>
      <c r="F7" s="226">
        <v>9</v>
      </c>
      <c r="G7" s="227" t="s">
        <v>11</v>
      </c>
      <c r="H7" s="228" t="s">
        <v>428</v>
      </c>
      <c r="I7" s="753" t="s">
        <v>515</v>
      </c>
      <c r="J7" s="213" t="str">
        <f>+'10'!J7</f>
        <v>T 13 VP OW</v>
      </c>
      <c r="K7" s="236"/>
      <c r="L7" s="240"/>
      <c r="M7" s="116">
        <f>+K7+'10'!M7+L7</f>
        <v>79167</v>
      </c>
      <c r="O7" s="148">
        <v>1200</v>
      </c>
      <c r="P7" s="148">
        <f t="shared" ref="P7:P8" si="2">+O7-(O7*0.24)</f>
        <v>912</v>
      </c>
      <c r="Q7" s="148">
        <v>480</v>
      </c>
      <c r="R7" s="148">
        <f t="shared" si="0"/>
        <v>576000</v>
      </c>
      <c r="S7" s="148">
        <f t="shared" si="1"/>
        <v>437760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+'10'!J8</f>
        <v>F 12 VP OW</v>
      </c>
      <c r="K8" s="237"/>
      <c r="L8" s="237"/>
      <c r="M8" s="116">
        <f>+K8+'10'!M8+L8</f>
        <v>180042</v>
      </c>
      <c r="O8" s="148">
        <v>1200</v>
      </c>
      <c r="P8" s="148">
        <f t="shared" si="2"/>
        <v>912</v>
      </c>
      <c r="Q8" s="148">
        <v>480</v>
      </c>
      <c r="R8" s="148">
        <f t="shared" si="0"/>
        <v>576000</v>
      </c>
      <c r="S8" s="148">
        <f t="shared" si="1"/>
        <v>437760</v>
      </c>
    </row>
    <row r="9" spans="1:19" ht="13.5" thickBot="1">
      <c r="A9" s="751"/>
      <c r="B9" s="214"/>
      <c r="C9" s="215"/>
      <c r="D9" s="216"/>
      <c r="E9" s="219"/>
      <c r="F9" s="226">
        <f>24-9</f>
        <v>15</v>
      </c>
      <c r="G9" s="230" t="s">
        <v>11</v>
      </c>
      <c r="H9" s="231" t="s">
        <v>409</v>
      </c>
      <c r="I9" s="754"/>
      <c r="J9" s="213" t="str">
        <f>+'10'!J9</f>
        <v>F 13,5 VP OW</v>
      </c>
      <c r="K9" s="237">
        <f>+C34</f>
        <v>45264</v>
      </c>
      <c r="L9" s="237"/>
      <c r="M9" s="116">
        <f>+K9+'10'!M9+L9</f>
        <v>95229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501</v>
      </c>
      <c r="I10" s="754"/>
      <c r="J10" s="213" t="str">
        <f>+'10'!J10</f>
        <v>F 12,5 VP OW</v>
      </c>
      <c r="K10" s="237"/>
      <c r="L10" s="237"/>
      <c r="M10" s="116">
        <f>+K10+'10'!M10+L10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+'10'!J11</f>
        <v>0</v>
      </c>
      <c r="K11" s="237"/>
      <c r="L11" s="237"/>
      <c r="M11" s="116">
        <f>+K11+'10'!M11+L11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+'10'!J12</f>
        <v>0</v>
      </c>
      <c r="K12" s="237"/>
      <c r="L12" s="237"/>
      <c r="M12" s="116">
        <f>+K12+'10'!M12+L12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+'10'!J13</f>
        <v>0</v>
      </c>
      <c r="K13" s="237"/>
      <c r="L13" s="237"/>
      <c r="M13" s="116">
        <f>+K13+'10'!M13+L13</f>
        <v>0</v>
      </c>
    </row>
    <row r="14" spans="1:19" ht="13.5" thickBot="1">
      <c r="A14" s="752"/>
      <c r="B14" s="164" t="s">
        <v>2</v>
      </c>
      <c r="C14" s="98">
        <f>SUM(C7:C13)</f>
        <v>14857</v>
      </c>
      <c r="D14" s="110">
        <f>SUM(D7:D13)</f>
        <v>0</v>
      </c>
      <c r="E14" s="111">
        <f>SUM(E5:E13)</f>
        <v>0</v>
      </c>
      <c r="F14" s="115">
        <f>SUM(F7:F13)</f>
        <v>24</v>
      </c>
      <c r="G14" s="158"/>
      <c r="H14" s="165"/>
      <c r="I14" s="166"/>
      <c r="J14" s="213">
        <f>+'10'!J14</f>
        <v>0</v>
      </c>
      <c r="K14" s="237"/>
      <c r="L14" s="237"/>
      <c r="M14" s="116">
        <f>+K14+'10'!M14+L14</f>
        <v>0</v>
      </c>
      <c r="Q14" s="175">
        <f>SUM(Q6:Q11)</f>
        <v>1440</v>
      </c>
      <c r="R14" s="175">
        <f>SUM(R6:R11)</f>
        <v>1728000</v>
      </c>
      <c r="S14" s="175">
        <f>SUM(S6:S11)</f>
        <v>1313280</v>
      </c>
    </row>
    <row r="15" spans="1:19" ht="13.5" customHeight="1" thickBot="1">
      <c r="A15" s="750" t="s">
        <v>431</v>
      </c>
      <c r="B15" s="164"/>
      <c r="C15" s="112">
        <f>C14/($C$23+$D$23+$E$23)</f>
        <v>0.9971140939597315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515</v>
      </c>
      <c r="J15" s="213">
        <f>+'10'!J15</f>
        <v>0</v>
      </c>
      <c r="K15" s="237"/>
      <c r="L15" s="237"/>
      <c r="M15" s="116">
        <f>+K15+'10'!M15+L15</f>
        <v>0</v>
      </c>
      <c r="Q15" s="148">
        <f>480-Q14</f>
        <v>-960</v>
      </c>
      <c r="R15" s="175">
        <f>+R14/Q14</f>
        <v>1200</v>
      </c>
      <c r="S15" s="175">
        <f>+S14/Q14</f>
        <v>912</v>
      </c>
    </row>
    <row r="16" spans="1:19" ht="13.5" thickBot="1">
      <c r="A16" s="771"/>
      <c r="B16" s="214" t="s">
        <v>466</v>
      </c>
      <c r="C16" s="220">
        <v>14900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+'10'!J16</f>
        <v>0</v>
      </c>
      <c r="K16" s="227"/>
      <c r="L16" s="227"/>
      <c r="M16" s="116">
        <f>+K16+'10'!M16+L16</f>
        <v>0</v>
      </c>
    </row>
    <row r="17" spans="1:13" ht="13.5" thickBot="1">
      <c r="A17" s="771"/>
      <c r="B17" s="214"/>
      <c r="C17" s="215"/>
      <c r="D17" s="216"/>
      <c r="E17" s="223"/>
      <c r="F17" s="226">
        <f>23-9</f>
        <v>14</v>
      </c>
      <c r="G17" s="230" t="s">
        <v>11</v>
      </c>
      <c r="H17" s="231" t="s">
        <v>409</v>
      </c>
      <c r="I17" s="754"/>
      <c r="J17" s="213">
        <f>+'10'!J17</f>
        <v>0</v>
      </c>
      <c r="K17" s="227"/>
      <c r="L17" s="227"/>
      <c r="M17" s="116">
        <f>+K17+'10'!M17+L17</f>
        <v>0</v>
      </c>
    </row>
    <row r="18" spans="1:13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499</v>
      </c>
      <c r="I18" s="754"/>
      <c r="J18" s="213">
        <f>+'10'!J18</f>
        <v>0</v>
      </c>
      <c r="K18" s="237"/>
      <c r="L18" s="237"/>
      <c r="M18" s="116">
        <f>+K18+'10'!M18+L18</f>
        <v>0</v>
      </c>
    </row>
    <row r="19" spans="1:13" ht="39" thickBot="1">
      <c r="A19" s="771"/>
      <c r="B19" s="214"/>
      <c r="C19" s="215"/>
      <c r="D19" s="216"/>
      <c r="E19" s="223"/>
      <c r="F19" s="233"/>
      <c r="G19" s="230"/>
      <c r="H19" s="231" t="s">
        <v>500</v>
      </c>
      <c r="I19" s="754"/>
      <c r="J19" s="213">
        <f>+'10'!J19</f>
        <v>0</v>
      </c>
      <c r="K19" s="237"/>
      <c r="L19" s="237"/>
      <c r="M19" s="116">
        <f>+K19+'10'!M19+L19</f>
        <v>0</v>
      </c>
    </row>
    <row r="20" spans="1:1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+'10'!J20</f>
        <v>0</v>
      </c>
      <c r="K20" s="238"/>
      <c r="L20" s="238"/>
      <c r="M20" s="116">
        <f>+K20+'10'!M20+L20</f>
        <v>0</v>
      </c>
    </row>
    <row r="21" spans="1:1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+'10'!J21</f>
        <v>0</v>
      </c>
      <c r="K21" s="237"/>
      <c r="L21" s="237"/>
      <c r="M21" s="116">
        <f>+K21+'10'!M21+L21</f>
        <v>0</v>
      </c>
    </row>
    <row r="22" spans="1:1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+'10'!J22</f>
        <v>0</v>
      </c>
      <c r="K22" s="237"/>
      <c r="L22" s="237"/>
      <c r="M22" s="116">
        <f>+K22+'10'!M22+L22</f>
        <v>0</v>
      </c>
    </row>
    <row r="23" spans="1:13" ht="13.5" thickBot="1">
      <c r="A23" s="772"/>
      <c r="B23" s="167" t="s">
        <v>2</v>
      </c>
      <c r="C23" s="99">
        <f>SUM(C16:C22)</f>
        <v>14900</v>
      </c>
      <c r="D23" s="110">
        <f>SUM(D16:D22)</f>
        <v>0</v>
      </c>
      <c r="E23" s="111">
        <f>SUM(E18:E22)</f>
        <v>0</v>
      </c>
      <c r="F23" s="115">
        <f>SUM(F15:F22)</f>
        <v>23</v>
      </c>
      <c r="G23" s="158"/>
      <c r="H23" s="165"/>
      <c r="I23" s="168"/>
      <c r="J23" s="213">
        <f>+'10'!J23</f>
        <v>0</v>
      </c>
      <c r="K23" s="237"/>
      <c r="L23" s="237"/>
      <c r="M23" s="116">
        <f>+K23+'10'!M23+L23</f>
        <v>0</v>
      </c>
    </row>
    <row r="24" spans="1:13" ht="13.5" customHeight="1" thickBot="1">
      <c r="A24" s="750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9</v>
      </c>
      <c r="G24" s="227" t="s">
        <v>11</v>
      </c>
      <c r="H24" s="228" t="s">
        <v>428</v>
      </c>
      <c r="I24" s="753" t="s">
        <v>515</v>
      </c>
      <c r="J24" s="213">
        <f>+'10'!J24</f>
        <v>0</v>
      </c>
      <c r="K24" s="237"/>
      <c r="L24" s="237"/>
      <c r="M24" s="116">
        <f>+K24+'10'!M24+L24</f>
        <v>0</v>
      </c>
    </row>
    <row r="25" spans="1:13" ht="13.5" thickBot="1">
      <c r="A25" s="771"/>
      <c r="B25" s="214" t="s">
        <v>466</v>
      </c>
      <c r="C25" s="224">
        <v>15507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+'10'!J25</f>
        <v>0</v>
      </c>
      <c r="K25" s="237"/>
      <c r="L25" s="237"/>
      <c r="M25" s="116">
        <f>+K25+'10'!M25+L25</f>
        <v>0</v>
      </c>
    </row>
    <row r="26" spans="1:13" ht="13.5" thickBot="1">
      <c r="A26" s="771"/>
      <c r="B26" s="214"/>
      <c r="C26" s="224"/>
      <c r="D26" s="216"/>
      <c r="E26" s="225"/>
      <c r="F26" s="226">
        <v>9</v>
      </c>
      <c r="G26" s="230" t="s">
        <v>11</v>
      </c>
      <c r="H26" s="231" t="s">
        <v>388</v>
      </c>
      <c r="I26" s="754"/>
      <c r="J26" s="213">
        <f>+'10'!J26</f>
        <v>0</v>
      </c>
      <c r="K26" s="227"/>
      <c r="L26" s="227"/>
      <c r="M26" s="116">
        <f>+K26+'10'!M26+L26</f>
        <v>0</v>
      </c>
    </row>
    <row r="27" spans="1:13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498</v>
      </c>
      <c r="I27" s="754"/>
      <c r="J27" s="213">
        <f>+'10'!J27</f>
        <v>0</v>
      </c>
      <c r="K27" s="227"/>
      <c r="L27" s="227"/>
      <c r="M27" s="116">
        <f>+K27+'10'!M27+L27</f>
        <v>0</v>
      </c>
    </row>
    <row r="28" spans="1:13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+'10'!J28</f>
        <v>0</v>
      </c>
      <c r="K28" s="237"/>
      <c r="L28" s="237"/>
      <c r="M28" s="116">
        <f>+K28+'10'!M28+L28</f>
        <v>0</v>
      </c>
    </row>
    <row r="29" spans="1:13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+'10'!J29</f>
        <v>0</v>
      </c>
      <c r="K29" s="237"/>
      <c r="L29" s="237"/>
      <c r="M29" s="116">
        <f>+K29+'10'!M29+L29</f>
        <v>0</v>
      </c>
    </row>
    <row r="30" spans="1:13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+'10'!J30</f>
        <v>0</v>
      </c>
      <c r="K30" s="238"/>
      <c r="L30" s="238"/>
      <c r="M30" s="116">
        <f>+K30+'10'!M30+L30</f>
        <v>0</v>
      </c>
    </row>
    <row r="31" spans="1:13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+'10'!J31</f>
        <v>0</v>
      </c>
      <c r="K31" s="237"/>
      <c r="L31" s="237"/>
      <c r="M31" s="116">
        <f>+K31+'10'!M31+L31</f>
        <v>0</v>
      </c>
    </row>
    <row r="32" spans="1:13" ht="13.5" thickBot="1">
      <c r="A32" s="772"/>
      <c r="B32" s="164" t="s">
        <v>2</v>
      </c>
      <c r="C32" s="98">
        <f>SUM(C25:C31)</f>
        <v>15507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+'10'!J32</f>
        <v>0</v>
      </c>
      <c r="K32" s="237"/>
      <c r="L32" s="237"/>
      <c r="M32" s="116">
        <f>+K32+'10'!M32+L32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45264</v>
      </c>
      <c r="D34" s="106">
        <f>D14+D23+D32</f>
        <v>0</v>
      </c>
      <c r="E34" s="106">
        <f>E14+E23+E32</f>
        <v>0</v>
      </c>
      <c r="F34" s="107">
        <f>F14+F23+F32</f>
        <v>65</v>
      </c>
      <c r="H34" s="177"/>
      <c r="I34" s="177"/>
      <c r="J34" s="122" t="s">
        <v>27</v>
      </c>
      <c r="K34" s="123">
        <f>SUM(K7:K32)</f>
        <v>45264</v>
      </c>
      <c r="L34" s="211">
        <f>SUM(L7:L32)</f>
        <v>0</v>
      </c>
      <c r="M34" s="119">
        <f>SUM(M7:M32)</f>
        <v>405116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(13.5*1440)/1440*G42*2.74*1440/1000000</f>
        <v>48.578227200000001</v>
      </c>
      <c r="J37" s="124">
        <f>+I37+'10'!J37</f>
        <v>473.01567437108429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65</v>
      </c>
      <c r="D38" s="117">
        <f>+C38+'10'!D38</f>
        <v>716</v>
      </c>
      <c r="E38" s="142">
        <f t="shared" ref="E38:E51" si="3">D38/60</f>
        <v>11.933333333333334</v>
      </c>
      <c r="F38" s="320">
        <v>1200</v>
      </c>
      <c r="G38" s="320">
        <v>912</v>
      </c>
      <c r="H38" s="186" t="s">
        <v>63</v>
      </c>
      <c r="I38" s="243">
        <f>15.298+14.148+14.475</f>
        <v>43.920999999999999</v>
      </c>
      <c r="J38" s="126">
        <f>+I38+'10'!J38</f>
        <v>420.33799999999997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+C39+'10'!D39</f>
        <v>0</v>
      </c>
      <c r="E39" s="142">
        <f t="shared" si="3"/>
        <v>0</v>
      </c>
      <c r="F39" s="320">
        <v>1200</v>
      </c>
      <c r="G39" s="320">
        <v>912</v>
      </c>
      <c r="H39" s="186" t="s">
        <v>64</v>
      </c>
      <c r="I39" s="141"/>
      <c r="J39" s="128">
        <f>J37/G4</f>
        <v>43.001424942825842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+C40+'10'!D40</f>
        <v>0</v>
      </c>
      <c r="E40" s="142">
        <f t="shared" si="3"/>
        <v>0</v>
      </c>
      <c r="F40" s="320">
        <v>1200</v>
      </c>
      <c r="G40" s="320">
        <v>912</v>
      </c>
      <c r="H40" s="186" t="s">
        <v>66</v>
      </c>
      <c r="I40" s="117">
        <f>(K34+L34)/1000</f>
        <v>45.264000000000003</v>
      </c>
      <c r="J40" s="130">
        <f>+I40+'10'!J40</f>
        <v>405.11599999999993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+C41+'10'!D41</f>
        <v>0</v>
      </c>
      <c r="E41" s="142">
        <f t="shared" si="3"/>
        <v>0</v>
      </c>
      <c r="F41" s="320"/>
      <c r="G41" s="320"/>
      <c r="H41" s="186" t="s">
        <v>68</v>
      </c>
      <c r="I41" s="141"/>
      <c r="J41" s="128">
        <f>J40/G4</f>
        <v>36.828727272727264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+C42+'10'!D42</f>
        <v>0</v>
      </c>
      <c r="E42" s="142">
        <f t="shared" si="3"/>
        <v>0</v>
      </c>
      <c r="F42" s="320">
        <f>+(480*F38+480*F39+480*F40)/1440</f>
        <v>1200</v>
      </c>
      <c r="G42" s="320">
        <f>+(480*G38+480*G39+480*G40)/1440</f>
        <v>912</v>
      </c>
      <c r="H42" s="186" t="s">
        <v>69</v>
      </c>
      <c r="I42" s="244" t="s">
        <v>515</v>
      </c>
      <c r="J42" s="131"/>
      <c r="K42" s="129" t="s">
        <v>70</v>
      </c>
    </row>
    <row r="43" spans="1:13" ht="17.45" customHeight="1">
      <c r="A43" s="764" t="s">
        <v>71</v>
      </c>
      <c r="B43" s="765"/>
      <c r="C43" s="163">
        <f>SUMIF($G$7:$G$31,"Water",$F$7:$F$31)</f>
        <v>0</v>
      </c>
      <c r="D43" s="117">
        <f>+C43+'10'!D43</f>
        <v>0</v>
      </c>
      <c r="E43" s="142">
        <f t="shared" si="3"/>
        <v>0</v>
      </c>
      <c r="F43" s="320"/>
      <c r="G43" s="321"/>
      <c r="H43" s="187" t="s">
        <v>72</v>
      </c>
      <c r="I43" s="117">
        <f>+Report1!Z19</f>
        <v>54.8</v>
      </c>
      <c r="J43" s="132">
        <f>+I43+'10'!J43</f>
        <v>544.49999999999989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+C44+'10'!D44</f>
        <v>0</v>
      </c>
      <c r="E44" s="142">
        <f t="shared" si="3"/>
        <v>0</v>
      </c>
      <c r="F44" s="320"/>
      <c r="G44" s="321"/>
      <c r="H44" s="187" t="s">
        <v>73</v>
      </c>
      <c r="I44" s="117">
        <f>I43/I38</f>
        <v>1.2476947246192027</v>
      </c>
      <c r="J44" s="133">
        <f>J43/J38</f>
        <v>1.295386094048123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+C45+'10'!D45</f>
        <v>0</v>
      </c>
      <c r="E45" s="142">
        <f t="shared" si="3"/>
        <v>0</v>
      </c>
      <c r="F45" s="320"/>
      <c r="G45" s="323"/>
      <c r="H45" s="187" t="s">
        <v>74</v>
      </c>
      <c r="I45" s="117">
        <f>I43/I40</f>
        <v>1.210675150229763</v>
      </c>
      <c r="J45" s="133">
        <f>J43/J40</f>
        <v>1.3440594792602611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+C46+'10'!D46</f>
        <v>935</v>
      </c>
      <c r="E46" s="142">
        <f t="shared" si="3"/>
        <v>15.583333333333334</v>
      </c>
      <c r="F46" s="320"/>
      <c r="G46" s="321"/>
      <c r="H46" s="187" t="s">
        <v>76</v>
      </c>
      <c r="I46" s="139">
        <f>+SUMIF(Listrik!P18,"&gt;0")</f>
        <v>39524.339999999633</v>
      </c>
      <c r="J46" s="134">
        <f>+I46+'10'!J46</f>
        <v>410013.53999999893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+C47+'10'!D47</f>
        <v>935</v>
      </c>
      <c r="E47" s="142">
        <f t="shared" si="3"/>
        <v>15.583333333333334</v>
      </c>
      <c r="F47" s="320"/>
      <c r="G47" s="321"/>
      <c r="H47" s="187" t="s">
        <v>79</v>
      </c>
      <c r="I47" s="117">
        <f>I46/I38</f>
        <v>899.8961772272861</v>
      </c>
      <c r="J47" s="134">
        <f>J46/J38</f>
        <v>975.43771916885692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+C48+'10'!D48</f>
        <v>0</v>
      </c>
      <c r="E48" s="142">
        <f t="shared" si="3"/>
        <v>0</v>
      </c>
      <c r="F48" s="320"/>
      <c r="G48" s="321"/>
      <c r="H48" s="187" t="s">
        <v>80</v>
      </c>
      <c r="I48" s="117">
        <f>I46/I40</f>
        <v>873.19591728525165</v>
      </c>
      <c r="J48" s="134">
        <f>J46/J40</f>
        <v>1012.0892287641046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+C49+'10'!D49</f>
        <v>0</v>
      </c>
      <c r="E49" s="142">
        <f t="shared" si="3"/>
        <v>0</v>
      </c>
      <c r="F49" s="184"/>
      <c r="H49" s="187" t="s">
        <v>269</v>
      </c>
      <c r="I49" s="117">
        <f>+Report1!T19</f>
        <v>5404.6365764380535</v>
      </c>
      <c r="J49" s="134">
        <f>+I49+'10'!J49</f>
        <v>55894.783580016927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+C50+'10'!D50</f>
        <v>0</v>
      </c>
      <c r="E50" s="142">
        <f t="shared" si="3"/>
        <v>0</v>
      </c>
      <c r="F50" s="184"/>
      <c r="H50" s="187" t="s">
        <v>82</v>
      </c>
      <c r="I50" s="139">
        <f>I49/I38</f>
        <v>123.0535865858713</v>
      </c>
      <c r="J50" s="132">
        <f>J49/J38</f>
        <v>132.97580418619523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+C51+'10'!D51</f>
        <v>0</v>
      </c>
      <c r="E51" s="142">
        <f t="shared" si="3"/>
        <v>0</v>
      </c>
      <c r="F51" s="184"/>
      <c r="H51" s="189" t="s">
        <v>84</v>
      </c>
      <c r="I51" s="140">
        <f>I49/I40</f>
        <v>119.40254012986155</v>
      </c>
      <c r="J51" s="135">
        <f>J49/J40</f>
        <v>137.97229331849874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65</v>
      </c>
      <c r="D52" s="143">
        <f>SUM(D38:D51)</f>
        <v>2586</v>
      </c>
      <c r="E52" s="144">
        <f>SUM(E38:E51)</f>
        <v>43.1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4.5138888888888888E-2</v>
      </c>
      <c r="D53" s="145">
        <f>D52/(24*60*G4)</f>
        <v>0.16325757575757577</v>
      </c>
      <c r="E53" s="146">
        <f>E52/(G4*24)</f>
        <v>0.16325757575757577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+D34+'10'!J56</f>
        <v>2419</v>
      </c>
      <c r="K56" s="200">
        <f>J56/(J40+J56/1000)/1000</f>
        <v>5.9356865054535201E-3</v>
      </c>
    </row>
    <row r="57" spans="1:11">
      <c r="A57" s="175"/>
      <c r="I57" s="198" t="s">
        <v>87</v>
      </c>
      <c r="J57" s="199">
        <f>+E34+'10'!J57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E22" zoomScale="80" zoomScaleNormal="75" zoomScaleSheetLayoutView="80" workbookViewId="0">
      <selection activeCell="J41" sqref="J41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8.28515625" style="148" customWidth="1"/>
    <col min="13" max="13" width="12.140625" style="148" customWidth="1"/>
    <col min="14" max="16384" width="9.140625" style="148"/>
  </cols>
  <sheetData>
    <row r="1" spans="1:26" ht="15.75">
      <c r="A1" s="147"/>
    </row>
    <row r="2" spans="1:26" ht="15.75">
      <c r="A2" s="147" t="s">
        <v>183</v>
      </c>
    </row>
    <row r="3" spans="1:26" ht="15">
      <c r="A3" s="149"/>
    </row>
    <row r="4" spans="1:26" ht="20.25">
      <c r="A4" s="150" t="s">
        <v>3</v>
      </c>
      <c r="B4" s="151"/>
      <c r="F4" s="152" t="s">
        <v>28</v>
      </c>
      <c r="G4" s="153">
        <v>10</v>
      </c>
      <c r="H4" s="153" t="str">
        <f>+'1'!H4</f>
        <v>.01.26</v>
      </c>
    </row>
    <row r="5" spans="1:26" ht="13.5" thickBot="1">
      <c r="C5" s="154"/>
      <c r="D5" s="154"/>
    </row>
    <row r="6" spans="1:26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1000</v>
      </c>
      <c r="P6" s="148">
        <f>+O6-(O6*0.24)</f>
        <v>760</v>
      </c>
      <c r="Q6" s="148">
        <f>480-Q7-81</f>
        <v>339</v>
      </c>
      <c r="R6" s="148">
        <f t="shared" ref="R6:R11" si="0">+O6*Q6</f>
        <v>339000</v>
      </c>
      <c r="S6" s="148">
        <f t="shared" ref="S6:S11" si="1">+P6*Q6</f>
        <v>257640</v>
      </c>
      <c r="U6" s="148" t="s">
        <v>459</v>
      </c>
      <c r="V6" s="148">
        <v>980</v>
      </c>
      <c r="W6" s="148">
        <v>744.8</v>
      </c>
      <c r="X6" s="148">
        <v>60</v>
      </c>
      <c r="Y6" s="148">
        <f t="shared" ref="Y6:Y12" si="2">+V6*X6</f>
        <v>58800</v>
      </c>
      <c r="Z6" s="148">
        <f t="shared" ref="Z6:Z12" si="3">+W6*X6</f>
        <v>44688</v>
      </c>
    </row>
    <row r="7" spans="1:26" ht="13.5" customHeight="1" thickBot="1">
      <c r="A7" s="750" t="s">
        <v>389</v>
      </c>
      <c r="B7" s="214" t="s">
        <v>390</v>
      </c>
      <c r="C7" s="215">
        <v>6687</v>
      </c>
      <c r="D7" s="216"/>
      <c r="E7" s="217"/>
      <c r="F7" s="226">
        <v>9</v>
      </c>
      <c r="G7" s="227" t="s">
        <v>11</v>
      </c>
      <c r="H7" s="228" t="s">
        <v>428</v>
      </c>
      <c r="I7" s="753" t="s">
        <v>512</v>
      </c>
      <c r="J7" s="213" t="str">
        <f>+'9'!J7</f>
        <v>T 13 VP OW</v>
      </c>
      <c r="K7" s="236"/>
      <c r="L7" s="240"/>
      <c r="M7" s="116">
        <f>+K7+'9'!M7+L7</f>
        <v>79167</v>
      </c>
      <c r="N7" s="148" t="s">
        <v>459</v>
      </c>
      <c r="O7" s="148">
        <v>980</v>
      </c>
      <c r="P7" s="148">
        <f>+O7-(O7*0.24)</f>
        <v>744.8</v>
      </c>
      <c r="Q7" s="148">
        <v>60</v>
      </c>
      <c r="R7" s="148">
        <f t="shared" si="0"/>
        <v>58800</v>
      </c>
      <c r="S7" s="148">
        <f t="shared" si="1"/>
        <v>44688</v>
      </c>
      <c r="U7" s="148" t="s">
        <v>459</v>
      </c>
      <c r="V7" s="148">
        <v>900</v>
      </c>
      <c r="W7" s="148">
        <v>684</v>
      </c>
      <c r="X7" s="148">
        <v>240</v>
      </c>
      <c r="Y7" s="148">
        <f t="shared" si="2"/>
        <v>216000</v>
      </c>
      <c r="Z7" s="148">
        <f t="shared" si="3"/>
        <v>164160</v>
      </c>
    </row>
    <row r="8" spans="1:26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+'9'!J8</f>
        <v>F 12 VP OW</v>
      </c>
      <c r="K8" s="237">
        <f>+C7+C16</f>
        <v>7343</v>
      </c>
      <c r="L8" s="237"/>
      <c r="M8" s="116">
        <f>+K8+'9'!M8+L8</f>
        <v>180042</v>
      </c>
      <c r="P8" s="148">
        <f t="shared" ref="P8" si="4">+O8-(O8*0.24)</f>
        <v>0</v>
      </c>
      <c r="R8" s="148">
        <f t="shared" si="0"/>
        <v>0</v>
      </c>
      <c r="S8" s="148">
        <f t="shared" si="1"/>
        <v>0</v>
      </c>
      <c r="V8" s="148">
        <v>1160</v>
      </c>
      <c r="W8" s="148">
        <v>881.6</v>
      </c>
      <c r="X8" s="148">
        <v>240</v>
      </c>
      <c r="Y8" s="148">
        <f t="shared" si="2"/>
        <v>278400</v>
      </c>
      <c r="Z8" s="148">
        <f t="shared" si="3"/>
        <v>211584</v>
      </c>
    </row>
    <row r="9" spans="1:26" ht="13.5" thickBot="1">
      <c r="A9" s="751"/>
      <c r="B9" s="214"/>
      <c r="C9" s="215"/>
      <c r="D9" s="216"/>
      <c r="E9" s="219"/>
      <c r="F9" s="226">
        <f>26-9</f>
        <v>17</v>
      </c>
      <c r="G9" s="230" t="s">
        <v>11</v>
      </c>
      <c r="H9" s="231" t="s">
        <v>386</v>
      </c>
      <c r="I9" s="754"/>
      <c r="J9" s="213" t="str">
        <f>+'9'!J9</f>
        <v>F 13,5 VP OW</v>
      </c>
      <c r="K9" s="237">
        <f>+C17+C25</f>
        <v>23845</v>
      </c>
      <c r="L9" s="237"/>
      <c r="M9" s="116">
        <f>+K9+'9'!M9+L9</f>
        <v>49965</v>
      </c>
      <c r="P9" s="148">
        <f>+O9-(O9*0.2)</f>
        <v>0</v>
      </c>
      <c r="R9" s="148">
        <f t="shared" si="0"/>
        <v>0</v>
      </c>
      <c r="S9" s="148">
        <f t="shared" si="1"/>
        <v>0</v>
      </c>
      <c r="U9" s="148" t="s">
        <v>459</v>
      </c>
      <c r="V9" s="148">
        <v>1150</v>
      </c>
      <c r="W9" s="148">
        <v>874</v>
      </c>
      <c r="X9" s="148">
        <v>14</v>
      </c>
      <c r="Y9" s="148">
        <f t="shared" si="2"/>
        <v>16100</v>
      </c>
      <c r="Z9" s="148">
        <f t="shared" si="3"/>
        <v>12236</v>
      </c>
    </row>
    <row r="10" spans="1:26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505</v>
      </c>
      <c r="I10" s="754"/>
      <c r="J10" s="213" t="str">
        <f>+'9'!J10</f>
        <v>F 12,5 VP OW</v>
      </c>
      <c r="K10" s="237"/>
      <c r="L10" s="237"/>
      <c r="M10" s="116">
        <f>+K10+'9'!M10+L10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  <c r="V10" s="148">
        <v>1160</v>
      </c>
      <c r="W10" s="148">
        <v>881.6</v>
      </c>
      <c r="X10" s="148">
        <v>110</v>
      </c>
      <c r="Y10" s="148">
        <f t="shared" si="2"/>
        <v>127600</v>
      </c>
      <c r="Z10" s="148">
        <f t="shared" si="3"/>
        <v>96976</v>
      </c>
    </row>
    <row r="11" spans="1:26" ht="77.25" thickBot="1">
      <c r="A11" s="751"/>
      <c r="B11" s="214"/>
      <c r="C11" s="215"/>
      <c r="D11" s="216"/>
      <c r="E11" s="218" t="s">
        <v>508</v>
      </c>
      <c r="F11" s="226">
        <f>60*2+14</f>
        <v>134</v>
      </c>
      <c r="G11" s="230" t="s">
        <v>75</v>
      </c>
      <c r="H11" s="231" t="s">
        <v>506</v>
      </c>
      <c r="I11" s="754"/>
      <c r="J11" s="213">
        <f>+'9'!J11</f>
        <v>0</v>
      </c>
      <c r="K11" s="237"/>
      <c r="L11" s="237"/>
      <c r="M11" s="116">
        <f>+K11+'9'!M11+L11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  <c r="V11" s="148">
        <v>1170</v>
      </c>
      <c r="W11" s="148">
        <v>889.2</v>
      </c>
      <c r="X11" s="148">
        <v>241</v>
      </c>
      <c r="Y11" s="148">
        <f t="shared" si="2"/>
        <v>281970</v>
      </c>
      <c r="Z11" s="148">
        <f t="shared" si="3"/>
        <v>214297.2</v>
      </c>
    </row>
    <row r="12" spans="1:26" ht="13.5" thickBot="1">
      <c r="A12" s="751"/>
      <c r="B12" s="214"/>
      <c r="C12" s="215"/>
      <c r="D12" s="216"/>
      <c r="E12" s="218" t="s">
        <v>507</v>
      </c>
      <c r="F12" s="226">
        <v>76</v>
      </c>
      <c r="G12" s="230" t="s">
        <v>75</v>
      </c>
      <c r="H12" s="231"/>
      <c r="I12" s="754"/>
      <c r="J12" s="213">
        <f>+'9'!J12</f>
        <v>0</v>
      </c>
      <c r="K12" s="237"/>
      <c r="L12" s="237"/>
      <c r="M12" s="116">
        <f>+K12+'9'!M12+L12</f>
        <v>0</v>
      </c>
      <c r="V12" s="148">
        <v>1200</v>
      </c>
      <c r="W12" s="148">
        <v>912</v>
      </c>
      <c r="X12" s="148">
        <v>115</v>
      </c>
      <c r="Y12" s="148">
        <f t="shared" si="2"/>
        <v>138000</v>
      </c>
      <c r="Z12" s="148">
        <f t="shared" si="3"/>
        <v>104880</v>
      </c>
    </row>
    <row r="13" spans="1:26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+'9'!J13</f>
        <v>0</v>
      </c>
      <c r="K13" s="237"/>
      <c r="L13" s="237"/>
      <c r="M13" s="116">
        <f>+K13+'9'!M13+L13</f>
        <v>0</v>
      </c>
    </row>
    <row r="14" spans="1:26" ht="13.5" thickBot="1">
      <c r="A14" s="752"/>
      <c r="B14" s="164" t="s">
        <v>2</v>
      </c>
      <c r="C14" s="98">
        <f>SUM(C7:C13)</f>
        <v>6687</v>
      </c>
      <c r="D14" s="110">
        <f>SUM(D7:D13)</f>
        <v>0</v>
      </c>
      <c r="E14" s="111">
        <f>SUM(E5:E13)</f>
        <v>0</v>
      </c>
      <c r="F14" s="115">
        <f>SUM(F7:F13)</f>
        <v>236</v>
      </c>
      <c r="G14" s="158"/>
      <c r="H14" s="165"/>
      <c r="I14" s="166"/>
      <c r="J14" s="213">
        <f>+'9'!J14</f>
        <v>0</v>
      </c>
      <c r="K14" s="237"/>
      <c r="L14" s="237"/>
      <c r="M14" s="116">
        <f>+K14+'9'!M14+L14</f>
        <v>0</v>
      </c>
      <c r="Q14" s="175">
        <f>SUM(Q6:Q11)</f>
        <v>399</v>
      </c>
      <c r="R14" s="175">
        <f>SUM(R6:R11)</f>
        <v>397800</v>
      </c>
      <c r="S14" s="175">
        <f>SUM(S6:S11)</f>
        <v>302328</v>
      </c>
      <c r="X14" s="175">
        <f>SUM(X6:X12)</f>
        <v>1020</v>
      </c>
      <c r="Y14" s="175">
        <f>SUM(Y6:Y12)</f>
        <v>1116870</v>
      </c>
      <c r="Z14" s="175">
        <f>SUM(Z6:Z12)</f>
        <v>848821.2</v>
      </c>
    </row>
    <row r="15" spans="1:26" ht="13.5" customHeight="1" thickBot="1">
      <c r="A15" s="750" t="s">
        <v>431</v>
      </c>
      <c r="B15" s="164"/>
      <c r="C15" s="112">
        <f>C14/($C$23+$D$23+$E$23)</f>
        <v>0.62320596458527489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511</v>
      </c>
      <c r="J15" s="213">
        <f>+'9'!J15</f>
        <v>0</v>
      </c>
      <c r="K15" s="237"/>
      <c r="L15" s="237"/>
      <c r="M15" s="116">
        <f>+K15+'9'!M15+L15</f>
        <v>0</v>
      </c>
      <c r="Q15" s="148">
        <f>480-Q14</f>
        <v>81</v>
      </c>
      <c r="R15" s="175">
        <f>+R14/Q14</f>
        <v>996.99248120300751</v>
      </c>
      <c r="S15" s="175">
        <f>+S14/Q14</f>
        <v>757.71428571428567</v>
      </c>
      <c r="X15" s="148">
        <f>480-X14</f>
        <v>-540</v>
      </c>
      <c r="Y15" s="175">
        <f>+Y14/X14</f>
        <v>1094.9705882352941</v>
      </c>
      <c r="Z15" s="175">
        <f>+Z14/X14</f>
        <v>832.17764705882348</v>
      </c>
    </row>
    <row r="16" spans="1:26" ht="13.5" thickBot="1">
      <c r="A16" s="771"/>
      <c r="B16" s="214" t="s">
        <v>390</v>
      </c>
      <c r="C16" s="220">
        <v>656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+'9'!J16</f>
        <v>0</v>
      </c>
      <c r="K16" s="227"/>
      <c r="L16" s="227"/>
      <c r="M16" s="116">
        <f>+K16+'9'!M16+L16</f>
        <v>0</v>
      </c>
      <c r="N16" s="148" t="s">
        <v>459</v>
      </c>
      <c r="O16" s="148">
        <v>900</v>
      </c>
      <c r="P16" s="148">
        <f>+O16-(O16*0.24)</f>
        <v>684</v>
      </c>
      <c r="Q16" s="148">
        <v>240</v>
      </c>
      <c r="R16" s="148">
        <f t="shared" ref="R16:R21" si="5">+O16*Q16</f>
        <v>216000</v>
      </c>
      <c r="S16" s="148">
        <f t="shared" ref="S16:S21" si="6">+P16*Q16</f>
        <v>164160</v>
      </c>
    </row>
    <row r="17" spans="1:23" ht="13.5" thickBot="1">
      <c r="A17" s="771"/>
      <c r="B17" s="214" t="s">
        <v>466</v>
      </c>
      <c r="C17" s="215">
        <v>10074</v>
      </c>
      <c r="D17" s="216"/>
      <c r="E17" s="223"/>
      <c r="F17" s="226">
        <v>10</v>
      </c>
      <c r="G17" s="230" t="s">
        <v>11</v>
      </c>
      <c r="H17" s="231" t="s">
        <v>386</v>
      </c>
      <c r="I17" s="754"/>
      <c r="J17" s="213">
        <f>+'9'!J17</f>
        <v>0</v>
      </c>
      <c r="K17" s="227"/>
      <c r="L17" s="227"/>
      <c r="M17" s="116">
        <f>+K17+'9'!M17+L17</f>
        <v>0</v>
      </c>
      <c r="O17" s="148">
        <v>1160</v>
      </c>
      <c r="P17" s="148">
        <f>+O17-(O17*0.24)</f>
        <v>881.6</v>
      </c>
      <c r="Q17" s="148">
        <v>240</v>
      </c>
      <c r="R17" s="148">
        <f t="shared" si="5"/>
        <v>278400</v>
      </c>
      <c r="S17" s="148">
        <f t="shared" si="6"/>
        <v>211584</v>
      </c>
    </row>
    <row r="18" spans="1:23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503</v>
      </c>
      <c r="I18" s="754"/>
      <c r="J18" s="213">
        <f>+'9'!J18</f>
        <v>0</v>
      </c>
      <c r="K18" s="237"/>
      <c r="L18" s="237"/>
      <c r="M18" s="116">
        <f>+K18+'9'!M18+L18</f>
        <v>0</v>
      </c>
      <c r="P18" s="148">
        <f t="shared" ref="P18" si="7">+O18-(O18*0.24)</f>
        <v>0</v>
      </c>
      <c r="R18" s="148">
        <f t="shared" si="5"/>
        <v>0</v>
      </c>
      <c r="S18" s="148">
        <f t="shared" si="6"/>
        <v>0</v>
      </c>
    </row>
    <row r="19" spans="1:23" ht="26.25" thickBot="1">
      <c r="A19" s="771"/>
      <c r="B19" s="214"/>
      <c r="C19" s="215"/>
      <c r="D19" s="216"/>
      <c r="E19" s="218" t="s">
        <v>507</v>
      </c>
      <c r="F19" s="226">
        <v>78</v>
      </c>
      <c r="G19" s="230" t="s">
        <v>75</v>
      </c>
      <c r="H19" s="231" t="s">
        <v>504</v>
      </c>
      <c r="I19" s="754"/>
      <c r="J19" s="213">
        <f>+'9'!J19</f>
        <v>0</v>
      </c>
      <c r="K19" s="237"/>
      <c r="L19" s="237"/>
      <c r="M19" s="116">
        <f>+K19+'9'!M19+L19</f>
        <v>0</v>
      </c>
      <c r="P19" s="148">
        <f>+O19-(O19*0.2)</f>
        <v>0</v>
      </c>
      <c r="R19" s="148">
        <f t="shared" si="5"/>
        <v>0</v>
      </c>
      <c r="S19" s="148">
        <f t="shared" si="6"/>
        <v>0</v>
      </c>
    </row>
    <row r="20" spans="1:2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+'9'!J20</f>
        <v>0</v>
      </c>
      <c r="K20" s="238"/>
      <c r="L20" s="238"/>
      <c r="M20" s="116">
        <f>+K20+'9'!M20+L20</f>
        <v>0</v>
      </c>
      <c r="P20" s="148">
        <f>+O20-(O20*0.23)</f>
        <v>0</v>
      </c>
      <c r="R20" s="148">
        <f t="shared" si="5"/>
        <v>0</v>
      </c>
      <c r="S20" s="148">
        <f t="shared" si="6"/>
        <v>0</v>
      </c>
    </row>
    <row r="21" spans="1:2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+'9'!J21</f>
        <v>0</v>
      </c>
      <c r="K21" s="237"/>
      <c r="L21" s="237"/>
      <c r="M21" s="116">
        <f>+K21+'9'!M21+L21</f>
        <v>0</v>
      </c>
      <c r="P21" s="148">
        <f>+O21-(O21*0.23)</f>
        <v>0</v>
      </c>
      <c r="R21" s="148">
        <f t="shared" si="5"/>
        <v>0</v>
      </c>
      <c r="S21" s="148">
        <f t="shared" si="6"/>
        <v>0</v>
      </c>
    </row>
    <row r="22" spans="1:2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+'9'!J22</f>
        <v>0</v>
      </c>
      <c r="K22" s="237"/>
      <c r="L22" s="237"/>
      <c r="M22" s="116">
        <f>+K22+'9'!M22+L22</f>
        <v>0</v>
      </c>
    </row>
    <row r="23" spans="1:23" ht="13.5" thickBot="1">
      <c r="A23" s="772"/>
      <c r="B23" s="167" t="s">
        <v>2</v>
      </c>
      <c r="C23" s="99">
        <f>SUM(C16:C22)</f>
        <v>10730</v>
      </c>
      <c r="D23" s="110">
        <f>SUM(D16:D22)</f>
        <v>0</v>
      </c>
      <c r="E23" s="111">
        <f>SUM(E18:E22)</f>
        <v>0</v>
      </c>
      <c r="F23" s="115">
        <f>SUM(F15:F22)</f>
        <v>97</v>
      </c>
      <c r="G23" s="158"/>
      <c r="H23" s="165"/>
      <c r="I23" s="168"/>
      <c r="J23" s="213">
        <f>+'9'!J23</f>
        <v>0</v>
      </c>
      <c r="K23" s="237"/>
      <c r="L23" s="237"/>
      <c r="M23" s="116">
        <f>+K23+'9'!M23+L23</f>
        <v>0</v>
      </c>
      <c r="V23" s="148">
        <f>+(1230-W23)/1230</f>
        <v>0.18943700715202641</v>
      </c>
      <c r="W23" s="148">
        <v>996.99248120300751</v>
      </c>
    </row>
    <row r="24" spans="1:23" ht="13.5" customHeight="1" thickBot="1">
      <c r="A24" s="750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510</v>
      </c>
      <c r="J24" s="213">
        <f>+'8'!J24</f>
        <v>0</v>
      </c>
      <c r="K24" s="237"/>
      <c r="L24" s="237"/>
      <c r="M24" s="116">
        <f>+K24+'9'!M24+L24</f>
        <v>0</v>
      </c>
      <c r="Q24" s="175">
        <f>SUM(Q16:Q21)</f>
        <v>480</v>
      </c>
      <c r="R24" s="175">
        <f>SUM(R16:R21)</f>
        <v>494400</v>
      </c>
      <c r="S24" s="175">
        <f>SUM(S16:S21)</f>
        <v>375744</v>
      </c>
      <c r="V24" s="148">
        <f>+V23*399</f>
        <v>75.585365853658544</v>
      </c>
    </row>
    <row r="25" spans="1:23" ht="13.5" customHeight="1" thickBot="1">
      <c r="A25" s="771"/>
      <c r="B25" s="214" t="s">
        <v>466</v>
      </c>
      <c r="C25" s="224">
        <v>13771</v>
      </c>
      <c r="D25" s="216"/>
      <c r="E25" s="223"/>
      <c r="F25" s="229">
        <v>9</v>
      </c>
      <c r="G25" s="230" t="s">
        <v>11</v>
      </c>
      <c r="H25" s="228" t="s">
        <v>514</v>
      </c>
      <c r="I25" s="754"/>
      <c r="J25" s="213">
        <f>+'8'!J25</f>
        <v>0</v>
      </c>
      <c r="K25" s="237"/>
      <c r="L25" s="237"/>
      <c r="M25" s="116">
        <f>+K25+'9'!M25+L25</f>
        <v>0</v>
      </c>
      <c r="Q25" s="148">
        <f>480-Q24</f>
        <v>0</v>
      </c>
      <c r="R25" s="175">
        <f>+R24/Q24</f>
        <v>1030</v>
      </c>
      <c r="S25" s="175">
        <f>+S24/Q24</f>
        <v>782.8</v>
      </c>
      <c r="V25" s="148">
        <f>+V24</f>
        <v>75.585365853658544</v>
      </c>
    </row>
    <row r="26" spans="1:23" ht="13.5" customHeight="1" thickBot="1">
      <c r="A26" s="771"/>
      <c r="B26" s="214"/>
      <c r="C26" s="224"/>
      <c r="D26" s="216"/>
      <c r="E26" s="225"/>
      <c r="F26" s="226">
        <v>10</v>
      </c>
      <c r="G26" s="230" t="s">
        <v>11</v>
      </c>
      <c r="H26" s="231" t="s">
        <v>388</v>
      </c>
      <c r="I26" s="754"/>
      <c r="J26" s="213">
        <f>+'8'!J26</f>
        <v>0</v>
      </c>
      <c r="K26" s="237"/>
      <c r="L26" s="237"/>
      <c r="M26" s="116">
        <f>+K26+'9'!M26+L26</f>
        <v>0</v>
      </c>
    </row>
    <row r="27" spans="1:23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509</v>
      </c>
      <c r="I27" s="754"/>
      <c r="J27" s="213">
        <f>+'8'!J27</f>
        <v>0</v>
      </c>
      <c r="K27" s="237"/>
      <c r="L27" s="237"/>
      <c r="M27" s="116">
        <f>+K27+'9'!M27+L27</f>
        <v>0</v>
      </c>
      <c r="N27" s="148" t="s">
        <v>459</v>
      </c>
      <c r="O27" s="148">
        <v>1150</v>
      </c>
      <c r="P27" s="148">
        <f>+O27-(O27*0.24)</f>
        <v>874</v>
      </c>
      <c r="Q27" s="148">
        <v>14</v>
      </c>
      <c r="R27" s="148">
        <f t="shared" ref="R27:R32" si="8">+O27*Q27</f>
        <v>16100</v>
      </c>
      <c r="S27" s="148">
        <f t="shared" ref="S27:S32" si="9">+P27*Q27</f>
        <v>12236</v>
      </c>
      <c r="V27" s="148">
        <f>+(1230-W27)/1230</f>
        <v>0.16260162601626016</v>
      </c>
      <c r="W27" s="148">
        <v>1030</v>
      </c>
    </row>
    <row r="28" spans="1:23" ht="108.75" customHeight="1" thickBot="1">
      <c r="A28" s="771"/>
      <c r="B28" s="214"/>
      <c r="C28" s="215"/>
      <c r="D28" s="216"/>
      <c r="E28" s="218" t="s">
        <v>507</v>
      </c>
      <c r="F28" s="226">
        <v>22</v>
      </c>
      <c r="G28" s="230" t="s">
        <v>75</v>
      </c>
      <c r="H28" s="231" t="s">
        <v>502</v>
      </c>
      <c r="I28" s="754"/>
      <c r="J28" s="213">
        <f>+'8'!J28</f>
        <v>0</v>
      </c>
      <c r="K28" s="237"/>
      <c r="L28" s="237"/>
      <c r="M28" s="116">
        <f>+K28+'9'!M28+L28</f>
        <v>0</v>
      </c>
      <c r="O28" s="148">
        <v>1160</v>
      </c>
      <c r="P28" s="148">
        <f t="shared" ref="P28:P30" si="10">+O28-(O28*0.24)</f>
        <v>881.6</v>
      </c>
      <c r="Q28" s="148">
        <f>60-14+60+4</f>
        <v>110</v>
      </c>
      <c r="R28" s="148">
        <f t="shared" si="8"/>
        <v>127600</v>
      </c>
      <c r="S28" s="148">
        <f t="shared" si="9"/>
        <v>96976</v>
      </c>
      <c r="V28" s="148">
        <f>+V27*480</f>
        <v>78.048780487804876</v>
      </c>
    </row>
    <row r="29" spans="1:23" ht="13.5" customHeight="1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+'8'!J29</f>
        <v>0</v>
      </c>
      <c r="K29" s="237"/>
      <c r="L29" s="237"/>
      <c r="M29" s="116">
        <f>+K29+'9'!M29+L29</f>
        <v>0</v>
      </c>
      <c r="O29" s="148">
        <v>1170</v>
      </c>
      <c r="P29" s="148">
        <f t="shared" si="10"/>
        <v>889.2</v>
      </c>
      <c r="Q29" s="148">
        <f>60-4+180+5</f>
        <v>241</v>
      </c>
      <c r="R29" s="148">
        <f t="shared" si="8"/>
        <v>281970</v>
      </c>
      <c r="S29" s="148">
        <f t="shared" si="9"/>
        <v>214297.2</v>
      </c>
      <c r="V29" s="148">
        <f>+V28</f>
        <v>78.048780487804876</v>
      </c>
    </row>
    <row r="30" spans="1:23" ht="13.5" customHeight="1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+'8'!J30</f>
        <v>0</v>
      </c>
      <c r="K30" s="237"/>
      <c r="L30" s="237"/>
      <c r="M30" s="116">
        <f>+K30+'9'!M30+L30</f>
        <v>0</v>
      </c>
      <c r="O30" s="148">
        <v>1200</v>
      </c>
      <c r="P30" s="148">
        <f t="shared" si="10"/>
        <v>912</v>
      </c>
      <c r="Q30" s="148">
        <f>60-5+60</f>
        <v>115</v>
      </c>
      <c r="R30" s="148">
        <f t="shared" si="8"/>
        <v>138000</v>
      </c>
      <c r="S30" s="148">
        <f t="shared" si="9"/>
        <v>104880</v>
      </c>
    </row>
    <row r="31" spans="1:23" ht="13.5" customHeight="1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+'8'!J31</f>
        <v>0</v>
      </c>
      <c r="K31" s="237"/>
      <c r="L31" s="237"/>
      <c r="M31" s="116">
        <f>+K31+'9'!M31+L31</f>
        <v>0</v>
      </c>
      <c r="P31" s="148">
        <f>+O31-(O31*0.23)</f>
        <v>0</v>
      </c>
      <c r="R31" s="148">
        <f t="shared" si="8"/>
        <v>0</v>
      </c>
      <c r="S31" s="148">
        <f t="shared" si="9"/>
        <v>0</v>
      </c>
      <c r="V31" s="148">
        <f>+(1230-W31)/1230</f>
        <v>4.5274390243902438E-2</v>
      </c>
      <c r="W31" s="148">
        <v>1174.3125</v>
      </c>
    </row>
    <row r="32" spans="1:23" ht="13.5" customHeight="1" thickBot="1">
      <c r="A32" s="772"/>
      <c r="B32" s="164" t="s">
        <v>2</v>
      </c>
      <c r="C32" s="98">
        <f>SUM(C25:C31)</f>
        <v>13771</v>
      </c>
      <c r="D32" s="99">
        <f>SUM(D25:D31)</f>
        <v>0</v>
      </c>
      <c r="E32" s="100">
        <f>SUM(E25:E31)</f>
        <v>0</v>
      </c>
      <c r="F32" s="101">
        <f>SUM(F24:F31)</f>
        <v>41</v>
      </c>
      <c r="G32" s="170"/>
      <c r="H32" s="171"/>
      <c r="I32" s="168"/>
      <c r="J32" s="213">
        <f>+'8'!J32</f>
        <v>0</v>
      </c>
      <c r="K32" s="239"/>
      <c r="L32" s="241"/>
      <c r="M32" s="116">
        <f>+K32+'9'!M32+L32</f>
        <v>0</v>
      </c>
      <c r="P32" s="148">
        <f>+O32-(O32*0.23)</f>
        <v>0</v>
      </c>
      <c r="R32" s="148">
        <f t="shared" si="8"/>
        <v>0</v>
      </c>
      <c r="S32" s="148">
        <f t="shared" si="9"/>
        <v>0</v>
      </c>
      <c r="V32" s="148">
        <f>+V31*480</f>
        <v>21.73170731707317</v>
      </c>
    </row>
    <row r="33" spans="1:22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V33" s="148">
        <f>+V32</f>
        <v>21.73170731707317</v>
      </c>
    </row>
    <row r="34" spans="1:22" ht="13.5" thickBot="1">
      <c r="A34" s="758" t="s">
        <v>56</v>
      </c>
      <c r="B34" s="759"/>
      <c r="C34" s="106">
        <f>C14+C23+C32</f>
        <v>31188</v>
      </c>
      <c r="D34" s="106">
        <f>D14+D23+D32</f>
        <v>0</v>
      </c>
      <c r="E34" s="106">
        <f>E14+E23+E32</f>
        <v>0</v>
      </c>
      <c r="F34" s="107">
        <f>F14+F23+F32</f>
        <v>374</v>
      </c>
      <c r="H34" s="177"/>
      <c r="I34" s="177"/>
      <c r="J34" s="122" t="s">
        <v>27</v>
      </c>
      <c r="K34" s="123">
        <f>SUM(K7:K32)</f>
        <v>31188</v>
      </c>
      <c r="L34" s="211">
        <f>SUM(L7:L32)</f>
        <v>0</v>
      </c>
      <c r="M34" s="119">
        <f>SUM(M7:M32)</f>
        <v>359852</v>
      </c>
    </row>
    <row r="35" spans="1:22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563670</v>
      </c>
      <c r="S35" s="175">
        <f>SUM(S27:S32)</f>
        <v>428389.2</v>
      </c>
    </row>
    <row r="36" spans="1:22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1174.3125</v>
      </c>
      <c r="S36" s="175">
        <f>+S35/Q35</f>
        <v>892.47750000000008</v>
      </c>
    </row>
    <row r="37" spans="1:22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(12*339+1020*13.5)/1359*G42*2.74*1359/1000000</f>
        <v>39.793620593483446</v>
      </c>
      <c r="J37" s="333">
        <f>+I37+'9'!J37</f>
        <v>424.43744717108427</v>
      </c>
      <c r="K37" s="125" t="s">
        <v>62</v>
      </c>
    </row>
    <row r="38" spans="1:22" ht="17.45" customHeight="1">
      <c r="A38" s="762" t="s">
        <v>11</v>
      </c>
      <c r="B38" s="763"/>
      <c r="C38" s="163">
        <f>SUMIF($G$7:$G$31,"Process",$F$7:$F$31)</f>
        <v>64</v>
      </c>
      <c r="D38" s="117">
        <f>+C38+'9'!D38</f>
        <v>651</v>
      </c>
      <c r="E38" s="142">
        <f t="shared" ref="E38:E51" si="11">D38/60</f>
        <v>10.85</v>
      </c>
      <c r="F38" s="320">
        <v>996.99248120300751</v>
      </c>
      <c r="G38" s="320">
        <v>757.71428571428567</v>
      </c>
      <c r="H38" s="186" t="s">
        <v>63</v>
      </c>
      <c r="I38" s="243">
        <f>6.849+1.76+11.987+14.775</f>
        <v>35.371000000000002</v>
      </c>
      <c r="J38" s="334">
        <f>+I38+'9'!J38</f>
        <v>376.41699999999997</v>
      </c>
      <c r="K38" s="127" t="s">
        <v>62</v>
      </c>
      <c r="N38" s="148">
        <v>399</v>
      </c>
      <c r="P38" s="148" t="s">
        <v>440</v>
      </c>
      <c r="Q38" s="148">
        <v>1000</v>
      </c>
      <c r="R38" s="148">
        <v>760</v>
      </c>
      <c r="S38" s="148">
        <v>339</v>
      </c>
    </row>
    <row r="39" spans="1:22" ht="17.45" customHeight="1">
      <c r="A39" s="764" t="s">
        <v>12</v>
      </c>
      <c r="B39" s="765"/>
      <c r="C39" s="163">
        <f>SUMIF($G$7:$G$31,"Cleaning",$F$7:$F$31)</f>
        <v>0</v>
      </c>
      <c r="D39" s="117">
        <f>+C39+'9'!D39</f>
        <v>0</v>
      </c>
      <c r="E39" s="142">
        <f t="shared" si="11"/>
        <v>0</v>
      </c>
      <c r="F39" s="320">
        <v>1030</v>
      </c>
      <c r="G39" s="320">
        <v>782.8</v>
      </c>
      <c r="H39" s="186" t="s">
        <v>64</v>
      </c>
      <c r="I39" s="141"/>
      <c r="J39" s="335">
        <f>J37/G4</f>
        <v>42.44374471710843</v>
      </c>
      <c r="K39" s="129" t="s">
        <v>62</v>
      </c>
      <c r="N39" s="148">
        <v>480</v>
      </c>
      <c r="P39" s="148" t="s">
        <v>459</v>
      </c>
      <c r="Q39" s="148">
        <v>1094.9705882352941</v>
      </c>
      <c r="R39" s="148">
        <v>832.17764705882348</v>
      </c>
      <c r="S39" s="148">
        <v>1020</v>
      </c>
    </row>
    <row r="40" spans="1:22" ht="17.45" customHeight="1">
      <c r="A40" s="764" t="s">
        <v>65</v>
      </c>
      <c r="B40" s="765"/>
      <c r="C40" s="163">
        <f>SUMIF($G$7:$G$31,"Mechanical",$F$7:$F$31)</f>
        <v>0</v>
      </c>
      <c r="D40" s="117">
        <f>+C40+'9'!D40</f>
        <v>0</v>
      </c>
      <c r="E40" s="142">
        <f t="shared" si="11"/>
        <v>0</v>
      </c>
      <c r="F40" s="320">
        <v>1174.3125</v>
      </c>
      <c r="G40" s="320">
        <v>892.47750000000008</v>
      </c>
      <c r="H40" s="186" t="s">
        <v>66</v>
      </c>
      <c r="I40" s="117">
        <f>+(K34+L34)/1000</f>
        <v>31.187999999999999</v>
      </c>
      <c r="J40" s="336">
        <f>+I40+'9'!J40</f>
        <v>359.85199999999992</v>
      </c>
      <c r="K40" s="129" t="s">
        <v>62</v>
      </c>
      <c r="N40" s="148">
        <v>480</v>
      </c>
      <c r="S40" s="148">
        <f>+S38+S39</f>
        <v>1359</v>
      </c>
    </row>
    <row r="41" spans="1:22" ht="17.45" customHeight="1">
      <c r="A41" s="764" t="s">
        <v>67</v>
      </c>
      <c r="B41" s="765"/>
      <c r="C41" s="163">
        <f>SUMIF($G$7:$G$23,"Electrical",$F$7:$F$23)</f>
        <v>0</v>
      </c>
      <c r="D41" s="117">
        <f>+C41+'9'!D41</f>
        <v>0</v>
      </c>
      <c r="E41" s="142">
        <f t="shared" si="11"/>
        <v>0</v>
      </c>
      <c r="F41" s="320"/>
      <c r="G41" s="320"/>
      <c r="H41" s="186" t="s">
        <v>68</v>
      </c>
      <c r="I41" s="141"/>
      <c r="J41" s="335">
        <f>J40/G4</f>
        <v>35.985199999999992</v>
      </c>
      <c r="K41" s="129" t="s">
        <v>62</v>
      </c>
      <c r="N41" s="148">
        <f>+N38+N39+N40</f>
        <v>1359</v>
      </c>
    </row>
    <row r="42" spans="1:22" ht="17.45" customHeight="1">
      <c r="A42" s="764" t="s">
        <v>15</v>
      </c>
      <c r="B42" s="765"/>
      <c r="C42" s="163">
        <f>SUMIF($G$7:$G$23,"Instrument",$F$7:$F$23)</f>
        <v>0</v>
      </c>
      <c r="D42" s="117">
        <f>+C42+'9'!D42</f>
        <v>0</v>
      </c>
      <c r="E42" s="142">
        <f t="shared" si="11"/>
        <v>0</v>
      </c>
      <c r="F42" s="320">
        <f>+(399*F38+480*F39+480*F40)/1359</f>
        <v>1071.2803532008829</v>
      </c>
      <c r="G42" s="320">
        <f>+(399*G38+480*G39+480*G40)/1359</f>
        <v>814.17306843267102</v>
      </c>
      <c r="H42" s="186" t="s">
        <v>69</v>
      </c>
      <c r="I42" s="244" t="s">
        <v>513</v>
      </c>
      <c r="J42" s="337"/>
      <c r="K42" s="129" t="s">
        <v>70</v>
      </c>
    </row>
    <row r="43" spans="1:22" ht="17.45" customHeight="1">
      <c r="A43" s="764" t="s">
        <v>71</v>
      </c>
      <c r="B43" s="765"/>
      <c r="C43" s="163">
        <f>SUMIF($G$7:$G$23,"Water",$F$7:$F$23)</f>
        <v>0</v>
      </c>
      <c r="D43" s="117">
        <f>+C43+'9'!D43</f>
        <v>0</v>
      </c>
      <c r="E43" s="142">
        <f t="shared" si="11"/>
        <v>0</v>
      </c>
      <c r="F43" s="320"/>
      <c r="G43" s="321"/>
      <c r="H43" s="187" t="s">
        <v>72</v>
      </c>
      <c r="I43" s="117">
        <f>+Report1!Z18</f>
        <v>56.6</v>
      </c>
      <c r="J43" s="338">
        <f>+I43+'9'!J43</f>
        <v>489.69999999999993</v>
      </c>
      <c r="K43" s="129" t="s">
        <v>62</v>
      </c>
      <c r="L43" s="188"/>
    </row>
    <row r="44" spans="1:22" ht="17.45" customHeight="1">
      <c r="A44" s="764" t="s">
        <v>16</v>
      </c>
      <c r="B44" s="765"/>
      <c r="C44" s="163">
        <f>SUMIF($G$7:$G$23,"PLN",$F$7:$F$23)</f>
        <v>0</v>
      </c>
      <c r="D44" s="117">
        <f>+C44+'9'!D44</f>
        <v>0</v>
      </c>
      <c r="E44" s="142">
        <f t="shared" si="11"/>
        <v>0</v>
      </c>
      <c r="F44" s="320"/>
      <c r="G44" s="321"/>
      <c r="H44" s="187" t="s">
        <v>73</v>
      </c>
      <c r="I44" s="117">
        <f>I43/I38</f>
        <v>1.60018093918747</v>
      </c>
      <c r="J44" s="338">
        <f>J43/J38</f>
        <v>1.3009508072164646</v>
      </c>
      <c r="K44" s="129" t="s">
        <v>62</v>
      </c>
    </row>
    <row r="45" spans="1:22" ht="17.45" customHeight="1">
      <c r="A45" s="764" t="s">
        <v>17</v>
      </c>
      <c r="B45" s="765"/>
      <c r="C45" s="163">
        <f>SUMIF($G$7:$G$23,"Boiler",$F$7:$F$23)</f>
        <v>0</v>
      </c>
      <c r="D45" s="117">
        <f>+C45+'9'!D45</f>
        <v>0</v>
      </c>
      <c r="E45" s="142">
        <f t="shared" si="11"/>
        <v>0</v>
      </c>
      <c r="F45" s="320"/>
      <c r="G45" s="323"/>
      <c r="H45" s="187" t="s">
        <v>74</v>
      </c>
      <c r="I45" s="117">
        <f>I43/I40</f>
        <v>1.8148005643196101</v>
      </c>
      <c r="J45" s="338">
        <f>J43/J40</f>
        <v>1.3608372330847127</v>
      </c>
      <c r="K45" s="129" t="s">
        <v>62</v>
      </c>
    </row>
    <row r="46" spans="1:22" ht="17.45" customHeight="1">
      <c r="A46" s="764" t="s">
        <v>75</v>
      </c>
      <c r="B46" s="765"/>
      <c r="C46" s="163">
        <f>SUMIF($G$7:$G$23,"Gas",$F$7:$F$23)</f>
        <v>288</v>
      </c>
      <c r="D46" s="117">
        <f>+C46+'9'!D46</f>
        <v>935</v>
      </c>
      <c r="E46" s="142">
        <f t="shared" si="11"/>
        <v>15.583333333333334</v>
      </c>
      <c r="F46" s="320"/>
      <c r="G46" s="321"/>
      <c r="H46" s="187" t="s">
        <v>76</v>
      </c>
      <c r="I46" s="139">
        <f>+SUMIF(Listrik!P17,"&gt;0")</f>
        <v>32748.460000000363</v>
      </c>
      <c r="J46" s="338">
        <f>+I46+'9'!J46</f>
        <v>370489.19999999931</v>
      </c>
      <c r="K46" s="129" t="s">
        <v>77</v>
      </c>
    </row>
    <row r="47" spans="1:22" ht="17.45" customHeight="1">
      <c r="A47" s="764" t="s">
        <v>78</v>
      </c>
      <c r="B47" s="765"/>
      <c r="C47" s="163">
        <f>SUMIF($G$7:$G$23,"Gas",$F$7:$F$23)</f>
        <v>288</v>
      </c>
      <c r="D47" s="117">
        <f>+C47+'9'!D47</f>
        <v>935</v>
      </c>
      <c r="E47" s="142">
        <f t="shared" si="11"/>
        <v>15.583333333333334</v>
      </c>
      <c r="F47" s="320"/>
      <c r="G47" s="321"/>
      <c r="H47" s="187" t="s">
        <v>79</v>
      </c>
      <c r="I47" s="117">
        <f>I46/I38</f>
        <v>925.85620988946766</v>
      </c>
      <c r="J47" s="338">
        <f>J46/J38</f>
        <v>984.25203962626381</v>
      </c>
      <c r="K47" s="129" t="s">
        <v>23</v>
      </c>
    </row>
    <row r="48" spans="1:22" ht="17.45" customHeight="1">
      <c r="A48" s="764" t="s">
        <v>13</v>
      </c>
      <c r="B48" s="765"/>
      <c r="C48" s="163">
        <f>SUMIF($G$7:$G$23,"Start Up",$F$7:$F$23)</f>
        <v>0</v>
      </c>
      <c r="D48" s="117">
        <f>+C48+'9'!D48</f>
        <v>0</v>
      </c>
      <c r="E48" s="142">
        <f t="shared" si="11"/>
        <v>0</v>
      </c>
      <c r="F48" s="320"/>
      <c r="G48" s="321"/>
      <c r="H48" s="187" t="s">
        <v>80</v>
      </c>
      <c r="I48" s="117">
        <f>I46/I40</f>
        <v>1050.0339874310748</v>
      </c>
      <c r="J48" s="338">
        <f>J46/J40</f>
        <v>1029.5599301935224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SUMIF($G$7:$G$23,"Others",$F$7:$F$23)</f>
        <v>0</v>
      </c>
      <c r="D49" s="117">
        <f>+C49+'9'!D49</f>
        <v>0</v>
      </c>
      <c r="E49" s="142">
        <f t="shared" si="11"/>
        <v>0</v>
      </c>
      <c r="F49" s="184"/>
      <c r="H49" s="187" t="s">
        <v>269</v>
      </c>
      <c r="I49" s="117">
        <f>+Report1!T18</f>
        <v>4453.5487788123946</v>
      </c>
      <c r="J49" s="338">
        <f>+I49+'9'!J49</f>
        <v>50490.147003578873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SUMIF($G$7:$G$23,"Steam",$F$7:$F$23)</f>
        <v>0</v>
      </c>
      <c r="D50" s="117">
        <f>+C50+'9'!D50</f>
        <v>0</v>
      </c>
      <c r="E50" s="142">
        <f t="shared" si="11"/>
        <v>0</v>
      </c>
      <c r="F50" s="184"/>
      <c r="H50" s="187" t="s">
        <v>82</v>
      </c>
      <c r="I50" s="139">
        <f>I49/I38</f>
        <v>125.90960896814889</v>
      </c>
      <c r="J50" s="338">
        <f>J49/J38</f>
        <v>134.13354605020197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SUMIF($G$7:$G$23,"Planned shut",$F$7:$F$23)</f>
        <v>0</v>
      </c>
      <c r="D51" s="117">
        <f>+C51+'9'!D51</f>
        <v>0</v>
      </c>
      <c r="E51" s="142">
        <f t="shared" si="11"/>
        <v>0</v>
      </c>
      <c r="F51" s="184"/>
      <c r="H51" s="189" t="s">
        <v>84</v>
      </c>
      <c r="I51" s="140">
        <f>I49/I40</f>
        <v>142.79686991190184</v>
      </c>
      <c r="J51" s="339">
        <f>J49/J40</f>
        <v>140.30809055828198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640</v>
      </c>
      <c r="D52" s="143">
        <f>SUM(D38:D51)</f>
        <v>2521</v>
      </c>
      <c r="E52" s="144">
        <f>SUM(E38:E51)</f>
        <v>42.016666666666666</v>
      </c>
      <c r="F52" s="184"/>
      <c r="H52" s="190"/>
      <c r="I52" s="191"/>
      <c r="J52" s="340"/>
      <c r="K52" s="138"/>
    </row>
    <row r="53" spans="1:11" ht="13.5" thickBot="1">
      <c r="A53" s="768"/>
      <c r="B53" s="769"/>
      <c r="C53" s="145">
        <f>C52/(24*60)</f>
        <v>0.44444444444444442</v>
      </c>
      <c r="D53" s="145">
        <f>D52/(24*60*G4)</f>
        <v>0.17506944444444444</v>
      </c>
      <c r="E53" s="146">
        <f>E52/(G4*24)</f>
        <v>0.17506944444444444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+D34+'9'!J56</f>
        <v>2419</v>
      </c>
      <c r="K56" s="200">
        <f>J56/(J40+J56/1000)/1000</f>
        <v>6.6773216735537778E-3</v>
      </c>
    </row>
    <row r="57" spans="1:11">
      <c r="A57" s="175"/>
      <c r="I57" s="198" t="s">
        <v>87</v>
      </c>
      <c r="J57" s="199"/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  <mergeCell ref="A53:B53"/>
    <mergeCell ref="A49:B49"/>
    <mergeCell ref="A47:B47"/>
    <mergeCell ref="A48:B48"/>
    <mergeCell ref="A50:B50"/>
    <mergeCell ref="A52:B52"/>
    <mergeCell ref="A51:B51"/>
    <mergeCell ref="A46:B46"/>
    <mergeCell ref="A42:B42"/>
    <mergeCell ref="A43:B43"/>
    <mergeCell ref="A44:B44"/>
    <mergeCell ref="A45:B45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view="pageBreakPreview" topLeftCell="B5" zoomScale="80" zoomScaleNormal="75" zoomScaleSheetLayoutView="80" workbookViewId="0">
      <selection activeCell="F20" activeCellId="1" sqref="F12 F20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5703125" style="148" bestFit="1" customWidth="1"/>
    <col min="12" max="12" width="10.5703125" style="148" bestFit="1" customWidth="1"/>
    <col min="13" max="13" width="12.140625" style="148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9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1230</v>
      </c>
      <c r="P6" s="148">
        <f>+O6-(O6*0.24)</f>
        <v>934.8</v>
      </c>
      <c r="Q6" s="148">
        <f>60*4+20</f>
        <v>260</v>
      </c>
      <c r="R6" s="148">
        <f t="shared" ref="R6:R11" si="0">+O6*Q6</f>
        <v>319800</v>
      </c>
      <c r="S6" s="148">
        <f t="shared" ref="S6:S11" si="1">+P6*Q6</f>
        <v>243048</v>
      </c>
    </row>
    <row r="7" spans="1:19" ht="13.5" customHeight="1" thickBot="1">
      <c r="A7" s="750" t="s">
        <v>389</v>
      </c>
      <c r="B7" s="214" t="s">
        <v>390</v>
      </c>
      <c r="C7" s="215">
        <v>9223</v>
      </c>
      <c r="D7" s="216">
        <v>270</v>
      </c>
      <c r="E7" s="217"/>
      <c r="F7" s="226">
        <v>9</v>
      </c>
      <c r="G7" s="227" t="s">
        <v>11</v>
      </c>
      <c r="H7" s="228" t="s">
        <v>428</v>
      </c>
      <c r="I7" s="753" t="s">
        <v>490</v>
      </c>
      <c r="J7" s="213" t="str">
        <f>+'8'!J7</f>
        <v>T 13 VP OW</v>
      </c>
      <c r="K7" s="236"/>
      <c r="L7" s="240"/>
      <c r="M7" s="116">
        <f>+K7+'8'!M7+L7</f>
        <v>79167</v>
      </c>
      <c r="N7" s="148" t="s">
        <v>459</v>
      </c>
      <c r="O7" s="148">
        <v>1180</v>
      </c>
      <c r="P7" s="148">
        <f t="shared" ref="P7:P8" si="2">+O7-(O7*0.24)</f>
        <v>896.8</v>
      </c>
      <c r="Q7" s="148">
        <f>480-Q6</f>
        <v>220</v>
      </c>
      <c r="R7" s="148">
        <f t="shared" si="0"/>
        <v>259600</v>
      </c>
      <c r="S7" s="148">
        <f t="shared" si="1"/>
        <v>197296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+'8'!J8</f>
        <v>F 12 VP OW</v>
      </c>
      <c r="K8" s="237">
        <f>+C7+C16</f>
        <v>9857</v>
      </c>
      <c r="L8" s="237"/>
      <c r="M8" s="116">
        <f>+K8+'8'!M8+L8</f>
        <v>172699</v>
      </c>
      <c r="P8" s="148">
        <f t="shared" si="2"/>
        <v>0</v>
      </c>
      <c r="R8" s="148">
        <f t="shared" si="0"/>
        <v>0</v>
      </c>
      <c r="S8" s="148">
        <f t="shared" si="1"/>
        <v>0</v>
      </c>
    </row>
    <row r="9" spans="1:19" ht="13.5" thickBot="1">
      <c r="A9" s="751"/>
      <c r="B9" s="214"/>
      <c r="C9" s="215"/>
      <c r="D9" s="216"/>
      <c r="E9" s="219"/>
      <c r="F9" s="226">
        <f>26-9</f>
        <v>17</v>
      </c>
      <c r="G9" s="230" t="s">
        <v>11</v>
      </c>
      <c r="H9" s="231" t="s">
        <v>386</v>
      </c>
      <c r="I9" s="754"/>
      <c r="J9" s="213" t="str">
        <f>+'8'!J9</f>
        <v>F 13,5 VP OW</v>
      </c>
      <c r="K9" s="237">
        <f>+C17+C25</f>
        <v>15454</v>
      </c>
      <c r="L9" s="237"/>
      <c r="M9" s="116">
        <f>+K9+'8'!M9+L9</f>
        <v>26120</v>
      </c>
      <c r="P9" s="148">
        <f>+O9-(O9*0.2)</f>
        <v>0</v>
      </c>
      <c r="R9" s="148">
        <f t="shared" si="0"/>
        <v>0</v>
      </c>
      <c r="S9" s="148">
        <f t="shared" si="1"/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486</v>
      </c>
      <c r="I10" s="754"/>
      <c r="J10" s="213" t="str">
        <f>+'8'!J10</f>
        <v>F 12,5 VP OW</v>
      </c>
      <c r="K10" s="237"/>
      <c r="L10" s="237"/>
      <c r="M10" s="116">
        <f>+K10+'8'!M10+L10</f>
        <v>50678</v>
      </c>
      <c r="P10" s="148">
        <f>+O10-(O10*0.23)</f>
        <v>0</v>
      </c>
      <c r="R10" s="148">
        <f t="shared" si="0"/>
        <v>0</v>
      </c>
      <c r="S10" s="148">
        <f t="shared" si="1"/>
        <v>0</v>
      </c>
    </row>
    <row r="11" spans="1:19" ht="26.25" thickBot="1">
      <c r="A11" s="751"/>
      <c r="B11" s="214"/>
      <c r="C11" s="215"/>
      <c r="D11" s="216"/>
      <c r="E11" s="218"/>
      <c r="F11" s="226"/>
      <c r="G11" s="230"/>
      <c r="H11" s="231" t="s">
        <v>488</v>
      </c>
      <c r="I11" s="754"/>
      <c r="J11" s="213">
        <f>+'8'!J11</f>
        <v>0</v>
      </c>
      <c r="K11" s="237"/>
      <c r="L11" s="237"/>
      <c r="M11" s="116">
        <f>+K11+'8'!M11+L11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1"/>
      <c r="B12" s="214"/>
      <c r="C12" s="215"/>
      <c r="D12" s="216"/>
      <c r="E12" s="218"/>
      <c r="F12" s="226">
        <v>9</v>
      </c>
      <c r="G12" s="230" t="s">
        <v>75</v>
      </c>
      <c r="H12" s="231"/>
      <c r="I12" s="754"/>
      <c r="J12" s="213">
        <f>+'8'!J12</f>
        <v>0</v>
      </c>
      <c r="K12" s="237"/>
      <c r="L12" s="237"/>
      <c r="M12" s="116">
        <f>+K12+'8'!M12+L12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+'8'!J13</f>
        <v>0</v>
      </c>
      <c r="K13" s="237"/>
      <c r="L13" s="237"/>
      <c r="M13" s="116">
        <f>+K13+'8'!M13+L13</f>
        <v>0</v>
      </c>
    </row>
    <row r="14" spans="1:19" ht="13.5" thickBot="1">
      <c r="A14" s="752"/>
      <c r="B14" s="164" t="s">
        <v>2</v>
      </c>
      <c r="C14" s="98">
        <f>SUM(C7:C13)</f>
        <v>9223</v>
      </c>
      <c r="D14" s="110">
        <f>SUM(D7:D13)</f>
        <v>270</v>
      </c>
      <c r="E14" s="111">
        <f>SUM(E5:E13)</f>
        <v>0</v>
      </c>
      <c r="F14" s="115">
        <f>SUM(F7:F13)</f>
        <v>35</v>
      </c>
      <c r="G14" s="158"/>
      <c r="H14" s="165"/>
      <c r="I14" s="166"/>
      <c r="J14" s="213">
        <f>+'8'!J14</f>
        <v>0</v>
      </c>
      <c r="K14" s="237"/>
      <c r="L14" s="237"/>
      <c r="M14" s="116">
        <f>+K14+'8'!M14+L14</f>
        <v>0</v>
      </c>
      <c r="Q14" s="175">
        <f>SUM(Q6:Q11)</f>
        <v>480</v>
      </c>
      <c r="R14" s="175">
        <f>SUM(R6:R11)</f>
        <v>579400</v>
      </c>
      <c r="S14" s="175">
        <f>SUM(S6:S11)</f>
        <v>440344</v>
      </c>
    </row>
    <row r="15" spans="1:19" ht="13.5" customHeight="1" thickBot="1">
      <c r="A15" s="750" t="s">
        <v>414</v>
      </c>
      <c r="B15" s="164"/>
      <c r="C15" s="112">
        <f>C14/($C$23+$D$23+$E$23)</f>
        <v>0.6390216864130811</v>
      </c>
      <c r="D15" s="113">
        <f>D14/($C$23+$D$23+$E$23)</f>
        <v>1.8707129494907503E-2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489</v>
      </c>
      <c r="J15" s="213">
        <f>+'8'!J15</f>
        <v>0</v>
      </c>
      <c r="K15" s="237"/>
      <c r="L15" s="237"/>
      <c r="M15" s="116">
        <f>+K15+'8'!M15+L15</f>
        <v>0</v>
      </c>
      <c r="R15" s="175">
        <f>+R14/Q14</f>
        <v>1207.0833333333333</v>
      </c>
      <c r="S15" s="175">
        <f>+S14/Q14</f>
        <v>917.38333333333333</v>
      </c>
    </row>
    <row r="16" spans="1:19" ht="13.5" thickBot="1">
      <c r="A16" s="771"/>
      <c r="B16" s="214" t="s">
        <v>390</v>
      </c>
      <c r="C16" s="220">
        <v>634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+'8'!J16</f>
        <v>0</v>
      </c>
      <c r="K16" s="237"/>
      <c r="L16" s="227"/>
      <c r="M16" s="116">
        <f>+K16+'8'!M16+L16</f>
        <v>0</v>
      </c>
    </row>
    <row r="17" spans="1:30" ht="13.5" thickBot="1">
      <c r="A17" s="771"/>
      <c r="B17" s="214" t="s">
        <v>466</v>
      </c>
      <c r="C17" s="215">
        <v>13799</v>
      </c>
      <c r="D17" s="216"/>
      <c r="E17" s="223"/>
      <c r="F17" s="226">
        <v>14</v>
      </c>
      <c r="G17" s="230" t="s">
        <v>11</v>
      </c>
      <c r="H17" s="231" t="s">
        <v>426</v>
      </c>
      <c r="I17" s="754"/>
      <c r="J17" s="213">
        <f>+'8'!J17</f>
        <v>0</v>
      </c>
      <c r="K17" s="227"/>
      <c r="L17" s="227"/>
      <c r="M17" s="116">
        <f>+K17+'8'!M17+L17</f>
        <v>0</v>
      </c>
      <c r="N17" s="148" t="s">
        <v>459</v>
      </c>
      <c r="O17" s="148">
        <v>1200</v>
      </c>
      <c r="P17" s="148">
        <f>+O17-(O17*0.24)</f>
        <v>912</v>
      </c>
      <c r="Q17" s="148">
        <v>209</v>
      </c>
      <c r="R17" s="148">
        <f t="shared" ref="R17:R22" si="3">+O17*Q17</f>
        <v>250800</v>
      </c>
      <c r="S17" s="148">
        <f t="shared" ref="S17:S22" si="4">+P17*Q17</f>
        <v>190608</v>
      </c>
      <c r="U17" s="148" t="s">
        <v>459</v>
      </c>
      <c r="V17" s="148">
        <v>1200</v>
      </c>
      <c r="W17" s="148">
        <f>+V17-(V17*0.24)</f>
        <v>912</v>
      </c>
      <c r="X17" s="148">
        <v>209</v>
      </c>
      <c r="Y17" s="148">
        <f t="shared" ref="Y17:Y22" si="5">+V17*X17</f>
        <v>250800</v>
      </c>
      <c r="Z17" s="148">
        <f t="shared" ref="Z17:Z22" si="6">+W17*X17</f>
        <v>190608</v>
      </c>
    </row>
    <row r="18" spans="1:30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484</v>
      </c>
      <c r="I18" s="754"/>
      <c r="J18" s="213">
        <f>+'8'!J18</f>
        <v>0</v>
      </c>
      <c r="K18" s="237"/>
      <c r="L18" s="237"/>
      <c r="M18" s="116">
        <f>+K18+'8'!M18+L18</f>
        <v>0</v>
      </c>
      <c r="O18" s="148">
        <v>700</v>
      </c>
      <c r="P18" s="148">
        <f>+O18-(O18*0.24)</f>
        <v>532</v>
      </c>
      <c r="Q18" s="148">
        <f>480-Q17-63</f>
        <v>208</v>
      </c>
      <c r="R18" s="148">
        <f t="shared" si="3"/>
        <v>145600</v>
      </c>
      <c r="S18" s="148">
        <f t="shared" si="4"/>
        <v>110656</v>
      </c>
      <c r="V18" s="148">
        <v>700</v>
      </c>
      <c r="W18" s="148">
        <f>+V18-(V18*0.24)</f>
        <v>532</v>
      </c>
      <c r="X18" s="148">
        <f>480-X17-63</f>
        <v>208</v>
      </c>
      <c r="Y18" s="148">
        <f t="shared" si="5"/>
        <v>145600</v>
      </c>
      <c r="Z18" s="148">
        <f t="shared" si="6"/>
        <v>110656</v>
      </c>
    </row>
    <row r="19" spans="1:30" ht="96.75" customHeight="1" thickBot="1">
      <c r="A19" s="771"/>
      <c r="B19" s="214"/>
      <c r="C19" s="215"/>
      <c r="D19" s="216"/>
      <c r="E19" s="223"/>
      <c r="F19" s="226">
        <v>63</v>
      </c>
      <c r="G19" s="230" t="s">
        <v>75</v>
      </c>
      <c r="H19" s="231" t="s">
        <v>485</v>
      </c>
      <c r="I19" s="754"/>
      <c r="J19" s="213">
        <f>+'8'!J19</f>
        <v>0</v>
      </c>
      <c r="K19" s="237"/>
      <c r="L19" s="237"/>
      <c r="M19" s="116">
        <f>+K19+'8'!M19+L19</f>
        <v>0</v>
      </c>
      <c r="P19" s="148">
        <f t="shared" ref="P19" si="7">+O19-(O19*0.24)</f>
        <v>0</v>
      </c>
      <c r="R19" s="148">
        <f t="shared" si="3"/>
        <v>0</v>
      </c>
      <c r="S19" s="148">
        <f t="shared" si="4"/>
        <v>0</v>
      </c>
      <c r="U19" s="148" t="s">
        <v>459</v>
      </c>
      <c r="V19" s="148">
        <v>1180</v>
      </c>
      <c r="W19" s="148">
        <v>896.8</v>
      </c>
      <c r="X19" s="148">
        <v>220</v>
      </c>
      <c r="Y19" s="148">
        <v>259600</v>
      </c>
      <c r="Z19" s="148">
        <v>197296</v>
      </c>
    </row>
    <row r="20" spans="1:30" ht="13.5" thickBot="1">
      <c r="A20" s="771"/>
      <c r="B20" s="214"/>
      <c r="C20" s="215"/>
      <c r="D20" s="216"/>
      <c r="E20" s="223" t="s">
        <v>507</v>
      </c>
      <c r="F20" s="226">
        <v>95</v>
      </c>
      <c r="G20" s="230" t="s">
        <v>75</v>
      </c>
      <c r="H20" s="231"/>
      <c r="I20" s="754"/>
      <c r="J20" s="213">
        <f>+'8'!J20</f>
        <v>0</v>
      </c>
      <c r="K20" s="238"/>
      <c r="L20" s="238"/>
      <c r="M20" s="116">
        <f>+K20+'8'!M20+L20</f>
        <v>0</v>
      </c>
      <c r="P20" s="148">
        <f>+O20-(O20*0.2)</f>
        <v>0</v>
      </c>
      <c r="R20" s="148">
        <f t="shared" si="3"/>
        <v>0</v>
      </c>
      <c r="S20" s="148">
        <f t="shared" si="4"/>
        <v>0</v>
      </c>
      <c r="W20" s="148">
        <f>+V20-(V20*0.2)</f>
        <v>0</v>
      </c>
      <c r="Y20" s="148">
        <f t="shared" si="5"/>
        <v>0</v>
      </c>
      <c r="Z20" s="148">
        <f t="shared" si="6"/>
        <v>0</v>
      </c>
    </row>
    <row r="21" spans="1:30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+'8'!J21</f>
        <v>0</v>
      </c>
      <c r="K21" s="237"/>
      <c r="L21" s="237"/>
      <c r="M21" s="116">
        <f>+K21+'8'!M21+L21</f>
        <v>0</v>
      </c>
      <c r="P21" s="148">
        <f>+O21-(O21*0.23)</f>
        <v>0</v>
      </c>
      <c r="R21" s="148">
        <f t="shared" si="3"/>
        <v>0</v>
      </c>
      <c r="S21" s="148">
        <f t="shared" si="4"/>
        <v>0</v>
      </c>
      <c r="W21" s="148">
        <f>+V21-(V21*0.23)</f>
        <v>0</v>
      </c>
      <c r="Y21" s="148">
        <f t="shared" si="5"/>
        <v>0</v>
      </c>
      <c r="Z21" s="148">
        <f t="shared" si="6"/>
        <v>0</v>
      </c>
    </row>
    <row r="22" spans="1:30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+'8'!J22</f>
        <v>0</v>
      </c>
      <c r="K22" s="237"/>
      <c r="L22" s="237"/>
      <c r="M22" s="116">
        <f>+K22+'8'!M22+L22</f>
        <v>0</v>
      </c>
      <c r="P22" s="148">
        <f>+O22-(O22*0.23)</f>
        <v>0</v>
      </c>
      <c r="R22" s="148">
        <f t="shared" si="3"/>
        <v>0</v>
      </c>
      <c r="S22" s="148">
        <f t="shared" si="4"/>
        <v>0</v>
      </c>
      <c r="W22" s="148">
        <f>+V22-(V22*0.23)</f>
        <v>0</v>
      </c>
      <c r="Y22" s="148">
        <f t="shared" si="5"/>
        <v>0</v>
      </c>
      <c r="Z22" s="148">
        <f t="shared" si="6"/>
        <v>0</v>
      </c>
    </row>
    <row r="23" spans="1:30" ht="13.5" thickBot="1">
      <c r="A23" s="772"/>
      <c r="B23" s="167" t="s">
        <v>2</v>
      </c>
      <c r="C23" s="99">
        <f>SUM(C16:C22)</f>
        <v>14433</v>
      </c>
      <c r="D23" s="110">
        <f>SUM(D16:D22)</f>
        <v>0</v>
      </c>
      <c r="E23" s="111">
        <f>SUM(E18:E22)</f>
        <v>0</v>
      </c>
      <c r="F23" s="115">
        <f>SUM(F15:F22)</f>
        <v>178</v>
      </c>
      <c r="G23" s="158"/>
      <c r="H23" s="165"/>
      <c r="I23" s="168"/>
      <c r="J23" s="213">
        <f>+'8'!J23</f>
        <v>0</v>
      </c>
      <c r="K23" s="237"/>
      <c r="L23" s="237"/>
      <c r="M23" s="116">
        <f>+K23+'8'!M23+L23</f>
        <v>0</v>
      </c>
    </row>
    <row r="24" spans="1:30" ht="13.5" customHeight="1" thickBot="1">
      <c r="A24" s="750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491</v>
      </c>
      <c r="J24" s="213">
        <f>+'8'!J24</f>
        <v>0</v>
      </c>
      <c r="K24" s="237"/>
      <c r="L24" s="237"/>
      <c r="M24" s="116">
        <f>+K24+'8'!M24+L24</f>
        <v>0</v>
      </c>
    </row>
    <row r="25" spans="1:30" ht="13.5" thickBot="1">
      <c r="A25" s="771"/>
      <c r="B25" s="214" t="s">
        <v>466</v>
      </c>
      <c r="C25" s="224">
        <v>1655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+'8'!J25</f>
        <v>0</v>
      </c>
      <c r="K25" s="237"/>
      <c r="L25" s="237"/>
      <c r="M25" s="116">
        <f>+K25+'8'!M25+L25</f>
        <v>0</v>
      </c>
      <c r="Q25" s="175">
        <f>SUM(Q17:Q22)</f>
        <v>417</v>
      </c>
      <c r="R25" s="175">
        <f>SUM(R17:R22)</f>
        <v>396400</v>
      </c>
      <c r="S25" s="175">
        <f>SUM(S17:S22)</f>
        <v>301264</v>
      </c>
      <c r="X25" s="175">
        <f>SUM(X17:X22)</f>
        <v>637</v>
      </c>
      <c r="Y25" s="175">
        <f>SUM(Y17:Y22)</f>
        <v>656000</v>
      </c>
      <c r="Z25" s="175">
        <f>SUM(Z17:Z22)</f>
        <v>498560</v>
      </c>
    </row>
    <row r="26" spans="1:30" ht="13.5" thickBot="1">
      <c r="A26" s="771"/>
      <c r="B26" s="214"/>
      <c r="C26" s="224"/>
      <c r="D26" s="216"/>
      <c r="E26" s="225"/>
      <c r="F26" s="226"/>
      <c r="G26" s="230" t="s">
        <v>11</v>
      </c>
      <c r="H26" s="231" t="s">
        <v>493</v>
      </c>
      <c r="I26" s="754"/>
      <c r="J26" s="213">
        <f>+'8'!J26</f>
        <v>0</v>
      </c>
      <c r="K26" s="237"/>
      <c r="L26" s="237"/>
      <c r="M26" s="116">
        <f>+K26+'8'!M26+L26</f>
        <v>0</v>
      </c>
      <c r="P26" s="148" t="s">
        <v>491</v>
      </c>
      <c r="Q26" s="148">
        <f>480-Q25</f>
        <v>63</v>
      </c>
      <c r="R26" s="175">
        <f>+R25/Q25</f>
        <v>950.59952038369306</v>
      </c>
      <c r="S26" s="175">
        <f>+S25/Q25</f>
        <v>722.4556354916067</v>
      </c>
      <c r="W26" s="148">
        <f>60-57+60</f>
        <v>63</v>
      </c>
      <c r="X26" s="148">
        <f>480-X25</f>
        <v>-157</v>
      </c>
      <c r="Y26" s="175">
        <f>+Y25/X25</f>
        <v>1029.8273155416014</v>
      </c>
      <c r="Z26" s="175">
        <f>+Z25/X25</f>
        <v>782.66875981161695</v>
      </c>
    </row>
    <row r="27" spans="1:30" ht="218.25" customHeight="1" thickBot="1">
      <c r="A27" s="771"/>
      <c r="B27" s="214"/>
      <c r="C27" s="215"/>
      <c r="D27" s="216"/>
      <c r="E27" s="223"/>
      <c r="F27" s="226">
        <v>480</v>
      </c>
      <c r="G27" s="230" t="s">
        <v>75</v>
      </c>
      <c r="H27" s="231" t="s">
        <v>483</v>
      </c>
      <c r="I27" s="754"/>
      <c r="J27" s="213">
        <f>+'8'!J27</f>
        <v>0</v>
      </c>
      <c r="K27" s="237"/>
      <c r="L27" s="237"/>
      <c r="M27" s="116">
        <f>+K27+'8'!M27+L27</f>
        <v>0</v>
      </c>
      <c r="U27" s="242">
        <f>(13.5*208)/208*W27*2.74*208/1000000</f>
        <v>7.1922764160000003</v>
      </c>
      <c r="V27" s="198">
        <v>1230</v>
      </c>
      <c r="W27" s="148">
        <f>+V27-V27*0.24</f>
        <v>934.8</v>
      </c>
      <c r="Y27" s="242">
        <f>(12*225)/225*AA27*2.7*225/1000000</f>
        <v>7.5779550000000011</v>
      </c>
      <c r="Z27" s="198">
        <v>1350</v>
      </c>
      <c r="AA27" s="148">
        <f>+Z27-Z27*0.23</f>
        <v>1039.5</v>
      </c>
    </row>
    <row r="28" spans="1:30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+'8'!J28</f>
        <v>0</v>
      </c>
      <c r="K28" s="237"/>
      <c r="L28" s="237"/>
      <c r="M28" s="116">
        <f>+K28+'8'!M28+L28</f>
        <v>0</v>
      </c>
      <c r="U28" s="242">
        <f>(13.5*208)/208*W28*2.74*208/1000000</f>
        <v>4.0931654399999999</v>
      </c>
      <c r="V28" s="148">
        <v>700</v>
      </c>
      <c r="W28" s="148">
        <f>+V28-V28*0.24</f>
        <v>532</v>
      </c>
      <c r="Y28" s="242">
        <f>(12*225)/225*AA28*2.7*225/1000000</f>
        <v>6.1985525906249999</v>
      </c>
      <c r="Z28" s="148">
        <v>1300</v>
      </c>
      <c r="AA28" s="148">
        <v>850.28156250000006</v>
      </c>
    </row>
    <row r="29" spans="1:30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+'8'!J29</f>
        <v>0</v>
      </c>
      <c r="K29" s="237"/>
      <c r="L29" s="237"/>
      <c r="M29" s="116">
        <f>+K29+'8'!M29+L29</f>
        <v>0</v>
      </c>
      <c r="U29" s="571">
        <f>+U27-U28</f>
        <v>3.0991109760000004</v>
      </c>
      <c r="Y29" s="571">
        <f>+Y27-Y28</f>
        <v>1.3794024093750012</v>
      </c>
    </row>
    <row r="30" spans="1:30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+'8'!J30</f>
        <v>0</v>
      </c>
      <c r="K30" s="237"/>
      <c r="L30" s="237"/>
      <c r="M30" s="116">
        <f>+K30+'8'!M30+L30</f>
        <v>0</v>
      </c>
      <c r="N30" s="148" t="s">
        <v>440</v>
      </c>
      <c r="O30" s="148">
        <v>1230</v>
      </c>
      <c r="P30" s="148">
        <v>934.8</v>
      </c>
      <c r="Q30" s="148">
        <v>260</v>
      </c>
    </row>
    <row r="31" spans="1:30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+'8'!J31</f>
        <v>0</v>
      </c>
      <c r="K31" s="237"/>
      <c r="L31" s="237"/>
      <c r="M31" s="116">
        <f>+K31+'8'!M31+L31</f>
        <v>0</v>
      </c>
      <c r="N31" s="148" t="s">
        <v>459</v>
      </c>
      <c r="O31" s="148">
        <v>1029.8273155416014</v>
      </c>
      <c r="P31" s="148">
        <v>782.66875981161695</v>
      </c>
      <c r="Q31" s="148">
        <v>637</v>
      </c>
      <c r="U31" s="180" t="s">
        <v>91</v>
      </c>
      <c r="V31" s="420" t="s">
        <v>517</v>
      </c>
      <c r="W31" s="420" t="s">
        <v>518</v>
      </c>
      <c r="X31" s="420" t="s">
        <v>191</v>
      </c>
      <c r="Y31" s="420" t="s">
        <v>192</v>
      </c>
      <c r="Z31" s="572" t="s">
        <v>193</v>
      </c>
      <c r="AA31" s="420" t="s">
        <v>188</v>
      </c>
      <c r="AB31" s="421" t="s">
        <v>194</v>
      </c>
      <c r="AC31" s="420" t="s">
        <v>195</v>
      </c>
      <c r="AD31" s="420" t="s">
        <v>189</v>
      </c>
    </row>
    <row r="32" spans="1:30" ht="13.5" thickBot="1">
      <c r="A32" s="772"/>
      <c r="B32" s="164" t="s">
        <v>2</v>
      </c>
      <c r="C32" s="98">
        <f>SUM(C25:C31)</f>
        <v>1655</v>
      </c>
      <c r="D32" s="99">
        <f>SUM(D25:D31)</f>
        <v>0</v>
      </c>
      <c r="E32" s="100">
        <f>SUM(E25:E31)</f>
        <v>0</v>
      </c>
      <c r="F32" s="101">
        <f>SUM(F24:F31)</f>
        <v>480</v>
      </c>
      <c r="G32" s="170"/>
      <c r="H32" s="171"/>
      <c r="I32" s="168"/>
      <c r="J32" s="213">
        <f>+'8'!J32</f>
        <v>0</v>
      </c>
      <c r="K32" s="239"/>
      <c r="L32" s="241"/>
      <c r="M32" s="116">
        <f>+K32+'8'!M32+L32</f>
        <v>0</v>
      </c>
      <c r="Q32" s="148">
        <f>+Q30+Q31</f>
        <v>897</v>
      </c>
      <c r="U32" s="422">
        <v>13.5</v>
      </c>
      <c r="V32" s="198">
        <v>700</v>
      </c>
      <c r="W32" s="198">
        <v>1230</v>
      </c>
      <c r="X32" s="148">
        <v>532</v>
      </c>
      <c r="Y32" s="423">
        <f>1-(X32/V32)</f>
        <v>0.24</v>
      </c>
      <c r="Z32" s="573">
        <v>165</v>
      </c>
      <c r="AA32" s="425">
        <v>266</v>
      </c>
      <c r="AB32" s="426">
        <f>(V32*(1-Y32)*U32*AA32*Z32)/100000000</f>
        <v>3.1521797999999999</v>
      </c>
      <c r="AC32" s="427">
        <f>+J39/1000</f>
        <v>4.2738202953066753E-2</v>
      </c>
      <c r="AD32" s="428">
        <f>SUM(AC32:AC34)/SUM(AB32:AB34)</f>
        <v>6.835728389171845E-3</v>
      </c>
    </row>
    <row r="33" spans="1:30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U33" s="422"/>
      <c r="V33" s="198"/>
      <c r="W33" s="198"/>
      <c r="X33" s="198"/>
      <c r="Y33" s="423"/>
      <c r="Z33" s="424"/>
      <c r="AA33" s="425"/>
      <c r="AB33" s="426"/>
      <c r="AC33" s="427"/>
      <c r="AD33" s="429"/>
    </row>
    <row r="34" spans="1:30" ht="13.5" thickBot="1">
      <c r="A34" s="758" t="s">
        <v>56</v>
      </c>
      <c r="B34" s="759"/>
      <c r="C34" s="106">
        <f>C14+C23+C32</f>
        <v>25311</v>
      </c>
      <c r="D34" s="106">
        <f>D14+D23+D32</f>
        <v>270</v>
      </c>
      <c r="E34" s="106">
        <f>E14+E23+E32</f>
        <v>0</v>
      </c>
      <c r="F34" s="107">
        <f>F14+F23+F32</f>
        <v>693</v>
      </c>
      <c r="H34" s="177"/>
      <c r="I34" s="177"/>
      <c r="J34" s="122" t="s">
        <v>27</v>
      </c>
      <c r="K34" s="123">
        <f>SUM(K7:K32)</f>
        <v>25311</v>
      </c>
      <c r="L34" s="211">
        <f>SUM(L7:L32)</f>
        <v>0</v>
      </c>
      <c r="M34" s="119">
        <f>SUM(M7:M32)</f>
        <v>328664</v>
      </c>
      <c r="AB34" s="148">
        <v>3.1</v>
      </c>
    </row>
    <row r="35" spans="1:30" ht="13.5" thickBot="1">
      <c r="A35" s="178"/>
      <c r="B35" s="179"/>
      <c r="C35" s="103">
        <f>C34/($C$34+$D$34+$E$34)</f>
        <v>0.98944529142723114</v>
      </c>
      <c r="D35" s="103">
        <f>D34/($C$34+$D$34+$E$34)</f>
        <v>1.0554708572768853E-2</v>
      </c>
      <c r="E35" s="108">
        <f>E34/($C$34+$D$34+$E$34)</f>
        <v>0</v>
      </c>
      <c r="K35" s="154"/>
    </row>
    <row r="36" spans="1:30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30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(12*260+13.5*637)/897*G42*2.74*897/1000000</f>
        <v>26.548599085217393</v>
      </c>
      <c r="J37" s="124">
        <f>+I37+'8'!J37</f>
        <v>384.64382657760081</v>
      </c>
      <c r="K37" s="125" t="s">
        <v>62</v>
      </c>
      <c r="N37" s="148">
        <v>480</v>
      </c>
    </row>
    <row r="38" spans="1:30" ht="17.45" customHeight="1">
      <c r="A38" s="762" t="s">
        <v>11</v>
      </c>
      <c r="B38" s="763"/>
      <c r="C38" s="163">
        <f>SUMIF($G$7:$G$31,"Process",$F$7:$F$31)</f>
        <v>46</v>
      </c>
      <c r="D38" s="117">
        <f>+C38+'8'!D38</f>
        <v>587</v>
      </c>
      <c r="E38" s="142">
        <f t="shared" ref="E38:E51" si="8">D38/60</f>
        <v>9.7833333333333332</v>
      </c>
      <c r="F38" s="320">
        <v>1207.0833333333333</v>
      </c>
      <c r="G38" s="320">
        <v>917.38333333333333</v>
      </c>
      <c r="H38" s="186" t="s">
        <v>63</v>
      </c>
      <c r="I38" s="243">
        <f>7.525+5.694+12.03</f>
        <v>25.249000000000002</v>
      </c>
      <c r="J38" s="126">
        <f>+I38+'8'!J38</f>
        <v>341.04599999999999</v>
      </c>
      <c r="K38" s="127" t="s">
        <v>62</v>
      </c>
      <c r="N38" s="148">
        <v>417</v>
      </c>
    </row>
    <row r="39" spans="1:30" ht="17.45" customHeight="1">
      <c r="A39" s="764" t="s">
        <v>12</v>
      </c>
      <c r="B39" s="765"/>
      <c r="C39" s="163">
        <f>SUMIF($G$7:$G$31,"Cleaning",$F$7:$F$31)</f>
        <v>0</v>
      </c>
      <c r="D39" s="117">
        <f>+C39+'8'!D39</f>
        <v>0</v>
      </c>
      <c r="E39" s="142">
        <f t="shared" si="8"/>
        <v>0</v>
      </c>
      <c r="F39" s="320">
        <v>950.59952038369306</v>
      </c>
      <c r="G39" s="320">
        <v>722.4556354916067</v>
      </c>
      <c r="H39" s="186" t="s">
        <v>64</v>
      </c>
      <c r="I39" s="141"/>
      <c r="J39" s="128">
        <f>J37/G4</f>
        <v>42.738202953066754</v>
      </c>
      <c r="K39" s="129" t="s">
        <v>62</v>
      </c>
      <c r="N39" s="148">
        <f>+N37+N38</f>
        <v>897</v>
      </c>
    </row>
    <row r="40" spans="1:30" ht="17.45" customHeight="1">
      <c r="A40" s="764" t="s">
        <v>65</v>
      </c>
      <c r="B40" s="765"/>
      <c r="C40" s="163">
        <f>SUMIF($G$7:$G$31,"Mechanical",$F$7:$F$31)</f>
        <v>0</v>
      </c>
      <c r="D40" s="117">
        <f>+C40+'8'!D40</f>
        <v>0</v>
      </c>
      <c r="E40" s="142">
        <f t="shared" si="8"/>
        <v>0</v>
      </c>
      <c r="F40" s="320"/>
      <c r="G40" s="320"/>
      <c r="H40" s="186" t="s">
        <v>66</v>
      </c>
      <c r="I40" s="117">
        <f>(K34+L34)/1000</f>
        <v>25.311</v>
      </c>
      <c r="J40" s="130">
        <f>+I40+'8'!J40</f>
        <v>328.66399999999993</v>
      </c>
      <c r="K40" s="129" t="s">
        <v>62</v>
      </c>
    </row>
    <row r="41" spans="1:30" ht="17.45" customHeight="1">
      <c r="A41" s="764" t="s">
        <v>67</v>
      </c>
      <c r="B41" s="765"/>
      <c r="C41" s="163">
        <f>SUMIF($G$7:$G$31,"Electrical",$F$7:$F$31)</f>
        <v>0</v>
      </c>
      <c r="D41" s="117">
        <f>+C41+'8'!D41</f>
        <v>0</v>
      </c>
      <c r="E41" s="142">
        <f t="shared" si="8"/>
        <v>0</v>
      </c>
      <c r="F41" s="320"/>
      <c r="G41" s="320"/>
      <c r="H41" s="186" t="s">
        <v>68</v>
      </c>
      <c r="I41" s="141"/>
      <c r="J41" s="128">
        <f>J40/G4</f>
        <v>36.518222222222214</v>
      </c>
      <c r="K41" s="129" t="s">
        <v>62</v>
      </c>
      <c r="N41" s="148">
        <f>+(1230-O41)/1230</f>
        <v>1.8631436314363207E-2</v>
      </c>
      <c r="O41" s="148">
        <v>1207.0833333333333</v>
      </c>
      <c r="P41" s="148">
        <f>+(1230-Q41)/1230</f>
        <v>0.2271548614766723</v>
      </c>
      <c r="Q41" s="148">
        <v>950.59952038369306</v>
      </c>
    </row>
    <row r="42" spans="1:30" ht="17.45" customHeight="1">
      <c r="A42" s="764" t="s">
        <v>15</v>
      </c>
      <c r="B42" s="765"/>
      <c r="C42" s="163">
        <f>SUMIF($G$7:$G$31,"Instrument",$F$7:$F$31)</f>
        <v>0</v>
      </c>
      <c r="D42" s="117">
        <f>+C42+'8'!D42</f>
        <v>0</v>
      </c>
      <c r="E42" s="142">
        <f t="shared" si="8"/>
        <v>0</v>
      </c>
      <c r="F42" s="320">
        <f>+(480*F38+417*F39)/897</f>
        <v>1087.8483835005575</v>
      </c>
      <c r="G42" s="320">
        <f>+(480*G38+417*G39)/897</f>
        <v>826.76477146042362</v>
      </c>
      <c r="H42" s="186" t="s">
        <v>69</v>
      </c>
      <c r="I42" s="244" t="s">
        <v>492</v>
      </c>
      <c r="J42" s="131"/>
      <c r="K42" s="129" t="s">
        <v>70</v>
      </c>
      <c r="N42" s="148">
        <f>+N41*480</f>
        <v>8.9430894308943394</v>
      </c>
      <c r="P42" s="148">
        <f>+P41*417</f>
        <v>94.723577235772353</v>
      </c>
    </row>
    <row r="43" spans="1:30" ht="17.45" customHeight="1">
      <c r="A43" s="764" t="s">
        <v>71</v>
      </c>
      <c r="B43" s="765"/>
      <c r="C43" s="163">
        <f>SUMIF($G$7:$G$31,"Water",$F$7:$F$31)</f>
        <v>0</v>
      </c>
      <c r="D43" s="117">
        <f>+C43+'8'!D43</f>
        <v>0</v>
      </c>
      <c r="E43" s="142">
        <f t="shared" si="8"/>
        <v>0</v>
      </c>
      <c r="F43" s="320"/>
      <c r="G43" s="321"/>
      <c r="H43" s="187" t="s">
        <v>72</v>
      </c>
      <c r="I43" s="117">
        <f>+Report1!Z17</f>
        <v>39.9</v>
      </c>
      <c r="J43" s="132">
        <f>+I43+'8'!J43</f>
        <v>433.09999999999991</v>
      </c>
      <c r="K43" s="129" t="s">
        <v>62</v>
      </c>
      <c r="L43" s="188"/>
      <c r="N43" s="148">
        <f>+N42</f>
        <v>8.9430894308943394</v>
      </c>
      <c r="P43" s="148">
        <f>+P42</f>
        <v>94.723577235772353</v>
      </c>
    </row>
    <row r="44" spans="1:30" ht="17.45" customHeight="1">
      <c r="A44" s="764" t="s">
        <v>16</v>
      </c>
      <c r="B44" s="765"/>
      <c r="C44" s="163">
        <f>SUMIF($G$7:$G$31,"PLN",$F$7:$F$31)</f>
        <v>0</v>
      </c>
      <c r="D44" s="117">
        <f>+C44+'8'!D44</f>
        <v>0</v>
      </c>
      <c r="E44" s="142">
        <f t="shared" si="8"/>
        <v>0</v>
      </c>
      <c r="F44" s="320"/>
      <c r="G44" s="321"/>
      <c r="H44" s="187" t="s">
        <v>73</v>
      </c>
      <c r="I44" s="117">
        <f>I43/I38</f>
        <v>1.5802606043803713</v>
      </c>
      <c r="J44" s="133">
        <f>J43/J38</f>
        <v>1.2699166681327443</v>
      </c>
      <c r="K44" s="129" t="s">
        <v>62</v>
      </c>
    </row>
    <row r="45" spans="1:30" ht="17.45" customHeight="1">
      <c r="A45" s="764" t="s">
        <v>17</v>
      </c>
      <c r="B45" s="765"/>
      <c r="C45" s="163">
        <f>SUMIF($G$7:$G$31,"Boiler",$F$7:$F$31)</f>
        <v>0</v>
      </c>
      <c r="D45" s="117">
        <f>+C45+'8'!D45</f>
        <v>0</v>
      </c>
      <c r="E45" s="142">
        <f t="shared" si="8"/>
        <v>0</v>
      </c>
      <c r="F45" s="320"/>
      <c r="G45" s="323"/>
      <c r="H45" s="187" t="s">
        <v>74</v>
      </c>
      <c r="I45" s="117">
        <f>I43/I40</f>
        <v>1.5763897119829322</v>
      </c>
      <c r="J45" s="133">
        <f>J43/J40</f>
        <v>1.3177591704598008</v>
      </c>
      <c r="K45" s="129" t="s">
        <v>62</v>
      </c>
    </row>
    <row r="46" spans="1:30" ht="17.45" customHeight="1">
      <c r="A46" s="764" t="s">
        <v>75</v>
      </c>
      <c r="B46" s="765"/>
      <c r="C46" s="163">
        <f>SUMIF($G$7:$G$31,"Gas",$F$7:$F$31)</f>
        <v>647</v>
      </c>
      <c r="D46" s="117">
        <f>+C46+'8'!D46</f>
        <v>647</v>
      </c>
      <c r="E46" s="142">
        <f t="shared" si="8"/>
        <v>10.783333333333333</v>
      </c>
      <c r="F46" s="320"/>
      <c r="G46" s="321"/>
      <c r="H46" s="187" t="s">
        <v>76</v>
      </c>
      <c r="I46" s="139">
        <f>+SUMIF(Listrik!P16,"&gt;0")</f>
        <v>24652.360000000364</v>
      </c>
      <c r="J46" s="134">
        <f>+I46+'8'!J46</f>
        <v>337740.73999999894</v>
      </c>
      <c r="K46" s="129" t="s">
        <v>77</v>
      </c>
    </row>
    <row r="47" spans="1:30" ht="17.45" customHeight="1">
      <c r="A47" s="764" t="s">
        <v>78</v>
      </c>
      <c r="B47" s="765"/>
      <c r="C47" s="163">
        <f>SUMIF($G$7:$G$31,"Gas",$F$7:$F$31)</f>
        <v>647</v>
      </c>
      <c r="D47" s="117">
        <f>+C47+'8'!D47</f>
        <v>647</v>
      </c>
      <c r="E47" s="142">
        <f t="shared" si="8"/>
        <v>10.783333333333333</v>
      </c>
      <c r="F47" s="320"/>
      <c r="G47" s="321"/>
      <c r="H47" s="187" t="s">
        <v>79</v>
      </c>
      <c r="I47" s="117">
        <f>I46/I38</f>
        <v>976.369757218122</v>
      </c>
      <c r="J47" s="134">
        <f>J46/J38</f>
        <v>990.30846278800789</v>
      </c>
      <c r="K47" s="129" t="s">
        <v>23</v>
      </c>
    </row>
    <row r="48" spans="1:30" ht="17.45" customHeight="1">
      <c r="A48" s="764" t="s">
        <v>13</v>
      </c>
      <c r="B48" s="765"/>
      <c r="C48" s="163">
        <f>SUMIF($G$7:$G$31,"Start Up",$F$7:$F$31)</f>
        <v>0</v>
      </c>
      <c r="D48" s="117">
        <f>+C48+'8'!D48</f>
        <v>0</v>
      </c>
      <c r="E48" s="142">
        <f t="shared" si="8"/>
        <v>0</v>
      </c>
      <c r="F48" s="320"/>
      <c r="G48" s="321"/>
      <c r="H48" s="187" t="s">
        <v>80</v>
      </c>
      <c r="I48" s="117">
        <f>I46/I40</f>
        <v>973.97811228321143</v>
      </c>
      <c r="J48" s="134">
        <f>J46/J40</f>
        <v>1027.6170800574416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+C49+'8'!D49</f>
        <v>0</v>
      </c>
      <c r="E49" s="142">
        <f t="shared" si="8"/>
        <v>0</v>
      </c>
      <c r="F49" s="184"/>
      <c r="H49" s="187" t="s">
        <v>269</v>
      </c>
      <c r="I49" s="117">
        <f>+Report1!T17</f>
        <v>2522.5856246264193</v>
      </c>
      <c r="J49" s="134">
        <f>+I49+'8'!J49</f>
        <v>46036.59822476648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+C50+'8'!D50</f>
        <v>0</v>
      </c>
      <c r="E50" s="142">
        <f t="shared" si="8"/>
        <v>0</v>
      </c>
      <c r="F50" s="184"/>
      <c r="H50" s="187" t="s">
        <v>82</v>
      </c>
      <c r="I50" s="139">
        <f>I49/I38</f>
        <v>99.908337939182502</v>
      </c>
      <c r="J50" s="132">
        <f>J49/J38</f>
        <v>134.98647755659493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+C51+'8'!D51</f>
        <v>0</v>
      </c>
      <c r="E51" s="142">
        <f t="shared" si="8"/>
        <v>0</v>
      </c>
      <c r="F51" s="184"/>
      <c r="H51" s="189" t="s">
        <v>84</v>
      </c>
      <c r="I51" s="140">
        <f>I49/I40</f>
        <v>99.663609680629733</v>
      </c>
      <c r="J51" s="135">
        <f>J49/J40</f>
        <v>140.07192215991557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1340</v>
      </c>
      <c r="D52" s="143">
        <f>SUM(D38:D51)</f>
        <v>1881</v>
      </c>
      <c r="E52" s="144">
        <f>SUM(E38:E51)</f>
        <v>31.35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0.93055555555555558</v>
      </c>
      <c r="D53" s="145">
        <f>D52/(24*60*G4)</f>
        <v>0.1451388888888889</v>
      </c>
      <c r="E53" s="146">
        <f>E52/(G4*24)</f>
        <v>0.1451388888888889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+D34+'8'!J56</f>
        <v>2419</v>
      </c>
      <c r="K56" s="200">
        <f>J56/(J40+J56/1000)/1000</f>
        <v>7.3063250000755114E-3</v>
      </c>
    </row>
    <row r="57" spans="1:11">
      <c r="A57" s="175"/>
      <c r="I57" s="198" t="s">
        <v>87</v>
      </c>
      <c r="J57" s="199">
        <f>+E34+'8'!J57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13.7109375" style="148" bestFit="1" customWidth="1"/>
    <col min="13" max="13" width="15" style="148" bestFit="1" customWidth="1"/>
    <col min="14" max="16384" width="9.140625" style="148"/>
  </cols>
  <sheetData>
    <row r="1" spans="1:13" ht="15.75">
      <c r="A1" s="147"/>
    </row>
    <row r="2" spans="1:13" ht="15.75">
      <c r="A2" s="147" t="s">
        <v>183</v>
      </c>
    </row>
    <row r="3" spans="1:13" ht="15">
      <c r="A3" s="149"/>
    </row>
    <row r="4" spans="1:13" ht="20.25">
      <c r="A4" s="150" t="s">
        <v>3</v>
      </c>
      <c r="B4" s="151"/>
      <c r="F4" s="152" t="s">
        <v>28</v>
      </c>
      <c r="G4" s="153">
        <v>8</v>
      </c>
      <c r="H4" s="153" t="str">
        <f>+'1'!H4</f>
        <v>.01.26</v>
      </c>
      <c r="J4" s="148">
        <f>401+338+365</f>
        <v>1104</v>
      </c>
    </row>
    <row r="5" spans="1:13" ht="13.5" thickBot="1">
      <c r="C5" s="154"/>
      <c r="D5" s="154"/>
    </row>
    <row r="6" spans="1:13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</row>
    <row r="7" spans="1:13" ht="13.5" customHeight="1" thickBot="1">
      <c r="A7" s="750" t="s">
        <v>389</v>
      </c>
      <c r="B7" s="214" t="s">
        <v>390</v>
      </c>
      <c r="C7" s="215">
        <v>12602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442</v>
      </c>
      <c r="J7" s="213" t="str">
        <f>+'7'!J7</f>
        <v>T 13 VP OW</v>
      </c>
      <c r="K7" s="236"/>
      <c r="L7" s="240"/>
      <c r="M7" s="116">
        <f>+K7+'7'!M7+L7</f>
        <v>79167</v>
      </c>
    </row>
    <row r="8" spans="1:13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+'7'!J8</f>
        <v>F 12 VP OW</v>
      </c>
      <c r="K8" s="237">
        <f>+C34</f>
        <v>36515</v>
      </c>
      <c r="L8" s="237"/>
      <c r="M8" s="116">
        <f>+K8+'7'!M8+L8</f>
        <v>162842</v>
      </c>
    </row>
    <row r="9" spans="1:13" ht="13.5" thickBot="1">
      <c r="A9" s="751"/>
      <c r="B9" s="214"/>
      <c r="C9" s="215"/>
      <c r="D9" s="216"/>
      <c r="E9" s="219"/>
      <c r="F9" s="226">
        <f>25-6</f>
        <v>19</v>
      </c>
      <c r="G9" s="230" t="s">
        <v>11</v>
      </c>
      <c r="H9" s="231" t="s">
        <v>409</v>
      </c>
      <c r="I9" s="754"/>
      <c r="J9" s="213" t="str">
        <f>+'7'!J9</f>
        <v>F 13,5 VP OW</v>
      </c>
      <c r="K9" s="237"/>
      <c r="L9" s="237"/>
      <c r="M9" s="116">
        <f>+K9+'7'!M9+L9</f>
        <v>10666</v>
      </c>
    </row>
    <row r="10" spans="1:13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480</v>
      </c>
      <c r="I10" s="754"/>
      <c r="J10" s="213" t="str">
        <f>+'7'!J10</f>
        <v>F 12,5 VP OW</v>
      </c>
      <c r="K10" s="237"/>
      <c r="L10" s="237"/>
      <c r="M10" s="116">
        <f>+K10+'7'!M10+L10</f>
        <v>50678</v>
      </c>
    </row>
    <row r="11" spans="1:13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+'7'!J11</f>
        <v>0</v>
      </c>
      <c r="K11" s="237"/>
      <c r="L11" s="237"/>
      <c r="M11" s="116">
        <f>+K11+'7'!M11+L11</f>
        <v>0</v>
      </c>
    </row>
    <row r="12" spans="1:13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+'7'!J12</f>
        <v>0</v>
      </c>
      <c r="K12" s="237"/>
      <c r="L12" s="237"/>
      <c r="M12" s="116">
        <f>+K12+'7'!M12+L12</f>
        <v>0</v>
      </c>
    </row>
    <row r="13" spans="1:13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+'7'!J13</f>
        <v>0</v>
      </c>
      <c r="K13" s="237"/>
      <c r="L13" s="237"/>
      <c r="M13" s="116">
        <f>+K13+'7'!M13+L13</f>
        <v>0</v>
      </c>
    </row>
    <row r="14" spans="1:13" ht="13.5" thickBot="1">
      <c r="A14" s="752"/>
      <c r="B14" s="164" t="s">
        <v>2</v>
      </c>
      <c r="C14" s="98">
        <f>SUM(C7:C13)</f>
        <v>12602</v>
      </c>
      <c r="D14" s="110">
        <f>SUM(D7:D13)</f>
        <v>0</v>
      </c>
      <c r="E14" s="111">
        <f>SUM(E5:E13)</f>
        <v>0</v>
      </c>
      <c r="F14" s="115">
        <f>SUM(F7:F13)</f>
        <v>25</v>
      </c>
      <c r="G14" s="158"/>
      <c r="H14" s="165"/>
      <c r="I14" s="166"/>
      <c r="J14" s="213">
        <f>+'7'!J14</f>
        <v>0</v>
      </c>
      <c r="K14" s="237"/>
      <c r="L14" s="237"/>
      <c r="M14" s="116">
        <f>+K14+'7'!M14+L14</f>
        <v>0</v>
      </c>
    </row>
    <row r="15" spans="1:13" ht="13.5" customHeight="1" thickBot="1">
      <c r="A15" s="750" t="s">
        <v>414</v>
      </c>
      <c r="B15" s="164"/>
      <c r="C15" s="112">
        <f>C14/($C$23+$D$23+$E$23)</f>
        <v>1.0603281447202355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442</v>
      </c>
      <c r="J15" s="213">
        <f>+'7'!J15</f>
        <v>0</v>
      </c>
      <c r="K15" s="237"/>
      <c r="L15" s="237"/>
      <c r="M15" s="116">
        <f>+K15+'7'!M15+L15</f>
        <v>0</v>
      </c>
    </row>
    <row r="16" spans="1:13" ht="13.5" thickBot="1">
      <c r="A16" s="771"/>
      <c r="B16" s="214" t="s">
        <v>390</v>
      </c>
      <c r="C16" s="220">
        <v>11885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+'7'!J16</f>
        <v>0</v>
      </c>
      <c r="K16" s="227"/>
      <c r="L16" s="227"/>
      <c r="M16" s="116">
        <f>+K16+'7'!M16+L16</f>
        <v>0</v>
      </c>
    </row>
    <row r="17" spans="1:18" ht="13.5" thickBot="1">
      <c r="A17" s="771"/>
      <c r="B17" s="214"/>
      <c r="C17" s="215"/>
      <c r="D17" s="216"/>
      <c r="E17" s="223"/>
      <c r="F17" s="226">
        <f>32-9</f>
        <v>23</v>
      </c>
      <c r="G17" s="230" t="s">
        <v>11</v>
      </c>
      <c r="H17" s="231" t="s">
        <v>388</v>
      </c>
      <c r="I17" s="754"/>
      <c r="J17" s="213">
        <f>+'7'!J17</f>
        <v>0</v>
      </c>
      <c r="K17" s="227"/>
      <c r="L17" s="227"/>
      <c r="M17" s="116">
        <f>+K17+'7'!M17+L17</f>
        <v>0</v>
      </c>
    </row>
    <row r="18" spans="1:18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478</v>
      </c>
      <c r="I18" s="754"/>
      <c r="J18" s="213">
        <f>+'7'!J18</f>
        <v>0</v>
      </c>
      <c r="K18" s="237"/>
      <c r="L18" s="237"/>
      <c r="M18" s="116">
        <f>+K18+'7'!M18+L18</f>
        <v>0</v>
      </c>
      <c r="P18" s="175"/>
      <c r="Q18" s="175"/>
      <c r="R18" s="175"/>
    </row>
    <row r="19" spans="1:18" ht="13.5" thickBot="1">
      <c r="A19" s="771"/>
      <c r="B19" s="214"/>
      <c r="C19" s="215"/>
      <c r="D19" s="216"/>
      <c r="E19" s="223"/>
      <c r="F19" s="233"/>
      <c r="G19" s="230"/>
      <c r="H19" s="231" t="s">
        <v>479</v>
      </c>
      <c r="I19" s="754"/>
      <c r="J19" s="213">
        <f>+'7'!J19</f>
        <v>0</v>
      </c>
      <c r="K19" s="237"/>
      <c r="L19" s="237"/>
      <c r="M19" s="116">
        <f>+K19+'7'!M19+L19</f>
        <v>0</v>
      </c>
      <c r="Q19" s="175"/>
      <c r="R19" s="175"/>
    </row>
    <row r="20" spans="1:18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+'7'!J20</f>
        <v>0</v>
      </c>
      <c r="K20" s="238"/>
      <c r="L20" s="238"/>
      <c r="M20" s="116">
        <f>+K20+'7'!M20+L20</f>
        <v>0</v>
      </c>
    </row>
    <row r="21" spans="1:18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+'7'!J21</f>
        <v>0</v>
      </c>
      <c r="K21" s="237"/>
      <c r="L21" s="237"/>
      <c r="M21" s="116">
        <f>+K21+'7'!M21+L21</f>
        <v>0</v>
      </c>
    </row>
    <row r="22" spans="1:18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+'7'!J22</f>
        <v>0</v>
      </c>
      <c r="K22" s="237"/>
      <c r="L22" s="237"/>
      <c r="M22" s="116">
        <f>+K22+'7'!M22+L22</f>
        <v>0</v>
      </c>
    </row>
    <row r="23" spans="1:18" ht="13.5" thickBot="1">
      <c r="A23" s="772"/>
      <c r="B23" s="167" t="s">
        <v>2</v>
      </c>
      <c r="C23" s="99">
        <f>SUM(C16:C22)</f>
        <v>11885</v>
      </c>
      <c r="D23" s="110">
        <f>SUM(D16:D22)</f>
        <v>0</v>
      </c>
      <c r="E23" s="111">
        <f>SUM(E18:E22)</f>
        <v>0</v>
      </c>
      <c r="F23" s="115">
        <f>SUM(F15:F22)</f>
        <v>32</v>
      </c>
      <c r="G23" s="158"/>
      <c r="H23" s="165"/>
      <c r="I23" s="168"/>
      <c r="J23" s="213">
        <f>+'7'!J23</f>
        <v>0</v>
      </c>
      <c r="K23" s="237"/>
      <c r="L23" s="237"/>
      <c r="M23" s="116">
        <f>+K23+'7'!M23+L23</f>
        <v>0</v>
      </c>
    </row>
    <row r="24" spans="1:18" ht="13.5" customHeight="1" thickBot="1">
      <c r="A24" s="750" t="s">
        <v>391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442</v>
      </c>
      <c r="J24" s="213">
        <f>+'7'!J24</f>
        <v>0</v>
      </c>
      <c r="K24" s="237"/>
      <c r="L24" s="237"/>
      <c r="M24" s="116">
        <f>+K24+'7'!M24+L24</f>
        <v>0</v>
      </c>
    </row>
    <row r="25" spans="1:18" ht="13.5" thickBot="1">
      <c r="A25" s="771"/>
      <c r="B25" s="214" t="s">
        <v>390</v>
      </c>
      <c r="C25" s="224">
        <v>12028</v>
      </c>
      <c r="D25" s="216"/>
      <c r="E25" s="223"/>
      <c r="F25" s="229">
        <v>8</v>
      </c>
      <c r="G25" s="230" t="s">
        <v>11</v>
      </c>
      <c r="H25" s="228" t="s">
        <v>407</v>
      </c>
      <c r="I25" s="754"/>
      <c r="J25" s="213">
        <f>+'7'!J25</f>
        <v>0</v>
      </c>
      <c r="K25" s="237"/>
      <c r="L25" s="237"/>
      <c r="M25" s="116">
        <f>+K25+'7'!M25+L25</f>
        <v>0</v>
      </c>
    </row>
    <row r="26" spans="1:18" ht="13.5" thickBot="1">
      <c r="A26" s="771"/>
      <c r="B26" s="214"/>
      <c r="C26" s="224"/>
      <c r="D26" s="216"/>
      <c r="E26" s="225"/>
      <c r="F26" s="226">
        <v>10</v>
      </c>
      <c r="G26" s="230" t="s">
        <v>11</v>
      </c>
      <c r="H26" s="231" t="s">
        <v>409</v>
      </c>
      <c r="I26" s="754"/>
      <c r="J26" s="213">
        <f>+'7'!J26</f>
        <v>0</v>
      </c>
      <c r="K26" s="237"/>
      <c r="L26" s="237"/>
      <c r="M26" s="116">
        <f>+K26+'7'!M26+L26</f>
        <v>0</v>
      </c>
    </row>
    <row r="27" spans="1:18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477</v>
      </c>
      <c r="I27" s="754"/>
      <c r="J27" s="213">
        <f>+'7'!J27</f>
        <v>0</v>
      </c>
      <c r="K27" s="237"/>
      <c r="L27" s="237"/>
      <c r="M27" s="116">
        <f>+K27+'7'!M27+L27</f>
        <v>0</v>
      </c>
    </row>
    <row r="28" spans="1:18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+'7'!J28</f>
        <v>0</v>
      </c>
      <c r="K28" s="237"/>
      <c r="L28" s="237"/>
      <c r="M28" s="116">
        <f>+K28+'7'!M28+L28</f>
        <v>0</v>
      </c>
      <c r="P28" s="175"/>
      <c r="Q28" s="175"/>
      <c r="R28" s="175"/>
    </row>
    <row r="29" spans="1:18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+'7'!J29</f>
        <v>0</v>
      </c>
      <c r="K29" s="237"/>
      <c r="L29" s="237"/>
      <c r="M29" s="116">
        <f>+K29+'7'!M29+L29</f>
        <v>0</v>
      </c>
      <c r="Q29" s="175"/>
      <c r="R29" s="175"/>
    </row>
    <row r="30" spans="1:18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+'7'!J30</f>
        <v>0</v>
      </c>
      <c r="K30" s="237"/>
      <c r="L30" s="237"/>
      <c r="M30" s="116">
        <f>+K30+'7'!M30+L30</f>
        <v>0</v>
      </c>
    </row>
    <row r="31" spans="1:18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+'7'!J31</f>
        <v>0</v>
      </c>
      <c r="K31" s="237"/>
      <c r="L31" s="237"/>
      <c r="M31" s="116">
        <f>+K31+'7'!M31+L31</f>
        <v>0</v>
      </c>
    </row>
    <row r="32" spans="1:18" ht="13.5" thickBot="1">
      <c r="A32" s="772"/>
      <c r="B32" s="164" t="s">
        <v>2</v>
      </c>
      <c r="C32" s="98">
        <f>SUM(C25:C31)</f>
        <v>12028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+'7'!J32</f>
        <v>0</v>
      </c>
      <c r="K32" s="239"/>
      <c r="L32" s="241"/>
      <c r="M32" s="116">
        <f>+K32+'7'!M32+L32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36515</v>
      </c>
      <c r="D34" s="106">
        <f>D14+D23+D32</f>
        <v>0</v>
      </c>
      <c r="E34" s="106">
        <f>E14+E23+E32</f>
        <v>0</v>
      </c>
      <c r="F34" s="107">
        <f>F14+F23+F32</f>
        <v>75</v>
      </c>
      <c r="H34" s="177"/>
      <c r="I34" s="177"/>
      <c r="J34" s="122" t="s">
        <v>27</v>
      </c>
      <c r="K34" s="123">
        <f>SUM(K7:K32)</f>
        <v>36515</v>
      </c>
      <c r="L34" s="211">
        <f>SUM(L7:L32)</f>
        <v>0</v>
      </c>
      <c r="M34" s="119">
        <f>SUM(M7:M32)</f>
        <v>303353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(12*1440)/1440*G42*2.74*1440/1000000</f>
        <v>44.260162559999998</v>
      </c>
      <c r="J37" s="124">
        <f>+I37+'7'!J37</f>
        <v>358.0952274923834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75</v>
      </c>
      <c r="D38" s="117">
        <f>+C38+'7'!D38</f>
        <v>541</v>
      </c>
      <c r="E38" s="142">
        <f t="shared" ref="E38:E51" si="0">D38/60</f>
        <v>9.0166666666666675</v>
      </c>
      <c r="F38" s="320">
        <v>1230</v>
      </c>
      <c r="G38" s="320">
        <v>934.8</v>
      </c>
      <c r="H38" s="186" t="s">
        <v>63</v>
      </c>
      <c r="I38" s="243">
        <f>12.562+11.465+13.293</f>
        <v>37.32</v>
      </c>
      <c r="J38" s="126">
        <f>+I38+'7'!J38</f>
        <v>315.79699999999997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+C39+'7'!D39</f>
        <v>0</v>
      </c>
      <c r="E39" s="142">
        <f t="shared" si="0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44.761903436547925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+C40+'7'!D40</f>
        <v>0</v>
      </c>
      <c r="E40" s="142">
        <f t="shared" si="0"/>
        <v>0</v>
      </c>
      <c r="F40" s="320">
        <v>1230</v>
      </c>
      <c r="G40" s="320">
        <v>934.8</v>
      </c>
      <c r="H40" s="186" t="s">
        <v>66</v>
      </c>
      <c r="I40" s="117">
        <f>(K34+L34)/1000</f>
        <v>36.515000000000001</v>
      </c>
      <c r="J40" s="130">
        <f>+I40+'7'!J40</f>
        <v>303.35299999999995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+C41+'7'!D41</f>
        <v>0</v>
      </c>
      <c r="E41" s="142">
        <f t="shared" si="0"/>
        <v>0</v>
      </c>
      <c r="F41" s="320"/>
      <c r="G41" s="320"/>
      <c r="H41" s="186" t="s">
        <v>68</v>
      </c>
      <c r="I41" s="141"/>
      <c r="J41" s="128">
        <f>J40/G4</f>
        <v>37.919124999999994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+C42+'7'!D42</f>
        <v>0</v>
      </c>
      <c r="E42" s="142">
        <f t="shared" si="0"/>
        <v>0</v>
      </c>
      <c r="F42" s="320">
        <f>+(480*F38+480*F39+480*F40)/1440</f>
        <v>1230</v>
      </c>
      <c r="G42" s="320">
        <f>+(480*G38+480*G39+480*G40)/1440</f>
        <v>934.8</v>
      </c>
      <c r="H42" s="186" t="s">
        <v>69</v>
      </c>
      <c r="I42" s="244"/>
      <c r="J42" s="131"/>
      <c r="K42" s="129" t="s">
        <v>70</v>
      </c>
    </row>
    <row r="43" spans="1:13" ht="17.45" customHeight="1">
      <c r="A43" s="764" t="s">
        <v>221</v>
      </c>
      <c r="B43" s="765"/>
      <c r="C43" s="163">
        <f>SUMIF($G$7:$G$31,"Change Grade",$F$7:$F$31)</f>
        <v>0</v>
      </c>
      <c r="D43" s="117">
        <f>+C43+'7'!D43</f>
        <v>0</v>
      </c>
      <c r="E43" s="142">
        <f t="shared" si="0"/>
        <v>0</v>
      </c>
      <c r="F43" s="320"/>
      <c r="G43" s="321"/>
      <c r="H43" s="187" t="s">
        <v>72</v>
      </c>
      <c r="I43" s="117">
        <f>+Report1!Z16</f>
        <v>47.4</v>
      </c>
      <c r="J43" s="132">
        <f>+I43+'7'!J43</f>
        <v>393.19999999999993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+C44+'7'!D44</f>
        <v>0</v>
      </c>
      <c r="E44" s="142">
        <f t="shared" si="0"/>
        <v>0</v>
      </c>
      <c r="F44" s="320"/>
      <c r="G44" s="321"/>
      <c r="H44" s="187" t="s">
        <v>73</v>
      </c>
      <c r="I44" s="117">
        <f>I43/I38</f>
        <v>1.270096463022508</v>
      </c>
      <c r="J44" s="133">
        <f>J43/J38</f>
        <v>1.245103658362809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+C45+'7'!D45</f>
        <v>0</v>
      </c>
      <c r="E45" s="142">
        <f t="shared" si="0"/>
        <v>0</v>
      </c>
      <c r="F45" s="320"/>
      <c r="G45" s="323"/>
      <c r="H45" s="187" t="s">
        <v>74</v>
      </c>
      <c r="I45" s="117">
        <f>I43/I40</f>
        <v>1.2980966726003011</v>
      </c>
      <c r="J45" s="133">
        <f>J43/J40</f>
        <v>1.296179698239345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+C46+'7'!D46</f>
        <v>0</v>
      </c>
      <c r="E46" s="142">
        <f t="shared" si="0"/>
        <v>0</v>
      </c>
      <c r="F46" s="320"/>
      <c r="G46" s="321"/>
      <c r="H46" s="187" t="s">
        <v>76</v>
      </c>
      <c r="I46" s="139">
        <f>+SUMIF(Listrik!P15,"&gt;0")</f>
        <v>37269.14</v>
      </c>
      <c r="J46" s="134">
        <f>+I46+'7'!J46</f>
        <v>313088.37999999861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+C47+'7'!D47</f>
        <v>0</v>
      </c>
      <c r="E47" s="142">
        <f t="shared" si="0"/>
        <v>0</v>
      </c>
      <c r="F47" s="320"/>
      <c r="G47" s="321"/>
      <c r="H47" s="187" t="s">
        <v>79</v>
      </c>
      <c r="I47" s="117">
        <f>I46/I38</f>
        <v>998.63719185423361</v>
      </c>
      <c r="J47" s="134">
        <f>J46/J38</f>
        <v>991.42290775402751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+C48+'7'!D48</f>
        <v>0</v>
      </c>
      <c r="E48" s="142">
        <f t="shared" si="0"/>
        <v>0</v>
      </c>
      <c r="F48" s="320"/>
      <c r="G48" s="321"/>
      <c r="H48" s="187" t="s">
        <v>80</v>
      </c>
      <c r="I48" s="117">
        <f>I46/I40</f>
        <v>1020.6528823771052</v>
      </c>
      <c r="J48" s="134">
        <f>J46/J40</f>
        <v>1032.0925786130306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+C49+'7'!D49</f>
        <v>0</v>
      </c>
      <c r="E49" s="142">
        <f t="shared" si="0"/>
        <v>0</v>
      </c>
      <c r="F49" s="184"/>
      <c r="H49" s="187" t="s">
        <v>269</v>
      </c>
      <c r="I49" s="117">
        <f>+Report1!T16</f>
        <v>5709.9831291888149</v>
      </c>
      <c r="J49" s="134">
        <f>+I49+'7'!J49</f>
        <v>43514.012600140064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+C50+'7'!D50</f>
        <v>0</v>
      </c>
      <c r="E50" s="142">
        <f t="shared" si="0"/>
        <v>0</v>
      </c>
      <c r="F50" s="184"/>
      <c r="H50" s="187" t="s">
        <v>82</v>
      </c>
      <c r="I50" s="139">
        <f>I49/I38</f>
        <v>153.00061975318368</v>
      </c>
      <c r="J50" s="132">
        <f>J49/J38</f>
        <v>137.7910892128173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+C51+'7'!D51</f>
        <v>0</v>
      </c>
      <c r="E51" s="142">
        <f t="shared" si="0"/>
        <v>0</v>
      </c>
      <c r="F51" s="184"/>
      <c r="H51" s="189" t="s">
        <v>84</v>
      </c>
      <c r="I51" s="140">
        <f>I49/I40</f>
        <v>156.37363081442734</v>
      </c>
      <c r="J51" s="135">
        <f>J49/J40</f>
        <v>143.44348860944203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75</v>
      </c>
      <c r="D52" s="143">
        <f>SUM(D38:D51)</f>
        <v>541</v>
      </c>
      <c r="E52" s="144">
        <f>SUM(E38:E51)</f>
        <v>9.0166666666666675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5.2083333333333336E-2</v>
      </c>
      <c r="D53" s="145">
        <f>D52/(24*60*G4)</f>
        <v>4.6961805555555555E-2</v>
      </c>
      <c r="E53" s="146">
        <f>E52/(G4*24)</f>
        <v>4.6961805555555562E-2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+D34+'7'!J56</f>
        <v>2149</v>
      </c>
      <c r="K56" s="200">
        <f>J56/(J40+J56/1000)/1000</f>
        <v>7.034323834213852E-3</v>
      </c>
    </row>
    <row r="57" spans="1:11">
      <c r="A57" s="175"/>
      <c r="I57" s="198" t="s">
        <v>87</v>
      </c>
      <c r="J57" s="199">
        <f>+E34+'7'!J57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E1" zoomScale="80" zoomScaleNormal="75" zoomScaleSheetLayoutView="80" workbookViewId="0">
      <selection activeCell="I15" sqref="I15:I2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28515625" style="148" bestFit="1" customWidth="1"/>
    <col min="12" max="12" width="12" style="148" bestFit="1" customWidth="1"/>
    <col min="13" max="13" width="15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7</v>
      </c>
      <c r="H4" s="153" t="str">
        <f>+'1'!H4</f>
        <v>.01.26</v>
      </c>
      <c r="J4" s="148">
        <f>321+314+262</f>
        <v>897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" si="1">+P6*Q6</f>
        <v>448704</v>
      </c>
    </row>
    <row r="7" spans="1:19" ht="13.5" customHeight="1" thickBot="1">
      <c r="A7" s="750" t="s">
        <v>389</v>
      </c>
      <c r="B7" s="214" t="s">
        <v>390</v>
      </c>
      <c r="C7" s="215">
        <v>13207</v>
      </c>
      <c r="D7" s="216">
        <v>579</v>
      </c>
      <c r="E7" s="217"/>
      <c r="F7" s="226">
        <v>9</v>
      </c>
      <c r="G7" s="227" t="s">
        <v>11</v>
      </c>
      <c r="H7" s="228" t="s">
        <v>428</v>
      </c>
      <c r="I7" s="753" t="s">
        <v>442</v>
      </c>
      <c r="J7" s="213" t="str">
        <f>+'6'!J7</f>
        <v>T 13 VP OW</v>
      </c>
      <c r="K7" s="236"/>
      <c r="L7" s="240"/>
      <c r="M7" s="116">
        <f>+K7+'6'!M7+L7</f>
        <v>79167</v>
      </c>
      <c r="O7" s="148">
        <v>1230</v>
      </c>
      <c r="P7" s="148">
        <f t="shared" ref="P7:P8" si="2">+O7-(O7*0.24)</f>
        <v>934.8</v>
      </c>
      <c r="Q7" s="148">
        <v>480</v>
      </c>
      <c r="R7" s="148">
        <f t="shared" ref="R7:R8" si="3">+O7*Q7</f>
        <v>590400</v>
      </c>
      <c r="S7" s="148">
        <f t="shared" ref="S7:S8" si="4">+P7*Q7</f>
        <v>448704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+'6'!J8</f>
        <v>F 12 VP OW</v>
      </c>
      <c r="K8" s="237">
        <f>+C34</f>
        <v>37741</v>
      </c>
      <c r="L8" s="237"/>
      <c r="M8" s="116">
        <f>+K8+'6'!M8+L8</f>
        <v>126327</v>
      </c>
      <c r="O8" s="148">
        <v>1230</v>
      </c>
      <c r="P8" s="148">
        <f t="shared" si="2"/>
        <v>934.8</v>
      </c>
      <c r="Q8" s="148">
        <v>480</v>
      </c>
      <c r="R8" s="148">
        <f t="shared" si="3"/>
        <v>590400</v>
      </c>
      <c r="S8" s="148">
        <f t="shared" si="4"/>
        <v>448704</v>
      </c>
    </row>
    <row r="9" spans="1:19" ht="13.5" thickBot="1">
      <c r="A9" s="751"/>
      <c r="B9" s="214"/>
      <c r="C9" s="215"/>
      <c r="D9" s="216"/>
      <c r="E9" s="219"/>
      <c r="F9" s="226">
        <f>23-9</f>
        <v>14</v>
      </c>
      <c r="G9" s="230" t="s">
        <v>11</v>
      </c>
      <c r="H9" s="231" t="s">
        <v>386</v>
      </c>
      <c r="I9" s="754"/>
      <c r="J9" s="213" t="str">
        <f>+'6'!J9</f>
        <v>F 13,5 VP OW</v>
      </c>
      <c r="K9" s="237"/>
      <c r="L9" s="237"/>
      <c r="M9" s="116">
        <f>+K9+'6'!M9+L9</f>
        <v>10666</v>
      </c>
      <c r="P9" s="148">
        <f>+O9-(O9*0.2)</f>
        <v>0</v>
      </c>
      <c r="R9" s="148">
        <f t="shared" ref="R9:R11" si="5">+O9*Q9</f>
        <v>0</v>
      </c>
      <c r="S9" s="148">
        <f t="shared" ref="S9:S11" si="6">+P9*Q9</f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475</v>
      </c>
      <c r="I10" s="754"/>
      <c r="J10" s="213" t="str">
        <f>+'6'!J10</f>
        <v>F 12,5 VP OW</v>
      </c>
      <c r="K10" s="237"/>
      <c r="L10" s="237"/>
      <c r="M10" s="116">
        <f>+K10+'6'!M10+L10</f>
        <v>50678</v>
      </c>
      <c r="P10" s="148">
        <f>+O10-(O10*0.23)</f>
        <v>0</v>
      </c>
      <c r="R10" s="148">
        <f t="shared" si="5"/>
        <v>0</v>
      </c>
      <c r="S10" s="148">
        <f t="shared" si="6"/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+'6'!J11</f>
        <v>0</v>
      </c>
      <c r="K11" s="237"/>
      <c r="L11" s="237"/>
      <c r="M11" s="116">
        <f>+K11+'6'!M11+L11</f>
        <v>0</v>
      </c>
      <c r="P11" s="148">
        <f>+O11-(O11*0.23)</f>
        <v>0</v>
      </c>
      <c r="R11" s="148">
        <f t="shared" si="5"/>
        <v>0</v>
      </c>
      <c r="S11" s="148">
        <f t="shared" si="6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+'6'!J12</f>
        <v>0</v>
      </c>
      <c r="K12" s="237"/>
      <c r="L12" s="237"/>
      <c r="M12" s="116">
        <f>+K12+'6'!M12+L12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+'6'!J13</f>
        <v>0</v>
      </c>
      <c r="K13" s="237"/>
      <c r="L13" s="237"/>
      <c r="M13" s="116">
        <f>+K13+'6'!M13+L13</f>
        <v>0</v>
      </c>
    </row>
    <row r="14" spans="1:19" ht="13.5" thickBot="1">
      <c r="A14" s="752"/>
      <c r="B14" s="164" t="s">
        <v>2</v>
      </c>
      <c r="C14" s="98">
        <f>SUM(C7:C13)</f>
        <v>13207</v>
      </c>
      <c r="D14" s="110">
        <f>SUM(D7:D13)</f>
        <v>579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>
        <f>+'6'!J14</f>
        <v>0</v>
      </c>
      <c r="K14" s="237"/>
      <c r="L14" s="237"/>
      <c r="M14" s="116">
        <f>+K14+'6'!M14+L14</f>
        <v>0</v>
      </c>
      <c r="Q14" s="175">
        <f>SUM(Q6:Q11)</f>
        <v>1440</v>
      </c>
      <c r="R14" s="175">
        <f>SUM(R6:R11)</f>
        <v>1771200</v>
      </c>
      <c r="S14" s="175">
        <f>SUM(S6:S11)</f>
        <v>1346112</v>
      </c>
    </row>
    <row r="15" spans="1:19" ht="13.5" customHeight="1" thickBot="1">
      <c r="A15" s="750" t="s">
        <v>414</v>
      </c>
      <c r="B15" s="164"/>
      <c r="C15" s="112">
        <f>C14/($C$23+$D$23+$E$23)</f>
        <v>1.0000757231561412</v>
      </c>
      <c r="D15" s="113">
        <f>D14/($C$23+$D$23+$E$23)</f>
        <v>4.3843707405724672E-2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442</v>
      </c>
      <c r="J15" s="213">
        <f>+'6'!J15</f>
        <v>0</v>
      </c>
      <c r="K15" s="237"/>
      <c r="L15" s="237"/>
      <c r="M15" s="116">
        <f>+K15+'6'!M15+L15</f>
        <v>0</v>
      </c>
      <c r="R15" s="175">
        <f>+R14/Q14</f>
        <v>1230</v>
      </c>
      <c r="S15" s="175">
        <f>+S14/Q14</f>
        <v>934.8</v>
      </c>
    </row>
    <row r="16" spans="1:19" ht="13.5" thickBot="1">
      <c r="A16" s="771"/>
      <c r="B16" s="214" t="s">
        <v>390</v>
      </c>
      <c r="C16" s="220">
        <v>13206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+'6'!J16</f>
        <v>0</v>
      </c>
      <c r="K16" s="227"/>
      <c r="L16" s="227"/>
      <c r="M16" s="116">
        <f>+K16+'6'!M16+L16</f>
        <v>0</v>
      </c>
    </row>
    <row r="17" spans="1:13" ht="13.5" thickBot="1">
      <c r="A17" s="771"/>
      <c r="B17" s="214"/>
      <c r="C17" s="215"/>
      <c r="D17" s="216"/>
      <c r="E17" s="223"/>
      <c r="F17" s="226">
        <f>26-9</f>
        <v>17</v>
      </c>
      <c r="G17" s="230" t="s">
        <v>11</v>
      </c>
      <c r="H17" s="231" t="s">
        <v>409</v>
      </c>
      <c r="I17" s="754"/>
      <c r="J17" s="213">
        <f>+'6'!J17</f>
        <v>0</v>
      </c>
      <c r="K17" s="227"/>
      <c r="L17" s="227"/>
      <c r="M17" s="116">
        <f>+K17+'6'!M17+L17</f>
        <v>0</v>
      </c>
    </row>
    <row r="18" spans="1:13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435</v>
      </c>
      <c r="I18" s="754"/>
      <c r="J18" s="213">
        <f>+'6'!J18</f>
        <v>0</v>
      </c>
      <c r="K18" s="237"/>
      <c r="L18" s="237"/>
      <c r="M18" s="116">
        <f>+K18+'6'!M18+L18</f>
        <v>0</v>
      </c>
    </row>
    <row r="19" spans="1:13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+'6'!J19</f>
        <v>0</v>
      </c>
      <c r="K19" s="237"/>
      <c r="L19" s="237"/>
      <c r="M19" s="116">
        <f>+K19+'6'!M19+L19</f>
        <v>0</v>
      </c>
    </row>
    <row r="20" spans="1:1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+'6'!J20</f>
        <v>0</v>
      </c>
      <c r="K20" s="238"/>
      <c r="L20" s="238"/>
      <c r="M20" s="116">
        <f>+K20+'6'!M20+L20</f>
        <v>0</v>
      </c>
    </row>
    <row r="21" spans="1:1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+'6'!J21</f>
        <v>0</v>
      </c>
      <c r="K21" s="237"/>
      <c r="L21" s="237"/>
      <c r="M21" s="116">
        <f>+K21+'6'!M21+L21</f>
        <v>0</v>
      </c>
    </row>
    <row r="22" spans="1:1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+'6'!J22</f>
        <v>0</v>
      </c>
      <c r="K22" s="237"/>
      <c r="L22" s="237"/>
      <c r="M22" s="116">
        <f>+K22+'6'!M22+L22</f>
        <v>0</v>
      </c>
    </row>
    <row r="23" spans="1:13" ht="13.5" thickBot="1">
      <c r="A23" s="772"/>
      <c r="B23" s="167" t="s">
        <v>2</v>
      </c>
      <c r="C23" s="99">
        <f>SUM(C16:C22)</f>
        <v>13206</v>
      </c>
      <c r="D23" s="110">
        <f>SUM(D16:D22)</f>
        <v>0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+'6'!J23</f>
        <v>0</v>
      </c>
      <c r="K23" s="237"/>
      <c r="L23" s="237"/>
      <c r="M23" s="116">
        <f>+K23+'6'!M23+L23</f>
        <v>0</v>
      </c>
    </row>
    <row r="24" spans="1:13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442</v>
      </c>
      <c r="J24" s="213">
        <f>+'6'!J24</f>
        <v>0</v>
      </c>
      <c r="K24" s="237"/>
      <c r="L24" s="237"/>
      <c r="M24" s="116">
        <f>+K24+'6'!M24+L24</f>
        <v>0</v>
      </c>
    </row>
    <row r="25" spans="1:13" ht="13.5" thickBot="1">
      <c r="A25" s="771"/>
      <c r="B25" s="214" t="s">
        <v>390</v>
      </c>
      <c r="C25" s="224">
        <v>11328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+'6'!J25</f>
        <v>0</v>
      </c>
      <c r="K25" s="237"/>
      <c r="L25" s="237"/>
      <c r="M25" s="116">
        <f>+K25+'6'!M25+L25</f>
        <v>0</v>
      </c>
    </row>
    <row r="26" spans="1:13" ht="13.5" thickBot="1">
      <c r="A26" s="771"/>
      <c r="B26" s="214"/>
      <c r="C26" s="224"/>
      <c r="D26" s="216"/>
      <c r="E26" s="225"/>
      <c r="F26" s="226">
        <v>14</v>
      </c>
      <c r="G26" s="230" t="s">
        <v>11</v>
      </c>
      <c r="H26" s="231" t="s">
        <v>388</v>
      </c>
      <c r="I26" s="754"/>
      <c r="J26" s="213">
        <f>+'6'!J26</f>
        <v>0</v>
      </c>
      <c r="K26" s="237"/>
      <c r="L26" s="237"/>
      <c r="M26" s="116">
        <f>+K26+'6'!M26+L26</f>
        <v>0</v>
      </c>
    </row>
    <row r="27" spans="1:13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474</v>
      </c>
      <c r="I27" s="754"/>
      <c r="J27" s="213">
        <f>+'6'!J27</f>
        <v>0</v>
      </c>
      <c r="K27" s="237"/>
      <c r="L27" s="237"/>
      <c r="M27" s="116">
        <f>+K27+'6'!M27+L27</f>
        <v>0</v>
      </c>
    </row>
    <row r="28" spans="1:13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+'6'!J28</f>
        <v>0</v>
      </c>
      <c r="K28" s="237"/>
      <c r="L28" s="237"/>
      <c r="M28" s="116">
        <f>+K28+'6'!M28+L28</f>
        <v>0</v>
      </c>
    </row>
    <row r="29" spans="1:13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+'6'!J29</f>
        <v>0</v>
      </c>
      <c r="K29" s="237"/>
      <c r="L29" s="237"/>
      <c r="M29" s="116">
        <f>+K29+'6'!M29+L29</f>
        <v>0</v>
      </c>
    </row>
    <row r="30" spans="1:13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+'6'!J30</f>
        <v>0</v>
      </c>
      <c r="K30" s="237"/>
      <c r="L30" s="237"/>
      <c r="M30" s="116">
        <f>+K30+'6'!M30+L30</f>
        <v>0</v>
      </c>
    </row>
    <row r="31" spans="1:13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+'6'!J31</f>
        <v>0</v>
      </c>
      <c r="K31" s="237"/>
      <c r="L31" s="237"/>
      <c r="M31" s="116">
        <f>+K31+'6'!M31+L31</f>
        <v>0</v>
      </c>
    </row>
    <row r="32" spans="1:13" ht="13.5" thickBot="1">
      <c r="A32" s="772"/>
      <c r="B32" s="164" t="s">
        <v>2</v>
      </c>
      <c r="C32" s="98">
        <f>SUM(C25:C31)</f>
        <v>11328</v>
      </c>
      <c r="D32" s="99">
        <f>SUM(D25:D31)</f>
        <v>0</v>
      </c>
      <c r="E32" s="100">
        <f>SUM(E25:E31)</f>
        <v>0</v>
      </c>
      <c r="F32" s="101">
        <f>SUM(F24:F31)</f>
        <v>20</v>
      </c>
      <c r="G32" s="170"/>
      <c r="H32" s="171"/>
      <c r="I32" s="168"/>
      <c r="J32" s="213">
        <f>+'6'!J32</f>
        <v>0</v>
      </c>
      <c r="K32" s="239"/>
      <c r="L32" s="241"/>
      <c r="M32" s="116">
        <f>+K32+'6'!M32+L32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37741</v>
      </c>
      <c r="D34" s="106">
        <f>D14+D23+D32</f>
        <v>579</v>
      </c>
      <c r="E34" s="106">
        <f>E14+E23+E32</f>
        <v>0</v>
      </c>
      <c r="F34" s="107">
        <f>F14+F23+F32</f>
        <v>69</v>
      </c>
      <c r="H34" s="177"/>
      <c r="I34" s="177"/>
      <c r="J34" s="122" t="s">
        <v>27</v>
      </c>
      <c r="K34" s="123">
        <f>SUM(K7:K32)</f>
        <v>37741</v>
      </c>
      <c r="L34" s="211">
        <f>SUM(L7:L32)</f>
        <v>0</v>
      </c>
      <c r="M34" s="119">
        <f>SUM(M7:M32)</f>
        <v>266838</v>
      </c>
    </row>
    <row r="35" spans="1:13" ht="13.5" thickBot="1">
      <c r="A35" s="178"/>
      <c r="B35" s="179"/>
      <c r="C35" s="103">
        <f>C34/($C$34+$D$34+$E$34)</f>
        <v>0.98489039665970768</v>
      </c>
      <c r="D35" s="103">
        <f>D34/($C$34+$D$34+$E$34)</f>
        <v>1.5109603340292276E-2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(12*1440)/1440*G42*2.74*1440/1000000</f>
        <v>44.260162559999998</v>
      </c>
      <c r="J37" s="124">
        <f>+I37+'6'!J37</f>
        <v>313.83506493238337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69</v>
      </c>
      <c r="D38" s="117">
        <f>+C38+'6'!D38</f>
        <v>466</v>
      </c>
      <c r="E38" s="142">
        <f t="shared" ref="E38:E51" si="7">D38/60</f>
        <v>7.7666666666666666</v>
      </c>
      <c r="F38" s="320">
        <v>1230</v>
      </c>
      <c r="G38" s="320">
        <v>934.8</v>
      </c>
      <c r="H38" s="186" t="s">
        <v>63</v>
      </c>
      <c r="I38" s="243">
        <f>12.917+12.664+13.781</f>
        <v>39.362000000000002</v>
      </c>
      <c r="J38" s="126">
        <f>+I38+'6'!J38</f>
        <v>278.47699999999998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+C39+'6'!D39</f>
        <v>0</v>
      </c>
      <c r="E39" s="142">
        <f t="shared" si="7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44.833580704626193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+C40+'6'!D40</f>
        <v>0</v>
      </c>
      <c r="E40" s="142">
        <f t="shared" si="7"/>
        <v>0</v>
      </c>
      <c r="F40" s="320">
        <v>1230</v>
      </c>
      <c r="G40" s="320">
        <v>934.8</v>
      </c>
      <c r="H40" s="186" t="s">
        <v>66</v>
      </c>
      <c r="I40" s="117">
        <f>(K34+L34)/1000</f>
        <v>37.741</v>
      </c>
      <c r="J40" s="130">
        <f>+I40+'6'!J40</f>
        <v>266.83799999999997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+C41+'6'!D41</f>
        <v>0</v>
      </c>
      <c r="E41" s="142">
        <f t="shared" si="7"/>
        <v>0</v>
      </c>
      <c r="F41" s="320"/>
      <c r="G41" s="320"/>
      <c r="H41" s="186" t="s">
        <v>68</v>
      </c>
      <c r="I41" s="141"/>
      <c r="J41" s="128">
        <f>J40/G4</f>
        <v>38.119714285714281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+C42+'6'!D42</f>
        <v>0</v>
      </c>
      <c r="E42" s="142">
        <f t="shared" si="7"/>
        <v>0</v>
      </c>
      <c r="F42" s="320">
        <f>+(480*F38+480*F39+480*F40)/1440</f>
        <v>1230</v>
      </c>
      <c r="G42" s="320">
        <f>+(480*G38+480*G39+480*G40)/1440</f>
        <v>934.8</v>
      </c>
      <c r="H42" s="186" t="s">
        <v>69</v>
      </c>
      <c r="I42" s="244" t="s">
        <v>476</v>
      </c>
      <c r="J42" s="131"/>
      <c r="K42" s="129" t="s">
        <v>70</v>
      </c>
    </row>
    <row r="43" spans="1:13" ht="17.45" customHeight="1">
      <c r="A43" s="764" t="s">
        <v>71</v>
      </c>
      <c r="B43" s="765"/>
      <c r="C43" s="163">
        <f>SUMIF($G$7:$G$31,"Water",$F$7:$F$31)</f>
        <v>0</v>
      </c>
      <c r="D43" s="117">
        <f>+C43+'6'!D43</f>
        <v>0</v>
      </c>
      <c r="E43" s="142">
        <f t="shared" si="7"/>
        <v>0</v>
      </c>
      <c r="F43" s="320"/>
      <c r="G43" s="321"/>
      <c r="H43" s="187" t="s">
        <v>72</v>
      </c>
      <c r="I43" s="117">
        <f>+Report1!Z15</f>
        <v>48.7</v>
      </c>
      <c r="J43" s="132">
        <f>+I43+'6'!J43</f>
        <v>345.79999999999995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+C44+'6'!D44</f>
        <v>0</v>
      </c>
      <c r="E44" s="142">
        <f t="shared" si="7"/>
        <v>0</v>
      </c>
      <c r="F44" s="320"/>
      <c r="G44" s="321"/>
      <c r="H44" s="187" t="s">
        <v>73</v>
      </c>
      <c r="I44" s="117">
        <f>I43/I38</f>
        <v>1.2372338803922565</v>
      </c>
      <c r="J44" s="133">
        <f>J43/J38</f>
        <v>1.2417542561863277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+C45+'6'!D45</f>
        <v>0</v>
      </c>
      <c r="E45" s="142">
        <f t="shared" si="7"/>
        <v>0</v>
      </c>
      <c r="F45" s="320"/>
      <c r="G45" s="323"/>
      <c r="H45" s="187" t="s">
        <v>74</v>
      </c>
      <c r="I45" s="117">
        <f>I43/I40</f>
        <v>1.2903738639675686</v>
      </c>
      <c r="J45" s="133">
        <f>J43/J40</f>
        <v>1.2959173730877911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+C46+'6'!D46</f>
        <v>0</v>
      </c>
      <c r="E46" s="142">
        <f t="shared" si="7"/>
        <v>0</v>
      </c>
      <c r="F46" s="320"/>
      <c r="G46" s="321"/>
      <c r="H46" s="187" t="s">
        <v>76</v>
      </c>
      <c r="I46" s="139">
        <f>+SUMIF(Listrik!P14,"&gt;0")</f>
        <v>41157.440000000002</v>
      </c>
      <c r="J46" s="134">
        <f>+I46+'6'!J46</f>
        <v>275819.23999999859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+C47+'6'!D47</f>
        <v>0</v>
      </c>
      <c r="E47" s="142">
        <f t="shared" si="7"/>
        <v>0</v>
      </c>
      <c r="F47" s="320"/>
      <c r="G47" s="321"/>
      <c r="H47" s="187" t="s">
        <v>79</v>
      </c>
      <c r="I47" s="117">
        <f>I46/I38</f>
        <v>1045.6135358975662</v>
      </c>
      <c r="J47" s="134">
        <f>J46/J38</f>
        <v>990.45608793544397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+C48+'6'!D48</f>
        <v>0</v>
      </c>
      <c r="E48" s="142">
        <f t="shared" si="7"/>
        <v>0</v>
      </c>
      <c r="F48" s="320"/>
      <c r="G48" s="321"/>
      <c r="H48" s="187" t="s">
        <v>80</v>
      </c>
      <c r="I48" s="117">
        <f>I46/I40</f>
        <v>1090.5233035690628</v>
      </c>
      <c r="J48" s="134">
        <f>J46/J40</f>
        <v>1033.6580247191127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+C49+'6'!D49</f>
        <v>0</v>
      </c>
      <c r="E49" s="142">
        <f t="shared" si="7"/>
        <v>0</v>
      </c>
      <c r="F49" s="184"/>
      <c r="H49" s="187" t="s">
        <v>269</v>
      </c>
      <c r="I49" s="117">
        <f>+Report1!T15</f>
        <v>5682.3677899154472</v>
      </c>
      <c r="J49" s="134">
        <f>+I49+'6'!J49</f>
        <v>37804.029470951253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+C50+'6'!D50</f>
        <v>0</v>
      </c>
      <c r="E50" s="142">
        <f t="shared" si="7"/>
        <v>0</v>
      </c>
      <c r="F50" s="184"/>
      <c r="H50" s="187" t="s">
        <v>82</v>
      </c>
      <c r="I50" s="139">
        <f>I49/I38</f>
        <v>144.36176489800943</v>
      </c>
      <c r="J50" s="132">
        <f>J49/J38</f>
        <v>135.75278917451445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+C51+'6'!D51</f>
        <v>0</v>
      </c>
      <c r="E51" s="142">
        <f t="shared" si="7"/>
        <v>0</v>
      </c>
      <c r="F51" s="184"/>
      <c r="H51" s="189" t="s">
        <v>84</v>
      </c>
      <c r="I51" s="140">
        <f>I49/I40</f>
        <v>150.56219469318373</v>
      </c>
      <c r="J51" s="135">
        <f>J49/J40</f>
        <v>141.67408491650835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69</v>
      </c>
      <c r="D52" s="143">
        <f>SUM(D38:D51)</f>
        <v>466</v>
      </c>
      <c r="E52" s="144">
        <f>SUM(E38:E51)</f>
        <v>7.7666666666666666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4.791666666666667E-2</v>
      </c>
      <c r="D53" s="145">
        <f>D52/(24*60*G4)</f>
        <v>4.6230158730158732E-2</v>
      </c>
      <c r="E53" s="146">
        <f>E52/(G4*24)</f>
        <v>4.6230158730158732E-2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+D34+'6'!J56</f>
        <v>2149</v>
      </c>
      <c r="K56" s="200">
        <f>J56/(J40+J56/1000)/1000</f>
        <v>7.9892336804380897E-3</v>
      </c>
    </row>
    <row r="57" spans="1:11">
      <c r="A57" s="175"/>
      <c r="I57" s="198" t="s">
        <v>87</v>
      </c>
      <c r="J57" s="199">
        <f>+E34+'6'!J57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2.855468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6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460</v>
      </c>
      <c r="O6" s="148">
        <v>1230</v>
      </c>
      <c r="P6" s="148">
        <f>+O6-(O6*0.24)</f>
        <v>934.8</v>
      </c>
      <c r="Q6" s="148">
        <v>480</v>
      </c>
      <c r="R6" s="148">
        <f t="shared" ref="R6" si="0">+O6*Q6</f>
        <v>590400</v>
      </c>
      <c r="S6" s="148">
        <f t="shared" ref="S6" si="1">+P6*Q6</f>
        <v>448704</v>
      </c>
    </row>
    <row r="7" spans="1:19" ht="13.5" customHeight="1" thickBot="1">
      <c r="A7" s="750" t="s">
        <v>389</v>
      </c>
      <c r="B7" s="214" t="s">
        <v>467</v>
      </c>
      <c r="C7" s="215">
        <v>12354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442</v>
      </c>
      <c r="J7" s="213" t="str">
        <f>+'5'!J7</f>
        <v>T 13 VP OW</v>
      </c>
      <c r="K7" s="236"/>
      <c r="L7" s="240"/>
      <c r="M7" s="116">
        <f>+K7+'5'!M7+L7</f>
        <v>79167</v>
      </c>
    </row>
    <row r="8" spans="1:19" ht="13.5" thickBot="1">
      <c r="A8" s="751"/>
      <c r="B8" s="214"/>
      <c r="C8" s="215"/>
      <c r="D8" s="216"/>
      <c r="E8" s="218"/>
      <c r="F8" s="229"/>
      <c r="G8" s="230" t="s">
        <v>11</v>
      </c>
      <c r="H8" s="228" t="s">
        <v>427</v>
      </c>
      <c r="I8" s="754"/>
      <c r="J8" s="213" t="str">
        <f>+'5'!J8</f>
        <v>F 12 VP OW</v>
      </c>
      <c r="K8" s="237">
        <f>+C26</f>
        <v>11049</v>
      </c>
      <c r="L8" s="237"/>
      <c r="M8" s="116">
        <f>+K8+'5'!M8+L8</f>
        <v>88586</v>
      </c>
    </row>
    <row r="9" spans="1:19" ht="13.5" thickBot="1">
      <c r="A9" s="751"/>
      <c r="B9" s="214"/>
      <c r="C9" s="215"/>
      <c r="D9" s="216"/>
      <c r="E9" s="219"/>
      <c r="F9" s="226">
        <v>16</v>
      </c>
      <c r="G9" s="230" t="s">
        <v>11</v>
      </c>
      <c r="H9" s="231" t="s">
        <v>409</v>
      </c>
      <c r="I9" s="754"/>
      <c r="J9" s="213" t="str">
        <f>+'5'!J9</f>
        <v>F 13,5 VP OW</v>
      </c>
      <c r="K9" s="237"/>
      <c r="L9" s="237"/>
      <c r="M9" s="116">
        <f>+K9+'5'!M9+L9</f>
        <v>10666</v>
      </c>
      <c r="P9" s="148">
        <f>+O9-(O9*0.2)</f>
        <v>0</v>
      </c>
      <c r="R9" s="148">
        <f t="shared" ref="R9:R11" si="2">+O9*Q9</f>
        <v>0</v>
      </c>
      <c r="S9" s="148">
        <f t="shared" ref="S9:S11" si="3">+P9*Q9</f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471</v>
      </c>
      <c r="I10" s="754"/>
      <c r="J10" s="213" t="str">
        <f>+'5'!J10</f>
        <v>F 12,5 VP OW</v>
      </c>
      <c r="K10" s="237">
        <f>+C7+C16+C25</f>
        <v>25568</v>
      </c>
      <c r="L10" s="237"/>
      <c r="M10" s="116">
        <f>+K10+'5'!M10+L10</f>
        <v>50678</v>
      </c>
      <c r="P10" s="148">
        <f>+O10-(O10*0.23)</f>
        <v>0</v>
      </c>
      <c r="R10" s="148">
        <f t="shared" si="2"/>
        <v>0</v>
      </c>
      <c r="S10" s="148">
        <f t="shared" si="3"/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+'5'!J11</f>
        <v>0</v>
      </c>
      <c r="K11" s="237"/>
      <c r="L11" s="237"/>
      <c r="M11" s="116">
        <f>+K11+'5'!M11+L11</f>
        <v>0</v>
      </c>
      <c r="P11" s="148">
        <f>+O11-(O11*0.23)</f>
        <v>0</v>
      </c>
      <c r="R11" s="148">
        <f t="shared" si="2"/>
        <v>0</v>
      </c>
      <c r="S11" s="148">
        <f t="shared" si="3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+'5'!J12</f>
        <v>0</v>
      </c>
      <c r="K12" s="237"/>
      <c r="L12" s="237"/>
      <c r="M12" s="116">
        <f>+K12+'5'!M12+L12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+'5'!J13</f>
        <v>0</v>
      </c>
      <c r="K13" s="237"/>
      <c r="L13" s="237"/>
      <c r="M13" s="116">
        <f>+K13+'5'!M13+L13</f>
        <v>0</v>
      </c>
    </row>
    <row r="14" spans="1:19" ht="13.5" thickBot="1">
      <c r="A14" s="752"/>
      <c r="B14" s="164" t="s">
        <v>2</v>
      </c>
      <c r="C14" s="98">
        <f>SUM(C7:C13)</f>
        <v>12354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+'5'!J14</f>
        <v>0</v>
      </c>
      <c r="K14" s="237"/>
      <c r="L14" s="237"/>
      <c r="M14" s="116">
        <f>+K14+'5'!M14+L14</f>
        <v>0</v>
      </c>
      <c r="Q14" s="175">
        <f>SUM(Q6:Q11)</f>
        <v>480</v>
      </c>
      <c r="R14" s="175">
        <f>SUM(R6:R11)</f>
        <v>590400</v>
      </c>
      <c r="S14" s="175">
        <f>SUM(S6:S11)</f>
        <v>448704</v>
      </c>
    </row>
    <row r="15" spans="1:19" ht="13.5" customHeight="1" thickBot="1">
      <c r="A15" s="750" t="s">
        <v>414</v>
      </c>
      <c r="B15" s="164"/>
      <c r="C15" s="112">
        <f>C14/($C$23+$D$23+$E$23)</f>
        <v>0.99741643791377366</v>
      </c>
      <c r="D15" s="113">
        <f>D14/($C$23+$D$23+$E$23)</f>
        <v>0</v>
      </c>
      <c r="E15" s="114">
        <f>E14/($C$23+$D$23+$E$23)</f>
        <v>0</v>
      </c>
      <c r="F15" s="226">
        <v>6</v>
      </c>
      <c r="G15" s="227" t="s">
        <v>11</v>
      </c>
      <c r="H15" s="228" t="s">
        <v>428</v>
      </c>
      <c r="I15" s="753" t="s">
        <v>442</v>
      </c>
      <c r="J15" s="213">
        <f>+'5'!J15</f>
        <v>0</v>
      </c>
      <c r="K15" s="237"/>
      <c r="L15" s="237"/>
      <c r="M15" s="116">
        <f>+K15+'5'!M15+L15</f>
        <v>0</v>
      </c>
      <c r="R15" s="175">
        <f>+R14/Q14</f>
        <v>1230</v>
      </c>
      <c r="S15" s="175">
        <f>+S14/Q14</f>
        <v>934.8</v>
      </c>
    </row>
    <row r="16" spans="1:19" ht="13.5" thickBot="1">
      <c r="A16" s="771"/>
      <c r="B16" s="214" t="s">
        <v>467</v>
      </c>
      <c r="C16" s="220">
        <v>12116</v>
      </c>
      <c r="D16" s="221">
        <v>270</v>
      </c>
      <c r="E16" s="222"/>
      <c r="F16" s="229"/>
      <c r="G16" s="230" t="s">
        <v>11</v>
      </c>
      <c r="H16" s="228" t="s">
        <v>427</v>
      </c>
      <c r="I16" s="754"/>
      <c r="J16" s="213">
        <f>+'5'!J16</f>
        <v>0</v>
      </c>
      <c r="K16" s="227"/>
      <c r="L16" s="227"/>
      <c r="M16" s="116">
        <f>+K16+'5'!M16+L16</f>
        <v>0</v>
      </c>
    </row>
    <row r="17" spans="1:19" ht="13.5" thickBot="1">
      <c r="A17" s="771"/>
      <c r="B17" s="214"/>
      <c r="C17" s="215"/>
      <c r="D17" s="216"/>
      <c r="E17" s="223"/>
      <c r="F17" s="226">
        <v>20</v>
      </c>
      <c r="G17" s="230" t="s">
        <v>11</v>
      </c>
      <c r="H17" s="231" t="s">
        <v>446</v>
      </c>
      <c r="I17" s="754"/>
      <c r="J17" s="213">
        <f>+'5'!J17</f>
        <v>0</v>
      </c>
      <c r="K17" s="227"/>
      <c r="L17" s="227"/>
      <c r="M17" s="116">
        <f>+K17+'5'!M17+L17</f>
        <v>0</v>
      </c>
      <c r="N17" s="148" t="s">
        <v>460</v>
      </c>
      <c r="O17" s="148">
        <v>1230</v>
      </c>
      <c r="P17" s="148">
        <f>+O17-(O17*0.24)</f>
        <v>934.8</v>
      </c>
      <c r="Q17" s="148">
        <f>60*5+32</f>
        <v>332</v>
      </c>
      <c r="R17" s="148">
        <f t="shared" ref="R17:R18" si="4">+O17*Q17</f>
        <v>408360</v>
      </c>
      <c r="S17" s="148">
        <f t="shared" ref="S17:S18" si="5">+P17*Q17</f>
        <v>310353.59999999998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469</v>
      </c>
      <c r="I18" s="754"/>
      <c r="J18" s="213">
        <f>+'5'!J18</f>
        <v>0</v>
      </c>
      <c r="K18" s="237"/>
      <c r="L18" s="237"/>
      <c r="M18" s="116">
        <f>+K18+'5'!M18+L18</f>
        <v>0</v>
      </c>
      <c r="N18" s="148" t="s">
        <v>440</v>
      </c>
      <c r="O18" s="148">
        <v>1230</v>
      </c>
      <c r="P18" s="148">
        <f>+O18-(O18*0.24)</f>
        <v>934.8</v>
      </c>
      <c r="Q18" s="148">
        <f>480-Q17</f>
        <v>148</v>
      </c>
      <c r="R18" s="148">
        <f t="shared" si="4"/>
        <v>182040</v>
      </c>
      <c r="S18" s="148">
        <f t="shared" si="5"/>
        <v>138350.39999999999</v>
      </c>
    </row>
    <row r="19" spans="1:19" ht="39" thickBot="1">
      <c r="A19" s="771"/>
      <c r="B19" s="214"/>
      <c r="C19" s="215"/>
      <c r="D19" s="216"/>
      <c r="E19" s="223"/>
      <c r="F19" s="233"/>
      <c r="G19" s="230"/>
      <c r="H19" s="231" t="s">
        <v>470</v>
      </c>
      <c r="I19" s="754"/>
      <c r="J19" s="213">
        <f>+'5'!J19</f>
        <v>0</v>
      </c>
      <c r="K19" s="237"/>
      <c r="L19" s="237"/>
      <c r="M19" s="116">
        <f>+K19+'5'!M19+L19</f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+'5'!J20</f>
        <v>0</v>
      </c>
      <c r="K20" s="238"/>
      <c r="L20" s="238"/>
      <c r="M20" s="116">
        <f>+K20+'5'!M20+L20</f>
        <v>0</v>
      </c>
      <c r="P20" s="148">
        <f>+O20-(O20*0.2)</f>
        <v>0</v>
      </c>
      <c r="R20" s="148">
        <f t="shared" ref="R20:R22" si="6">+O20*Q20</f>
        <v>0</v>
      </c>
      <c r="S20" s="148">
        <f t="shared" ref="S20:S22" si="7">+P20*Q20</f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+'5'!J21</f>
        <v>0</v>
      </c>
      <c r="K21" s="237"/>
      <c r="L21" s="237"/>
      <c r="M21" s="116">
        <f>+K21+'5'!M21+L21</f>
        <v>0</v>
      </c>
      <c r="P21" s="148">
        <f>+O21-(O21*0.23)</f>
        <v>0</v>
      </c>
      <c r="R21" s="148">
        <f t="shared" si="6"/>
        <v>0</v>
      </c>
      <c r="S21" s="148">
        <f t="shared" si="7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+'5'!J22</f>
        <v>0</v>
      </c>
      <c r="K22" s="237"/>
      <c r="L22" s="237"/>
      <c r="M22" s="116">
        <f>+K22+'5'!M22+L22</f>
        <v>0</v>
      </c>
      <c r="P22" s="148">
        <f>+O22-(O22*0.23)</f>
        <v>0</v>
      </c>
      <c r="R22" s="148">
        <f t="shared" si="6"/>
        <v>0</v>
      </c>
      <c r="S22" s="148">
        <f t="shared" si="7"/>
        <v>0</v>
      </c>
    </row>
    <row r="23" spans="1:19" ht="13.5" thickBot="1">
      <c r="A23" s="772"/>
      <c r="B23" s="167" t="s">
        <v>2</v>
      </c>
      <c r="C23" s="99">
        <f>SUM(C16:C22)</f>
        <v>12116</v>
      </c>
      <c r="D23" s="110">
        <f>SUM(D16:D22)</f>
        <v>270</v>
      </c>
      <c r="E23" s="111">
        <f>SUM(E18:E22)</f>
        <v>0</v>
      </c>
      <c r="F23" s="115">
        <f>SUM(F15:F22)</f>
        <v>26</v>
      </c>
      <c r="G23" s="158"/>
      <c r="H23" s="165"/>
      <c r="I23" s="168"/>
      <c r="J23" s="213">
        <f>+'5'!J23</f>
        <v>0</v>
      </c>
      <c r="K23" s="237"/>
      <c r="L23" s="237"/>
      <c r="M23" s="116">
        <f>+K23+'5'!M23+L23</f>
        <v>0</v>
      </c>
    </row>
    <row r="24" spans="1:19" ht="13.5" customHeight="1" thickBot="1">
      <c r="A24" s="750" t="s">
        <v>431</v>
      </c>
      <c r="B24" s="169"/>
      <c r="C24" s="112">
        <f>C23/($C$23+$D$23+$E$23)</f>
        <v>0.97820119489746493</v>
      </c>
      <c r="D24" s="113">
        <f>D23/($C$23+$D$23+$E$23)</f>
        <v>2.179880510253512E-2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442</v>
      </c>
      <c r="J24" s="213">
        <f>+'5'!J24</f>
        <v>0</v>
      </c>
      <c r="K24" s="237"/>
      <c r="L24" s="237"/>
      <c r="M24" s="116">
        <f>+K24+'5'!M24+L24</f>
        <v>0</v>
      </c>
    </row>
    <row r="25" spans="1:19" ht="13.5" thickBot="1">
      <c r="A25" s="771"/>
      <c r="B25" s="214" t="s">
        <v>467</v>
      </c>
      <c r="C25" s="224">
        <v>1098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+'5'!J25</f>
        <v>0</v>
      </c>
      <c r="K25" s="237"/>
      <c r="L25" s="237"/>
      <c r="M25" s="116">
        <f>+K25+'5'!M25+L25</f>
        <v>0</v>
      </c>
      <c r="Q25" s="175">
        <f>SUM(Q17:Q22)</f>
        <v>480</v>
      </c>
      <c r="R25" s="175">
        <f>SUM(R17:R22)</f>
        <v>590400</v>
      </c>
      <c r="S25" s="175">
        <f>SUM(S17:S22)</f>
        <v>448704</v>
      </c>
    </row>
    <row r="26" spans="1:19" ht="13.5" thickBot="1">
      <c r="A26" s="771"/>
      <c r="B26" s="214" t="s">
        <v>390</v>
      </c>
      <c r="C26" s="224">
        <f>7746+3303</f>
        <v>11049</v>
      </c>
      <c r="D26" s="216"/>
      <c r="E26" s="225"/>
      <c r="F26" s="226">
        <f>22-6</f>
        <v>16</v>
      </c>
      <c r="G26" s="230" t="s">
        <v>11</v>
      </c>
      <c r="H26" s="231" t="s">
        <v>409</v>
      </c>
      <c r="I26" s="754"/>
      <c r="J26" s="213">
        <f>+'5'!J26</f>
        <v>0</v>
      </c>
      <c r="K26" s="237"/>
      <c r="L26" s="237"/>
      <c r="M26" s="116">
        <f>+K26+'5'!M26+L26</f>
        <v>0</v>
      </c>
      <c r="R26" s="175">
        <f>+R25/Q25</f>
        <v>1230</v>
      </c>
      <c r="S26" s="175">
        <f>+S25/Q25</f>
        <v>934.8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434</v>
      </c>
      <c r="I27" s="754"/>
      <c r="J27" s="213">
        <f>+'5'!J27</f>
        <v>0</v>
      </c>
      <c r="K27" s="237"/>
      <c r="L27" s="237"/>
      <c r="M27" s="116">
        <f>+K27+'5'!M27+L27</f>
        <v>0</v>
      </c>
      <c r="N27" s="148" t="s">
        <v>440</v>
      </c>
      <c r="O27" s="148">
        <v>1230</v>
      </c>
      <c r="P27" s="148">
        <f>+O27-(O27*0.24)</f>
        <v>934.8</v>
      </c>
      <c r="Q27" s="148">
        <v>480</v>
      </c>
      <c r="R27" s="148">
        <f t="shared" ref="R27" si="8">+O27*Q27</f>
        <v>590400</v>
      </c>
      <c r="S27" s="148">
        <f t="shared" ref="S27" si="9">+P27*Q27</f>
        <v>448704</v>
      </c>
    </row>
    <row r="28" spans="1:19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+'5'!J28</f>
        <v>0</v>
      </c>
      <c r="K28" s="237"/>
      <c r="L28" s="237"/>
      <c r="M28" s="116">
        <f>+K28+'5'!M28+L28</f>
        <v>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+'5'!J29</f>
        <v>0</v>
      </c>
      <c r="K29" s="237"/>
      <c r="L29" s="237"/>
      <c r="M29" s="116">
        <f>+K29+'5'!M29+L29</f>
        <v>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+'5'!J30</f>
        <v>0</v>
      </c>
      <c r="K30" s="237"/>
      <c r="L30" s="237"/>
      <c r="M30" s="116">
        <f>+K30+'5'!M30+L30</f>
        <v>0</v>
      </c>
      <c r="P30" s="148">
        <f>+O30-(O30*0.2)</f>
        <v>0</v>
      </c>
      <c r="R30" s="148">
        <f t="shared" ref="R30:R32" si="10">+O30*Q30</f>
        <v>0</v>
      </c>
      <c r="S30" s="148">
        <f t="shared" ref="S30:S32" si="11">+P30*Q30</f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+'5'!J31</f>
        <v>0</v>
      </c>
      <c r="K31" s="237"/>
      <c r="L31" s="237"/>
      <c r="M31" s="116">
        <f>+K31+'5'!M31+L31</f>
        <v>0</v>
      </c>
      <c r="P31" s="148">
        <f>+O31-(O31*0.23)</f>
        <v>0</v>
      </c>
      <c r="R31" s="148">
        <f t="shared" si="10"/>
        <v>0</v>
      </c>
      <c r="S31" s="148">
        <f t="shared" si="11"/>
        <v>0</v>
      </c>
    </row>
    <row r="32" spans="1:19" ht="13.5" thickBot="1">
      <c r="A32" s="772"/>
      <c r="B32" s="164" t="s">
        <v>2</v>
      </c>
      <c r="C32" s="98">
        <f>SUM(C25:C31)</f>
        <v>12147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+'5'!J32</f>
        <v>0</v>
      </c>
      <c r="K32" s="239"/>
      <c r="L32" s="241"/>
      <c r="M32" s="116">
        <f>+K32+'5'!M32+L32</f>
        <v>0</v>
      </c>
      <c r="P32" s="148">
        <f>+O32-(O32*0.23)</f>
        <v>0</v>
      </c>
      <c r="R32" s="148">
        <f t="shared" si="10"/>
        <v>0</v>
      </c>
      <c r="S32" s="148">
        <f t="shared" si="11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36617</v>
      </c>
      <c r="D34" s="106">
        <f>D14+D23+D32</f>
        <v>270</v>
      </c>
      <c r="E34" s="106">
        <f>E14+E23+E32</f>
        <v>0</v>
      </c>
      <c r="F34" s="107">
        <f>F14+F23+F32</f>
        <v>70</v>
      </c>
      <c r="H34" s="177"/>
      <c r="I34" s="177"/>
      <c r="J34" s="122" t="s">
        <v>27</v>
      </c>
      <c r="K34" s="123">
        <f>SUM(K7:K32)</f>
        <v>36617</v>
      </c>
      <c r="L34" s="211">
        <f>SUM(L7:L32)</f>
        <v>0</v>
      </c>
      <c r="M34" s="119">
        <f>SUM(M7:M32)</f>
        <v>229097</v>
      </c>
    </row>
    <row r="35" spans="1:19" ht="13.5" thickBot="1">
      <c r="A35" s="178"/>
      <c r="B35" s="179"/>
      <c r="C35" s="103">
        <f>C34/($C$34+$D$34+$E$34)</f>
        <v>0.99268034809011307</v>
      </c>
      <c r="D35" s="103">
        <f>D34/($C$34+$D$34+$E$34)</f>
        <v>7.3196519098869522E-3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(12.5*812+628*12)/1440*G42*2.74*1440/1000000</f>
        <v>45.300071472000006</v>
      </c>
      <c r="J37" s="124">
        <f>+I37+'5'!J37</f>
        <v>269.57490237238335</v>
      </c>
      <c r="K37" s="125" t="s">
        <v>62</v>
      </c>
      <c r="N37" s="148" t="s">
        <v>460</v>
      </c>
      <c r="O37" s="148">
        <v>1230</v>
      </c>
      <c r="P37" s="148">
        <v>934.8</v>
      </c>
      <c r="Q37" s="148">
        <f>480+332</f>
        <v>812</v>
      </c>
    </row>
    <row r="38" spans="1:19" ht="17.45" customHeight="1">
      <c r="A38" s="762" t="s">
        <v>11</v>
      </c>
      <c r="B38" s="763"/>
      <c r="C38" s="163">
        <f>SUMIF($G$7:$G$31,"Process",$F$7:$F$31)</f>
        <v>70</v>
      </c>
      <c r="D38" s="117">
        <f>+C38+'5'!D38</f>
        <v>397</v>
      </c>
      <c r="E38" s="142">
        <f t="shared" ref="E38:E51" si="12">D38/60</f>
        <v>6.6166666666666663</v>
      </c>
      <c r="F38" s="320">
        <v>1230</v>
      </c>
      <c r="G38" s="320">
        <v>934.8</v>
      </c>
      <c r="H38" s="186" t="s">
        <v>63</v>
      </c>
      <c r="I38" s="243">
        <f>14.164+14.37+12.327</f>
        <v>40.860999999999997</v>
      </c>
      <c r="J38" s="126">
        <f>+I38+'5'!J38</f>
        <v>239.11499999999998</v>
      </c>
      <c r="K38" s="127" t="s">
        <v>62</v>
      </c>
      <c r="N38" s="148" t="s">
        <v>440</v>
      </c>
      <c r="O38" s="148">
        <v>1230</v>
      </c>
      <c r="P38" s="148">
        <v>934.8</v>
      </c>
      <c r="Q38" s="148">
        <f>148+480</f>
        <v>628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+C39+'5'!D39</f>
        <v>0</v>
      </c>
      <c r="E39" s="142">
        <f t="shared" si="12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44.929150395397222</v>
      </c>
      <c r="K39" s="129" t="s">
        <v>62</v>
      </c>
      <c r="Q39" s="148">
        <f>+Q37+Q38</f>
        <v>1440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+C40+'5'!D40</f>
        <v>0</v>
      </c>
      <c r="E40" s="142">
        <f t="shared" si="12"/>
        <v>0</v>
      </c>
      <c r="F40" s="320">
        <v>1230</v>
      </c>
      <c r="G40" s="320">
        <v>934.8</v>
      </c>
      <c r="H40" s="186" t="s">
        <v>66</v>
      </c>
      <c r="I40" s="117">
        <f>(K34+L34)/1000</f>
        <v>36.616999999999997</v>
      </c>
      <c r="J40" s="130">
        <f>+I40+'5'!J40</f>
        <v>229.09699999999998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+C41+'5'!D41</f>
        <v>0</v>
      </c>
      <c r="E41" s="142">
        <f t="shared" si="12"/>
        <v>0</v>
      </c>
      <c r="F41" s="320"/>
      <c r="G41" s="320"/>
      <c r="H41" s="186" t="s">
        <v>68</v>
      </c>
      <c r="I41" s="141"/>
      <c r="J41" s="128">
        <f>J40/G4</f>
        <v>38.182833333333328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+C42+'5'!D42</f>
        <v>0</v>
      </c>
      <c r="E42" s="142">
        <f t="shared" si="12"/>
        <v>0</v>
      </c>
      <c r="F42" s="320">
        <f>+(F38*480+F39*480+F40*480)/1440</f>
        <v>1230</v>
      </c>
      <c r="G42" s="320">
        <f>+(G38*480+G39*480+G40*480)/1440</f>
        <v>934.8</v>
      </c>
      <c r="H42" s="186" t="s">
        <v>69</v>
      </c>
      <c r="I42" s="244" t="s">
        <v>442</v>
      </c>
      <c r="J42" s="131"/>
      <c r="K42" s="129" t="s">
        <v>70</v>
      </c>
    </row>
    <row r="43" spans="1:19" ht="17.45" customHeight="1">
      <c r="A43" s="764" t="s">
        <v>221</v>
      </c>
      <c r="B43" s="765"/>
      <c r="C43" s="163">
        <f>SUMIF($G$7:$G$31,"Change Grade",$F$7:$F$31)</f>
        <v>0</v>
      </c>
      <c r="D43" s="117">
        <f>+C43+'5'!D43</f>
        <v>0</v>
      </c>
      <c r="E43" s="142">
        <f t="shared" si="12"/>
        <v>0</v>
      </c>
      <c r="F43" s="320"/>
      <c r="G43" s="321"/>
      <c r="H43" s="187" t="s">
        <v>72</v>
      </c>
      <c r="I43" s="117">
        <f>+Report1!Z14</f>
        <v>50.9</v>
      </c>
      <c r="J43" s="132">
        <f>+I43+'5'!J43</f>
        <v>297.09999999999997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+C44+'5'!D44</f>
        <v>0</v>
      </c>
      <c r="E44" s="142">
        <f t="shared" si="12"/>
        <v>0</v>
      </c>
      <c r="F44" s="320"/>
      <c r="G44" s="321"/>
      <c r="H44" s="187" t="s">
        <v>73</v>
      </c>
      <c r="I44" s="117">
        <f>I43/I38</f>
        <v>1.2456865960206553</v>
      </c>
      <c r="J44" s="133">
        <f>J43/J38</f>
        <v>1.2424983794408548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+C45+'5'!D45</f>
        <v>0</v>
      </c>
      <c r="E45" s="142">
        <f t="shared" si="12"/>
        <v>0</v>
      </c>
      <c r="F45" s="320"/>
      <c r="G45" s="323"/>
      <c r="H45" s="187" t="s">
        <v>74</v>
      </c>
      <c r="I45" s="117">
        <f>I43/I40</f>
        <v>1.3900647240352841</v>
      </c>
      <c r="J45" s="133">
        <f>J43/J40</f>
        <v>1.2968306001388057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+C46+'5'!D46</f>
        <v>0</v>
      </c>
      <c r="E46" s="142">
        <f t="shared" si="12"/>
        <v>0</v>
      </c>
      <c r="F46" s="320"/>
      <c r="G46" s="321"/>
      <c r="H46" s="187" t="s">
        <v>76</v>
      </c>
      <c r="I46" s="139">
        <f>+SUMIF(Listrik!P13,"&gt;0")</f>
        <v>40858.379999999634</v>
      </c>
      <c r="J46" s="134">
        <f>+I46+'5'!J46</f>
        <v>234661.79999999856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+C47+'5'!D47</f>
        <v>0</v>
      </c>
      <c r="E47" s="142">
        <f t="shared" si="12"/>
        <v>0</v>
      </c>
      <c r="F47" s="320"/>
      <c r="G47" s="321"/>
      <c r="H47" s="187" t="s">
        <v>79</v>
      </c>
      <c r="I47" s="117">
        <f>I46/I38</f>
        <v>999.93588017913498</v>
      </c>
      <c r="J47" s="134">
        <f>J46/J38</f>
        <v>981.37632519916599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+C48+'5'!D48</f>
        <v>0</v>
      </c>
      <c r="E48" s="142">
        <f t="shared" si="12"/>
        <v>0</v>
      </c>
      <c r="F48" s="320"/>
      <c r="G48" s="321"/>
      <c r="H48" s="187" t="s">
        <v>80</v>
      </c>
      <c r="I48" s="117">
        <f>I46/I40</f>
        <v>1115.8308982166654</v>
      </c>
      <c r="J48" s="134">
        <f>J46/J40</f>
        <v>1024.2901478413012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+C49+'5'!D49</f>
        <v>0</v>
      </c>
      <c r="E49" s="142">
        <f t="shared" si="12"/>
        <v>0</v>
      </c>
      <c r="F49" s="184"/>
      <c r="H49" s="187" t="s">
        <v>269</v>
      </c>
      <c r="I49" s="117">
        <f>+Report1!T14</f>
        <v>5569.0331564780381</v>
      </c>
      <c r="J49" s="134">
        <f>+I49+'5'!J49</f>
        <v>32121.661681035803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+C50+'5'!D50</f>
        <v>0</v>
      </c>
      <c r="E50" s="142">
        <f t="shared" si="12"/>
        <v>0</v>
      </c>
      <c r="F50" s="184"/>
      <c r="H50" s="187" t="s">
        <v>82</v>
      </c>
      <c r="I50" s="139">
        <f>I49/I38</f>
        <v>136.29214058584074</v>
      </c>
      <c r="J50" s="132">
        <f>J49/J38</f>
        <v>134.33561960159673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+C51+'5'!D51</f>
        <v>0</v>
      </c>
      <c r="E51" s="142">
        <f t="shared" si="12"/>
        <v>0</v>
      </c>
      <c r="F51" s="184"/>
      <c r="H51" s="189" t="s">
        <v>84</v>
      </c>
      <c r="I51" s="140">
        <f>I49/I40</f>
        <v>152.08873355212165</v>
      </c>
      <c r="J51" s="135">
        <f>J49/J40</f>
        <v>140.20987477372381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70</v>
      </c>
      <c r="D52" s="143">
        <f>SUM(D38:D51)</f>
        <v>397</v>
      </c>
      <c r="E52" s="144">
        <f>SUM(E38:E51)</f>
        <v>6.6166666666666663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4.8611111111111112E-2</v>
      </c>
      <c r="D53" s="145">
        <f>D52/(24*60*G4)</f>
        <v>4.5949074074074073E-2</v>
      </c>
      <c r="E53" s="146">
        <f>E52/(G4*24)</f>
        <v>4.5949074074074073E-2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+D34+'5'!J56</f>
        <v>1570</v>
      </c>
      <c r="K56" s="200">
        <f>J56/(J40+J56/1000)/1000</f>
        <v>6.8063485457390965E-3</v>
      </c>
    </row>
    <row r="57" spans="1:11">
      <c r="A57" s="175"/>
      <c r="I57" s="198" t="s">
        <v>87</v>
      </c>
      <c r="J57" s="199">
        <f>+E34+'5'!J57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customWidth="1"/>
    <col min="12" max="12" width="8.28515625" style="148" customWidth="1"/>
    <col min="13" max="13" width="15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5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</row>
    <row r="7" spans="1:19" ht="13.5" customHeight="1" thickBot="1">
      <c r="A7" s="750" t="s">
        <v>391</v>
      </c>
      <c r="B7" s="214" t="s">
        <v>390</v>
      </c>
      <c r="C7" s="215">
        <f>2758+2405</f>
        <v>5163</v>
      </c>
      <c r="D7" s="216"/>
      <c r="E7" s="217"/>
      <c r="F7" s="226">
        <v>6</v>
      </c>
      <c r="G7" s="227" t="s">
        <v>11</v>
      </c>
      <c r="H7" s="228" t="s">
        <v>428</v>
      </c>
      <c r="I7" s="753" t="s">
        <v>461</v>
      </c>
      <c r="J7" s="213" t="str">
        <f>+'4'!J7</f>
        <v>T 13 VP OW</v>
      </c>
      <c r="K7" s="236"/>
      <c r="L7" s="240"/>
      <c r="M7" s="116">
        <f>+K7+'4'!M7+L7</f>
        <v>79167</v>
      </c>
      <c r="N7" s="148" t="s">
        <v>440</v>
      </c>
      <c r="O7" s="148">
        <v>1230</v>
      </c>
      <c r="P7" s="148">
        <f>+O7-(O7*0.24)</f>
        <v>934.8</v>
      </c>
      <c r="Q7" s="148">
        <f>60+20</f>
        <v>80</v>
      </c>
      <c r="R7" s="148">
        <f t="shared" ref="R7:R12" si="0">+O7*Q7</f>
        <v>98400</v>
      </c>
      <c r="S7" s="148">
        <f t="shared" ref="S7:S12" si="1">+P7*Q7</f>
        <v>74784</v>
      </c>
    </row>
    <row r="8" spans="1:19" ht="13.5" thickBot="1">
      <c r="A8" s="751"/>
      <c r="B8" s="214" t="s">
        <v>466</v>
      </c>
      <c r="C8" s="215">
        <v>10666</v>
      </c>
      <c r="D8" s="216"/>
      <c r="E8" s="218"/>
      <c r="F8" s="229"/>
      <c r="G8" s="230" t="s">
        <v>11</v>
      </c>
      <c r="H8" s="228" t="s">
        <v>427</v>
      </c>
      <c r="I8" s="754"/>
      <c r="J8" s="213" t="str">
        <f>+'4'!J8</f>
        <v>F 12 VP OW</v>
      </c>
      <c r="K8" s="237">
        <f>+C7</f>
        <v>5163</v>
      </c>
      <c r="L8" s="237"/>
      <c r="M8" s="116">
        <f>+K8+'4'!M8+L8</f>
        <v>77537</v>
      </c>
      <c r="N8" s="148" t="s">
        <v>459</v>
      </c>
      <c r="O8" s="148">
        <v>1200</v>
      </c>
      <c r="P8" s="148">
        <f>+O8-(O8*0.2)</f>
        <v>960</v>
      </c>
      <c r="Q8" s="148">
        <f>60-20+240+52</f>
        <v>332</v>
      </c>
      <c r="R8" s="148">
        <f t="shared" si="0"/>
        <v>398400</v>
      </c>
      <c r="S8" s="148">
        <f t="shared" si="1"/>
        <v>318720</v>
      </c>
    </row>
    <row r="9" spans="1:19" ht="13.5" thickBot="1">
      <c r="A9" s="751"/>
      <c r="B9" s="214"/>
      <c r="C9" s="215"/>
      <c r="D9" s="216"/>
      <c r="E9" s="219"/>
      <c r="F9" s="226">
        <f>22-6</f>
        <v>16</v>
      </c>
      <c r="G9" s="230" t="s">
        <v>11</v>
      </c>
      <c r="H9" s="231" t="s">
        <v>446</v>
      </c>
      <c r="I9" s="754"/>
      <c r="J9" s="213" t="s">
        <v>466</v>
      </c>
      <c r="K9" s="237">
        <f>+C8</f>
        <v>10666</v>
      </c>
      <c r="L9" s="237"/>
      <c r="M9" s="116">
        <f>+K9+'4'!M9+L9</f>
        <v>10666</v>
      </c>
      <c r="N9" s="148" t="s">
        <v>460</v>
      </c>
      <c r="O9" s="148">
        <v>1230</v>
      </c>
      <c r="P9" s="148">
        <f>+O9-(O9*0.24)</f>
        <v>934.8</v>
      </c>
      <c r="Q9" s="148">
        <f>60-52+60</f>
        <v>68</v>
      </c>
      <c r="R9" s="148">
        <f t="shared" si="0"/>
        <v>83640</v>
      </c>
      <c r="S9" s="148">
        <f t="shared" si="1"/>
        <v>63566.399999999994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435</v>
      </c>
      <c r="I10" s="754"/>
      <c r="J10" s="213" t="s">
        <v>467</v>
      </c>
      <c r="K10" s="237">
        <f>+C16+C25</f>
        <v>25110</v>
      </c>
      <c r="L10" s="237"/>
      <c r="M10" s="116">
        <f>+K10+'4'!M10+L10</f>
        <v>25110</v>
      </c>
      <c r="P10" s="148">
        <f>+O10-(O10*0.2)</f>
        <v>0</v>
      </c>
      <c r="R10" s="148">
        <f t="shared" si="0"/>
        <v>0</v>
      </c>
      <c r="S10" s="148">
        <f t="shared" si="1"/>
        <v>0</v>
      </c>
    </row>
    <row r="11" spans="1:19" ht="68.25" customHeight="1" thickBot="1">
      <c r="A11" s="751"/>
      <c r="B11" s="214"/>
      <c r="C11" s="215"/>
      <c r="D11" s="216"/>
      <c r="E11" s="218"/>
      <c r="F11" s="226"/>
      <c r="G11" s="230"/>
      <c r="H11" s="231" t="s">
        <v>458</v>
      </c>
      <c r="I11" s="754"/>
      <c r="J11" s="213">
        <f>+'4'!J11</f>
        <v>0</v>
      </c>
      <c r="K11" s="237"/>
      <c r="L11" s="237"/>
      <c r="M11" s="116">
        <f>+K11+'4'!M11+L11</f>
        <v>0</v>
      </c>
      <c r="P11" s="148">
        <f>+O11-(O11*0.23)</f>
        <v>0</v>
      </c>
      <c r="R11" s="148">
        <f t="shared" si="0"/>
        <v>0</v>
      </c>
      <c r="S11" s="148">
        <f t="shared" si="1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+'4'!J12</f>
        <v>0</v>
      </c>
      <c r="K12" s="237"/>
      <c r="L12" s="237"/>
      <c r="M12" s="116">
        <f>+K12+'4'!M12+L12</f>
        <v>0</v>
      </c>
      <c r="P12" s="148">
        <f>+O12-(O12*0.23)</f>
        <v>0</v>
      </c>
      <c r="R12" s="148">
        <f t="shared" si="0"/>
        <v>0</v>
      </c>
      <c r="S12" s="148">
        <f t="shared" si="1"/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+'4'!J13</f>
        <v>0</v>
      </c>
      <c r="K13" s="237"/>
      <c r="L13" s="237"/>
      <c r="M13" s="116">
        <f>+K13+'4'!M13+L13</f>
        <v>0</v>
      </c>
    </row>
    <row r="14" spans="1:19" ht="13.5" thickBot="1">
      <c r="A14" s="752"/>
      <c r="B14" s="164" t="s">
        <v>2</v>
      </c>
      <c r="C14" s="98">
        <f>SUM(C7:C13)</f>
        <v>15829</v>
      </c>
      <c r="D14" s="110">
        <f>SUM(D7:D13)</f>
        <v>0</v>
      </c>
      <c r="E14" s="111">
        <f>SUM(E5:E13)</f>
        <v>0</v>
      </c>
      <c r="F14" s="115">
        <f>SUM(F7:F13)</f>
        <v>22</v>
      </c>
      <c r="G14" s="158"/>
      <c r="H14" s="165"/>
      <c r="I14" s="166"/>
      <c r="J14" s="213">
        <f>+'4'!J14</f>
        <v>0</v>
      </c>
      <c r="K14" s="237"/>
      <c r="L14" s="237"/>
      <c r="M14" s="116">
        <f>+K14+'4'!M14+L14</f>
        <v>0</v>
      </c>
    </row>
    <row r="15" spans="1:19" ht="13.5" customHeight="1" thickBot="1">
      <c r="A15" s="750" t="s">
        <v>414</v>
      </c>
      <c r="B15" s="164"/>
      <c r="C15" s="112">
        <f>C14/($C$23+$D$23+$E$23)</f>
        <v>1.349100826728032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442</v>
      </c>
      <c r="J15" s="213">
        <f>+'4'!J15</f>
        <v>0</v>
      </c>
      <c r="K15" s="237"/>
      <c r="L15" s="237"/>
      <c r="M15" s="116">
        <f>+K15+'4'!M15+L15</f>
        <v>0</v>
      </c>
      <c r="Q15" s="175">
        <f>SUM(Q7:Q12)</f>
        <v>480</v>
      </c>
      <c r="R15" s="175">
        <f>SUM(R7:R12)</f>
        <v>580440</v>
      </c>
      <c r="S15" s="175">
        <f>SUM(S7:S12)</f>
        <v>457070.4</v>
      </c>
    </row>
    <row r="16" spans="1:19" ht="13.5" thickBot="1">
      <c r="A16" s="771"/>
      <c r="B16" s="214" t="s">
        <v>467</v>
      </c>
      <c r="C16" s="220">
        <v>11463</v>
      </c>
      <c r="D16" s="221">
        <v>270</v>
      </c>
      <c r="E16" s="222"/>
      <c r="F16" s="229"/>
      <c r="G16" s="230" t="s">
        <v>11</v>
      </c>
      <c r="H16" s="228" t="s">
        <v>427</v>
      </c>
      <c r="I16" s="754"/>
      <c r="J16" s="213">
        <f>+'4'!J16</f>
        <v>0</v>
      </c>
      <c r="K16" s="227"/>
      <c r="L16" s="227"/>
      <c r="M16" s="116">
        <f>+K16+'4'!M16+L16</f>
        <v>0</v>
      </c>
      <c r="R16" s="175">
        <f>+R15/Q15</f>
        <v>1209.25</v>
      </c>
      <c r="S16" s="175">
        <f>+S15/Q15</f>
        <v>952.23</v>
      </c>
    </row>
    <row r="17" spans="1:19" ht="13.5" thickBot="1">
      <c r="A17" s="771"/>
      <c r="B17" s="214"/>
      <c r="C17" s="215"/>
      <c r="D17" s="216"/>
      <c r="E17" s="223"/>
      <c r="F17" s="226">
        <f>24-9</f>
        <v>15</v>
      </c>
      <c r="G17" s="230" t="s">
        <v>11</v>
      </c>
      <c r="H17" s="231" t="s">
        <v>388</v>
      </c>
      <c r="I17" s="754"/>
      <c r="J17" s="213">
        <f>+'4'!J17</f>
        <v>0</v>
      </c>
      <c r="K17" s="227"/>
      <c r="L17" s="227"/>
      <c r="M17" s="116">
        <f>+K17+'4'!M17+L17</f>
        <v>0</v>
      </c>
      <c r="N17" s="148" t="s">
        <v>460</v>
      </c>
      <c r="O17" s="148">
        <v>1230</v>
      </c>
      <c r="P17" s="148">
        <f>+O17-(O17*0.24)</f>
        <v>934.8</v>
      </c>
      <c r="Q17" s="148">
        <v>480</v>
      </c>
      <c r="R17" s="148">
        <f t="shared" ref="R17:R22" si="2">+O17*Q17</f>
        <v>590400</v>
      </c>
      <c r="S17" s="148">
        <f t="shared" ref="S17:S22" si="3">+P17*Q17</f>
        <v>448704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456</v>
      </c>
      <c r="I18" s="754"/>
      <c r="J18" s="213">
        <f>+'4'!J18</f>
        <v>0</v>
      </c>
      <c r="K18" s="237"/>
      <c r="L18" s="237"/>
      <c r="M18" s="116">
        <f>+K18+'4'!M18+L18</f>
        <v>0</v>
      </c>
    </row>
    <row r="19" spans="1:19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+'4'!J19</f>
        <v>0</v>
      </c>
      <c r="K19" s="237"/>
      <c r="L19" s="237"/>
      <c r="M19" s="116">
        <f>+K19+'4'!M19+L19</f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+'4'!J20</f>
        <v>0</v>
      </c>
      <c r="K20" s="238"/>
      <c r="L20" s="238"/>
      <c r="M20" s="116">
        <f>+K20+'4'!M20+L20</f>
        <v>0</v>
      </c>
      <c r="P20" s="148">
        <f>+O20-(O20*0.2)</f>
        <v>0</v>
      </c>
      <c r="R20" s="148">
        <f t="shared" si="2"/>
        <v>0</v>
      </c>
      <c r="S20" s="148">
        <f t="shared" si="3"/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+'4'!J21</f>
        <v>0</v>
      </c>
      <c r="K21" s="237"/>
      <c r="L21" s="237"/>
      <c r="M21" s="116">
        <f>+K21+'4'!M21+L21</f>
        <v>0</v>
      </c>
      <c r="P21" s="148">
        <f>+O21-(O21*0.23)</f>
        <v>0</v>
      </c>
      <c r="R21" s="148">
        <f t="shared" si="2"/>
        <v>0</v>
      </c>
      <c r="S21" s="148">
        <f t="shared" si="3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+'4'!J22</f>
        <v>0</v>
      </c>
      <c r="K22" s="237"/>
      <c r="L22" s="237"/>
      <c r="M22" s="116">
        <f>+K22+'4'!M22+L22</f>
        <v>0</v>
      </c>
      <c r="P22" s="148">
        <f>+O22-(O22*0.23)</f>
        <v>0</v>
      </c>
      <c r="R22" s="148">
        <f t="shared" si="2"/>
        <v>0</v>
      </c>
      <c r="S22" s="148">
        <f t="shared" si="3"/>
        <v>0</v>
      </c>
    </row>
    <row r="23" spans="1:19" ht="13.5" thickBot="1">
      <c r="A23" s="772"/>
      <c r="B23" s="167" t="s">
        <v>2</v>
      </c>
      <c r="C23" s="99">
        <f>SUM(C16:C22)</f>
        <v>11463</v>
      </c>
      <c r="D23" s="110">
        <f>SUM(D16:D22)</f>
        <v>270</v>
      </c>
      <c r="E23" s="111">
        <f>SUM(E18:E22)</f>
        <v>0</v>
      </c>
      <c r="F23" s="115">
        <f>SUM(F15:F22)</f>
        <v>24</v>
      </c>
      <c r="G23" s="158"/>
      <c r="H23" s="165"/>
      <c r="I23" s="168"/>
      <c r="J23" s="213">
        <f>+'4'!J23</f>
        <v>0</v>
      </c>
      <c r="K23" s="237"/>
      <c r="L23" s="237"/>
      <c r="M23" s="116">
        <f>+K23+'4'!M23+L23</f>
        <v>0</v>
      </c>
    </row>
    <row r="24" spans="1:19" ht="13.5" customHeight="1" thickBot="1">
      <c r="A24" s="750" t="s">
        <v>431</v>
      </c>
      <c r="B24" s="169"/>
      <c r="C24" s="112">
        <f>C23/($C$23+$D$23+$E$23)</f>
        <v>0.97698798261314246</v>
      </c>
      <c r="D24" s="113">
        <f>D23/($C$23+$D$23+$E$23)</f>
        <v>2.301201738685758E-2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442</v>
      </c>
      <c r="J24" s="213">
        <f>+'4'!J24</f>
        <v>0</v>
      </c>
      <c r="K24" s="237"/>
      <c r="L24" s="237"/>
      <c r="M24" s="116">
        <f>+K24+'4'!M24+L24</f>
        <v>0</v>
      </c>
    </row>
    <row r="25" spans="1:19" ht="13.5" thickBot="1">
      <c r="A25" s="771"/>
      <c r="B25" s="214" t="s">
        <v>467</v>
      </c>
      <c r="C25" s="224">
        <v>13647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+'4'!J25</f>
        <v>0</v>
      </c>
      <c r="K25" s="237"/>
      <c r="L25" s="237"/>
      <c r="M25" s="116">
        <f>+K25+'4'!M25+L25</f>
        <v>0</v>
      </c>
      <c r="Q25" s="175">
        <f>SUM(Q17:Q22)</f>
        <v>480</v>
      </c>
      <c r="R25" s="175">
        <f>SUM(R17:R22)</f>
        <v>590400</v>
      </c>
      <c r="S25" s="175">
        <f>SUM(S17:S22)</f>
        <v>448704</v>
      </c>
    </row>
    <row r="26" spans="1:19" ht="13.5" thickBot="1">
      <c r="A26" s="771"/>
      <c r="B26" s="214"/>
      <c r="C26" s="224"/>
      <c r="D26" s="216"/>
      <c r="E26" s="225"/>
      <c r="F26" s="226">
        <f>22-6</f>
        <v>16</v>
      </c>
      <c r="G26" s="230" t="s">
        <v>11</v>
      </c>
      <c r="H26" s="231" t="s">
        <v>388</v>
      </c>
      <c r="I26" s="754"/>
      <c r="J26" s="213">
        <f>+'4'!J26</f>
        <v>0</v>
      </c>
      <c r="K26" s="237"/>
      <c r="L26" s="237"/>
      <c r="M26" s="116">
        <f>+K26+'4'!M26+L26</f>
        <v>0</v>
      </c>
      <c r="R26" s="175">
        <f>+R25/Q25</f>
        <v>1230</v>
      </c>
      <c r="S26" s="175">
        <f>+S25/Q25</f>
        <v>934.8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456</v>
      </c>
      <c r="I27" s="754"/>
      <c r="J27" s="213">
        <f>+'4'!J27</f>
        <v>0</v>
      </c>
      <c r="K27" s="237"/>
      <c r="L27" s="237"/>
      <c r="M27" s="116">
        <f>+K27+'4'!M27+L27</f>
        <v>0</v>
      </c>
      <c r="N27" s="148" t="s">
        <v>460</v>
      </c>
      <c r="O27" s="148">
        <v>1230</v>
      </c>
      <c r="P27" s="148">
        <f>+O27-(O27*0.24)</f>
        <v>934.8</v>
      </c>
      <c r="Q27" s="148">
        <v>480</v>
      </c>
      <c r="R27" s="148">
        <f t="shared" ref="R27" si="4">+O27*Q27</f>
        <v>590400</v>
      </c>
      <c r="S27" s="148">
        <f t="shared" ref="S27" si="5">+P27*Q27</f>
        <v>448704</v>
      </c>
    </row>
    <row r="28" spans="1:19" ht="26.25" thickBot="1">
      <c r="A28" s="771"/>
      <c r="B28" s="214"/>
      <c r="C28" s="215"/>
      <c r="D28" s="216"/>
      <c r="E28" s="223"/>
      <c r="F28" s="229"/>
      <c r="G28" s="230"/>
      <c r="H28" s="231" t="s">
        <v>457</v>
      </c>
      <c r="I28" s="754"/>
      <c r="J28" s="213">
        <f>+'4'!J28</f>
        <v>0</v>
      </c>
      <c r="K28" s="237"/>
      <c r="L28" s="237"/>
      <c r="M28" s="116">
        <f>+K28+'4'!M28+L28</f>
        <v>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+'4'!J29</f>
        <v>0</v>
      </c>
      <c r="K29" s="237"/>
      <c r="L29" s="237"/>
      <c r="M29" s="116">
        <f>+K29+'4'!M29+L29</f>
        <v>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+'4'!J30</f>
        <v>0</v>
      </c>
      <c r="K30" s="237"/>
      <c r="L30" s="237"/>
      <c r="M30" s="116">
        <f>+K30+'4'!M30+L30</f>
        <v>0</v>
      </c>
      <c r="P30" s="148">
        <f>+O30-(O30*0.2)</f>
        <v>0</v>
      </c>
      <c r="R30" s="148">
        <f t="shared" ref="R30:R32" si="6">+O30*Q30</f>
        <v>0</v>
      </c>
      <c r="S30" s="148">
        <f t="shared" ref="S30:S32" si="7">+P30*Q30</f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+'4'!J31</f>
        <v>0</v>
      </c>
      <c r="K31" s="237"/>
      <c r="L31" s="237"/>
      <c r="M31" s="116">
        <f>+K31+'4'!M31+L31</f>
        <v>0</v>
      </c>
      <c r="P31" s="148">
        <f>+O31-(O31*0.23)</f>
        <v>0</v>
      </c>
      <c r="R31" s="148">
        <f t="shared" si="6"/>
        <v>0</v>
      </c>
      <c r="S31" s="148">
        <f t="shared" si="7"/>
        <v>0</v>
      </c>
    </row>
    <row r="32" spans="1:19" ht="13.5" thickBot="1">
      <c r="A32" s="772"/>
      <c r="B32" s="164" t="s">
        <v>2</v>
      </c>
      <c r="C32" s="98">
        <f>SUM(C25:C31)</f>
        <v>13647</v>
      </c>
      <c r="D32" s="99">
        <f>SUM(D25:D31)</f>
        <v>0</v>
      </c>
      <c r="E32" s="100">
        <f>SUM(E25:E31)</f>
        <v>0</v>
      </c>
      <c r="F32" s="101">
        <f>SUM(F24:F31)</f>
        <v>22</v>
      </c>
      <c r="G32" s="170"/>
      <c r="H32" s="171"/>
      <c r="I32" s="168"/>
      <c r="J32" s="213">
        <f>+'4'!J32</f>
        <v>0</v>
      </c>
      <c r="K32" s="239"/>
      <c r="L32" s="241"/>
      <c r="M32" s="116">
        <f>+K32+'4'!M32+L32</f>
        <v>0</v>
      </c>
      <c r="P32" s="148">
        <f>+O32-(O32*0.23)</f>
        <v>0</v>
      </c>
      <c r="R32" s="148">
        <f t="shared" si="6"/>
        <v>0</v>
      </c>
      <c r="S32" s="148">
        <f t="shared" si="7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40939</v>
      </c>
      <c r="D34" s="106">
        <f>D14+D23+D32</f>
        <v>270</v>
      </c>
      <c r="E34" s="106">
        <f>E14+E23+E32</f>
        <v>0</v>
      </c>
      <c r="F34" s="107">
        <f>F14+F23+F32</f>
        <v>68</v>
      </c>
      <c r="H34" s="177"/>
      <c r="I34" s="177"/>
      <c r="J34" s="122" t="s">
        <v>27</v>
      </c>
      <c r="K34" s="123">
        <f>SUM(K7:K32)</f>
        <v>40939</v>
      </c>
      <c r="L34" s="211">
        <f>SUM(L7:L32)</f>
        <v>0</v>
      </c>
      <c r="M34" s="119">
        <f>SUM(M7:M32)</f>
        <v>192480</v>
      </c>
    </row>
    <row r="35" spans="1:19" ht="13.5" thickBot="1">
      <c r="A35" s="178"/>
      <c r="B35" s="179"/>
      <c r="C35" s="103">
        <f>C34/($C$34+$D$34+$E$34)</f>
        <v>0.99344803319663177</v>
      </c>
      <c r="D35" s="103">
        <f>D34/($C$34+$D$34+$E$34)</f>
        <v>6.551966803368196E-3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590400</v>
      </c>
      <c r="S35" s="175">
        <f>SUM(S27:S32)</f>
        <v>448704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R36" s="175">
        <f>+R35/Q35</f>
        <v>1230</v>
      </c>
      <c r="S36" s="175">
        <f>+S35/Q35</f>
        <v>934.8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(12*80+13.5*332+12.5*1028)/1440*G42*2.74*1440/1000000</f>
        <v>47.143448448800001</v>
      </c>
      <c r="J37" s="124">
        <f>+I37+'4'!J37</f>
        <v>224.27483090038334</v>
      </c>
      <c r="K37" s="125" t="s">
        <v>62</v>
      </c>
      <c r="N37" s="148" t="s">
        <v>440</v>
      </c>
      <c r="O37" s="148">
        <v>1230</v>
      </c>
      <c r="P37" s="148">
        <v>934.8</v>
      </c>
      <c r="Q37" s="148">
        <v>80</v>
      </c>
    </row>
    <row r="38" spans="1:19" ht="17.45" customHeight="1">
      <c r="A38" s="762" t="s">
        <v>11</v>
      </c>
      <c r="B38" s="763"/>
      <c r="C38" s="163">
        <f>SUMIF($G$7:$G$31,"Process",$F$7:$F$31)</f>
        <v>68</v>
      </c>
      <c r="D38" s="117">
        <f>+C38+'4'!D38</f>
        <v>327</v>
      </c>
      <c r="E38" s="142">
        <f t="shared" ref="E38:E51" si="8">D38/60</f>
        <v>5.45</v>
      </c>
      <c r="F38" s="320">
        <v>1209.25</v>
      </c>
      <c r="G38" s="320">
        <v>952.23</v>
      </c>
      <c r="H38" s="186" t="s">
        <v>63</v>
      </c>
      <c r="I38" s="243">
        <f>15.185+12.757+13.861</f>
        <v>41.802999999999997</v>
      </c>
      <c r="J38" s="126">
        <f>+I38+'4'!J38</f>
        <v>198.25399999999999</v>
      </c>
      <c r="K38" s="127" t="s">
        <v>62</v>
      </c>
      <c r="N38" s="148" t="s">
        <v>459</v>
      </c>
      <c r="O38" s="148">
        <v>1200</v>
      </c>
      <c r="P38" s="148">
        <v>960</v>
      </c>
      <c r="Q38" s="148">
        <v>332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+C39+'4'!D39</f>
        <v>0</v>
      </c>
      <c r="E39" s="142">
        <f t="shared" si="8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44.854966180076666</v>
      </c>
      <c r="K39" s="129" t="s">
        <v>62</v>
      </c>
      <c r="N39" s="148" t="s">
        <v>460</v>
      </c>
      <c r="O39" s="148">
        <v>1230</v>
      </c>
      <c r="P39" s="148">
        <v>934.8</v>
      </c>
      <c r="Q39" s="148">
        <f>68+480+480</f>
        <v>1028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>+C40+'4'!D40</f>
        <v>0</v>
      </c>
      <c r="E40" s="142">
        <f t="shared" si="8"/>
        <v>0</v>
      </c>
      <c r="F40" s="320">
        <v>1230</v>
      </c>
      <c r="G40" s="320">
        <v>934.8</v>
      </c>
      <c r="H40" s="186" t="s">
        <v>66</v>
      </c>
      <c r="I40" s="117">
        <f>(K34+L34)/1000</f>
        <v>40.939</v>
      </c>
      <c r="J40" s="130">
        <f>+I40+'4'!J40</f>
        <v>192.48</v>
      </c>
      <c r="K40" s="129" t="s">
        <v>62</v>
      </c>
      <c r="Q40" s="148">
        <f>+Q37+Q38+Q39</f>
        <v>1440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>+C41+'4'!D41</f>
        <v>0</v>
      </c>
      <c r="E41" s="142">
        <f t="shared" si="8"/>
        <v>0</v>
      </c>
      <c r="F41" s="320"/>
      <c r="G41" s="320"/>
      <c r="H41" s="186" t="s">
        <v>68</v>
      </c>
      <c r="I41" s="141"/>
      <c r="J41" s="128">
        <f>J40/G4</f>
        <v>38.495999999999995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>+C42+'4'!D42</f>
        <v>0</v>
      </c>
      <c r="E42" s="142">
        <f t="shared" si="8"/>
        <v>0</v>
      </c>
      <c r="F42" s="320">
        <f>+(480*F38+480*F39+480*F40)/1440</f>
        <v>1223.0833333333333</v>
      </c>
      <c r="G42" s="320">
        <f>+(480*G38+480*G39+480*G40)/1440</f>
        <v>940.6099999999999</v>
      </c>
      <c r="H42" s="186" t="s">
        <v>69</v>
      </c>
      <c r="I42" s="244" t="s">
        <v>462</v>
      </c>
      <c r="J42" s="131"/>
      <c r="K42" s="129" t="s">
        <v>70</v>
      </c>
    </row>
    <row r="43" spans="1:19" ht="17.45" customHeight="1">
      <c r="A43" s="764" t="s">
        <v>221</v>
      </c>
      <c r="B43" s="765"/>
      <c r="C43" s="163">
        <f>SUMIF($G$7:$G$31,"Change Grade",$F$7:$F$31)</f>
        <v>0</v>
      </c>
      <c r="D43" s="117">
        <f>+C43+'4'!D43</f>
        <v>0</v>
      </c>
      <c r="E43" s="142">
        <f t="shared" si="8"/>
        <v>0</v>
      </c>
      <c r="F43" s="320"/>
      <c r="G43" s="321"/>
      <c r="H43" s="187" t="s">
        <v>72</v>
      </c>
      <c r="I43" s="117">
        <f>+Report1!Z13</f>
        <v>53</v>
      </c>
      <c r="J43" s="132">
        <f>+I43+'4'!J43</f>
        <v>246.2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+C44+'4'!D44</f>
        <v>0</v>
      </c>
      <c r="E44" s="142">
        <f t="shared" si="8"/>
        <v>0</v>
      </c>
      <c r="F44" s="320"/>
      <c r="G44" s="321"/>
      <c r="H44" s="187" t="s">
        <v>73</v>
      </c>
      <c r="I44" s="117">
        <f>I43/I38</f>
        <v>1.2678515895988327</v>
      </c>
      <c r="J44" s="133">
        <f>J43/J38</f>
        <v>1.2418412743248559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>+C45+'4'!D45</f>
        <v>0</v>
      </c>
      <c r="E45" s="142">
        <f t="shared" si="8"/>
        <v>0</v>
      </c>
      <c r="F45" s="320"/>
      <c r="G45" s="323"/>
      <c r="H45" s="187" t="s">
        <v>74</v>
      </c>
      <c r="I45" s="117">
        <f>I43/I40</f>
        <v>1.2946090524927332</v>
      </c>
      <c r="J45" s="133">
        <f>J43/J40</f>
        <v>1.279093931837074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>+C46+'4'!D46</f>
        <v>0</v>
      </c>
      <c r="E46" s="142">
        <f t="shared" si="8"/>
        <v>0</v>
      </c>
      <c r="F46" s="320"/>
      <c r="G46" s="321"/>
      <c r="H46" s="187" t="s">
        <v>76</v>
      </c>
      <c r="I46" s="139">
        <f>+SUMIF(Listrik!P12,"&gt;0")</f>
        <v>37287.779999998907</v>
      </c>
      <c r="J46" s="134">
        <f>+I46+'4'!J46</f>
        <v>193803.41999999894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>+C47+'4'!D47</f>
        <v>0</v>
      </c>
      <c r="E47" s="142">
        <f t="shared" si="8"/>
        <v>0</v>
      </c>
      <c r="F47" s="320"/>
      <c r="G47" s="321"/>
      <c r="H47" s="187" t="s">
        <v>79</v>
      </c>
      <c r="I47" s="117">
        <f>I46/I38</f>
        <v>891.98813482283356</v>
      </c>
      <c r="J47" s="134">
        <f>J46/J38</f>
        <v>977.55112128884639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>+C48+'4'!D48</f>
        <v>0</v>
      </c>
      <c r="E48" s="142">
        <f t="shared" si="8"/>
        <v>0</v>
      </c>
      <c r="F48" s="320"/>
      <c r="G48" s="321"/>
      <c r="H48" s="187" t="s">
        <v>80</v>
      </c>
      <c r="I48" s="117">
        <f>I46/I40</f>
        <v>910.81316104445409</v>
      </c>
      <c r="J48" s="134">
        <f>J46/J40</f>
        <v>1006.875623441391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+C49+'4'!D49</f>
        <v>0</v>
      </c>
      <c r="E49" s="142">
        <f t="shared" si="8"/>
        <v>0</v>
      </c>
      <c r="F49" s="184"/>
      <c r="H49" s="187" t="s">
        <v>269</v>
      </c>
      <c r="I49" s="117">
        <f>+Report1!T13</f>
        <v>5355.5717990890689</v>
      </c>
      <c r="J49" s="134">
        <f>+I49+'4'!J49</f>
        <v>26552.628524557764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+C50+'4'!D50</f>
        <v>0</v>
      </c>
      <c r="E50" s="142">
        <f t="shared" si="8"/>
        <v>0</v>
      </c>
      <c r="F50" s="184"/>
      <c r="H50" s="187" t="s">
        <v>82</v>
      </c>
      <c r="I50" s="139">
        <f>I49/I38</f>
        <v>128.11453242803313</v>
      </c>
      <c r="J50" s="132">
        <f>J49/J38</f>
        <v>133.93237223237747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+C51+'4'!D51</f>
        <v>0</v>
      </c>
      <c r="E51" s="142">
        <f t="shared" si="8"/>
        <v>0</v>
      </c>
      <c r="F51" s="184"/>
      <c r="H51" s="189" t="s">
        <v>84</v>
      </c>
      <c r="I51" s="140">
        <f>I49/I40</f>
        <v>130.81833457312266</v>
      </c>
      <c r="J51" s="135">
        <f>J49/J40</f>
        <v>137.95006506939819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68</v>
      </c>
      <c r="D52" s="143">
        <f>SUM(D38:D51)</f>
        <v>327</v>
      </c>
      <c r="E52" s="144">
        <f>SUM(E38:E51)</f>
        <v>5.45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4.7222222222222221E-2</v>
      </c>
      <c r="D53" s="145">
        <f>D52/(24*60*G4)</f>
        <v>4.5416666666666668E-2</v>
      </c>
      <c r="E53" s="146">
        <f>E52/(G4*24)</f>
        <v>4.5416666666666668E-2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+D34+'4'!J56</f>
        <v>1300</v>
      </c>
      <c r="K56" s="200">
        <f>J56/(J40+J56/1000)/1000</f>
        <v>6.7086386624006598E-3</v>
      </c>
    </row>
    <row r="57" spans="1:11">
      <c r="A57" s="175"/>
      <c r="I57" s="198" t="s">
        <v>87</v>
      </c>
      <c r="J57" s="199">
        <f>+E34+'4'!J57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4027777777777778" header="0" footer="0"/>
  <pageSetup paperSize="9" scale="56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view="pageBreakPreview" zoomScale="80" zoomScaleNormal="75" zoomScaleSheetLayoutView="80" workbookViewId="0">
      <selection activeCell="C16" sqref="C1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20" ht="15.75">
      <c r="A1" s="147"/>
    </row>
    <row r="2" spans="1:20" ht="15.75">
      <c r="A2" s="147" t="s">
        <v>183</v>
      </c>
    </row>
    <row r="3" spans="1:20" ht="15">
      <c r="A3" s="149"/>
    </row>
    <row r="4" spans="1:20" ht="20.25">
      <c r="A4" s="150" t="s">
        <v>3</v>
      </c>
      <c r="B4" s="151"/>
      <c r="F4" s="152" t="s">
        <v>28</v>
      </c>
      <c r="G4" s="153">
        <v>4</v>
      </c>
      <c r="H4" s="153" t="str">
        <f>+'1'!H4</f>
        <v>.01.26</v>
      </c>
    </row>
    <row r="5" spans="1:20" ht="13.5" thickBot="1">
      <c r="C5" s="154"/>
      <c r="D5" s="154"/>
      <c r="O5" s="148" t="s">
        <v>440</v>
      </c>
      <c r="P5" s="148">
        <v>1230</v>
      </c>
      <c r="Q5" s="148">
        <f>+P5-(P5*0.24)</f>
        <v>934.8</v>
      </c>
      <c r="R5" s="148">
        <v>480</v>
      </c>
      <c r="S5" s="148">
        <f t="shared" ref="S5:S7" si="0">+P5*R5</f>
        <v>590400</v>
      </c>
      <c r="T5" s="148">
        <f t="shared" ref="T5:T7" si="1">+Q5*R5</f>
        <v>448704</v>
      </c>
    </row>
    <row r="6" spans="1:20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P6" s="148">
        <v>1230</v>
      </c>
      <c r="Q6" s="148">
        <f t="shared" ref="Q6:Q7" si="2">+P6-(P6*0.24)</f>
        <v>934.8</v>
      </c>
      <c r="R6" s="148">
        <v>480</v>
      </c>
      <c r="S6" s="148">
        <f t="shared" si="0"/>
        <v>590400</v>
      </c>
      <c r="T6" s="148">
        <f t="shared" si="1"/>
        <v>448704</v>
      </c>
    </row>
    <row r="7" spans="1:20" ht="13.5" customHeight="1" thickBot="1">
      <c r="A7" s="750" t="s">
        <v>391</v>
      </c>
      <c r="B7" s="214" t="s">
        <v>390</v>
      </c>
      <c r="C7" s="215">
        <v>14017</v>
      </c>
      <c r="D7" s="216"/>
      <c r="E7" s="217"/>
      <c r="F7" s="226"/>
      <c r="G7" s="227" t="s">
        <v>11</v>
      </c>
      <c r="H7" s="228" t="s">
        <v>385</v>
      </c>
      <c r="I7" s="753" t="s">
        <v>442</v>
      </c>
      <c r="J7" s="213" t="str">
        <f>+'3'!J7</f>
        <v>T 13 VP OW</v>
      </c>
      <c r="K7" s="236"/>
      <c r="L7" s="240"/>
      <c r="M7" s="116">
        <f>+K7+'3'!M7+L7</f>
        <v>79167</v>
      </c>
      <c r="P7" s="148">
        <v>1230</v>
      </c>
      <c r="Q7" s="148">
        <f t="shared" si="2"/>
        <v>934.8</v>
      </c>
      <c r="R7" s="148">
        <v>480</v>
      </c>
      <c r="S7" s="148">
        <f t="shared" si="0"/>
        <v>590400</v>
      </c>
      <c r="T7" s="148">
        <f t="shared" si="1"/>
        <v>448704</v>
      </c>
    </row>
    <row r="8" spans="1:20" ht="13.5" thickBot="1">
      <c r="A8" s="751"/>
      <c r="B8" s="214"/>
      <c r="C8" s="215"/>
      <c r="D8" s="216"/>
      <c r="E8" s="218"/>
      <c r="F8" s="229">
        <v>5</v>
      </c>
      <c r="G8" s="230" t="s">
        <v>11</v>
      </c>
      <c r="H8" s="228" t="s">
        <v>407</v>
      </c>
      <c r="I8" s="754"/>
      <c r="J8" s="213" t="str">
        <f>+'3'!J8</f>
        <v>F 12 VP OW</v>
      </c>
      <c r="K8" s="237">
        <f>+C34</f>
        <v>37954</v>
      </c>
      <c r="L8" s="237"/>
      <c r="M8" s="116">
        <f>+K8+'3'!M8+L8</f>
        <v>72374</v>
      </c>
    </row>
    <row r="9" spans="1:20" ht="13.5" thickBot="1">
      <c r="A9" s="751"/>
      <c r="B9" s="214"/>
      <c r="C9" s="215"/>
      <c r="D9" s="216"/>
      <c r="E9" s="219"/>
      <c r="F9" s="226">
        <v>10</v>
      </c>
      <c r="G9" s="230" t="s">
        <v>11</v>
      </c>
      <c r="H9" s="231" t="s">
        <v>409</v>
      </c>
      <c r="I9" s="754"/>
      <c r="J9" s="213">
        <f>+'3'!J9</f>
        <v>0</v>
      </c>
      <c r="K9" s="237"/>
      <c r="L9" s="237"/>
      <c r="M9" s="116">
        <f>+K9+'3'!M9+L9</f>
        <v>0</v>
      </c>
    </row>
    <row r="10" spans="1:20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437</v>
      </c>
      <c r="I10" s="754"/>
      <c r="J10" s="213">
        <f>+'3'!J10</f>
        <v>0</v>
      </c>
      <c r="K10" s="237"/>
      <c r="L10" s="237"/>
      <c r="M10" s="116">
        <f>+K10+'3'!M10+L10</f>
        <v>0</v>
      </c>
    </row>
    <row r="11" spans="1:20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+'3'!J11</f>
        <v>0</v>
      </c>
      <c r="K11" s="237"/>
      <c r="L11" s="237"/>
      <c r="M11" s="116">
        <f>+K11+'3'!M11+L11</f>
        <v>0</v>
      </c>
    </row>
    <row r="12" spans="1:20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+'3'!J12</f>
        <v>0</v>
      </c>
      <c r="K12" s="237"/>
      <c r="L12" s="237"/>
      <c r="M12" s="116">
        <f>+K12+'3'!M12+L12</f>
        <v>0</v>
      </c>
    </row>
    <row r="13" spans="1:20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+'3'!J13</f>
        <v>0</v>
      </c>
      <c r="K13" s="237"/>
      <c r="L13" s="237"/>
      <c r="M13" s="116">
        <f>+K13+'3'!M13+L13</f>
        <v>0</v>
      </c>
      <c r="R13" s="175">
        <f>SUM(R5:R10)</f>
        <v>1440</v>
      </c>
      <c r="S13" s="175">
        <f>SUM(S5:S10)</f>
        <v>1771200</v>
      </c>
      <c r="T13" s="175">
        <f>SUM(T5:T10)</f>
        <v>1346112</v>
      </c>
    </row>
    <row r="14" spans="1:20" ht="13.5" thickBot="1">
      <c r="A14" s="752"/>
      <c r="B14" s="164" t="s">
        <v>2</v>
      </c>
      <c r="C14" s="98">
        <f>SUM(C7:C13)</f>
        <v>14017</v>
      </c>
      <c r="D14" s="110">
        <f>SUM(D7:D13)</f>
        <v>0</v>
      </c>
      <c r="E14" s="111">
        <f>SUM(E5:E13)</f>
        <v>0</v>
      </c>
      <c r="F14" s="115">
        <f>SUM(F7:F13)</f>
        <v>15</v>
      </c>
      <c r="G14" s="158"/>
      <c r="H14" s="165"/>
      <c r="I14" s="166"/>
      <c r="J14" s="213">
        <f>+'3'!J14</f>
        <v>0</v>
      </c>
      <c r="K14" s="237"/>
      <c r="L14" s="237"/>
      <c r="M14" s="116">
        <f>+K14+'3'!M14+L14</f>
        <v>0</v>
      </c>
      <c r="R14" s="148">
        <f>480-R13</f>
        <v>-960</v>
      </c>
      <c r="S14" s="175">
        <f>+S13/R13</f>
        <v>1230</v>
      </c>
      <c r="T14" s="175">
        <f>+T13/R13</f>
        <v>934.8</v>
      </c>
    </row>
    <row r="15" spans="1:20" ht="13.5" customHeight="1" thickBot="1">
      <c r="A15" s="750" t="s">
        <v>414</v>
      </c>
      <c r="B15" s="164"/>
      <c r="C15" s="112">
        <f>C14/($C$23+$D$23+$E$23)</f>
        <v>1.2016288041148735</v>
      </c>
      <c r="D15" s="113">
        <f>D14/($C$23+$D$23+$E$23)</f>
        <v>0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442</v>
      </c>
      <c r="J15" s="213">
        <f>+'3'!J15</f>
        <v>0</v>
      </c>
      <c r="K15" s="237"/>
      <c r="L15" s="237"/>
      <c r="M15" s="116">
        <f>+K15+'3'!M15+L15</f>
        <v>0</v>
      </c>
      <c r="P15" s="175"/>
      <c r="Q15" s="175"/>
      <c r="R15" s="175"/>
    </row>
    <row r="16" spans="1:20" ht="13.5" thickBot="1">
      <c r="A16" s="771"/>
      <c r="B16" s="214" t="s">
        <v>390</v>
      </c>
      <c r="C16" s="220">
        <v>11665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+'3'!J16</f>
        <v>0</v>
      </c>
      <c r="K16" s="227"/>
      <c r="L16" s="227"/>
      <c r="M16" s="116">
        <f>+K16+'3'!M16+L16</f>
        <v>0</v>
      </c>
      <c r="Q16" s="175"/>
      <c r="R16" s="175"/>
    </row>
    <row r="17" spans="1:13" ht="13.5" thickBot="1">
      <c r="A17" s="771"/>
      <c r="B17" s="214"/>
      <c r="C17" s="215"/>
      <c r="D17" s="216"/>
      <c r="E17" s="223"/>
      <c r="F17" s="226">
        <f>28-9</f>
        <v>19</v>
      </c>
      <c r="G17" s="230" t="s">
        <v>11</v>
      </c>
      <c r="H17" s="231" t="s">
        <v>409</v>
      </c>
      <c r="I17" s="754"/>
      <c r="J17" s="213">
        <f>+'3'!J17</f>
        <v>0</v>
      </c>
      <c r="K17" s="227"/>
      <c r="L17" s="227"/>
      <c r="M17" s="116">
        <f>+K17+'3'!M17+L17</f>
        <v>0</v>
      </c>
    </row>
    <row r="18" spans="1:13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435</v>
      </c>
      <c r="I18" s="754"/>
      <c r="J18" s="213">
        <f>+'3'!J18</f>
        <v>0</v>
      </c>
      <c r="K18" s="237"/>
      <c r="L18" s="237"/>
      <c r="M18" s="116">
        <f>+K18+'3'!M18+L18</f>
        <v>0</v>
      </c>
    </row>
    <row r="19" spans="1:13" ht="26.25" thickBot="1">
      <c r="A19" s="771"/>
      <c r="B19" s="214"/>
      <c r="C19" s="215"/>
      <c r="D19" s="216"/>
      <c r="E19" s="223"/>
      <c r="F19" s="233"/>
      <c r="G19" s="230"/>
      <c r="H19" s="231" t="s">
        <v>436</v>
      </c>
      <c r="I19" s="754"/>
      <c r="J19" s="213">
        <f>+'3'!J19</f>
        <v>0</v>
      </c>
      <c r="K19" s="237"/>
      <c r="L19" s="237"/>
      <c r="M19" s="116">
        <f>+K19+'3'!M19+L19</f>
        <v>0</v>
      </c>
    </row>
    <row r="20" spans="1:13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+'3'!J20</f>
        <v>0</v>
      </c>
      <c r="K20" s="238"/>
      <c r="L20" s="238"/>
      <c r="M20" s="116">
        <f>+K20+'3'!M20+L20</f>
        <v>0</v>
      </c>
    </row>
    <row r="21" spans="1:13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+'3'!J21</f>
        <v>0</v>
      </c>
      <c r="K21" s="237"/>
      <c r="L21" s="237"/>
      <c r="M21" s="116">
        <f>+K21+'3'!M21+L21</f>
        <v>0</v>
      </c>
    </row>
    <row r="22" spans="1:13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+'3'!J22</f>
        <v>0</v>
      </c>
      <c r="K22" s="237"/>
      <c r="L22" s="237"/>
      <c r="M22" s="116">
        <f>+K22+'3'!M22+L22</f>
        <v>0</v>
      </c>
    </row>
    <row r="23" spans="1:13" ht="13.5" thickBot="1">
      <c r="A23" s="772"/>
      <c r="B23" s="167" t="s">
        <v>2</v>
      </c>
      <c r="C23" s="99">
        <f>SUM(C16:C22)</f>
        <v>11665</v>
      </c>
      <c r="D23" s="110">
        <f>SUM(D16:D22)</f>
        <v>0</v>
      </c>
      <c r="E23" s="111">
        <f>SUM(E18:E22)</f>
        <v>0</v>
      </c>
      <c r="F23" s="115">
        <f>SUM(F15:F22)</f>
        <v>28</v>
      </c>
      <c r="G23" s="158"/>
      <c r="H23" s="165"/>
      <c r="I23" s="168"/>
      <c r="J23" s="213">
        <f>+'3'!J23</f>
        <v>0</v>
      </c>
      <c r="K23" s="237"/>
      <c r="L23" s="237"/>
      <c r="M23" s="116">
        <f>+K23+'3'!M23+L23</f>
        <v>0</v>
      </c>
    </row>
    <row r="24" spans="1:13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>
        <v>6</v>
      </c>
      <c r="G24" s="227" t="s">
        <v>11</v>
      </c>
      <c r="H24" s="228" t="s">
        <v>428</v>
      </c>
      <c r="I24" s="753" t="s">
        <v>442</v>
      </c>
      <c r="J24" s="213">
        <f>+'3'!J24</f>
        <v>0</v>
      </c>
      <c r="K24" s="237"/>
      <c r="L24" s="237"/>
      <c r="M24" s="116">
        <f>+K24+'3'!M24+L24</f>
        <v>0</v>
      </c>
    </row>
    <row r="25" spans="1:13" ht="13.5" thickBot="1">
      <c r="A25" s="771"/>
      <c r="B25" s="214" t="s">
        <v>390</v>
      </c>
      <c r="C25" s="224">
        <v>12272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+'3'!J25</f>
        <v>0</v>
      </c>
      <c r="K25" s="237"/>
      <c r="L25" s="237"/>
      <c r="M25" s="116">
        <f>+K25+'3'!M25+L25</f>
        <v>0</v>
      </c>
    </row>
    <row r="26" spans="1:13" ht="13.5" thickBot="1">
      <c r="A26" s="771"/>
      <c r="B26" s="214"/>
      <c r="C26" s="224"/>
      <c r="D26" s="216"/>
      <c r="E26" s="225"/>
      <c r="F26" s="226">
        <v>15</v>
      </c>
      <c r="G26" s="230" t="s">
        <v>11</v>
      </c>
      <c r="H26" s="231" t="s">
        <v>446</v>
      </c>
      <c r="I26" s="754"/>
      <c r="J26" s="213">
        <f>+'3'!J26</f>
        <v>0</v>
      </c>
      <c r="K26" s="237"/>
      <c r="L26" s="237"/>
      <c r="M26" s="116">
        <f>+K26+'3'!M26+L26</f>
        <v>0</v>
      </c>
    </row>
    <row r="27" spans="1:13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434</v>
      </c>
      <c r="I27" s="754"/>
      <c r="J27" s="213">
        <f>+'3'!J27</f>
        <v>0</v>
      </c>
      <c r="K27" s="237"/>
      <c r="L27" s="237"/>
      <c r="M27" s="116">
        <f>+K27+'3'!M27+L27</f>
        <v>0</v>
      </c>
    </row>
    <row r="28" spans="1:13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+'3'!J28</f>
        <v>0</v>
      </c>
      <c r="K28" s="237"/>
      <c r="L28" s="237"/>
      <c r="M28" s="116">
        <f>+K28+'3'!M28+L28</f>
        <v>0</v>
      </c>
    </row>
    <row r="29" spans="1:13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+'3'!J29</f>
        <v>0</v>
      </c>
      <c r="K29" s="237"/>
      <c r="L29" s="237"/>
      <c r="M29" s="116">
        <f>+K29+'3'!M29+L29</f>
        <v>0</v>
      </c>
    </row>
    <row r="30" spans="1:13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+'3'!J30</f>
        <v>0</v>
      </c>
      <c r="K30" s="237"/>
      <c r="L30" s="237"/>
      <c r="M30" s="116">
        <f>+K30+'3'!M30+L30</f>
        <v>0</v>
      </c>
    </row>
    <row r="31" spans="1:13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+'3'!J31</f>
        <v>0</v>
      </c>
      <c r="K31" s="237"/>
      <c r="L31" s="237"/>
      <c r="M31" s="116">
        <f>+K31+'3'!M31+L31</f>
        <v>0</v>
      </c>
    </row>
    <row r="32" spans="1:13" ht="13.5" thickBot="1">
      <c r="A32" s="772"/>
      <c r="B32" s="164" t="s">
        <v>2</v>
      </c>
      <c r="C32" s="98">
        <f>SUM(C25:C31)</f>
        <v>12272</v>
      </c>
      <c r="D32" s="99">
        <f>SUM(D25:D31)</f>
        <v>0</v>
      </c>
      <c r="E32" s="100">
        <f>SUM(E25:E31)</f>
        <v>0</v>
      </c>
      <c r="F32" s="101">
        <f>SUM(F24:F31)</f>
        <v>21</v>
      </c>
      <c r="G32" s="170"/>
      <c r="H32" s="171"/>
      <c r="I32" s="168"/>
      <c r="J32" s="213">
        <f>+'3'!J32</f>
        <v>0</v>
      </c>
      <c r="K32" s="239"/>
      <c r="L32" s="241"/>
      <c r="M32" s="116">
        <f>+K32+'3'!M32+L32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37954</v>
      </c>
      <c r="D34" s="106">
        <f>D14+D23+D32</f>
        <v>0</v>
      </c>
      <c r="E34" s="106">
        <f>E14+E23+E32</f>
        <v>0</v>
      </c>
      <c r="F34" s="107">
        <f>F14+F23+F32</f>
        <v>64</v>
      </c>
      <c r="H34" s="177"/>
      <c r="I34" s="177"/>
      <c r="J34" s="122" t="s">
        <v>27</v>
      </c>
      <c r="K34" s="123">
        <f>SUM(K7:K32)</f>
        <v>37954</v>
      </c>
      <c r="L34" s="211">
        <f>SUM(L7:L32)</f>
        <v>0</v>
      </c>
      <c r="M34" s="119">
        <f>SUM(M7:M32)</f>
        <v>151541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(12*1440)/1440*G42*2.74*1440/1000000</f>
        <v>44.260162559999998</v>
      </c>
      <c r="J37" s="124">
        <f>+I37+'3'!J37</f>
        <v>177.13138245158333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64</v>
      </c>
      <c r="D38" s="117">
        <f>+C38+'3'!D38</f>
        <v>259</v>
      </c>
      <c r="E38" s="142">
        <f t="shared" ref="E38:E51" si="3">D38/60</f>
        <v>4.3166666666666664</v>
      </c>
      <c r="F38" s="320">
        <v>1230</v>
      </c>
      <c r="G38" s="320">
        <v>934.8</v>
      </c>
      <c r="H38" s="186" t="s">
        <v>63</v>
      </c>
      <c r="I38" s="243">
        <f>14.1+11.423+13.911</f>
        <v>39.433999999999997</v>
      </c>
      <c r="J38" s="126">
        <f>+I38+'3'!J38</f>
        <v>156.45099999999999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+C39+'3'!D39</f>
        <v>0</v>
      </c>
      <c r="E39" s="142">
        <f t="shared" si="3"/>
        <v>0</v>
      </c>
      <c r="F39" s="320">
        <v>1230</v>
      </c>
      <c r="G39" s="320">
        <v>934.8</v>
      </c>
      <c r="H39" s="186" t="s">
        <v>64</v>
      </c>
      <c r="I39" s="141"/>
      <c r="J39" s="128">
        <f>J37/G4</f>
        <v>44.282845612895834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+C40+'3'!D40</f>
        <v>0</v>
      </c>
      <c r="E40" s="142">
        <f t="shared" si="3"/>
        <v>0</v>
      </c>
      <c r="F40" s="320">
        <v>1230</v>
      </c>
      <c r="G40" s="320">
        <v>934.8</v>
      </c>
      <c r="H40" s="186" t="s">
        <v>66</v>
      </c>
      <c r="I40" s="117">
        <f>(K34+L34)/1000</f>
        <v>37.954000000000001</v>
      </c>
      <c r="J40" s="130">
        <f>+I40+'3'!J40</f>
        <v>151.541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+C41+'3'!D41</f>
        <v>0</v>
      </c>
      <c r="E41" s="142">
        <f t="shared" si="3"/>
        <v>0</v>
      </c>
      <c r="F41" s="320"/>
      <c r="G41" s="320"/>
      <c r="H41" s="186" t="s">
        <v>68</v>
      </c>
      <c r="I41" s="141"/>
      <c r="J41" s="128">
        <f>J40/G4</f>
        <v>37.885249999999999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+C42+'3'!D42</f>
        <v>0</v>
      </c>
      <c r="E42" s="142">
        <f t="shared" si="3"/>
        <v>0</v>
      </c>
      <c r="F42" s="320">
        <f>+(480*F38+480*F39+480*F40)/1440</f>
        <v>1230</v>
      </c>
      <c r="G42" s="320">
        <f>+(480*G38+480*G39+480*G40)/1440</f>
        <v>934.8</v>
      </c>
      <c r="H42" s="186" t="s">
        <v>69</v>
      </c>
      <c r="I42" s="244" t="s">
        <v>442</v>
      </c>
      <c r="J42" s="131"/>
      <c r="K42" s="129" t="s">
        <v>70</v>
      </c>
    </row>
    <row r="43" spans="1:13" ht="17.45" customHeight="1">
      <c r="A43" s="764" t="s">
        <v>221</v>
      </c>
      <c r="B43" s="765"/>
      <c r="C43" s="163">
        <f>SUMIF($G$7:$G$31,"Change Grade",$F$7:$F$31)</f>
        <v>0</v>
      </c>
      <c r="D43" s="117">
        <f>+C43+'3'!D43</f>
        <v>0</v>
      </c>
      <c r="E43" s="142">
        <f t="shared" si="3"/>
        <v>0</v>
      </c>
      <c r="F43" s="320"/>
      <c r="G43" s="321"/>
      <c r="H43" s="187" t="s">
        <v>72</v>
      </c>
      <c r="I43" s="117">
        <f>+Report1!Z12</f>
        <v>48.2</v>
      </c>
      <c r="J43" s="132">
        <f>+I43+'3'!J43</f>
        <v>193.2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+C44+'3'!D44</f>
        <v>0</v>
      </c>
      <c r="E44" s="142">
        <f t="shared" si="3"/>
        <v>0</v>
      </c>
      <c r="F44" s="320"/>
      <c r="G44" s="321"/>
      <c r="H44" s="187" t="s">
        <v>73</v>
      </c>
      <c r="I44" s="117">
        <f>+Report1!Z12</f>
        <v>48.2</v>
      </c>
      <c r="J44" s="133">
        <f>J43/J38</f>
        <v>1.2348914356571705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+C45+'3'!D45</f>
        <v>0</v>
      </c>
      <c r="E45" s="142">
        <f t="shared" si="3"/>
        <v>0</v>
      </c>
      <c r="F45" s="320"/>
      <c r="G45" s="323"/>
      <c r="H45" s="187" t="s">
        <v>74</v>
      </c>
      <c r="I45" s="117">
        <f>I43/I40</f>
        <v>1.269958370659219</v>
      </c>
      <c r="J45" s="133">
        <f>J43/J40</f>
        <v>1.2749025016332214</v>
      </c>
      <c r="K45" s="129" t="s">
        <v>62</v>
      </c>
    </row>
    <row r="46" spans="1:13" ht="17.45" customHeight="1">
      <c r="A46" s="764" t="s">
        <v>285</v>
      </c>
      <c r="B46" s="765"/>
      <c r="C46" s="163">
        <f>SUMIF($G$7:$G$31,"Sinergy",$F$7:$F$31)</f>
        <v>0</v>
      </c>
      <c r="D46" s="117">
        <f>+C46+'3'!D46</f>
        <v>0</v>
      </c>
      <c r="E46" s="142">
        <f t="shared" si="3"/>
        <v>0</v>
      </c>
      <c r="F46" s="320"/>
      <c r="G46" s="321"/>
      <c r="H46" s="187" t="s">
        <v>76</v>
      </c>
      <c r="I46" s="139">
        <f>+SUMIF(Listrik!P11,"&gt;0")</f>
        <v>40047.000000001455</v>
      </c>
      <c r="J46" s="134">
        <f>+I46+'3'!J46</f>
        <v>156515.64000000001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+C47+'3'!D47</f>
        <v>0</v>
      </c>
      <c r="E47" s="142">
        <f t="shared" si="3"/>
        <v>0</v>
      </c>
      <c r="F47" s="320"/>
      <c r="G47" s="321"/>
      <c r="H47" s="187" t="s">
        <v>79</v>
      </c>
      <c r="I47" s="117">
        <f>I46/I38</f>
        <v>1015.544961201031</v>
      </c>
      <c r="J47" s="134">
        <f>J46/J38</f>
        <v>1000.4131645051807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+C48+'3'!D48</f>
        <v>0</v>
      </c>
      <c r="E48" s="142">
        <f t="shared" si="3"/>
        <v>0</v>
      </c>
      <c r="F48" s="320"/>
      <c r="G48" s="321"/>
      <c r="H48" s="187" t="s">
        <v>80</v>
      </c>
      <c r="I48" s="117">
        <f>I46/I40</f>
        <v>1055.1457026927717</v>
      </c>
      <c r="J48" s="134">
        <f>J46/J40</f>
        <v>1032.8270237097552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+C49+'3'!D49</f>
        <v>0</v>
      </c>
      <c r="E49" s="142">
        <f t="shared" si="3"/>
        <v>0</v>
      </c>
      <c r="F49" s="184"/>
      <c r="H49" s="187" t="s">
        <v>269</v>
      </c>
      <c r="I49" s="117">
        <f>+Report1!T12</f>
        <v>5173.5017617810954</v>
      </c>
      <c r="J49" s="134">
        <f>+I49+'3'!J49</f>
        <v>21197.056725468694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+C50+'3'!D50</f>
        <v>0</v>
      </c>
      <c r="E50" s="142">
        <f t="shared" si="3"/>
        <v>0</v>
      </c>
      <c r="F50" s="184"/>
      <c r="H50" s="187" t="s">
        <v>82</v>
      </c>
      <c r="I50" s="139">
        <f>I49/I38</f>
        <v>131.19393827106293</v>
      </c>
      <c r="J50" s="132">
        <f>J49/J38</f>
        <v>135.48687272991987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+C51+'3'!D51</f>
        <v>0</v>
      </c>
      <c r="E51" s="142">
        <f t="shared" si="3"/>
        <v>0</v>
      </c>
      <c r="F51" s="184"/>
      <c r="H51" s="189" t="s">
        <v>84</v>
      </c>
      <c r="I51" s="140">
        <f>I49/I40</f>
        <v>136.30978979240911</v>
      </c>
      <c r="J51" s="135">
        <f>J49/J40</f>
        <v>139.87671142112495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64</v>
      </c>
      <c r="D52" s="143">
        <f>SUM(D38:D51)</f>
        <v>259</v>
      </c>
      <c r="E52" s="144">
        <f>SUM(E38:E51)</f>
        <v>4.3166666666666664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4.4444444444444446E-2</v>
      </c>
      <c r="D53" s="145">
        <f>D52/(24*60*G4)</f>
        <v>4.4965277777777778E-2</v>
      </c>
      <c r="E53" s="146">
        <f>E52/(G4*24)</f>
        <v>4.4965277777777778E-2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+D34+'3'!J56</f>
        <v>1030</v>
      </c>
      <c r="K56" s="200">
        <f>J56/(J40+J56/1000)/1000</f>
        <v>6.7509552929455796E-3</v>
      </c>
    </row>
    <row r="57" spans="1:11">
      <c r="A57" s="175"/>
      <c r="I57" s="198" t="s">
        <v>87</v>
      </c>
      <c r="J57" s="199">
        <f>+E34+'3'!J57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zoomScale="80" zoomScaleNormal="75" zoomScaleSheetLayoutView="80" workbookViewId="0">
      <selection activeCell="B7" sqref="B7:C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1.42578125" style="148" bestFit="1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3.7109375" style="148" bestFit="1" customWidth="1"/>
    <col min="12" max="12" width="8.28515625" style="148" customWidth="1"/>
    <col min="13" max="13" width="14.5703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3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440</v>
      </c>
      <c r="O6" s="148">
        <v>1170</v>
      </c>
      <c r="P6" s="148">
        <v>865.8</v>
      </c>
      <c r="Q6" s="148">
        <v>10</v>
      </c>
      <c r="R6" s="148">
        <f t="shared" ref="R6:R7" si="0">+O6*Q6</f>
        <v>11700</v>
      </c>
      <c r="S6" s="148">
        <f t="shared" ref="S6:S7" si="1">+P6*Q6</f>
        <v>8658</v>
      </c>
    </row>
    <row r="7" spans="1:19" ht="13.5" customHeight="1" thickBot="1">
      <c r="A7" s="750" t="s">
        <v>391</v>
      </c>
      <c r="B7" s="214" t="s">
        <v>415</v>
      </c>
      <c r="C7" s="215">
        <v>3676</v>
      </c>
      <c r="D7" s="216"/>
      <c r="E7" s="217"/>
      <c r="F7" s="226"/>
      <c r="G7" s="227" t="s">
        <v>11</v>
      </c>
      <c r="H7" s="228" t="s">
        <v>385</v>
      </c>
      <c r="I7" s="753" t="s">
        <v>452</v>
      </c>
      <c r="J7" s="213" t="str">
        <f>+'2'!J7</f>
        <v>T 13 VP OW</v>
      </c>
      <c r="K7" s="236">
        <f>+C7</f>
        <v>3676</v>
      </c>
      <c r="L7" s="240"/>
      <c r="M7" s="116">
        <f>+K7+'2'!M7+L7</f>
        <v>79167</v>
      </c>
      <c r="O7" s="148">
        <v>1190</v>
      </c>
      <c r="P7" s="148">
        <v>892.5</v>
      </c>
      <c r="Q7" s="148">
        <v>470</v>
      </c>
      <c r="R7" s="148">
        <f t="shared" si="0"/>
        <v>559300</v>
      </c>
      <c r="S7" s="148">
        <f t="shared" si="1"/>
        <v>419475</v>
      </c>
    </row>
    <row r="8" spans="1:19" ht="13.5" thickBot="1">
      <c r="A8" s="751"/>
      <c r="B8" s="214" t="s">
        <v>390</v>
      </c>
      <c r="C8" s="215">
        <f>4241+3721</f>
        <v>7962</v>
      </c>
      <c r="D8" s="216"/>
      <c r="E8" s="218"/>
      <c r="F8" s="229">
        <v>9</v>
      </c>
      <c r="G8" s="230" t="s">
        <v>11</v>
      </c>
      <c r="H8" s="228" t="s">
        <v>387</v>
      </c>
      <c r="I8" s="754"/>
      <c r="J8" s="213" t="s">
        <v>390</v>
      </c>
      <c r="K8" s="237">
        <f>+C8+C16+C25</f>
        <v>34420</v>
      </c>
      <c r="L8" s="237"/>
      <c r="M8" s="116">
        <f>+K8+'2'!M8+L8</f>
        <v>34420</v>
      </c>
    </row>
    <row r="9" spans="1:19" ht="13.5" thickBot="1">
      <c r="A9" s="751"/>
      <c r="B9" s="214"/>
      <c r="C9" s="215"/>
      <c r="D9" s="216"/>
      <c r="E9" s="219"/>
      <c r="F9" s="226">
        <f>23-9</f>
        <v>14</v>
      </c>
      <c r="G9" s="230" t="s">
        <v>11</v>
      </c>
      <c r="H9" s="231" t="s">
        <v>386</v>
      </c>
      <c r="I9" s="754"/>
      <c r="J9" s="213">
        <f>+'2'!J9</f>
        <v>0</v>
      </c>
      <c r="K9" s="237"/>
      <c r="L9" s="237"/>
      <c r="M9" s="116">
        <f>+K9+'2'!M9+L9</f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451</v>
      </c>
      <c r="I10" s="754"/>
      <c r="J10" s="213">
        <f>+'2'!J10</f>
        <v>0</v>
      </c>
      <c r="K10" s="237"/>
      <c r="L10" s="237"/>
      <c r="M10" s="116">
        <f>+K10+'2'!M10+L10</f>
        <v>0</v>
      </c>
    </row>
    <row r="11" spans="1:19" ht="26.25" thickBot="1">
      <c r="A11" s="751"/>
      <c r="B11" s="214"/>
      <c r="C11" s="215"/>
      <c r="D11" s="216"/>
      <c r="E11" s="218"/>
      <c r="F11" s="226"/>
      <c r="G11" s="230"/>
      <c r="H11" s="231" t="s">
        <v>439</v>
      </c>
      <c r="I11" s="754"/>
      <c r="J11" s="213">
        <f>+'2'!J11</f>
        <v>0</v>
      </c>
      <c r="K11" s="237"/>
      <c r="L11" s="237"/>
      <c r="M11" s="116">
        <f>+K11+'2'!M11+L11</f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 t="s">
        <v>450</v>
      </c>
      <c r="I12" s="754"/>
      <c r="J12" s="213">
        <f>+'2'!J12</f>
        <v>0</v>
      </c>
      <c r="K12" s="237"/>
      <c r="L12" s="237"/>
      <c r="M12" s="116">
        <f>+K12+'2'!M12+L12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+'2'!J13</f>
        <v>0</v>
      </c>
      <c r="K13" s="237"/>
      <c r="L13" s="237"/>
      <c r="M13" s="116">
        <f>+K13+'2'!M13+L13</f>
        <v>0</v>
      </c>
    </row>
    <row r="14" spans="1:19" ht="13.5" thickBot="1">
      <c r="A14" s="752"/>
      <c r="B14" s="164" t="s">
        <v>2</v>
      </c>
      <c r="C14" s="98">
        <f>SUM(C7:C13)</f>
        <v>11638</v>
      </c>
      <c r="D14" s="110">
        <f>SUM(D7:D13)</f>
        <v>0</v>
      </c>
      <c r="E14" s="111">
        <f>SUM(E5:E13)</f>
        <v>0</v>
      </c>
      <c r="F14" s="115">
        <f>SUM(F7:F13)</f>
        <v>23</v>
      </c>
      <c r="G14" s="158"/>
      <c r="H14" s="165"/>
      <c r="I14" s="166"/>
      <c r="J14" s="213">
        <f>+'2'!J14</f>
        <v>0</v>
      </c>
      <c r="K14" s="237"/>
      <c r="L14" s="237"/>
      <c r="M14" s="116">
        <f>+K14+'2'!M14+L14</f>
        <v>0</v>
      </c>
      <c r="Q14" s="175">
        <f>SUM(Q6:Q11)</f>
        <v>480</v>
      </c>
      <c r="R14" s="175">
        <f>SUM(R6:R11)</f>
        <v>571000</v>
      </c>
      <c r="S14" s="175">
        <f>SUM(S6:S11)</f>
        <v>428133</v>
      </c>
    </row>
    <row r="15" spans="1:19" ht="13.5" customHeight="1" thickBot="1">
      <c r="A15" s="750" t="s">
        <v>389</v>
      </c>
      <c r="B15" s="164"/>
      <c r="C15" s="112">
        <f>C14/($C$23+$D$23+$E$23)</f>
        <v>0.88887191629114792</v>
      </c>
      <c r="D15" s="113">
        <f>D14/($C$23+$D$23+$E$23)</f>
        <v>0</v>
      </c>
      <c r="E15" s="114">
        <f>E14/($C$23+$D$23+$E$23)</f>
        <v>0</v>
      </c>
      <c r="F15" s="226">
        <v>4</v>
      </c>
      <c r="G15" s="227" t="s">
        <v>11</v>
      </c>
      <c r="H15" s="228" t="s">
        <v>445</v>
      </c>
      <c r="I15" s="753" t="s">
        <v>443</v>
      </c>
      <c r="J15" s="213">
        <f>+'2'!J15</f>
        <v>0</v>
      </c>
      <c r="K15" s="237"/>
      <c r="L15" s="237"/>
      <c r="M15" s="116">
        <f>+K15+'2'!M15+L15</f>
        <v>0</v>
      </c>
      <c r="Q15" s="148">
        <f>480-Q14</f>
        <v>0</v>
      </c>
      <c r="R15" s="175">
        <f>+R14/Q14</f>
        <v>1189.5833333333333</v>
      </c>
      <c r="S15" s="175">
        <f>+S14/Q14</f>
        <v>891.94375000000002</v>
      </c>
    </row>
    <row r="16" spans="1:19" ht="13.5" thickBot="1">
      <c r="A16" s="771"/>
      <c r="B16" s="214" t="s">
        <v>390</v>
      </c>
      <c r="C16" s="220">
        <v>13093</v>
      </c>
      <c r="D16" s="221"/>
      <c r="E16" s="222"/>
      <c r="F16" s="229"/>
      <c r="G16" s="230" t="s">
        <v>11</v>
      </c>
      <c r="H16" s="228" t="s">
        <v>427</v>
      </c>
      <c r="I16" s="754"/>
      <c r="J16" s="213">
        <f>+'2'!J16</f>
        <v>0</v>
      </c>
      <c r="K16" s="227"/>
      <c r="L16" s="227"/>
      <c r="M16" s="116">
        <f>+K16+'2'!M16+L16</f>
        <v>0</v>
      </c>
      <c r="Q16" s="175"/>
      <c r="R16" s="175"/>
    </row>
    <row r="17" spans="1:19" ht="13.5" thickBot="1">
      <c r="A17" s="771"/>
      <c r="B17" s="214"/>
      <c r="C17" s="215"/>
      <c r="D17" s="216"/>
      <c r="E17" s="223"/>
      <c r="F17" s="226">
        <v>16</v>
      </c>
      <c r="G17" s="230" t="s">
        <v>11</v>
      </c>
      <c r="H17" s="231" t="s">
        <v>409</v>
      </c>
      <c r="I17" s="754"/>
      <c r="J17" s="213">
        <f>+'2'!J17</f>
        <v>0</v>
      </c>
      <c r="K17" s="227"/>
      <c r="L17" s="227"/>
      <c r="M17" s="116">
        <f>+K17+'2'!M17+L17</f>
        <v>0</v>
      </c>
      <c r="N17" s="148" t="s">
        <v>440</v>
      </c>
      <c r="O17" s="148">
        <v>1190</v>
      </c>
      <c r="P17" s="148">
        <f>+O17-(O17*0.25)</f>
        <v>892.5</v>
      </c>
      <c r="Q17" s="148">
        <f>480-10</f>
        <v>470</v>
      </c>
      <c r="R17" s="148">
        <f t="shared" ref="R17:R19" si="2">+O17*Q17</f>
        <v>559300</v>
      </c>
      <c r="S17" s="148">
        <f t="shared" ref="S17:S19" si="3">+P17*Q17</f>
        <v>419475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441</v>
      </c>
      <c r="I18" s="754"/>
      <c r="J18" s="213">
        <f>+'2'!J18</f>
        <v>0</v>
      </c>
      <c r="K18" s="237"/>
      <c r="L18" s="237"/>
      <c r="M18" s="116">
        <f>+K18+'2'!M18+L18</f>
        <v>0</v>
      </c>
      <c r="O18" s="148">
        <v>1230</v>
      </c>
      <c r="P18" s="148">
        <f>+O18-(O18*0.25)</f>
        <v>922.5</v>
      </c>
      <c r="Q18" s="148">
        <v>480</v>
      </c>
      <c r="R18" s="148">
        <f t="shared" si="2"/>
        <v>590400</v>
      </c>
      <c r="S18" s="148">
        <f t="shared" si="3"/>
        <v>442800</v>
      </c>
    </row>
    <row r="19" spans="1:19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+'2'!J19</f>
        <v>0</v>
      </c>
      <c r="K19" s="237"/>
      <c r="L19" s="237"/>
      <c r="M19" s="116">
        <f>+K19+'2'!M19+L19</f>
        <v>0</v>
      </c>
      <c r="O19" s="148">
        <v>1230</v>
      </c>
      <c r="P19" s="148">
        <f>+O19-(O19*0.24)</f>
        <v>934.8</v>
      </c>
      <c r="Q19" s="148">
        <v>480</v>
      </c>
      <c r="R19" s="148">
        <f t="shared" si="2"/>
        <v>590400</v>
      </c>
      <c r="S19" s="148">
        <f t="shared" si="3"/>
        <v>448704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+'2'!J20</f>
        <v>0</v>
      </c>
      <c r="K20" s="238"/>
      <c r="L20" s="238"/>
      <c r="M20" s="116">
        <f>+K20+'2'!M20+L20</f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+'2'!J21</f>
        <v>0</v>
      </c>
      <c r="K21" s="237"/>
      <c r="L21" s="237"/>
      <c r="M21" s="116">
        <f>+K21+'2'!M21+L21</f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+'2'!J22</f>
        <v>0</v>
      </c>
      <c r="K22" s="237"/>
      <c r="L22" s="237"/>
      <c r="M22" s="116">
        <f>+K22+'2'!M22+L22</f>
        <v>0</v>
      </c>
    </row>
    <row r="23" spans="1:19" ht="13.5" thickBot="1">
      <c r="A23" s="772"/>
      <c r="B23" s="167" t="s">
        <v>2</v>
      </c>
      <c r="C23" s="99">
        <f>SUM(C16:C22)</f>
        <v>13093</v>
      </c>
      <c r="D23" s="110">
        <f>SUM(D16:D22)</f>
        <v>0</v>
      </c>
      <c r="E23" s="111">
        <f>SUM(E18:E22)</f>
        <v>0</v>
      </c>
      <c r="F23" s="115">
        <f>SUM(F15:F22)</f>
        <v>20</v>
      </c>
      <c r="G23" s="158"/>
      <c r="H23" s="165"/>
      <c r="I23" s="168"/>
      <c r="J23" s="213">
        <f>+'2'!J23</f>
        <v>0</v>
      </c>
      <c r="K23" s="237"/>
      <c r="L23" s="237"/>
      <c r="M23" s="116">
        <f>+K23+'2'!M23+L23</f>
        <v>0</v>
      </c>
    </row>
    <row r="24" spans="1:19" ht="13.5" customHeight="1" thickBot="1">
      <c r="A24" s="750" t="s">
        <v>431</v>
      </c>
      <c r="B24" s="169"/>
      <c r="C24" s="112">
        <f>C23/($C$23+$D$23+$E$23)</f>
        <v>1</v>
      </c>
      <c r="D24" s="113">
        <f>D23/($C$23+$D$23+$E$23)</f>
        <v>0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442</v>
      </c>
      <c r="J24" s="213">
        <f>+'2'!J24</f>
        <v>0</v>
      </c>
      <c r="K24" s="237"/>
      <c r="L24" s="237"/>
      <c r="M24" s="116">
        <f>+K24+'2'!M24+L24</f>
        <v>0</v>
      </c>
    </row>
    <row r="25" spans="1:19" ht="13.5" thickBot="1">
      <c r="A25" s="771"/>
      <c r="B25" s="214" t="s">
        <v>390</v>
      </c>
      <c r="C25" s="224">
        <v>13365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+'2'!J25</f>
        <v>0</v>
      </c>
      <c r="K25" s="237"/>
      <c r="L25" s="237"/>
      <c r="M25" s="116">
        <f>+K25+'2'!M25+L25</f>
        <v>0</v>
      </c>
      <c r="Q25" s="175">
        <f>SUM(Q17:Q22)</f>
        <v>1430</v>
      </c>
      <c r="R25" s="175">
        <f>SUM(R17:R22)</f>
        <v>1740100</v>
      </c>
      <c r="S25" s="175">
        <f>SUM(S17:S22)</f>
        <v>1310979</v>
      </c>
    </row>
    <row r="26" spans="1:19" ht="13.5" thickBot="1">
      <c r="A26" s="771"/>
      <c r="B26" s="214"/>
      <c r="C26" s="224"/>
      <c r="D26" s="216"/>
      <c r="E26" s="225"/>
      <c r="F26" s="226">
        <v>18</v>
      </c>
      <c r="G26" s="230" t="s">
        <v>11</v>
      </c>
      <c r="H26" s="231" t="s">
        <v>409</v>
      </c>
      <c r="I26" s="754"/>
      <c r="J26" s="213">
        <f>+'2'!J26</f>
        <v>0</v>
      </c>
      <c r="K26" s="237"/>
      <c r="L26" s="237"/>
      <c r="M26" s="116">
        <f>+K26+'2'!M26+L26</f>
        <v>0</v>
      </c>
      <c r="Q26" s="148">
        <f>480-Q25</f>
        <v>-950</v>
      </c>
      <c r="R26" s="175">
        <f>+R25/Q25</f>
        <v>1216.8531468531469</v>
      </c>
      <c r="S26" s="175">
        <f>+S25/Q25</f>
        <v>916.76853146853148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438</v>
      </c>
      <c r="I27" s="754"/>
      <c r="J27" s="213">
        <f>+'2'!J27</f>
        <v>0</v>
      </c>
      <c r="K27" s="237"/>
      <c r="L27" s="237"/>
      <c r="M27" s="116">
        <f>+K27+'2'!M27+L27</f>
        <v>0</v>
      </c>
    </row>
    <row r="28" spans="1:19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+'2'!J28</f>
        <v>0</v>
      </c>
      <c r="K28" s="237"/>
      <c r="L28" s="237"/>
      <c r="M28" s="116">
        <f>+K28+'2'!M28+L28</f>
        <v>0</v>
      </c>
      <c r="N28" s="148" t="s">
        <v>404</v>
      </c>
      <c r="O28" s="148">
        <v>1170</v>
      </c>
      <c r="P28" s="148">
        <v>865.8</v>
      </c>
      <c r="Q28" s="148">
        <v>10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+'2'!J29</f>
        <v>0</v>
      </c>
      <c r="K29" s="237"/>
      <c r="L29" s="237"/>
      <c r="M29" s="116">
        <f>+K29+'2'!M29+L29</f>
        <v>0</v>
      </c>
      <c r="N29" s="148" t="s">
        <v>440</v>
      </c>
      <c r="O29" s="148">
        <v>1216.8531468531469</v>
      </c>
      <c r="P29" s="148">
        <v>916.76853146853148</v>
      </c>
      <c r="Q29" s="148">
        <v>1430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+'2'!J30</f>
        <v>0</v>
      </c>
      <c r="K30" s="237"/>
      <c r="L30" s="237"/>
      <c r="M30" s="116">
        <f>+K30+'2'!M30+L30</f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+'2'!J31</f>
        <v>0</v>
      </c>
      <c r="K31" s="237"/>
      <c r="L31" s="237"/>
      <c r="M31" s="116">
        <f>+K31+'2'!M31+L31</f>
        <v>0</v>
      </c>
    </row>
    <row r="32" spans="1:19" ht="13.5" thickBot="1">
      <c r="A32" s="772"/>
      <c r="B32" s="164" t="s">
        <v>2</v>
      </c>
      <c r="C32" s="98">
        <f>SUM(C25:C31)</f>
        <v>13365</v>
      </c>
      <c r="D32" s="99">
        <f>SUM(D25:D31)</f>
        <v>0</v>
      </c>
      <c r="E32" s="100">
        <f>SUM(E25:E31)</f>
        <v>0</v>
      </c>
      <c r="F32" s="101">
        <f>SUM(F24:F31)</f>
        <v>18</v>
      </c>
      <c r="G32" s="170"/>
      <c r="H32" s="171"/>
      <c r="I32" s="168"/>
      <c r="J32" s="213">
        <f>+'2'!J32</f>
        <v>0</v>
      </c>
      <c r="K32" s="239"/>
      <c r="L32" s="241"/>
      <c r="M32" s="116">
        <f>+K32+'2'!M32+L32</f>
        <v>0</v>
      </c>
    </row>
    <row r="33" spans="1:13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3" ht="13.5" thickBot="1">
      <c r="A34" s="758" t="s">
        <v>56</v>
      </c>
      <c r="B34" s="759"/>
      <c r="C34" s="106">
        <f>C14+C23+C32</f>
        <v>38096</v>
      </c>
      <c r="D34" s="106">
        <f>D14+D23+D32</f>
        <v>0</v>
      </c>
      <c r="E34" s="106">
        <f>E14+E23+E32</f>
        <v>0</v>
      </c>
      <c r="F34" s="107">
        <f>F14+F23+F32</f>
        <v>61</v>
      </c>
      <c r="H34" s="177"/>
      <c r="I34" s="177"/>
      <c r="J34" s="122" t="s">
        <v>27</v>
      </c>
      <c r="K34" s="123">
        <f>SUM(K7:K32)</f>
        <v>38096</v>
      </c>
      <c r="L34" s="211">
        <f>SUM(L7:L32)</f>
        <v>0</v>
      </c>
      <c r="M34" s="119">
        <f>SUM(M7:M32)</f>
        <v>113587</v>
      </c>
    </row>
    <row r="35" spans="1:13" ht="13.5" thickBot="1">
      <c r="A35" s="178"/>
      <c r="B35" s="179"/>
      <c r="C35" s="103">
        <f>C34/($C$34+$D$34+$E$34)</f>
        <v>1</v>
      </c>
      <c r="D35" s="103">
        <f>D34/($C$34+$D$34+$E$34)</f>
        <v>0</v>
      </c>
      <c r="E35" s="108">
        <f>E34/($C$34+$D$34+$E$34)</f>
        <v>0</v>
      </c>
      <c r="K35" s="154"/>
    </row>
    <row r="36" spans="1:13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3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(13*10+12*1430)/1440*G42*2.74*1440/1000000</f>
        <v>43.414774319583344</v>
      </c>
      <c r="J37" s="124">
        <f>+I37+'2'!J37</f>
        <v>132.87121989158334</v>
      </c>
      <c r="K37" s="125" t="s">
        <v>62</v>
      </c>
    </row>
    <row r="38" spans="1:13" ht="17.45" customHeight="1">
      <c r="A38" s="762" t="s">
        <v>11</v>
      </c>
      <c r="B38" s="763"/>
      <c r="C38" s="163">
        <f>SUMIF($G$7:$G$31,"Process",$F$7:$F$31)</f>
        <v>61</v>
      </c>
      <c r="D38" s="117">
        <f>+C38+'2'!D38</f>
        <v>195</v>
      </c>
      <c r="E38" s="142">
        <f t="shared" ref="E38:E51" si="4">D38/60</f>
        <v>3.25</v>
      </c>
      <c r="F38" s="320">
        <v>1189.5833333333333</v>
      </c>
      <c r="G38" s="320">
        <v>891.94375000000002</v>
      </c>
      <c r="H38" s="186" t="s">
        <v>63</v>
      </c>
      <c r="I38" s="243">
        <f>11.816+13.849+13.314</f>
        <v>38.978999999999999</v>
      </c>
      <c r="J38" s="126">
        <f>+I38+'2'!J38</f>
        <v>117.017</v>
      </c>
      <c r="K38" s="127" t="s">
        <v>62</v>
      </c>
    </row>
    <row r="39" spans="1:13" ht="17.45" customHeight="1">
      <c r="A39" s="764" t="s">
        <v>12</v>
      </c>
      <c r="B39" s="765"/>
      <c r="C39" s="163">
        <f>SUMIF($G$7:$G$31,"Cleaning",$F$7:$F$31)</f>
        <v>0</v>
      </c>
      <c r="D39" s="117">
        <f>+C39+'2'!D39</f>
        <v>0</v>
      </c>
      <c r="E39" s="142">
        <f t="shared" si="4"/>
        <v>0</v>
      </c>
      <c r="F39" s="320">
        <v>1230</v>
      </c>
      <c r="G39" s="320">
        <v>922.5</v>
      </c>
      <c r="H39" s="186" t="s">
        <v>64</v>
      </c>
      <c r="I39" s="141"/>
      <c r="J39" s="128">
        <f>J37/G4</f>
        <v>44.290406630527777</v>
      </c>
      <c r="K39" s="129" t="s">
        <v>62</v>
      </c>
    </row>
    <row r="40" spans="1:13" ht="17.45" customHeight="1">
      <c r="A40" s="764" t="s">
        <v>65</v>
      </c>
      <c r="B40" s="765"/>
      <c r="C40" s="163">
        <f>SUMIF($G$7:$G$31,"Mechanical",$F$7:$F$31)</f>
        <v>0</v>
      </c>
      <c r="D40" s="117">
        <f>+C40+'2'!D40</f>
        <v>0</v>
      </c>
      <c r="E40" s="142">
        <f t="shared" si="4"/>
        <v>0</v>
      </c>
      <c r="F40" s="320">
        <v>1230</v>
      </c>
      <c r="G40" s="320">
        <v>934.8</v>
      </c>
      <c r="H40" s="186" t="s">
        <v>66</v>
      </c>
      <c r="I40" s="117">
        <f>(K34+L34)/1000</f>
        <v>38.095999999999997</v>
      </c>
      <c r="J40" s="130">
        <f>+I40+'2'!J40</f>
        <v>113.58699999999999</v>
      </c>
      <c r="K40" s="129" t="s">
        <v>62</v>
      </c>
    </row>
    <row r="41" spans="1:13" ht="17.45" customHeight="1">
      <c r="A41" s="764" t="s">
        <v>67</v>
      </c>
      <c r="B41" s="765"/>
      <c r="C41" s="163">
        <f>SUMIF($G$7:$G$31,"Electrical",$F$7:$F$31)</f>
        <v>0</v>
      </c>
      <c r="D41" s="117">
        <f>+C41+'2'!D41</f>
        <v>0</v>
      </c>
      <c r="E41" s="142">
        <f t="shared" si="4"/>
        <v>0</v>
      </c>
      <c r="F41" s="320"/>
      <c r="G41" s="320"/>
      <c r="H41" s="186" t="s">
        <v>68</v>
      </c>
      <c r="I41" s="141"/>
      <c r="J41" s="128">
        <f>J40/G4</f>
        <v>37.862333333333332</v>
      </c>
      <c r="K41" s="129" t="s">
        <v>62</v>
      </c>
    </row>
    <row r="42" spans="1:13" ht="17.45" customHeight="1">
      <c r="A42" s="764" t="s">
        <v>15</v>
      </c>
      <c r="B42" s="765"/>
      <c r="C42" s="163">
        <f>SUMIF($G$7:$G$31,"Instrument",$F$7:$F$31)</f>
        <v>0</v>
      </c>
      <c r="D42" s="117">
        <f>+C42+'2'!D42</f>
        <v>0</v>
      </c>
      <c r="E42" s="142">
        <f t="shared" si="4"/>
        <v>0</v>
      </c>
      <c r="F42" s="320">
        <f>+(F38*480+F39*480+F40*480)/1440</f>
        <v>1216.5277777777778</v>
      </c>
      <c r="G42" s="320">
        <f>+(G38*480+G39*480+G40*480)/1440</f>
        <v>916.41458333333333</v>
      </c>
      <c r="H42" s="186" t="s">
        <v>69</v>
      </c>
      <c r="I42" s="244" t="s">
        <v>444</v>
      </c>
      <c r="J42" s="131"/>
      <c r="K42" s="129" t="s">
        <v>70</v>
      </c>
    </row>
    <row r="43" spans="1:13" ht="17.45" customHeight="1">
      <c r="A43" s="764" t="s">
        <v>71</v>
      </c>
      <c r="B43" s="765"/>
      <c r="C43" s="163">
        <f>SUMIF($G$7:$G$31,"Water",$F$7:$F$31)</f>
        <v>0</v>
      </c>
      <c r="D43" s="117">
        <f>+C43+'2'!D43</f>
        <v>0</v>
      </c>
      <c r="E43" s="142">
        <f t="shared" si="4"/>
        <v>0</v>
      </c>
      <c r="F43" s="320"/>
      <c r="G43" s="321"/>
      <c r="H43" s="187" t="s">
        <v>72</v>
      </c>
      <c r="I43" s="117">
        <f>+Report1!Z11</f>
        <v>47.2</v>
      </c>
      <c r="J43" s="132">
        <f>+I43+'2'!J43</f>
        <v>145</v>
      </c>
      <c r="K43" s="129" t="s">
        <v>62</v>
      </c>
      <c r="L43" s="188"/>
    </row>
    <row r="44" spans="1:13" ht="17.45" customHeight="1">
      <c r="A44" s="764" t="s">
        <v>16</v>
      </c>
      <c r="B44" s="765"/>
      <c r="C44" s="163">
        <f>SUMIF($G$7:$G$31,"PLN",$F$7:$F$31)</f>
        <v>0</v>
      </c>
      <c r="D44" s="117">
        <f>+C44+'2'!D44</f>
        <v>0</v>
      </c>
      <c r="E44" s="142">
        <f t="shared" si="4"/>
        <v>0</v>
      </c>
      <c r="F44" s="320"/>
      <c r="G44" s="321"/>
      <c r="H44" s="187" t="s">
        <v>73</v>
      </c>
      <c r="I44" s="117">
        <f>I43/I38</f>
        <v>1.2109084378768056</v>
      </c>
      <c r="J44" s="133">
        <f>J43/J38</f>
        <v>1.2391361938863585</v>
      </c>
      <c r="K44" s="129" t="s">
        <v>62</v>
      </c>
    </row>
    <row r="45" spans="1:13" ht="17.45" customHeight="1">
      <c r="A45" s="764" t="s">
        <v>17</v>
      </c>
      <c r="B45" s="765"/>
      <c r="C45" s="163">
        <f>SUMIF($G$7:$G$31,"Boiler",$F$7:$F$31)</f>
        <v>0</v>
      </c>
      <c r="D45" s="117">
        <f>+C45+'2'!D45</f>
        <v>0</v>
      </c>
      <c r="E45" s="142">
        <f t="shared" si="4"/>
        <v>0</v>
      </c>
      <c r="F45" s="320"/>
      <c r="G45" s="323"/>
      <c r="H45" s="187" t="s">
        <v>74</v>
      </c>
      <c r="I45" s="117">
        <f>I43/I40</f>
        <v>1.2389752204955902</v>
      </c>
      <c r="J45" s="133">
        <f>J43/J40</f>
        <v>1.2765545352901302</v>
      </c>
      <c r="K45" s="129" t="s">
        <v>62</v>
      </c>
    </row>
    <row r="46" spans="1:13" ht="17.45" customHeight="1">
      <c r="A46" s="764" t="s">
        <v>75</v>
      </c>
      <c r="B46" s="765"/>
      <c r="C46" s="163">
        <f>SUMIF($G$7:$G$31,"Gas",$F$7:$F$31)</f>
        <v>0</v>
      </c>
      <c r="D46" s="117">
        <f>+C46+'2'!D46</f>
        <v>0</v>
      </c>
      <c r="E46" s="142">
        <f t="shared" si="4"/>
        <v>0</v>
      </c>
      <c r="F46" s="320"/>
      <c r="G46" s="321"/>
      <c r="H46" s="187" t="s">
        <v>76</v>
      </c>
      <c r="I46" s="139">
        <f>+SUMIF(Listrik!P10,"&gt;0")</f>
        <v>37896.559999998542</v>
      </c>
      <c r="J46" s="134">
        <f>+I46+'2'!J46</f>
        <v>116468.63999999854</v>
      </c>
      <c r="K46" s="129" t="s">
        <v>77</v>
      </c>
    </row>
    <row r="47" spans="1:13" ht="17.45" customHeight="1">
      <c r="A47" s="764" t="s">
        <v>78</v>
      </c>
      <c r="B47" s="765"/>
      <c r="C47" s="163">
        <f>SUMIF($G$7:$G$31,"Gas",$F$7:$F$31)</f>
        <v>0</v>
      </c>
      <c r="D47" s="117">
        <f>+C47+'2'!D47</f>
        <v>0</v>
      </c>
      <c r="E47" s="142">
        <f t="shared" si="4"/>
        <v>0</v>
      </c>
      <c r="F47" s="320"/>
      <c r="G47" s="321"/>
      <c r="H47" s="187" t="s">
        <v>79</v>
      </c>
      <c r="I47" s="117">
        <f>I46/I38</f>
        <v>972.23017522251837</v>
      </c>
      <c r="J47" s="134">
        <f>J46/J38</f>
        <v>995.31384328771503</v>
      </c>
      <c r="K47" s="129" t="s">
        <v>23</v>
      </c>
    </row>
    <row r="48" spans="1:13" ht="17.45" customHeight="1">
      <c r="A48" s="764" t="s">
        <v>13</v>
      </c>
      <c r="B48" s="765"/>
      <c r="C48" s="163">
        <f>SUMIF($G$7:$G$31,"Start Up",$F$7:$F$31)</f>
        <v>0</v>
      </c>
      <c r="D48" s="117">
        <f>+C48+'2'!D48</f>
        <v>0</v>
      </c>
      <c r="E48" s="142">
        <f t="shared" si="4"/>
        <v>0</v>
      </c>
      <c r="F48" s="320"/>
      <c r="G48" s="321"/>
      <c r="H48" s="187" t="s">
        <v>80</v>
      </c>
      <c r="I48" s="117">
        <f>I46/I40</f>
        <v>994.76480470386775</v>
      </c>
      <c r="J48" s="134">
        <f>J46/J40</f>
        <v>1025.3694524901491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+C49+'2'!D49</f>
        <v>0</v>
      </c>
      <c r="E49" s="142">
        <f t="shared" si="4"/>
        <v>0</v>
      </c>
      <c r="F49" s="184"/>
      <c r="H49" s="187" t="s">
        <v>269</v>
      </c>
      <c r="I49" s="117">
        <f>+Report1!T11</f>
        <v>5163.8670004149544</v>
      </c>
      <c r="J49" s="134">
        <f>+I49+'2'!J49</f>
        <v>16023.554963687599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+C50+'2'!D50</f>
        <v>0</v>
      </c>
      <c r="E50" s="142">
        <f t="shared" si="4"/>
        <v>0</v>
      </c>
      <c r="F50" s="184"/>
      <c r="H50" s="187" t="s">
        <v>82</v>
      </c>
      <c r="I50" s="139">
        <f>I49/I38</f>
        <v>132.47818056940801</v>
      </c>
      <c r="J50" s="132">
        <f>J49/J38</f>
        <v>136.93356489815667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+C51+'2'!D51</f>
        <v>0</v>
      </c>
      <c r="E51" s="142">
        <f t="shared" si="4"/>
        <v>0</v>
      </c>
      <c r="F51" s="184"/>
      <c r="H51" s="189" t="s">
        <v>84</v>
      </c>
      <c r="I51" s="140">
        <f>I49/I40</f>
        <v>135.54879778493688</v>
      </c>
      <c r="J51" s="135">
        <f>J49/J40</f>
        <v>141.06856386459367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61</v>
      </c>
      <c r="D52" s="143">
        <f>SUM(D38:D51)</f>
        <v>195</v>
      </c>
      <c r="E52" s="144">
        <f>SUM(E38:E51)</f>
        <v>3.25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4.2361111111111113E-2</v>
      </c>
      <c r="D53" s="145">
        <f>D52/(24*60*G4)</f>
        <v>4.5138888888888888E-2</v>
      </c>
      <c r="E53" s="146">
        <f>E52/(G4*24)</f>
        <v>4.5138888888888888E-2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+D34+'2'!J56</f>
        <v>1030</v>
      </c>
      <c r="K56" s="200">
        <f>J56/(J40+J56/1000)/1000</f>
        <v>8.9864505265362053E-3</v>
      </c>
    </row>
    <row r="57" spans="1:11">
      <c r="A57" s="175"/>
      <c r="I57" s="198" t="s">
        <v>87</v>
      </c>
      <c r="J57" s="199">
        <f>+E34+'2'!J57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B8" sqref="B7:C26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5703125" style="148" bestFit="1" customWidth="1"/>
    <col min="5" max="5" width="13.85546875" style="148" bestFit="1" customWidth="1"/>
    <col min="6" max="6" width="11.7109375" style="109" customWidth="1"/>
    <col min="7" max="7" width="12.710937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2</v>
      </c>
      <c r="H4" s="153" t="str">
        <f>+'1'!H4</f>
        <v>.01.26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1170</v>
      </c>
      <c r="P6" s="148">
        <f>+O6-(O6*0.26)</f>
        <v>865.8</v>
      </c>
      <c r="Q6" s="148">
        <v>480</v>
      </c>
      <c r="R6" s="148">
        <f t="shared" ref="R6" si="0">+O6*Q6</f>
        <v>561600</v>
      </c>
      <c r="S6" s="148">
        <f t="shared" ref="S6" si="1">+P6*Q6</f>
        <v>415584</v>
      </c>
    </row>
    <row r="7" spans="1:19" ht="13.5" customHeight="1" thickBot="1">
      <c r="A7" s="750" t="s">
        <v>391</v>
      </c>
      <c r="B7" s="214" t="s">
        <v>415</v>
      </c>
      <c r="C7" s="215">
        <v>11308</v>
      </c>
      <c r="D7" s="216">
        <v>263</v>
      </c>
      <c r="E7" s="217"/>
      <c r="F7" s="226"/>
      <c r="G7" s="227" t="s">
        <v>11</v>
      </c>
      <c r="H7" s="228" t="s">
        <v>385</v>
      </c>
      <c r="I7" s="753" t="s">
        <v>425</v>
      </c>
      <c r="J7" s="213" t="str">
        <f>+'1'!J7</f>
        <v>T 13 VP OW</v>
      </c>
      <c r="K7" s="236">
        <f>+C34</f>
        <v>36225</v>
      </c>
      <c r="L7" s="240"/>
      <c r="M7" s="116">
        <f>+K7+'1'!M7+L7</f>
        <v>75491</v>
      </c>
      <c r="O7" s="148">
        <v>1170</v>
      </c>
      <c r="P7" s="148">
        <f>+O7-(O7*0.26)</f>
        <v>865.8</v>
      </c>
      <c r="Q7" s="148">
        <v>480</v>
      </c>
      <c r="R7" s="148">
        <f t="shared" ref="R7:R8" si="2">+O7*Q7</f>
        <v>561600</v>
      </c>
      <c r="S7" s="148">
        <f t="shared" ref="S7:S8" si="3">+P7*Q7</f>
        <v>415584</v>
      </c>
    </row>
    <row r="8" spans="1:19" ht="13.5" thickBot="1">
      <c r="A8" s="751"/>
      <c r="B8" s="214"/>
      <c r="C8" s="215"/>
      <c r="D8" s="216"/>
      <c r="E8" s="218"/>
      <c r="F8" s="229">
        <v>8</v>
      </c>
      <c r="G8" s="230" t="s">
        <v>11</v>
      </c>
      <c r="H8" s="228" t="s">
        <v>407</v>
      </c>
      <c r="I8" s="754"/>
      <c r="J8" s="213">
        <f>+'1'!J8</f>
        <v>0</v>
      </c>
      <c r="K8" s="237"/>
      <c r="L8" s="237"/>
      <c r="M8" s="116">
        <f>+K8+'1'!M8+L8</f>
        <v>0</v>
      </c>
      <c r="O8" s="148">
        <v>1170</v>
      </c>
      <c r="P8" s="148">
        <f>+O8-(O8*0.26)</f>
        <v>865.8</v>
      </c>
      <c r="Q8" s="148">
        <v>480</v>
      </c>
      <c r="R8" s="148">
        <f t="shared" si="2"/>
        <v>561600</v>
      </c>
      <c r="S8" s="148">
        <f t="shared" si="3"/>
        <v>415584</v>
      </c>
    </row>
    <row r="9" spans="1:19" ht="13.5" thickBot="1">
      <c r="A9" s="751"/>
      <c r="B9" s="214"/>
      <c r="C9" s="215"/>
      <c r="D9" s="216"/>
      <c r="E9" s="219"/>
      <c r="F9" s="226">
        <v>10</v>
      </c>
      <c r="G9" s="230" t="s">
        <v>11</v>
      </c>
      <c r="H9" s="231" t="s">
        <v>409</v>
      </c>
      <c r="I9" s="754"/>
      <c r="J9" s="213">
        <f>+'1'!J9</f>
        <v>0</v>
      </c>
      <c r="K9" s="237"/>
      <c r="L9" s="237"/>
      <c r="M9" s="116">
        <f>+K9+'1'!M9+L9</f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423</v>
      </c>
      <c r="I10" s="754"/>
      <c r="J10" s="213">
        <f>+'1'!J10</f>
        <v>0</v>
      </c>
      <c r="K10" s="237"/>
      <c r="L10" s="237"/>
      <c r="M10" s="116">
        <f>+K10+'1'!M10+L10</f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13">
        <f>+'1'!J11</f>
        <v>0</v>
      </c>
      <c r="K11" s="237"/>
      <c r="L11" s="237"/>
      <c r="M11" s="116">
        <f>+K11+'1'!M11+L11</f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13">
        <f>+'1'!J12</f>
        <v>0</v>
      </c>
      <c r="K12" s="237"/>
      <c r="L12" s="237"/>
      <c r="M12" s="116">
        <f>+K12+'1'!M12+L12</f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13">
        <f>+'1'!J13</f>
        <v>0</v>
      </c>
      <c r="K13" s="237"/>
      <c r="L13" s="237"/>
      <c r="M13" s="116">
        <f>+K13+'1'!M13+L13</f>
        <v>0</v>
      </c>
    </row>
    <row r="14" spans="1:19" ht="13.5" thickBot="1">
      <c r="A14" s="752"/>
      <c r="B14" s="164" t="s">
        <v>2</v>
      </c>
      <c r="C14" s="98">
        <f>SUM(C7:C13)</f>
        <v>11308</v>
      </c>
      <c r="D14" s="110">
        <f>SUM(D7:D13)</f>
        <v>263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13">
        <f>+'1'!J14</f>
        <v>0</v>
      </c>
      <c r="K14" s="237"/>
      <c r="L14" s="237"/>
      <c r="M14" s="116">
        <f>+K14+'1'!M14+L14</f>
        <v>0</v>
      </c>
      <c r="Q14" s="175">
        <f>SUM(Q6:Q11)</f>
        <v>1440</v>
      </c>
      <c r="R14" s="175">
        <f>SUM(R6:R11)</f>
        <v>1684800</v>
      </c>
      <c r="S14" s="175">
        <f>SUM(S6:S11)</f>
        <v>1246752</v>
      </c>
    </row>
    <row r="15" spans="1:19" ht="13.5" customHeight="1" thickBot="1">
      <c r="A15" s="750" t="s">
        <v>389</v>
      </c>
      <c r="B15" s="164"/>
      <c r="C15" s="112">
        <f>C14/($C$23+$D$23+$E$23)</f>
        <v>0.87024780668000612</v>
      </c>
      <c r="D15" s="113">
        <f>D14/($C$23+$D$23+$E$23)</f>
        <v>2.0240110820378635E-2</v>
      </c>
      <c r="E15" s="114">
        <f>E14/($C$23+$D$23+$E$23)</f>
        <v>0</v>
      </c>
      <c r="F15" s="226">
        <v>9</v>
      </c>
      <c r="G15" s="227" t="s">
        <v>11</v>
      </c>
      <c r="H15" s="228" t="s">
        <v>428</v>
      </c>
      <c r="I15" s="753" t="s">
        <v>425</v>
      </c>
      <c r="J15" s="213">
        <f>+'1'!J15</f>
        <v>0</v>
      </c>
      <c r="K15" s="237"/>
      <c r="L15" s="237"/>
      <c r="M15" s="116">
        <f>+K15+'1'!M15+L15</f>
        <v>0</v>
      </c>
      <c r="Q15" s="148">
        <f>480-Q14</f>
        <v>-960</v>
      </c>
      <c r="R15" s="175">
        <f>+R14/Q14</f>
        <v>1170</v>
      </c>
      <c r="S15" s="175">
        <f>+S14/Q14</f>
        <v>865.8</v>
      </c>
    </row>
    <row r="16" spans="1:19" ht="13.5" thickBot="1">
      <c r="A16" s="771"/>
      <c r="B16" s="214" t="s">
        <v>415</v>
      </c>
      <c r="C16" s="220">
        <v>12737</v>
      </c>
      <c r="D16" s="221">
        <v>257</v>
      </c>
      <c r="E16" s="222"/>
      <c r="F16" s="229"/>
      <c r="G16" s="230" t="s">
        <v>11</v>
      </c>
      <c r="H16" s="228" t="s">
        <v>427</v>
      </c>
      <c r="I16" s="754"/>
      <c r="J16" s="213">
        <f>+'1'!J16</f>
        <v>0</v>
      </c>
      <c r="K16" s="227"/>
      <c r="L16" s="227"/>
      <c r="M16" s="116">
        <f>+K16+'1'!M16+L16</f>
        <v>0</v>
      </c>
    </row>
    <row r="17" spans="1:18" ht="13.5" thickBot="1">
      <c r="A17" s="771"/>
      <c r="B17" s="214"/>
      <c r="C17" s="215"/>
      <c r="D17" s="216"/>
      <c r="E17" s="223"/>
      <c r="F17" s="226">
        <f>25-9</f>
        <v>16</v>
      </c>
      <c r="G17" s="230" t="s">
        <v>11</v>
      </c>
      <c r="H17" s="231" t="s">
        <v>426</v>
      </c>
      <c r="I17" s="754"/>
      <c r="J17" s="213">
        <f>+'1'!J17</f>
        <v>0</v>
      </c>
      <c r="K17" s="227"/>
      <c r="L17" s="227"/>
      <c r="M17" s="116">
        <f>+K17+'1'!M17+L17</f>
        <v>0</v>
      </c>
    </row>
    <row r="18" spans="1:18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423</v>
      </c>
      <c r="I18" s="754"/>
      <c r="J18" s="213">
        <f>+'1'!J18</f>
        <v>0</v>
      </c>
      <c r="K18" s="237"/>
      <c r="L18" s="237"/>
      <c r="M18" s="116">
        <f>+K18+'1'!M18+L18</f>
        <v>0</v>
      </c>
    </row>
    <row r="19" spans="1:18" ht="13.5" thickBot="1">
      <c r="A19" s="771"/>
      <c r="B19" s="214"/>
      <c r="C19" s="215"/>
      <c r="D19" s="216"/>
      <c r="E19" s="223"/>
      <c r="F19" s="233"/>
      <c r="G19" s="230"/>
      <c r="H19" s="231"/>
      <c r="I19" s="754"/>
      <c r="J19" s="213">
        <f>+'1'!J19</f>
        <v>0</v>
      </c>
      <c r="K19" s="237"/>
      <c r="L19" s="237"/>
      <c r="M19" s="116">
        <f>+K19+'1'!M19+L19</f>
        <v>0</v>
      </c>
    </row>
    <row r="20" spans="1:18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13">
        <f>+'1'!J20</f>
        <v>0</v>
      </c>
      <c r="K20" s="238"/>
      <c r="L20" s="238"/>
      <c r="M20" s="116">
        <f>+K20+'1'!M20+L20</f>
        <v>0</v>
      </c>
    </row>
    <row r="21" spans="1:18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13">
        <f>+'1'!J21</f>
        <v>0</v>
      </c>
      <c r="K21" s="237"/>
      <c r="L21" s="237"/>
      <c r="M21" s="116">
        <f>+K21+'1'!M21+L21</f>
        <v>0</v>
      </c>
    </row>
    <row r="22" spans="1:18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13">
        <f>+'1'!J22</f>
        <v>0</v>
      </c>
      <c r="K22" s="237"/>
      <c r="L22" s="237"/>
      <c r="M22" s="116">
        <f>+K22+'1'!M22+L22</f>
        <v>0</v>
      </c>
    </row>
    <row r="23" spans="1:18" ht="13.5" thickBot="1">
      <c r="A23" s="772"/>
      <c r="B23" s="164" t="s">
        <v>2</v>
      </c>
      <c r="C23" s="99">
        <f>SUM(C16:C22)</f>
        <v>12737</v>
      </c>
      <c r="D23" s="110">
        <f>SUM(D16:D22)</f>
        <v>257</v>
      </c>
      <c r="E23" s="111">
        <f>SUM(E18:E22)</f>
        <v>0</v>
      </c>
      <c r="F23" s="115">
        <f>SUM(F15:F22)</f>
        <v>25</v>
      </c>
      <c r="G23" s="158"/>
      <c r="H23" s="165"/>
      <c r="I23" s="168"/>
      <c r="J23" s="213">
        <f>+'1'!J23</f>
        <v>0</v>
      </c>
      <c r="K23" s="237"/>
      <c r="L23" s="237"/>
      <c r="M23" s="116">
        <f>+K23+'1'!M23+L23</f>
        <v>0</v>
      </c>
    </row>
    <row r="24" spans="1:18" ht="13.5" customHeight="1" thickBot="1">
      <c r="A24" s="750" t="s">
        <v>431</v>
      </c>
      <c r="B24" s="169"/>
      <c r="C24" s="112">
        <f>C23/($C$23+$D$23+$E$23)</f>
        <v>0.98022164075727258</v>
      </c>
      <c r="D24" s="113">
        <f>D23/($C$23+$D$23+$E$23)</f>
        <v>1.9778359242727413E-2</v>
      </c>
      <c r="E24" s="114">
        <f>E23/($C$23+$D$23+$E$23)</f>
        <v>0</v>
      </c>
      <c r="F24" s="226">
        <v>9</v>
      </c>
      <c r="G24" s="227" t="s">
        <v>11</v>
      </c>
      <c r="H24" s="228" t="s">
        <v>428</v>
      </c>
      <c r="I24" s="753" t="s">
        <v>425</v>
      </c>
      <c r="J24" s="213">
        <f>+'1'!J24</f>
        <v>0</v>
      </c>
      <c r="K24" s="237"/>
      <c r="L24" s="237"/>
      <c r="M24" s="116">
        <f>+K24+'1'!M24+L24</f>
        <v>0</v>
      </c>
    </row>
    <row r="25" spans="1:18" ht="13.5" thickBot="1">
      <c r="A25" s="771"/>
      <c r="B25" s="214" t="s">
        <v>415</v>
      </c>
      <c r="C25" s="224">
        <v>12180</v>
      </c>
      <c r="D25" s="216"/>
      <c r="E25" s="223"/>
      <c r="F25" s="229"/>
      <c r="G25" s="230" t="s">
        <v>11</v>
      </c>
      <c r="H25" s="228" t="s">
        <v>427</v>
      </c>
      <c r="I25" s="754"/>
      <c r="J25" s="213">
        <f>+'1'!J25</f>
        <v>0</v>
      </c>
      <c r="K25" s="237"/>
      <c r="L25" s="237"/>
      <c r="M25" s="116">
        <f>+K25+'1'!M25+L25</f>
        <v>0</v>
      </c>
    </row>
    <row r="26" spans="1:18" ht="13.5" thickBot="1">
      <c r="A26" s="771"/>
      <c r="B26" s="214"/>
      <c r="C26" s="224"/>
      <c r="D26" s="216"/>
      <c r="E26" s="225"/>
      <c r="F26" s="226">
        <f>27-9</f>
        <v>18</v>
      </c>
      <c r="G26" s="230" t="s">
        <v>11</v>
      </c>
      <c r="H26" s="231" t="s">
        <v>388</v>
      </c>
      <c r="I26" s="754"/>
      <c r="J26" s="213">
        <f>+'1'!J26</f>
        <v>0</v>
      </c>
      <c r="K26" s="237"/>
      <c r="L26" s="237"/>
      <c r="M26" s="116">
        <f>+K26+'1'!M26+L26</f>
        <v>0</v>
      </c>
    </row>
    <row r="27" spans="1:18" ht="39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424</v>
      </c>
      <c r="I27" s="754"/>
      <c r="J27" s="213">
        <f>+'1'!J27</f>
        <v>0</v>
      </c>
      <c r="K27" s="237"/>
      <c r="L27" s="237"/>
      <c r="M27" s="116">
        <f>+K27+'1'!M27+L27</f>
        <v>0</v>
      </c>
    </row>
    <row r="28" spans="1:18" ht="13.5" thickBot="1">
      <c r="A28" s="771"/>
      <c r="B28" s="214"/>
      <c r="C28" s="215"/>
      <c r="D28" s="216"/>
      <c r="E28" s="223"/>
      <c r="F28" s="229"/>
      <c r="G28" s="230"/>
      <c r="H28" s="231"/>
      <c r="I28" s="754"/>
      <c r="J28" s="213">
        <f>+'1'!J28</f>
        <v>0</v>
      </c>
      <c r="K28" s="237"/>
      <c r="L28" s="237"/>
      <c r="M28" s="116">
        <f>+K28+'1'!M28+L28</f>
        <v>0</v>
      </c>
    </row>
    <row r="29" spans="1:18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13">
        <f>+'1'!J29</f>
        <v>0</v>
      </c>
      <c r="K29" s="237"/>
      <c r="L29" s="237"/>
      <c r="M29" s="116">
        <f>+K29+'1'!M29+L29</f>
        <v>0</v>
      </c>
    </row>
    <row r="30" spans="1:18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13">
        <f>+'1'!J30</f>
        <v>0</v>
      </c>
      <c r="K30" s="237"/>
      <c r="L30" s="237"/>
      <c r="M30" s="116">
        <f>+K30+'1'!M30+L30</f>
        <v>0</v>
      </c>
    </row>
    <row r="31" spans="1:18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13">
        <f>+'1'!J31</f>
        <v>0</v>
      </c>
      <c r="K31" s="237"/>
      <c r="L31" s="237"/>
      <c r="M31" s="116">
        <f>+K31+'1'!M31+L31</f>
        <v>0</v>
      </c>
    </row>
    <row r="32" spans="1:18" ht="13.5" thickBot="1">
      <c r="A32" s="772"/>
      <c r="B32" s="164" t="s">
        <v>2</v>
      </c>
      <c r="C32" s="98">
        <f>SUM(C25:C31)</f>
        <v>12180</v>
      </c>
      <c r="D32" s="99">
        <f>SUM(D25:D31)</f>
        <v>0</v>
      </c>
      <c r="E32" s="100">
        <f>SUM(E25:E31)</f>
        <v>0</v>
      </c>
      <c r="F32" s="101">
        <f>SUM(F24:F31)</f>
        <v>27</v>
      </c>
      <c r="G32" s="170"/>
      <c r="H32" s="171"/>
      <c r="I32" s="168"/>
      <c r="J32" s="213">
        <f>+'1'!J32</f>
        <v>0</v>
      </c>
      <c r="K32" s="239"/>
      <c r="L32" s="241"/>
      <c r="M32" s="116">
        <f>+K32+'1'!M32+L32</f>
        <v>0</v>
      </c>
      <c r="P32" s="175"/>
      <c r="Q32" s="175"/>
      <c r="R32" s="175"/>
    </row>
    <row r="33" spans="1:18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  <c r="Q33" s="175"/>
      <c r="R33" s="175"/>
    </row>
    <row r="34" spans="1:18" ht="13.5" thickBot="1">
      <c r="A34" s="758" t="s">
        <v>56</v>
      </c>
      <c r="B34" s="759"/>
      <c r="C34" s="106">
        <f>C14+C23+C32</f>
        <v>36225</v>
      </c>
      <c r="D34" s="106">
        <f>D14+D23+D32</f>
        <v>520</v>
      </c>
      <c r="E34" s="106">
        <f>E14+E23+E32</f>
        <v>0</v>
      </c>
      <c r="F34" s="107">
        <f>F14+F23+F32</f>
        <v>70</v>
      </c>
      <c r="H34" s="177"/>
      <c r="I34" s="177"/>
      <c r="J34" s="122" t="s">
        <v>27</v>
      </c>
      <c r="K34" s="123">
        <f>SUM(K7:K32)</f>
        <v>36225</v>
      </c>
      <c r="L34" s="211">
        <f>SUM(L7:L32)</f>
        <v>0</v>
      </c>
      <c r="M34" s="119">
        <f>SUM(M7:M32)</f>
        <v>75491</v>
      </c>
    </row>
    <row r="35" spans="1:18" ht="13.5" thickBot="1">
      <c r="A35" s="178"/>
      <c r="B35" s="179"/>
      <c r="C35" s="103">
        <f>C34/($C$34+$D$34+$E$34)</f>
        <v>0.98584841475030616</v>
      </c>
      <c r="D35" s="103">
        <f>D34/($C$34+$D$34+$E$34)</f>
        <v>1.4151585249693836E-2</v>
      </c>
      <c r="E35" s="108">
        <f>E34/($C$34+$D$34+$E$34)</f>
        <v>0</v>
      </c>
      <c r="K35" s="154"/>
    </row>
    <row r="36" spans="1:18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</row>
    <row r="37" spans="1:18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320"/>
      <c r="G37" s="322"/>
      <c r="H37" s="185" t="s">
        <v>61</v>
      </c>
      <c r="I37" s="242">
        <f>(13*1440)/1440*G42*2.74*1440/1000000</f>
        <v>44.409306239999999</v>
      </c>
      <c r="J37" s="124">
        <f>+I37+'1'!J37</f>
        <v>89.456445572000007</v>
      </c>
      <c r="K37" s="125" t="s">
        <v>62</v>
      </c>
    </row>
    <row r="38" spans="1:18" ht="17.45" customHeight="1">
      <c r="A38" s="762" t="s">
        <v>11</v>
      </c>
      <c r="B38" s="763"/>
      <c r="C38" s="163">
        <f>SUMIF($G$7:$G$31,"Process",$F$7:$F$31)</f>
        <v>70</v>
      </c>
      <c r="D38" s="117">
        <f>+C38+'1'!D38</f>
        <v>134</v>
      </c>
      <c r="E38" s="142">
        <f t="shared" ref="E38:E51" si="4">D38/60</f>
        <v>2.2333333333333334</v>
      </c>
      <c r="F38" s="320">
        <v>1170</v>
      </c>
      <c r="G38" s="320">
        <v>865.8</v>
      </c>
      <c r="H38" s="186" t="s">
        <v>63</v>
      </c>
      <c r="I38" s="243">
        <f>13.484+11.472+14.02</f>
        <v>38.975999999999999</v>
      </c>
      <c r="J38" s="126">
        <f>+I38+'1'!J38</f>
        <v>78.037999999999997</v>
      </c>
      <c r="K38" s="127" t="s">
        <v>62</v>
      </c>
    </row>
    <row r="39" spans="1:18" ht="17.45" customHeight="1">
      <c r="A39" s="764" t="s">
        <v>12</v>
      </c>
      <c r="B39" s="765"/>
      <c r="C39" s="163">
        <f>SUMIF($G$7:$G$31,"Cleaning",$F$7:$F$31)</f>
        <v>0</v>
      </c>
      <c r="D39" s="117">
        <f>+C39+'1'!D39</f>
        <v>0</v>
      </c>
      <c r="E39" s="142">
        <f t="shared" si="4"/>
        <v>0</v>
      </c>
      <c r="F39" s="320">
        <v>1170</v>
      </c>
      <c r="G39" s="320">
        <v>865.8</v>
      </c>
      <c r="H39" s="186" t="s">
        <v>64</v>
      </c>
      <c r="I39" s="141"/>
      <c r="J39" s="128">
        <f>J37/G4</f>
        <v>44.728222786000003</v>
      </c>
      <c r="K39" s="129" t="s">
        <v>62</v>
      </c>
    </row>
    <row r="40" spans="1:18" ht="17.45" customHeight="1">
      <c r="A40" s="764" t="s">
        <v>65</v>
      </c>
      <c r="B40" s="765"/>
      <c r="C40" s="163">
        <f>SUMIF($G$7:$G$31,"Mechanical",$F$7:$F$31)</f>
        <v>0</v>
      </c>
      <c r="D40" s="117">
        <f>+C40+'1'!D40</f>
        <v>0</v>
      </c>
      <c r="E40" s="142">
        <f t="shared" si="4"/>
        <v>0</v>
      </c>
      <c r="F40" s="320">
        <v>1170</v>
      </c>
      <c r="G40" s="320">
        <v>865.8</v>
      </c>
      <c r="H40" s="186" t="s">
        <v>66</v>
      </c>
      <c r="I40" s="117">
        <f>(K34+L34)/1000</f>
        <v>36.225000000000001</v>
      </c>
      <c r="J40" s="130">
        <f>+I40+'1'!J40</f>
        <v>75.491</v>
      </c>
      <c r="K40" s="129" t="s">
        <v>62</v>
      </c>
    </row>
    <row r="41" spans="1:18" ht="17.45" customHeight="1">
      <c r="A41" s="764" t="s">
        <v>67</v>
      </c>
      <c r="B41" s="765"/>
      <c r="C41" s="163">
        <f>SUMIF($G$7:$G$31,"Electrical",$F$7:$F$31)</f>
        <v>0</v>
      </c>
      <c r="D41" s="117">
        <f>+C41+'1'!D41</f>
        <v>0</v>
      </c>
      <c r="E41" s="142">
        <f t="shared" si="4"/>
        <v>0</v>
      </c>
      <c r="F41" s="320"/>
      <c r="G41" s="320"/>
      <c r="H41" s="186" t="s">
        <v>68</v>
      </c>
      <c r="I41" s="141"/>
      <c r="J41" s="128">
        <f>J40/G4</f>
        <v>37.7455</v>
      </c>
      <c r="K41" s="129" t="s">
        <v>62</v>
      </c>
    </row>
    <row r="42" spans="1:18" ht="17.45" customHeight="1">
      <c r="A42" s="764" t="s">
        <v>15</v>
      </c>
      <c r="B42" s="765"/>
      <c r="C42" s="163">
        <f>SUMIF($G$7:$G$31,"Instrument",$F$7:$F$31)</f>
        <v>0</v>
      </c>
      <c r="D42" s="117">
        <f>+C42+'1'!D42</f>
        <v>0</v>
      </c>
      <c r="E42" s="142">
        <f t="shared" si="4"/>
        <v>0</v>
      </c>
      <c r="F42" s="320">
        <f>+(480*F38+480*F39+480*F40)/1440</f>
        <v>1170</v>
      </c>
      <c r="G42" s="320">
        <f>+(480*G38+480*G39+480*G40)/1440</f>
        <v>865.8</v>
      </c>
      <c r="H42" s="186" t="s">
        <v>69</v>
      </c>
      <c r="I42" s="244" t="s">
        <v>425</v>
      </c>
      <c r="J42" s="131"/>
      <c r="K42" s="129" t="s">
        <v>70</v>
      </c>
    </row>
    <row r="43" spans="1:18" ht="17.45" customHeight="1">
      <c r="A43" s="764" t="s">
        <v>71</v>
      </c>
      <c r="B43" s="765"/>
      <c r="C43" s="163">
        <f>SUMIF($G$7:$G$31,"Water",$F$7:$F$31)</f>
        <v>0</v>
      </c>
      <c r="D43" s="117">
        <f>+C43+'1'!D43</f>
        <v>0</v>
      </c>
      <c r="E43" s="142">
        <f t="shared" si="4"/>
        <v>0</v>
      </c>
      <c r="F43" s="320"/>
      <c r="G43" s="321"/>
      <c r="H43" s="187" t="s">
        <v>72</v>
      </c>
      <c r="I43" s="117">
        <f>+Report1!Z10</f>
        <v>47.5</v>
      </c>
      <c r="J43" s="132">
        <f>+I43+'1'!J43</f>
        <v>97.8</v>
      </c>
      <c r="K43" s="129" t="s">
        <v>62</v>
      </c>
      <c r="L43" s="188"/>
    </row>
    <row r="44" spans="1:18" ht="17.45" customHeight="1">
      <c r="A44" s="764" t="s">
        <v>16</v>
      </c>
      <c r="B44" s="765"/>
      <c r="C44" s="163">
        <f>SUMIF($G$7:$G$31,"PLN",$F$7:$F$31)</f>
        <v>0</v>
      </c>
      <c r="D44" s="117">
        <f>+C44+'1'!D44</f>
        <v>0</v>
      </c>
      <c r="E44" s="142">
        <f t="shared" si="4"/>
        <v>0</v>
      </c>
      <c r="F44" s="320"/>
      <c r="G44" s="321"/>
      <c r="H44" s="187" t="s">
        <v>73</v>
      </c>
      <c r="I44" s="117">
        <f>I43/I38</f>
        <v>1.2186986863711002</v>
      </c>
      <c r="J44" s="133">
        <f>J43/J38</f>
        <v>1.2532356031676875</v>
      </c>
      <c r="K44" s="129" t="s">
        <v>62</v>
      </c>
    </row>
    <row r="45" spans="1:18" ht="17.45" customHeight="1">
      <c r="A45" s="764" t="s">
        <v>17</v>
      </c>
      <c r="B45" s="765"/>
      <c r="C45" s="163">
        <f>SUMIF($G$7:$G$31,"Boiler",$F$7:$F$31)</f>
        <v>0</v>
      </c>
      <c r="D45" s="117">
        <f>+C45+'1'!D45</f>
        <v>0</v>
      </c>
      <c r="E45" s="142">
        <f t="shared" si="4"/>
        <v>0</v>
      </c>
      <c r="F45" s="320"/>
      <c r="G45" s="323"/>
      <c r="H45" s="187" t="s">
        <v>74</v>
      </c>
      <c r="I45" s="117">
        <f>I43/I40</f>
        <v>1.3112491373360937</v>
      </c>
      <c r="J45" s="133">
        <f>J43/J40</f>
        <v>1.2955186710998661</v>
      </c>
      <c r="K45" s="129" t="s">
        <v>62</v>
      </c>
    </row>
    <row r="46" spans="1:18" ht="17.45" customHeight="1">
      <c r="A46" s="764" t="s">
        <v>75</v>
      </c>
      <c r="B46" s="765"/>
      <c r="C46" s="163">
        <f>SUMIF($G$7:$G$31,"Gas",$F$7:$F$31)</f>
        <v>0</v>
      </c>
      <c r="D46" s="117">
        <f>+C46+'1'!D46</f>
        <v>0</v>
      </c>
      <c r="E46" s="142">
        <f t="shared" si="4"/>
        <v>0</v>
      </c>
      <c r="F46" s="320"/>
      <c r="G46" s="321"/>
      <c r="H46" s="187" t="s">
        <v>76</v>
      </c>
      <c r="I46" s="139">
        <f>+SUMIF(Listrik!P9,"&gt;0")</f>
        <v>40110.800000001094</v>
      </c>
      <c r="J46" s="134">
        <f>+I46+'1'!J46</f>
        <v>78572.08</v>
      </c>
      <c r="K46" s="129" t="s">
        <v>77</v>
      </c>
    </row>
    <row r="47" spans="1:18" ht="17.45" customHeight="1">
      <c r="A47" s="764" t="s">
        <v>78</v>
      </c>
      <c r="B47" s="765"/>
      <c r="C47" s="163">
        <f>SUMIF($G$7:$G$31,"Gas",$F$7:$F$31)</f>
        <v>0</v>
      </c>
      <c r="D47" s="117">
        <f>+C47+'1'!D47</f>
        <v>0</v>
      </c>
      <c r="E47" s="142">
        <f t="shared" si="4"/>
        <v>0</v>
      </c>
      <c r="F47" s="320"/>
      <c r="G47" s="321"/>
      <c r="H47" s="187" t="s">
        <v>79</v>
      </c>
      <c r="I47" s="117">
        <f>I46/I38</f>
        <v>1029.1153530377949</v>
      </c>
      <c r="J47" s="134">
        <f>J46/J38</f>
        <v>1006.8438453061329</v>
      </c>
      <c r="K47" s="129" t="s">
        <v>23</v>
      </c>
    </row>
    <row r="48" spans="1:18" ht="17.45" customHeight="1">
      <c r="A48" s="764" t="s">
        <v>13</v>
      </c>
      <c r="B48" s="765"/>
      <c r="C48" s="163">
        <f>SUMIF($G$7:$G$31,"Start Up",$F$7:$F$31)</f>
        <v>0</v>
      </c>
      <c r="D48" s="117">
        <f>+C48+'1'!D48</f>
        <v>0</v>
      </c>
      <c r="E48" s="142">
        <f t="shared" si="4"/>
        <v>0</v>
      </c>
      <c r="F48" s="320"/>
      <c r="G48" s="321"/>
      <c r="H48" s="187" t="s">
        <v>80</v>
      </c>
      <c r="I48" s="117">
        <f>I46/I40</f>
        <v>1107.2684610076217</v>
      </c>
      <c r="J48" s="134">
        <f>J46/J40</f>
        <v>1040.8138718522739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>+C49+'1'!D49</f>
        <v>0</v>
      </c>
      <c r="E49" s="142">
        <f t="shared" si="4"/>
        <v>0</v>
      </c>
      <c r="F49" s="184"/>
      <c r="H49" s="187" t="s">
        <v>269</v>
      </c>
      <c r="I49" s="117">
        <f>+Report1!T10</f>
        <v>5472.3171760767464</v>
      </c>
      <c r="J49" s="134">
        <f>+I49+'1'!J49</f>
        <v>10859.687963272643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>+C50+'1'!D50</f>
        <v>0</v>
      </c>
      <c r="E50" s="142">
        <f t="shared" si="4"/>
        <v>0</v>
      </c>
      <c r="F50" s="184"/>
      <c r="H50" s="187" t="s">
        <v>82</v>
      </c>
      <c r="I50" s="139">
        <v>0</v>
      </c>
      <c r="J50" s="132">
        <f>J49/J38</f>
        <v>139.15897336262645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>+C51+'1'!D51</f>
        <v>0</v>
      </c>
      <c r="E51" s="142">
        <f t="shared" si="4"/>
        <v>0</v>
      </c>
      <c r="F51" s="184"/>
      <c r="H51" s="189" t="s">
        <v>84</v>
      </c>
      <c r="I51" s="140">
        <f>I49/I40</f>
        <v>151.06465634442364</v>
      </c>
      <c r="J51" s="135">
        <f>J49/J40</f>
        <v>143.85407483372379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70</v>
      </c>
      <c r="D52" s="143">
        <f>SUM(D38:D51)</f>
        <v>134</v>
      </c>
      <c r="E52" s="144">
        <f>SUM(E38:E51)</f>
        <v>2.2333333333333334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4.8611111111111112E-2</v>
      </c>
      <c r="D53" s="145">
        <f>D52/(24*60*G4)</f>
        <v>4.6527777777777779E-2</v>
      </c>
      <c r="E53" s="146">
        <f>E52/(G4*24)</f>
        <v>4.6527777777777779E-2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+D34+'1'!J56</f>
        <v>1030</v>
      </c>
      <c r="K56" s="200">
        <f>J56/(J40+J56/1000)/1000</f>
        <v>1.3460357287541981E-2</v>
      </c>
    </row>
    <row r="57" spans="1:11">
      <c r="A57" s="175"/>
      <c r="I57" s="198" t="s">
        <v>87</v>
      </c>
      <c r="J57" s="199">
        <f>+E34+'1'!J57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51:B51"/>
    <mergeCell ref="A52:B52"/>
    <mergeCell ref="A53:B53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48" customWidth="1"/>
    <col min="2" max="2" width="7" style="148" bestFit="1" customWidth="1"/>
    <col min="3" max="3" width="14.85546875" style="148" bestFit="1" customWidth="1"/>
    <col min="4" max="4" width="12.7109375" style="148" bestFit="1" customWidth="1"/>
    <col min="5" max="5" width="13.85546875" style="148" bestFit="1" customWidth="1"/>
    <col min="6" max="6" width="12.140625" style="109" bestFit="1" customWidth="1"/>
    <col min="7" max="7" width="13.5703125" style="148" customWidth="1"/>
    <col min="8" max="8" width="64.85546875" style="148" customWidth="1"/>
    <col min="9" max="9" width="14.7109375" style="148" bestFit="1" customWidth="1"/>
    <col min="10" max="10" width="14.7109375" style="148" customWidth="1"/>
    <col min="11" max="11" width="14" style="148" bestFit="1" customWidth="1"/>
    <col min="12" max="12" width="8.28515625" style="148" customWidth="1"/>
    <col min="13" max="13" width="14.42578125" style="148" bestFit="1" customWidth="1"/>
    <col min="14" max="16384" width="9.140625" style="148"/>
  </cols>
  <sheetData>
    <row r="1" spans="1:19" ht="15.75">
      <c r="A1" s="147"/>
    </row>
    <row r="2" spans="1:19" ht="15.75">
      <c r="A2" s="147" t="s">
        <v>183</v>
      </c>
    </row>
    <row r="3" spans="1:19" ht="15">
      <c r="A3" s="149"/>
    </row>
    <row r="4" spans="1:19" ht="20.25">
      <c r="A4" s="150" t="s">
        <v>3</v>
      </c>
      <c r="B4" s="151"/>
      <c r="F4" s="152" t="s">
        <v>28</v>
      </c>
      <c r="G4" s="153">
        <v>1</v>
      </c>
      <c r="H4" s="153" t="s">
        <v>400</v>
      </c>
    </row>
    <row r="5" spans="1:19" ht="13.5" thickBot="1">
      <c r="C5" s="154"/>
      <c r="D5" s="154"/>
    </row>
    <row r="6" spans="1:19" ht="26.25" thickBot="1">
      <c r="A6" s="155" t="s">
        <v>46</v>
      </c>
      <c r="B6" s="156" t="s">
        <v>8</v>
      </c>
      <c r="C6" s="156" t="s">
        <v>47</v>
      </c>
      <c r="D6" s="156" t="s">
        <v>48</v>
      </c>
      <c r="E6" s="157" t="s">
        <v>49</v>
      </c>
      <c r="F6" s="101" t="s">
        <v>50</v>
      </c>
      <c r="G6" s="156" t="s">
        <v>51</v>
      </c>
      <c r="H6" s="158" t="s">
        <v>52</v>
      </c>
      <c r="I6" s="159" t="s">
        <v>53</v>
      </c>
      <c r="J6" s="160" t="s">
        <v>8</v>
      </c>
      <c r="K6" s="161" t="s">
        <v>54</v>
      </c>
      <c r="L6" s="209" t="s">
        <v>141</v>
      </c>
      <c r="M6" s="162" t="s">
        <v>55</v>
      </c>
      <c r="N6" s="148" t="s">
        <v>404</v>
      </c>
      <c r="O6" s="148">
        <v>1180</v>
      </c>
      <c r="P6" s="148">
        <f>+O6-(O6*0.24)</f>
        <v>896.8</v>
      </c>
      <c r="Q6" s="148">
        <v>480</v>
      </c>
      <c r="R6" s="148">
        <f t="shared" ref="R6" si="0">+O6*Q6</f>
        <v>566400</v>
      </c>
      <c r="S6" s="148">
        <f t="shared" ref="S6" si="1">+P6*Q6</f>
        <v>430464</v>
      </c>
    </row>
    <row r="7" spans="1:19" ht="13.5" customHeight="1" thickBot="1">
      <c r="A7" s="750" t="s">
        <v>391</v>
      </c>
      <c r="B7" s="214" t="s">
        <v>415</v>
      </c>
      <c r="C7" s="215">
        <v>12590</v>
      </c>
      <c r="D7" s="216"/>
      <c r="E7" s="217"/>
      <c r="F7" s="226"/>
      <c r="G7" s="227" t="s">
        <v>11</v>
      </c>
      <c r="H7" s="228" t="s">
        <v>385</v>
      </c>
      <c r="I7" s="753" t="s">
        <v>405</v>
      </c>
      <c r="J7" s="247" t="s">
        <v>415</v>
      </c>
      <c r="K7" s="236">
        <f>+C34</f>
        <v>39266</v>
      </c>
      <c r="L7" s="240"/>
      <c r="M7" s="116">
        <f>+K7+L7</f>
        <v>39266</v>
      </c>
    </row>
    <row r="8" spans="1:19" ht="13.5" thickBot="1">
      <c r="A8" s="751"/>
      <c r="B8" s="214"/>
      <c r="C8" s="215"/>
      <c r="D8" s="216"/>
      <c r="E8" s="218"/>
      <c r="F8" s="229">
        <v>8</v>
      </c>
      <c r="G8" s="230" t="s">
        <v>11</v>
      </c>
      <c r="H8" s="228" t="s">
        <v>407</v>
      </c>
      <c r="I8" s="754"/>
      <c r="J8" s="248"/>
      <c r="K8" s="508"/>
      <c r="L8" s="237"/>
      <c r="M8" s="116">
        <f t="shared" ref="M8:M32" si="2">+K8+L8</f>
        <v>0</v>
      </c>
    </row>
    <row r="9" spans="1:19" ht="13.5" thickBot="1">
      <c r="A9" s="751"/>
      <c r="B9" s="214"/>
      <c r="C9" s="215"/>
      <c r="D9" s="216"/>
      <c r="E9" s="219"/>
      <c r="F9" s="226">
        <v>10</v>
      </c>
      <c r="G9" s="230" t="s">
        <v>11</v>
      </c>
      <c r="H9" s="231" t="s">
        <v>386</v>
      </c>
      <c r="I9" s="754"/>
      <c r="J9" s="248"/>
      <c r="K9" s="237"/>
      <c r="L9" s="237"/>
      <c r="M9" s="116">
        <f t="shared" si="2"/>
        <v>0</v>
      </c>
    </row>
    <row r="10" spans="1:19" ht="26.25" thickBot="1">
      <c r="A10" s="751"/>
      <c r="B10" s="214"/>
      <c r="C10" s="215"/>
      <c r="D10" s="216"/>
      <c r="E10" s="218"/>
      <c r="F10" s="226"/>
      <c r="G10" s="235" t="s">
        <v>12</v>
      </c>
      <c r="H10" s="231" t="s">
        <v>403</v>
      </c>
      <c r="I10" s="754"/>
      <c r="J10" s="247"/>
      <c r="K10" s="237"/>
      <c r="L10" s="237"/>
      <c r="M10" s="116">
        <f t="shared" si="2"/>
        <v>0</v>
      </c>
    </row>
    <row r="11" spans="1:19" ht="13.5" thickBot="1">
      <c r="A11" s="751"/>
      <c r="B11" s="214"/>
      <c r="C11" s="215"/>
      <c r="D11" s="216"/>
      <c r="E11" s="218"/>
      <c r="F11" s="226"/>
      <c r="G11" s="230"/>
      <c r="H11" s="231"/>
      <c r="I11" s="754"/>
      <c r="J11" s="247"/>
      <c r="K11" s="237"/>
      <c r="L11" s="237"/>
      <c r="M11" s="116">
        <f t="shared" si="2"/>
        <v>0</v>
      </c>
    </row>
    <row r="12" spans="1:19" ht="13.5" thickBot="1">
      <c r="A12" s="751"/>
      <c r="B12" s="214"/>
      <c r="C12" s="215"/>
      <c r="D12" s="216"/>
      <c r="E12" s="218"/>
      <c r="F12" s="226"/>
      <c r="G12" s="230"/>
      <c r="H12" s="231"/>
      <c r="I12" s="754"/>
      <c r="J12" s="247"/>
      <c r="K12" s="237"/>
      <c r="L12" s="237"/>
      <c r="M12" s="116">
        <f t="shared" si="2"/>
        <v>0</v>
      </c>
    </row>
    <row r="13" spans="1:19" ht="13.5" thickBot="1">
      <c r="A13" s="751"/>
      <c r="B13" s="214"/>
      <c r="C13" s="215"/>
      <c r="D13" s="215"/>
      <c r="E13" s="218"/>
      <c r="F13" s="226"/>
      <c r="G13" s="230"/>
      <c r="H13" s="231"/>
      <c r="I13" s="755"/>
      <c r="J13" s="247"/>
      <c r="K13" s="237"/>
      <c r="L13" s="237"/>
      <c r="M13" s="116">
        <f t="shared" si="2"/>
        <v>0</v>
      </c>
    </row>
    <row r="14" spans="1:19" ht="13.5" thickBot="1">
      <c r="A14" s="752"/>
      <c r="B14" s="164" t="s">
        <v>2</v>
      </c>
      <c r="C14" s="98">
        <f>SUM(C7:C13)</f>
        <v>12590</v>
      </c>
      <c r="D14" s="110">
        <f>SUM(D7:D13)</f>
        <v>0</v>
      </c>
      <c r="E14" s="111">
        <f>SUM(E5:E13)</f>
        <v>0</v>
      </c>
      <c r="F14" s="115">
        <f>SUM(F7:F13)</f>
        <v>18</v>
      </c>
      <c r="G14" s="158"/>
      <c r="H14" s="165"/>
      <c r="I14" s="166"/>
      <c r="J14" s="247"/>
      <c r="K14" s="237"/>
      <c r="L14" s="237"/>
      <c r="M14" s="116">
        <f t="shared" si="2"/>
        <v>0</v>
      </c>
      <c r="Q14" s="175">
        <f>SUM(Q6:Q11)</f>
        <v>480</v>
      </c>
      <c r="R14" s="175">
        <f>SUM(R6:R11)</f>
        <v>566400</v>
      </c>
      <c r="S14" s="175">
        <f>SUM(S6:S11)</f>
        <v>430464</v>
      </c>
    </row>
    <row r="15" spans="1:19" ht="13.5" customHeight="1" thickBot="1">
      <c r="A15" s="750" t="s">
        <v>389</v>
      </c>
      <c r="B15" s="164"/>
      <c r="C15" s="112">
        <f>C14/($C$23+$D$23+$E$23)</f>
        <v>1.1470481049562682</v>
      </c>
      <c r="D15" s="113">
        <f>D14/($C$23+$D$23+$E$23)</f>
        <v>0</v>
      </c>
      <c r="E15" s="114">
        <f>E14/($C$23+$D$23+$E$23)</f>
        <v>0</v>
      </c>
      <c r="F15" s="226"/>
      <c r="G15" s="227" t="s">
        <v>11</v>
      </c>
      <c r="H15" s="228" t="s">
        <v>385</v>
      </c>
      <c r="I15" s="753" t="s">
        <v>421</v>
      </c>
      <c r="J15" s="247"/>
      <c r="K15" s="237"/>
      <c r="L15" s="237"/>
      <c r="M15" s="116">
        <f t="shared" si="2"/>
        <v>0</v>
      </c>
      <c r="Q15" s="148">
        <f>480-Q14</f>
        <v>0</v>
      </c>
      <c r="R15" s="175">
        <f>+R14/Q14</f>
        <v>1180</v>
      </c>
      <c r="S15" s="175">
        <f>+S14/Q14</f>
        <v>896.8</v>
      </c>
    </row>
    <row r="16" spans="1:19" ht="13.5" thickBot="1">
      <c r="A16" s="771"/>
      <c r="B16" s="214" t="s">
        <v>415</v>
      </c>
      <c r="C16" s="220">
        <v>10466</v>
      </c>
      <c r="D16" s="221">
        <v>510</v>
      </c>
      <c r="E16" s="222"/>
      <c r="F16" s="229">
        <v>2</v>
      </c>
      <c r="G16" s="230" t="s">
        <v>11</v>
      </c>
      <c r="H16" s="228" t="s">
        <v>408</v>
      </c>
      <c r="I16" s="754"/>
      <c r="J16" s="247"/>
      <c r="K16" s="227"/>
      <c r="L16" s="227"/>
      <c r="M16" s="116">
        <f t="shared" si="2"/>
        <v>0</v>
      </c>
    </row>
    <row r="17" spans="1:19" ht="13.5" thickBot="1">
      <c r="A17" s="771"/>
      <c r="B17" s="214"/>
      <c r="C17" s="215"/>
      <c r="D17" s="216"/>
      <c r="E17" s="223"/>
      <c r="F17" s="226">
        <v>20</v>
      </c>
      <c r="G17" s="230" t="s">
        <v>11</v>
      </c>
      <c r="H17" s="231" t="s">
        <v>388</v>
      </c>
      <c r="I17" s="754"/>
      <c r="J17" s="247"/>
      <c r="K17" s="227"/>
      <c r="L17" s="227"/>
      <c r="M17" s="116">
        <f t="shared" si="2"/>
        <v>0</v>
      </c>
      <c r="N17" s="148" t="s">
        <v>404</v>
      </c>
      <c r="O17" s="148">
        <v>1180</v>
      </c>
      <c r="P17" s="148">
        <f>+O17-(O17*0.26)</f>
        <v>873.2</v>
      </c>
      <c r="Q17" s="148">
        <v>480</v>
      </c>
      <c r="R17" s="148">
        <f t="shared" ref="R17" si="3">+O17*Q17</f>
        <v>566400</v>
      </c>
      <c r="S17" s="148">
        <f t="shared" ref="S17" si="4">+P17*Q17</f>
        <v>419136</v>
      </c>
    </row>
    <row r="18" spans="1:19" ht="26.25" thickBot="1">
      <c r="A18" s="771"/>
      <c r="B18" s="214"/>
      <c r="C18" s="215"/>
      <c r="D18" s="216"/>
      <c r="E18" s="223"/>
      <c r="F18" s="226"/>
      <c r="G18" s="235" t="s">
        <v>12</v>
      </c>
      <c r="H18" s="231" t="s">
        <v>419</v>
      </c>
      <c r="I18" s="754"/>
      <c r="J18" s="247"/>
      <c r="K18" s="237"/>
      <c r="L18" s="237"/>
      <c r="M18" s="116">
        <f t="shared" si="2"/>
        <v>0</v>
      </c>
    </row>
    <row r="19" spans="1:19" ht="51.75" thickBot="1">
      <c r="A19" s="771"/>
      <c r="B19" s="214"/>
      <c r="C19" s="215"/>
      <c r="D19" s="216"/>
      <c r="E19" s="223"/>
      <c r="F19" s="233"/>
      <c r="G19" s="230"/>
      <c r="H19" s="231" t="s">
        <v>402</v>
      </c>
      <c r="I19" s="754"/>
      <c r="J19" s="247"/>
      <c r="K19" s="237"/>
      <c r="L19" s="237"/>
      <c r="M19" s="116">
        <f t="shared" si="2"/>
        <v>0</v>
      </c>
    </row>
    <row r="20" spans="1:19" ht="13.5" thickBot="1">
      <c r="A20" s="771"/>
      <c r="B20" s="214"/>
      <c r="C20" s="215"/>
      <c r="D20" s="216"/>
      <c r="E20" s="223"/>
      <c r="F20" s="226"/>
      <c r="G20" s="230"/>
      <c r="H20" s="231"/>
      <c r="I20" s="754"/>
      <c r="J20" s="247"/>
      <c r="K20" s="238"/>
      <c r="L20" s="238"/>
      <c r="M20" s="116">
        <f t="shared" si="2"/>
        <v>0</v>
      </c>
    </row>
    <row r="21" spans="1:19" ht="13.5" thickBot="1">
      <c r="A21" s="771"/>
      <c r="B21" s="214"/>
      <c r="C21" s="215"/>
      <c r="D21" s="216"/>
      <c r="E21" s="223"/>
      <c r="F21" s="229"/>
      <c r="G21" s="230"/>
      <c r="H21" s="231"/>
      <c r="I21" s="754"/>
      <c r="J21" s="247"/>
      <c r="K21" s="237"/>
      <c r="L21" s="237"/>
      <c r="M21" s="116">
        <f t="shared" si="2"/>
        <v>0</v>
      </c>
    </row>
    <row r="22" spans="1:19" ht="13.5" thickBot="1">
      <c r="A22" s="771"/>
      <c r="B22" s="214"/>
      <c r="C22" s="215"/>
      <c r="D22" s="216"/>
      <c r="E22" s="223"/>
      <c r="F22" s="234"/>
      <c r="G22" s="230"/>
      <c r="H22" s="231"/>
      <c r="I22" s="755"/>
      <c r="J22" s="247"/>
      <c r="K22" s="237"/>
      <c r="L22" s="237"/>
      <c r="M22" s="116">
        <f t="shared" si="2"/>
        <v>0</v>
      </c>
    </row>
    <row r="23" spans="1:19" ht="13.5" thickBot="1">
      <c r="A23" s="772"/>
      <c r="B23" s="164" t="s">
        <v>2</v>
      </c>
      <c r="C23" s="99">
        <f>SUM(C16:C22)</f>
        <v>10466</v>
      </c>
      <c r="D23" s="110">
        <f>SUM(D16:D22)</f>
        <v>510</v>
      </c>
      <c r="E23" s="111">
        <f>SUM(E18:E22)</f>
        <v>0</v>
      </c>
      <c r="F23" s="115">
        <f>SUM(F15:F22)</f>
        <v>22</v>
      </c>
      <c r="G23" s="158"/>
      <c r="H23" s="165"/>
      <c r="I23" s="168"/>
      <c r="J23" s="247"/>
      <c r="K23" s="237"/>
      <c r="L23" s="237"/>
      <c r="M23" s="116">
        <f t="shared" si="2"/>
        <v>0</v>
      </c>
    </row>
    <row r="24" spans="1:19" ht="13.5" customHeight="1" thickBot="1">
      <c r="A24" s="750" t="s">
        <v>414</v>
      </c>
      <c r="B24" s="169"/>
      <c r="C24" s="112">
        <f>C23/($C$23+$D$23+$E$23)</f>
        <v>0.95353498542274051</v>
      </c>
      <c r="D24" s="113">
        <f>D23/($C$23+$D$23+$E$23)</f>
        <v>4.6465014577259475E-2</v>
      </c>
      <c r="E24" s="114">
        <f>E23/($C$23+$D$23+$E$23)</f>
        <v>0</v>
      </c>
      <c r="F24" s="226"/>
      <c r="G24" s="227" t="s">
        <v>11</v>
      </c>
      <c r="H24" s="228" t="s">
        <v>385</v>
      </c>
      <c r="I24" s="753" t="s">
        <v>422</v>
      </c>
      <c r="J24" s="247"/>
      <c r="K24" s="237"/>
      <c r="L24" s="237"/>
      <c r="M24" s="116">
        <f t="shared" si="2"/>
        <v>0</v>
      </c>
    </row>
    <row r="25" spans="1:19" ht="13.5" thickBot="1">
      <c r="A25" s="771"/>
      <c r="B25" s="214" t="s">
        <v>415</v>
      </c>
      <c r="C25" s="224">
        <v>16210</v>
      </c>
      <c r="D25" s="216"/>
      <c r="E25" s="223"/>
      <c r="F25" s="229">
        <v>9</v>
      </c>
      <c r="G25" s="230" t="s">
        <v>11</v>
      </c>
      <c r="H25" s="228" t="s">
        <v>387</v>
      </c>
      <c r="I25" s="754"/>
      <c r="J25" s="247"/>
      <c r="K25" s="237"/>
      <c r="L25" s="237"/>
      <c r="M25" s="116">
        <f t="shared" si="2"/>
        <v>0</v>
      </c>
      <c r="Q25" s="175">
        <f>SUM(Q17:Q22)</f>
        <v>480</v>
      </c>
      <c r="R25" s="175">
        <f>SUM(R17:R22)</f>
        <v>566400</v>
      </c>
      <c r="S25" s="175">
        <f>SUM(S17:S22)</f>
        <v>419136</v>
      </c>
    </row>
    <row r="26" spans="1:19" ht="13.5" thickBot="1">
      <c r="A26" s="771"/>
      <c r="B26" s="214"/>
      <c r="C26" s="224"/>
      <c r="D26" s="216"/>
      <c r="E26" s="225"/>
      <c r="F26" s="226">
        <f>24-9</f>
        <v>15</v>
      </c>
      <c r="G26" s="230" t="s">
        <v>11</v>
      </c>
      <c r="H26" s="231" t="s">
        <v>409</v>
      </c>
      <c r="I26" s="754"/>
      <c r="J26" s="247"/>
      <c r="K26" s="237"/>
      <c r="L26" s="237"/>
      <c r="M26" s="116">
        <f t="shared" si="2"/>
        <v>0</v>
      </c>
      <c r="Q26" s="148">
        <f>480-Q25</f>
        <v>0</v>
      </c>
      <c r="R26" s="175">
        <f>+R25/Q25</f>
        <v>1180</v>
      </c>
      <c r="S26" s="175">
        <f>+S25/Q25</f>
        <v>873.2</v>
      </c>
    </row>
    <row r="27" spans="1:19" ht="26.25" thickBot="1">
      <c r="A27" s="771"/>
      <c r="B27" s="214"/>
      <c r="C27" s="215"/>
      <c r="D27" s="216"/>
      <c r="E27" s="223"/>
      <c r="F27" s="226"/>
      <c r="G27" s="235" t="s">
        <v>12</v>
      </c>
      <c r="H27" s="231" t="s">
        <v>420</v>
      </c>
      <c r="I27" s="754"/>
      <c r="J27" s="247"/>
      <c r="K27" s="237"/>
      <c r="L27" s="237"/>
      <c r="M27" s="116">
        <f t="shared" si="2"/>
        <v>0</v>
      </c>
      <c r="N27" s="148" t="s">
        <v>404</v>
      </c>
      <c r="O27" s="148">
        <v>1180</v>
      </c>
      <c r="P27" s="148">
        <f>+O27-(O27*0.26)</f>
        <v>873.2</v>
      </c>
      <c r="Q27" s="148">
        <v>15</v>
      </c>
      <c r="R27" s="148">
        <f t="shared" ref="R27:R29" si="5">+O27*Q27</f>
        <v>17700</v>
      </c>
      <c r="S27" s="148">
        <f t="shared" ref="S27:S29" si="6">+P27*Q27</f>
        <v>13098</v>
      </c>
    </row>
    <row r="28" spans="1:19" ht="39" thickBot="1">
      <c r="A28" s="771"/>
      <c r="B28" s="214"/>
      <c r="C28" s="215"/>
      <c r="D28" s="216"/>
      <c r="E28" s="223"/>
      <c r="F28" s="229"/>
      <c r="G28" s="230"/>
      <c r="H28" s="231" t="s">
        <v>401</v>
      </c>
      <c r="I28" s="754"/>
      <c r="J28" s="247"/>
      <c r="K28" s="237"/>
      <c r="L28" s="237"/>
      <c r="M28" s="116">
        <f t="shared" si="2"/>
        <v>0</v>
      </c>
      <c r="O28" s="148">
        <v>1150</v>
      </c>
      <c r="P28" s="148">
        <f>+O28-(O28*0.26)</f>
        <v>851</v>
      </c>
      <c r="Q28" s="148">
        <f>58-15</f>
        <v>43</v>
      </c>
      <c r="R28" s="148">
        <f t="shared" si="5"/>
        <v>49450</v>
      </c>
      <c r="S28" s="148">
        <f t="shared" si="6"/>
        <v>36593</v>
      </c>
    </row>
    <row r="29" spans="1:19" ht="13.5" thickBot="1">
      <c r="A29" s="771"/>
      <c r="B29" s="214"/>
      <c r="C29" s="215"/>
      <c r="D29" s="216"/>
      <c r="E29" s="223"/>
      <c r="F29" s="234"/>
      <c r="G29" s="230"/>
      <c r="H29" s="231"/>
      <c r="I29" s="754"/>
      <c r="J29" s="247"/>
      <c r="K29" s="237"/>
      <c r="L29" s="237"/>
      <c r="M29" s="116">
        <f t="shared" si="2"/>
        <v>0</v>
      </c>
      <c r="O29" s="148">
        <v>1170</v>
      </c>
      <c r="P29" s="148">
        <f>+O29-(O29*0.26)</f>
        <v>865.8</v>
      </c>
      <c r="Q29" s="148">
        <f>60-58+420</f>
        <v>422</v>
      </c>
      <c r="R29" s="148">
        <f t="shared" si="5"/>
        <v>493740</v>
      </c>
      <c r="S29" s="148">
        <f t="shared" si="6"/>
        <v>365367.6</v>
      </c>
    </row>
    <row r="30" spans="1:19" ht="13.5" thickBot="1">
      <c r="A30" s="771"/>
      <c r="B30" s="214"/>
      <c r="C30" s="224"/>
      <c r="D30" s="216"/>
      <c r="E30" s="223"/>
      <c r="F30" s="234"/>
      <c r="G30" s="230"/>
      <c r="H30" s="231"/>
      <c r="I30" s="754"/>
      <c r="J30" s="247"/>
      <c r="K30" s="237"/>
      <c r="L30" s="237"/>
      <c r="M30" s="116">
        <f t="shared" si="2"/>
        <v>0</v>
      </c>
    </row>
    <row r="31" spans="1:19" ht="13.5" thickBot="1">
      <c r="A31" s="771"/>
      <c r="B31" s="214"/>
      <c r="C31" s="224"/>
      <c r="D31" s="216"/>
      <c r="E31" s="223"/>
      <c r="F31" s="234"/>
      <c r="G31" s="235"/>
      <c r="H31" s="442"/>
      <c r="I31" s="755"/>
      <c r="J31" s="247"/>
      <c r="K31" s="237"/>
      <c r="L31" s="237"/>
      <c r="M31" s="116">
        <f t="shared" si="2"/>
        <v>0</v>
      </c>
    </row>
    <row r="32" spans="1:19" ht="13.5" thickBot="1">
      <c r="A32" s="772"/>
      <c r="B32" s="164" t="s">
        <v>2</v>
      </c>
      <c r="C32" s="98">
        <f>SUM(C25:C31)</f>
        <v>16210</v>
      </c>
      <c r="D32" s="99">
        <f>SUM(D25:D31)</f>
        <v>0</v>
      </c>
      <c r="E32" s="100">
        <f>SUM(E25:E31)</f>
        <v>0</v>
      </c>
      <c r="F32" s="101">
        <f>SUM(F24:F31)</f>
        <v>24</v>
      </c>
      <c r="G32" s="170"/>
      <c r="H32" s="171"/>
      <c r="I32" s="168"/>
      <c r="J32" s="249"/>
      <c r="K32" s="239"/>
      <c r="L32" s="241"/>
      <c r="M32" s="116">
        <f t="shared" si="2"/>
        <v>0</v>
      </c>
    </row>
    <row r="33" spans="1:19" ht="13.5" thickBot="1">
      <c r="A33" s="172"/>
      <c r="B33" s="173"/>
      <c r="C33" s="102">
        <f>C32/($C$32+$D$32+$E$32)</f>
        <v>1</v>
      </c>
      <c r="D33" s="103">
        <f>D32/($C$32+$D$32+$E$32)</f>
        <v>0</v>
      </c>
      <c r="E33" s="104">
        <f>E32/($C$32+$D$32+$E$32)</f>
        <v>0</v>
      </c>
      <c r="F33" s="105"/>
      <c r="G33" s="174"/>
      <c r="H33" s="175"/>
      <c r="I33" s="176"/>
      <c r="J33" s="120"/>
      <c r="K33" s="121"/>
      <c r="L33" s="212"/>
      <c r="M33" s="118"/>
    </row>
    <row r="34" spans="1:19" ht="13.5" thickBot="1">
      <c r="A34" s="758" t="s">
        <v>56</v>
      </c>
      <c r="B34" s="759"/>
      <c r="C34" s="106">
        <f>C14+C23+C32</f>
        <v>39266</v>
      </c>
      <c r="D34" s="106">
        <f>D14+D23+D32</f>
        <v>510</v>
      </c>
      <c r="E34" s="106">
        <f>E14+E23+E32</f>
        <v>0</v>
      </c>
      <c r="F34" s="107">
        <f>F14+F23+F32</f>
        <v>64</v>
      </c>
      <c r="H34" s="177"/>
      <c r="I34" s="177"/>
      <c r="J34" s="122" t="s">
        <v>27</v>
      </c>
      <c r="K34" s="123">
        <f>SUM(K7:K32)</f>
        <v>39266</v>
      </c>
      <c r="L34" s="211">
        <f>SUM(L7:L32)</f>
        <v>0</v>
      </c>
      <c r="M34" s="119">
        <f>SUM(M7:M32)</f>
        <v>39266</v>
      </c>
    </row>
    <row r="35" spans="1:19" ht="13.5" thickBot="1">
      <c r="A35" s="178"/>
      <c r="B35" s="179"/>
      <c r="C35" s="103">
        <f>C34/($C$34+$D$34+$E$34)</f>
        <v>0.98717819790828643</v>
      </c>
      <c r="D35" s="103">
        <f>D34/($C$34+$D$34+$E$34)</f>
        <v>1.2821802091713597E-2</v>
      </c>
      <c r="E35" s="108">
        <f>E34/($C$34+$D$34+$E$34)</f>
        <v>0</v>
      </c>
      <c r="K35" s="154"/>
      <c r="Q35" s="175">
        <f>SUM(Q27:Q32)</f>
        <v>480</v>
      </c>
      <c r="R35" s="175">
        <f>SUM(R27:R32)</f>
        <v>560890</v>
      </c>
      <c r="S35" s="175">
        <f>SUM(S27:S32)</f>
        <v>415058.6</v>
      </c>
    </row>
    <row r="36" spans="1:19" ht="13.5" thickBot="1">
      <c r="A36" s="177"/>
      <c r="B36" s="177"/>
      <c r="C36" s="154"/>
      <c r="D36" s="154"/>
      <c r="E36" s="154"/>
      <c r="G36" s="154"/>
      <c r="H36" s="180"/>
      <c r="I36" s="161" t="s">
        <v>36</v>
      </c>
      <c r="J36" s="161" t="s">
        <v>37</v>
      </c>
      <c r="K36" s="181"/>
      <c r="Q36" s="148">
        <f>480-Q35</f>
        <v>0</v>
      </c>
      <c r="R36" s="175">
        <f>+R35/Q35</f>
        <v>1168.5208333333333</v>
      </c>
      <c r="S36" s="175">
        <f>+S35/Q35</f>
        <v>864.70541666666657</v>
      </c>
    </row>
    <row r="37" spans="1:19" ht="17.45" customHeight="1" thickBot="1">
      <c r="A37" s="760" t="s">
        <v>57</v>
      </c>
      <c r="B37" s="761"/>
      <c r="C37" s="161" t="s">
        <v>58</v>
      </c>
      <c r="D37" s="182" t="s">
        <v>59</v>
      </c>
      <c r="E37" s="183" t="s">
        <v>60</v>
      </c>
      <c r="F37" s="184"/>
      <c r="G37" s="154"/>
      <c r="H37" s="185" t="s">
        <v>61</v>
      </c>
      <c r="I37" s="242">
        <f>(13*1440)/1440*G42*2.74*1440/1000000</f>
        <v>45.047139332000008</v>
      </c>
      <c r="J37" s="124">
        <f>I37</f>
        <v>45.047139332000008</v>
      </c>
      <c r="K37" s="125" t="s">
        <v>62</v>
      </c>
    </row>
    <row r="38" spans="1:19" ht="17.45" customHeight="1">
      <c r="A38" s="762" t="s">
        <v>11</v>
      </c>
      <c r="B38" s="763"/>
      <c r="C38" s="163">
        <f>SUMIF($G$7:$G$31,"Process",$F$7:$F$31)</f>
        <v>64</v>
      </c>
      <c r="D38" s="117">
        <f>C38</f>
        <v>64</v>
      </c>
      <c r="E38" s="142">
        <f t="shared" ref="E38:E51" si="7">D38/60</f>
        <v>1.0666666666666667</v>
      </c>
      <c r="F38" s="184">
        <v>1180</v>
      </c>
      <c r="G38" s="184">
        <v>896.8</v>
      </c>
      <c r="H38" s="186" t="s">
        <v>63</v>
      </c>
      <c r="I38" s="243">
        <f>13.904+13.562+11.596</f>
        <v>39.061999999999998</v>
      </c>
      <c r="J38" s="126">
        <f>I38</f>
        <v>39.061999999999998</v>
      </c>
      <c r="K38" s="127" t="s">
        <v>62</v>
      </c>
    </row>
    <row r="39" spans="1:19" ht="17.45" customHeight="1">
      <c r="A39" s="764" t="s">
        <v>12</v>
      </c>
      <c r="B39" s="765"/>
      <c r="C39" s="163">
        <f>SUMIF($G$7:$G$31,"Cleaning",$F$7:$F$31)</f>
        <v>0</v>
      </c>
      <c r="D39" s="117">
        <f>C39</f>
        <v>0</v>
      </c>
      <c r="E39" s="142">
        <f t="shared" si="7"/>
        <v>0</v>
      </c>
      <c r="F39" s="184">
        <v>1180</v>
      </c>
      <c r="G39" s="184">
        <v>873.2</v>
      </c>
      <c r="H39" s="186" t="s">
        <v>64</v>
      </c>
      <c r="I39" s="141"/>
      <c r="J39" s="128">
        <f>J37/G4</f>
        <v>45.047139332000008</v>
      </c>
      <c r="K39" s="129" t="s">
        <v>62</v>
      </c>
    </row>
    <row r="40" spans="1:19" ht="17.45" customHeight="1">
      <c r="A40" s="764" t="s">
        <v>65</v>
      </c>
      <c r="B40" s="765"/>
      <c r="C40" s="163">
        <f>SUMIF($G$7:$G$31,"Mechanical",$F$7:$F$31)</f>
        <v>0</v>
      </c>
      <c r="D40" s="117">
        <f t="shared" ref="D40:D51" si="8">C40</f>
        <v>0</v>
      </c>
      <c r="E40" s="142">
        <f t="shared" si="7"/>
        <v>0</v>
      </c>
      <c r="F40" s="184">
        <v>1168.5208333333333</v>
      </c>
      <c r="G40" s="184">
        <v>864.70541666666657</v>
      </c>
      <c r="H40" s="186" t="s">
        <v>66</v>
      </c>
      <c r="I40" s="117">
        <f>(K34+L34)/1000</f>
        <v>39.265999999999998</v>
      </c>
      <c r="J40" s="130">
        <f>M34/1000</f>
        <v>39.265999999999998</v>
      </c>
      <c r="K40" s="129" t="s">
        <v>62</v>
      </c>
    </row>
    <row r="41" spans="1:19" ht="17.45" customHeight="1">
      <c r="A41" s="764" t="s">
        <v>67</v>
      </c>
      <c r="B41" s="765"/>
      <c r="C41" s="163">
        <f>SUMIF($G$7:$G$31,"Electrical",$F$7:$F$31)</f>
        <v>0</v>
      </c>
      <c r="D41" s="117">
        <f t="shared" si="8"/>
        <v>0</v>
      </c>
      <c r="E41" s="142">
        <f t="shared" si="7"/>
        <v>0</v>
      </c>
      <c r="F41" s="184"/>
      <c r="G41" s="184"/>
      <c r="H41" s="186" t="s">
        <v>68</v>
      </c>
      <c r="I41" s="141"/>
      <c r="J41" s="128">
        <f>J40/G4</f>
        <v>39.265999999999998</v>
      </c>
      <c r="K41" s="129" t="s">
        <v>62</v>
      </c>
    </row>
    <row r="42" spans="1:19" ht="17.45" customHeight="1">
      <c r="A42" s="764" t="s">
        <v>15</v>
      </c>
      <c r="B42" s="765"/>
      <c r="C42" s="163">
        <f>SUMIF($G$7:$G$31,"Instrument",$F$7:$F$31)</f>
        <v>0</v>
      </c>
      <c r="D42" s="117">
        <f t="shared" si="8"/>
        <v>0</v>
      </c>
      <c r="E42" s="142">
        <f t="shared" si="7"/>
        <v>0</v>
      </c>
      <c r="F42" s="320">
        <f>+(480*F38+480*F39+480*F40)/1440</f>
        <v>1176.1736111111111</v>
      </c>
      <c r="G42" s="320">
        <f>+(480*G38+480*G39+480*G40)/1440</f>
        <v>878.23513888888897</v>
      </c>
      <c r="H42" s="186" t="s">
        <v>69</v>
      </c>
      <c r="I42" s="244" t="s">
        <v>406</v>
      </c>
      <c r="J42" s="131"/>
      <c r="K42" s="129" t="s">
        <v>70</v>
      </c>
    </row>
    <row r="43" spans="1:19" ht="17.45" customHeight="1">
      <c r="A43" s="764" t="s">
        <v>221</v>
      </c>
      <c r="B43" s="765"/>
      <c r="C43" s="163">
        <f>SUMIF($G$7:$G$31,"Change Grade",$F$7:$F$31)</f>
        <v>0</v>
      </c>
      <c r="D43" s="117">
        <f t="shared" si="8"/>
        <v>0</v>
      </c>
      <c r="E43" s="142">
        <f t="shared" si="7"/>
        <v>0</v>
      </c>
      <c r="F43" s="184"/>
      <c r="H43" s="187" t="s">
        <v>72</v>
      </c>
      <c r="I43" s="117">
        <f>+Report1!Z9</f>
        <v>50.3</v>
      </c>
      <c r="J43" s="132">
        <f>I43</f>
        <v>50.3</v>
      </c>
      <c r="K43" s="129" t="s">
        <v>62</v>
      </c>
      <c r="L43" s="188"/>
    </row>
    <row r="44" spans="1:19" ht="17.45" customHeight="1">
      <c r="A44" s="764" t="s">
        <v>16</v>
      </c>
      <c r="B44" s="765"/>
      <c r="C44" s="163">
        <f>SUMIF($G$7:$G$31,"PLN",$F$7:$F$31)</f>
        <v>0</v>
      </c>
      <c r="D44" s="117">
        <f>C44</f>
        <v>0</v>
      </c>
      <c r="E44" s="142">
        <f t="shared" si="7"/>
        <v>0</v>
      </c>
      <c r="F44" s="184"/>
      <c r="H44" s="187" t="s">
        <v>73</v>
      </c>
      <c r="I44" s="117">
        <f>I43/I38</f>
        <v>1.2876964825149761</v>
      </c>
      <c r="J44" s="133">
        <f>J43/J38</f>
        <v>1.2876964825149761</v>
      </c>
      <c r="K44" s="129" t="s">
        <v>62</v>
      </c>
    </row>
    <row r="45" spans="1:19" ht="17.45" customHeight="1">
      <c r="A45" s="764" t="s">
        <v>17</v>
      </c>
      <c r="B45" s="765"/>
      <c r="C45" s="163">
        <f>SUMIF($G$7:$G$31,"Boiler",$F$7:$F$31)</f>
        <v>0</v>
      </c>
      <c r="D45" s="117">
        <f t="shared" si="8"/>
        <v>0</v>
      </c>
      <c r="E45" s="142">
        <f t="shared" si="7"/>
        <v>0</v>
      </c>
      <c r="F45" s="184"/>
      <c r="G45" s="175"/>
      <c r="H45" s="187" t="s">
        <v>74</v>
      </c>
      <c r="I45" s="117">
        <f>I43/I40</f>
        <v>1.281006468700657</v>
      </c>
      <c r="J45" s="133">
        <f>J43/J40</f>
        <v>1.281006468700657</v>
      </c>
      <c r="K45" s="129" t="s">
        <v>62</v>
      </c>
    </row>
    <row r="46" spans="1:19" ht="17.45" customHeight="1">
      <c r="A46" s="764" t="s">
        <v>75</v>
      </c>
      <c r="B46" s="765"/>
      <c r="C46" s="163">
        <f>SUMIF($G$7:$G$31,"Gas",$F$7:$F$31)</f>
        <v>0</v>
      </c>
      <c r="D46" s="117">
        <f t="shared" si="8"/>
        <v>0</v>
      </c>
      <c r="E46" s="142">
        <f t="shared" si="7"/>
        <v>0</v>
      </c>
      <c r="F46" s="184"/>
      <c r="H46" s="187" t="s">
        <v>76</v>
      </c>
      <c r="I46" s="139">
        <f>+SUMIF(Listrik!P8,"&gt;0")</f>
        <v>38461.279999998907</v>
      </c>
      <c r="J46" s="134">
        <f>I46</f>
        <v>38461.279999998907</v>
      </c>
      <c r="K46" s="129" t="s">
        <v>77</v>
      </c>
    </row>
    <row r="47" spans="1:19" ht="17.45" customHeight="1">
      <c r="A47" s="764" t="s">
        <v>78</v>
      </c>
      <c r="B47" s="765"/>
      <c r="C47" s="163">
        <f>SUMIF($G$7:$G$31,"Gas",$F$7:$F$31)</f>
        <v>0</v>
      </c>
      <c r="D47" s="117">
        <f t="shared" si="8"/>
        <v>0</v>
      </c>
      <c r="E47" s="142">
        <f t="shared" si="7"/>
        <v>0</v>
      </c>
      <c r="F47" s="184"/>
      <c r="H47" s="187" t="s">
        <v>79</v>
      </c>
      <c r="I47" s="117">
        <f>I46/I38</f>
        <v>984.62137115352289</v>
      </c>
      <c r="J47" s="134">
        <f>J46/J38</f>
        <v>984.62137115352289</v>
      </c>
      <c r="K47" s="129" t="s">
        <v>23</v>
      </c>
    </row>
    <row r="48" spans="1:19" ht="17.45" customHeight="1">
      <c r="A48" s="764" t="s">
        <v>13</v>
      </c>
      <c r="B48" s="765"/>
      <c r="C48" s="163">
        <f>SUMIF($G$7:$G$31,"Start Up",$F$7:$F$31)</f>
        <v>0</v>
      </c>
      <c r="D48" s="117">
        <f t="shared" si="8"/>
        <v>0</v>
      </c>
      <c r="E48" s="142">
        <f t="shared" si="7"/>
        <v>0</v>
      </c>
      <c r="F48" s="184"/>
      <c r="H48" s="187" t="s">
        <v>80</v>
      </c>
      <c r="I48" s="117">
        <f>I46/I40</f>
        <v>979.50593388679545</v>
      </c>
      <c r="J48" s="134">
        <f>J46/J40</f>
        <v>979.50593388679545</v>
      </c>
      <c r="K48" s="129" t="s">
        <v>23</v>
      </c>
    </row>
    <row r="49" spans="1:11" ht="17.45" customHeight="1">
      <c r="A49" s="764" t="s">
        <v>19</v>
      </c>
      <c r="B49" s="765"/>
      <c r="C49" s="163">
        <f>SUMIF($G$7:$G$31,"Others",$F$7:$F$31)</f>
        <v>0</v>
      </c>
      <c r="D49" s="117">
        <f t="shared" si="8"/>
        <v>0</v>
      </c>
      <c r="E49" s="142">
        <f t="shared" si="7"/>
        <v>0</v>
      </c>
      <c r="F49" s="184"/>
      <c r="H49" s="187" t="s">
        <v>269</v>
      </c>
      <c r="I49" s="117">
        <f>+Report1!T9</f>
        <v>5387.3707871958968</v>
      </c>
      <c r="J49" s="134">
        <f>I49</f>
        <v>5387.3707871958968</v>
      </c>
      <c r="K49" s="129" t="s">
        <v>81</v>
      </c>
    </row>
    <row r="50" spans="1:11" ht="17.45" customHeight="1">
      <c r="A50" s="764" t="s">
        <v>18</v>
      </c>
      <c r="B50" s="765"/>
      <c r="C50" s="163">
        <f>SUMIF($G$7:$G$31,"Steam",$F$7:$F$31)</f>
        <v>0</v>
      </c>
      <c r="D50" s="117">
        <f t="shared" si="8"/>
        <v>0</v>
      </c>
      <c r="E50" s="142">
        <f t="shared" si="7"/>
        <v>0</v>
      </c>
      <c r="F50" s="184"/>
      <c r="H50" s="187" t="s">
        <v>82</v>
      </c>
      <c r="I50" s="139">
        <f>I49/I38</f>
        <v>137.91845750847108</v>
      </c>
      <c r="J50" s="132">
        <f>J49/J38</f>
        <v>137.91845750847108</v>
      </c>
      <c r="K50" s="129" t="s">
        <v>81</v>
      </c>
    </row>
    <row r="51" spans="1:11" ht="17.45" customHeight="1" thickBot="1">
      <c r="A51" s="766" t="s">
        <v>83</v>
      </c>
      <c r="B51" s="767"/>
      <c r="C51" s="163">
        <f>SUMIF($G$7:$G$31,"Planned shut",$F$7:$F$31)</f>
        <v>0</v>
      </c>
      <c r="D51" s="117">
        <f t="shared" si="8"/>
        <v>0</v>
      </c>
      <c r="E51" s="142">
        <f t="shared" si="7"/>
        <v>0</v>
      </c>
      <c r="F51" s="184"/>
      <c r="H51" s="189" t="s">
        <v>84</v>
      </c>
      <c r="I51" s="140">
        <f>I49/I40</f>
        <v>137.20192500371562</v>
      </c>
      <c r="J51" s="135">
        <f>J49/J40</f>
        <v>137.20192500371562</v>
      </c>
      <c r="K51" s="136" t="s">
        <v>81</v>
      </c>
    </row>
    <row r="52" spans="1:11" ht="13.5" thickBot="1">
      <c r="A52" s="762" t="s">
        <v>27</v>
      </c>
      <c r="B52" s="763"/>
      <c r="C52" s="143">
        <f>SUM(C38:C51)</f>
        <v>64</v>
      </c>
      <c r="D52" s="143">
        <f>SUM(D38:D51)</f>
        <v>64</v>
      </c>
      <c r="E52" s="144">
        <f>SUM(E38:E51)</f>
        <v>1.0666666666666667</v>
      </c>
      <c r="F52" s="184"/>
      <c r="H52" s="190"/>
      <c r="I52" s="191"/>
      <c r="J52" s="137"/>
      <c r="K52" s="138"/>
    </row>
    <row r="53" spans="1:11" ht="13.5" thickBot="1">
      <c r="A53" s="768"/>
      <c r="B53" s="769"/>
      <c r="C53" s="145">
        <f>C52/(24*60)</f>
        <v>4.4444444444444446E-2</v>
      </c>
      <c r="D53" s="145">
        <f>D52/(24*60*G4)</f>
        <v>4.4444444444444446E-2</v>
      </c>
      <c r="E53" s="146">
        <f>E52/(G4*24)</f>
        <v>4.4444444444444446E-2</v>
      </c>
      <c r="F53" s="184"/>
    </row>
    <row r="54" spans="1:11">
      <c r="E54" s="192"/>
      <c r="F54" s="184"/>
    </row>
    <row r="55" spans="1:11">
      <c r="E55" s="192"/>
    </row>
    <row r="56" spans="1:11">
      <c r="A56" s="193" t="s">
        <v>85</v>
      </c>
      <c r="B56" s="194"/>
      <c r="C56" s="195"/>
      <c r="D56" s="195"/>
      <c r="E56" s="195"/>
      <c r="F56" s="196"/>
      <c r="G56" s="195"/>
      <c r="H56" s="197"/>
      <c r="I56" s="198" t="s">
        <v>86</v>
      </c>
      <c r="J56" s="199">
        <f>D34</f>
        <v>510</v>
      </c>
      <c r="K56" s="200">
        <f>J56/(J40+J56/1000)/1000</f>
        <v>1.2821802091713597E-2</v>
      </c>
    </row>
    <row r="57" spans="1:11">
      <c r="A57" s="175"/>
      <c r="I57" s="198" t="s">
        <v>87</v>
      </c>
      <c r="J57" s="199">
        <f>+E34</f>
        <v>0</v>
      </c>
      <c r="K57" s="200">
        <f>J57/(J40+J57/1000)/1000</f>
        <v>0</v>
      </c>
    </row>
    <row r="58" spans="1:11">
      <c r="A58" s="201"/>
      <c r="B58" s="202"/>
      <c r="F58" s="184"/>
      <c r="H58" s="203"/>
    </row>
    <row r="59" spans="1:11">
      <c r="A59" s="204"/>
      <c r="B59" s="175"/>
      <c r="C59" s="175"/>
      <c r="D59" s="175"/>
      <c r="E59" s="175"/>
      <c r="F59" s="188"/>
      <c r="G59" s="175"/>
      <c r="H59" s="203"/>
    </row>
    <row r="60" spans="1:11">
      <c r="H60" s="203"/>
    </row>
    <row r="61" spans="1:11">
      <c r="A61" s="205"/>
      <c r="B61" s="206"/>
      <c r="C61" s="206"/>
      <c r="D61" s="206"/>
      <c r="E61" s="206"/>
      <c r="F61" s="207"/>
      <c r="G61" s="206"/>
      <c r="H61" s="208"/>
    </row>
  </sheetData>
  <mergeCells count="24"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  <mergeCell ref="A7:A14"/>
    <mergeCell ref="I7:I13"/>
    <mergeCell ref="A15:A23"/>
    <mergeCell ref="I15:I22"/>
    <mergeCell ref="A34:B34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35</vt:i4>
      </vt:variant>
    </vt:vector>
  </HeadingPairs>
  <TitlesOfParts>
    <vt:vector size="77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31</vt:lpstr>
      <vt:lpstr>30</vt:lpstr>
      <vt:lpstr>28</vt:lpstr>
      <vt:lpstr>29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win10</cp:lastModifiedBy>
  <cp:revision/>
  <cp:lastPrinted>2026-02-04T01:06:32Z</cp:lastPrinted>
  <dcterms:created xsi:type="dcterms:W3CDTF">2007-07-30T03:52:39Z</dcterms:created>
  <dcterms:modified xsi:type="dcterms:W3CDTF">2026-02-11T08:34:42Z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