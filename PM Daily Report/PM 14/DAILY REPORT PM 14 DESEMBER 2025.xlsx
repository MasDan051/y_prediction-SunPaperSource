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0730" windowHeight="11760" tabRatio="930" activeTab="10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46" r:id="rId5"/>
    <sheet name="Efficiency2" sheetId="57" r:id="rId6"/>
    <sheet name="Chem" sheetId="1" r:id="rId7"/>
    <sheet name="RBP" sheetId="54" r:id="rId8"/>
    <sheet name="BB" sheetId="2" r:id="rId9"/>
    <sheet name="Sheet1" sheetId="56" r:id="rId10"/>
    <sheet name="summary" sheetId="55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</externalReferences>
  <definedNames>
    <definedName name="_xlnm._FilterDatabase" localSheetId="9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Chem!$CE$6:$CQ$15</definedName>
    <definedName name="_xlnm.Print_Area" localSheetId="4">Efficiency1!$A$1:$AD$135</definedName>
    <definedName name="_xlnm.Print_Area" localSheetId="5">Efficiency2!$A$1:$AD$135</definedName>
    <definedName name="_xlnm.Print_Area" localSheetId="2">Listrik!$A$2:$AT$40</definedName>
    <definedName name="_xlnm.Print_Area" localSheetId="0">Report1!$A$3:$AK$41</definedName>
  </definedNames>
  <calcPr calcId="144525"/>
</workbook>
</file>

<file path=xl/calcChain.xml><?xml version="1.0" encoding="utf-8"?>
<calcChain xmlns="http://schemas.openxmlformats.org/spreadsheetml/2006/main">
  <c r="K57" i="33" l="1"/>
  <c r="J57" i="33"/>
  <c r="K56" i="33"/>
  <c r="J56" i="33"/>
  <c r="E53" i="33"/>
  <c r="D53" i="33"/>
  <c r="C53" i="33"/>
  <c r="E52" i="33"/>
  <c r="D52" i="33"/>
  <c r="C52" i="33"/>
  <c r="E51" i="33"/>
  <c r="D51" i="33"/>
  <c r="C51" i="33"/>
  <c r="E50" i="33"/>
  <c r="D50" i="33"/>
  <c r="C50" i="33"/>
  <c r="I49" i="33"/>
  <c r="I50" i="33" s="1"/>
  <c r="E49" i="33"/>
  <c r="D49" i="33"/>
  <c r="C49" i="33"/>
  <c r="E48" i="33"/>
  <c r="D48" i="33"/>
  <c r="C48" i="33"/>
  <c r="E47" i="33"/>
  <c r="D47" i="33"/>
  <c r="C47" i="33"/>
  <c r="E46" i="33"/>
  <c r="D46" i="33"/>
  <c r="C46" i="33"/>
  <c r="E45" i="33"/>
  <c r="D45" i="33"/>
  <c r="C45" i="33"/>
  <c r="E44" i="33"/>
  <c r="D44" i="33"/>
  <c r="C44" i="33"/>
  <c r="I43" i="33"/>
  <c r="I44" i="33" s="1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E40" i="33"/>
  <c r="D40" i="33"/>
  <c r="C40" i="33"/>
  <c r="N39" i="33"/>
  <c r="J39" i="33"/>
  <c r="E39" i="33"/>
  <c r="D39" i="33"/>
  <c r="C39" i="33"/>
  <c r="J38" i="33"/>
  <c r="I38" i="33"/>
  <c r="E38" i="33"/>
  <c r="D38" i="33"/>
  <c r="C38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S32" i="33"/>
  <c r="R32" i="33"/>
  <c r="Q32" i="33"/>
  <c r="M32" i="33"/>
  <c r="F32" i="33"/>
  <c r="E32" i="33"/>
  <c r="D32" i="33"/>
  <c r="C32" i="33"/>
  <c r="S31" i="33"/>
  <c r="R31" i="33"/>
  <c r="Q31" i="33"/>
  <c r="M31" i="33"/>
  <c r="M30" i="33"/>
  <c r="M29" i="33"/>
  <c r="M28" i="33"/>
  <c r="M27" i="33"/>
  <c r="S26" i="33"/>
  <c r="R26" i="33"/>
  <c r="P26" i="33"/>
  <c r="M26" i="33"/>
  <c r="S25" i="33"/>
  <c r="R25" i="33"/>
  <c r="P25" i="33"/>
  <c r="M25" i="33"/>
  <c r="S24" i="33"/>
  <c r="R24" i="33"/>
  <c r="P24" i="33"/>
  <c r="M24" i="33"/>
  <c r="E24" i="33"/>
  <c r="D24" i="33"/>
  <c r="C24" i="33"/>
  <c r="S23" i="33"/>
  <c r="R23" i="33"/>
  <c r="P23" i="33"/>
  <c r="M23" i="33"/>
  <c r="F23" i="33"/>
  <c r="E23" i="33"/>
  <c r="D23" i="33"/>
  <c r="C23" i="33"/>
  <c r="M22" i="33"/>
  <c r="M21" i="33"/>
  <c r="M20" i="33"/>
  <c r="F20" i="33"/>
  <c r="M19" i="33"/>
  <c r="F19" i="33"/>
  <c r="M18" i="33"/>
  <c r="M17" i="33"/>
  <c r="M16" i="33"/>
  <c r="S15" i="33"/>
  <c r="R15" i="33"/>
  <c r="Q15" i="33"/>
  <c r="M15" i="33"/>
  <c r="E15" i="33"/>
  <c r="D15" i="33"/>
  <c r="C15" i="33"/>
  <c r="S14" i="33"/>
  <c r="R14" i="33"/>
  <c r="Q14" i="33"/>
  <c r="M14" i="33"/>
  <c r="F14" i="33"/>
  <c r="E14" i="33"/>
  <c r="D14" i="33"/>
  <c r="C14" i="33"/>
  <c r="M13" i="33"/>
  <c r="M12" i="33"/>
  <c r="M11" i="33"/>
  <c r="M10" i="33"/>
  <c r="S9" i="33"/>
  <c r="R9" i="33"/>
  <c r="P9" i="33"/>
  <c r="M9" i="33"/>
  <c r="S8" i="33"/>
  <c r="R8" i="33"/>
  <c r="P8" i="33"/>
  <c r="M8" i="33"/>
  <c r="S7" i="33"/>
  <c r="R7" i="33"/>
  <c r="P7" i="33"/>
  <c r="M7" i="33"/>
  <c r="K7" i="33"/>
  <c r="S6" i="33"/>
  <c r="R6" i="33"/>
  <c r="Q6" i="33"/>
  <c r="P6" i="33"/>
  <c r="J57" i="32"/>
  <c r="J56" i="32"/>
  <c r="C53" i="32"/>
  <c r="C52" i="32"/>
  <c r="D51" i="32"/>
  <c r="E51" i="32" s="1"/>
  <c r="C51" i="32"/>
  <c r="D50" i="32"/>
  <c r="E50" i="32" s="1"/>
  <c r="C50" i="32"/>
  <c r="I49" i="32"/>
  <c r="E49" i="32"/>
  <c r="D49" i="32"/>
  <c r="C49" i="32"/>
  <c r="D48" i="32"/>
  <c r="E48" i="32" s="1"/>
  <c r="C48" i="32"/>
  <c r="E47" i="32"/>
  <c r="D47" i="32"/>
  <c r="C47" i="32"/>
  <c r="D46" i="32"/>
  <c r="E46" i="32" s="1"/>
  <c r="C46" i="32"/>
  <c r="E45" i="32"/>
  <c r="D45" i="32"/>
  <c r="C45" i="32"/>
  <c r="Q44" i="32"/>
  <c r="E44" i="32"/>
  <c r="D44" i="32"/>
  <c r="C44" i="32"/>
  <c r="I43" i="32"/>
  <c r="D43" i="32"/>
  <c r="E43" i="32" s="1"/>
  <c r="C43" i="32"/>
  <c r="G42" i="32"/>
  <c r="F42" i="32"/>
  <c r="E42" i="32"/>
  <c r="D42" i="32"/>
  <c r="C42" i="32"/>
  <c r="E41" i="32"/>
  <c r="D41" i="32"/>
  <c r="C41" i="32"/>
  <c r="D40" i="32"/>
  <c r="E40" i="32" s="1"/>
  <c r="C40" i="32"/>
  <c r="J39" i="32"/>
  <c r="D39" i="32"/>
  <c r="E39" i="32" s="1"/>
  <c r="C39" i="32"/>
  <c r="S38" i="32"/>
  <c r="R38" i="32"/>
  <c r="Q38" i="32"/>
  <c r="J38" i="32"/>
  <c r="I38" i="32"/>
  <c r="D38" i="32"/>
  <c r="D52" i="32" s="1"/>
  <c r="D53" i="32" s="1"/>
  <c r="C38" i="32"/>
  <c r="S37" i="32"/>
  <c r="R37" i="32"/>
  <c r="Q37" i="32"/>
  <c r="J37" i="32"/>
  <c r="I37" i="32"/>
  <c r="E35" i="32"/>
  <c r="D35" i="32"/>
  <c r="C35" i="32"/>
  <c r="L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M30" i="32"/>
  <c r="J30" i="32"/>
  <c r="S29" i="32"/>
  <c r="R29" i="32"/>
  <c r="P29" i="32"/>
  <c r="M29" i="32"/>
  <c r="J29" i="32"/>
  <c r="M28" i="32"/>
  <c r="J28" i="32"/>
  <c r="Z27" i="32"/>
  <c r="Y27" i="32"/>
  <c r="X27" i="32"/>
  <c r="S27" i="32"/>
  <c r="R27" i="32"/>
  <c r="Q27" i="32"/>
  <c r="M27" i="32"/>
  <c r="J27" i="32"/>
  <c r="Z26" i="32"/>
  <c r="Y26" i="32"/>
  <c r="X26" i="32"/>
  <c r="S26" i="32"/>
  <c r="R26" i="32"/>
  <c r="Q26" i="32"/>
  <c r="M26" i="32"/>
  <c r="J26" i="32"/>
  <c r="M25" i="32"/>
  <c r="J25" i="32"/>
  <c r="M24" i="32"/>
  <c r="J24" i="32"/>
  <c r="E24" i="32"/>
  <c r="D24" i="32"/>
  <c r="C24" i="32"/>
  <c r="M23" i="32"/>
  <c r="J23" i="32"/>
  <c r="F23" i="32"/>
  <c r="E23" i="32"/>
  <c r="D23" i="32"/>
  <c r="C23" i="32"/>
  <c r="M22" i="32"/>
  <c r="J22" i="32"/>
  <c r="M21" i="32"/>
  <c r="J21" i="32"/>
  <c r="Z20" i="32"/>
  <c r="Y20" i="32"/>
  <c r="W20" i="32"/>
  <c r="M20" i="32"/>
  <c r="J20" i="32"/>
  <c r="Z19" i="32"/>
  <c r="Y19" i="32"/>
  <c r="W19" i="32"/>
  <c r="M19" i="32"/>
  <c r="J19" i="32"/>
  <c r="Z18" i="32"/>
  <c r="Y18" i="32"/>
  <c r="W18" i="32"/>
  <c r="S18" i="32"/>
  <c r="R18" i="32"/>
  <c r="P18" i="32"/>
  <c r="M18" i="32"/>
  <c r="J18" i="32"/>
  <c r="M17" i="32"/>
  <c r="J17" i="32"/>
  <c r="M16" i="32"/>
  <c r="J16" i="32"/>
  <c r="Z15" i="32"/>
  <c r="Y15" i="32"/>
  <c r="X15" i="32"/>
  <c r="S15" i="32"/>
  <c r="R15" i="32"/>
  <c r="Q15" i="32"/>
  <c r="M15" i="32"/>
  <c r="J15" i="32"/>
  <c r="E15" i="32"/>
  <c r="D15" i="32"/>
  <c r="C15" i="32"/>
  <c r="Z14" i="32"/>
  <c r="Y14" i="32"/>
  <c r="X14" i="32"/>
  <c r="S14" i="32"/>
  <c r="R14" i="32"/>
  <c r="Q14" i="32"/>
  <c r="M14" i="32"/>
  <c r="J14" i="32"/>
  <c r="F14" i="32"/>
  <c r="E14" i="32"/>
  <c r="D14" i="32"/>
  <c r="C14" i="32"/>
  <c r="M13" i="32"/>
  <c r="J13" i="32"/>
  <c r="M12" i="32"/>
  <c r="J12" i="32"/>
  <c r="M11" i="32"/>
  <c r="J11" i="32"/>
  <c r="M10" i="32"/>
  <c r="J10" i="32"/>
  <c r="S9" i="32"/>
  <c r="R9" i="32"/>
  <c r="Q9" i="32"/>
  <c r="P9" i="32"/>
  <c r="O9" i="32"/>
  <c r="M9" i="32"/>
  <c r="J9" i="32"/>
  <c r="F9" i="32"/>
  <c r="Z8" i="32"/>
  <c r="Y8" i="32"/>
  <c r="X8" i="32"/>
  <c r="W8" i="32"/>
  <c r="V8" i="32"/>
  <c r="S8" i="32"/>
  <c r="R8" i="32"/>
  <c r="Q8" i="32"/>
  <c r="P8" i="32"/>
  <c r="O8" i="32"/>
  <c r="M8" i="32"/>
  <c r="K8" i="32"/>
  <c r="Z7" i="32"/>
  <c r="Y7" i="32"/>
  <c r="X7" i="32"/>
  <c r="W7" i="32"/>
  <c r="V7" i="32"/>
  <c r="S7" i="32"/>
  <c r="R7" i="32"/>
  <c r="Q7" i="32"/>
  <c r="P7" i="32"/>
  <c r="O7" i="32"/>
  <c r="K7" i="32"/>
  <c r="J7" i="32"/>
  <c r="J7" i="31" s="1"/>
  <c r="J7" i="30" s="1"/>
  <c r="J7" i="29" s="1"/>
  <c r="J7" i="27" s="1"/>
  <c r="J7" i="28" s="1"/>
  <c r="J7" i="26" s="1"/>
  <c r="J7" i="25" s="1"/>
  <c r="J7" i="24" s="1"/>
  <c r="C7" i="32"/>
  <c r="Z6" i="32"/>
  <c r="Y6" i="32"/>
  <c r="W6" i="32"/>
  <c r="S6" i="32"/>
  <c r="R6" i="32"/>
  <c r="P6" i="32"/>
  <c r="H4" i="32"/>
  <c r="J57" i="31"/>
  <c r="J56" i="31"/>
  <c r="C53" i="31"/>
  <c r="C52" i="31"/>
  <c r="D51" i="31"/>
  <c r="E51" i="31" s="1"/>
  <c r="C51" i="31"/>
  <c r="I50" i="31"/>
  <c r="D50" i="31"/>
  <c r="E50" i="31" s="1"/>
  <c r="C50" i="31"/>
  <c r="I49" i="31"/>
  <c r="D49" i="31"/>
  <c r="E49" i="31" s="1"/>
  <c r="C49" i="31"/>
  <c r="D48" i="31"/>
  <c r="E48" i="31" s="1"/>
  <c r="C48" i="31"/>
  <c r="D47" i="31"/>
  <c r="E47" i="31" s="1"/>
  <c r="C47" i="31"/>
  <c r="E46" i="31"/>
  <c r="D46" i="31"/>
  <c r="C46" i="31"/>
  <c r="D45" i="31"/>
  <c r="E45" i="31" s="1"/>
  <c r="C45" i="31"/>
  <c r="D44" i="31"/>
  <c r="E44" i="31" s="1"/>
  <c r="C44" i="31"/>
  <c r="I43" i="31"/>
  <c r="I44" i="31" s="1"/>
  <c r="D43" i="31"/>
  <c r="E43" i="31" s="1"/>
  <c r="C43" i="31"/>
  <c r="G42" i="31"/>
  <c r="F42" i="31"/>
  <c r="D42" i="31"/>
  <c r="E42" i="31" s="1"/>
  <c r="C42" i="31"/>
  <c r="E41" i="31"/>
  <c r="D41" i="31"/>
  <c r="C41" i="31"/>
  <c r="D40" i="31"/>
  <c r="E40" i="31" s="1"/>
  <c r="C40" i="31"/>
  <c r="J39" i="31"/>
  <c r="D39" i="31"/>
  <c r="E39" i="31" s="1"/>
  <c r="C39" i="31"/>
  <c r="J38" i="31"/>
  <c r="I38" i="31"/>
  <c r="D38" i="31"/>
  <c r="D52" i="31" s="1"/>
  <c r="D53" i="31" s="1"/>
  <c r="C38" i="31"/>
  <c r="J37" i="31"/>
  <c r="I37" i="31"/>
  <c r="E35" i="31"/>
  <c r="D35" i="31"/>
  <c r="C35" i="31"/>
  <c r="L34" i="31"/>
  <c r="F34" i="31"/>
  <c r="E34" i="31"/>
  <c r="D34" i="31"/>
  <c r="C34" i="31"/>
  <c r="E33" i="31"/>
  <c r="D33" i="31"/>
  <c r="C33" i="31"/>
  <c r="M32" i="31"/>
  <c r="J32" i="31"/>
  <c r="F32" i="31"/>
  <c r="E32" i="31"/>
  <c r="D32" i="31"/>
  <c r="C32" i="31"/>
  <c r="M31" i="31"/>
  <c r="J31" i="31"/>
  <c r="M30" i="31"/>
  <c r="M30" i="30" s="1"/>
  <c r="M30" i="29" s="1"/>
  <c r="M30" i="27" s="1"/>
  <c r="M30" i="28" s="1"/>
  <c r="M30" i="26" s="1"/>
  <c r="M30" i="25" s="1"/>
  <c r="M30" i="24" s="1"/>
  <c r="J30" i="31"/>
  <c r="M29" i="31"/>
  <c r="J29" i="31"/>
  <c r="M28" i="31"/>
  <c r="J28" i="31"/>
  <c r="M27" i="31"/>
  <c r="J27" i="31"/>
  <c r="M26" i="31"/>
  <c r="M26" i="30" s="1"/>
  <c r="M26" i="29" s="1"/>
  <c r="M26" i="27" s="1"/>
  <c r="M26" i="28" s="1"/>
  <c r="M26" i="26" s="1"/>
  <c r="M26" i="25" s="1"/>
  <c r="M26" i="24" s="1"/>
  <c r="J26" i="31"/>
  <c r="F26" i="31"/>
  <c r="M25" i="31"/>
  <c r="J25" i="31"/>
  <c r="M24" i="31"/>
  <c r="J24" i="31"/>
  <c r="E24" i="31"/>
  <c r="D24" i="31"/>
  <c r="C24" i="31"/>
  <c r="M23" i="31"/>
  <c r="J23" i="31"/>
  <c r="F23" i="31"/>
  <c r="E23" i="31"/>
  <c r="D23" i="31"/>
  <c r="C23" i="31"/>
  <c r="M22" i="31"/>
  <c r="J22" i="31"/>
  <c r="M21" i="31"/>
  <c r="J21" i="31"/>
  <c r="M20" i="31"/>
  <c r="J20" i="31"/>
  <c r="M19" i="31"/>
  <c r="J19" i="31"/>
  <c r="M18" i="31"/>
  <c r="M18" i="30" s="1"/>
  <c r="M18" i="29" s="1"/>
  <c r="M18" i="27" s="1"/>
  <c r="M18" i="28" s="1"/>
  <c r="M18" i="26" s="1"/>
  <c r="M18" i="25" s="1"/>
  <c r="M18" i="24" s="1"/>
  <c r="J18" i="31"/>
  <c r="M17" i="31"/>
  <c r="J17" i="31"/>
  <c r="T16" i="31"/>
  <c r="S16" i="31"/>
  <c r="M16" i="31"/>
  <c r="J16" i="31"/>
  <c r="T15" i="31"/>
  <c r="S15" i="31"/>
  <c r="R15" i="31"/>
  <c r="M15" i="31"/>
  <c r="J15" i="31"/>
  <c r="E15" i="31"/>
  <c r="D15" i="31"/>
  <c r="C15" i="31"/>
  <c r="M14" i="31"/>
  <c r="J14" i="31"/>
  <c r="F14" i="31"/>
  <c r="E14" i="31"/>
  <c r="D14" i="31"/>
  <c r="C14" i="31"/>
  <c r="M13" i="31"/>
  <c r="J13" i="31"/>
  <c r="T12" i="31"/>
  <c r="S12" i="31"/>
  <c r="Q12" i="31"/>
  <c r="M12" i="31"/>
  <c r="J12" i="31"/>
  <c r="T11" i="31"/>
  <c r="S11" i="31"/>
  <c r="Q11" i="31"/>
  <c r="M11" i="3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J11" i="31"/>
  <c r="T10" i="31"/>
  <c r="S10" i="31"/>
  <c r="M10" i="31"/>
  <c r="J10" i="31"/>
  <c r="T9" i="31"/>
  <c r="S9" i="31"/>
  <c r="Q9" i="31"/>
  <c r="M9" i="31"/>
  <c r="J9" i="31"/>
  <c r="F9" i="31"/>
  <c r="T8" i="31"/>
  <c r="S8" i="31"/>
  <c r="Q8" i="31"/>
  <c r="K8" i="31"/>
  <c r="J8" i="31"/>
  <c r="J8" i="30" s="1"/>
  <c r="J8" i="29" s="1"/>
  <c r="J8" i="27" s="1"/>
  <c r="J8" i="28" s="1"/>
  <c r="J8" i="26" s="1"/>
  <c r="J8" i="25" s="1"/>
  <c r="J8" i="24" s="1"/>
  <c r="T7" i="31"/>
  <c r="S7" i="31"/>
  <c r="Q7" i="31"/>
  <c r="H4" i="31"/>
  <c r="J57" i="30"/>
  <c r="J56" i="30"/>
  <c r="C53" i="30"/>
  <c r="C52" i="30"/>
  <c r="D51" i="30"/>
  <c r="E51" i="30" s="1"/>
  <c r="C51" i="30"/>
  <c r="I50" i="30"/>
  <c r="E50" i="30"/>
  <c r="D50" i="30"/>
  <c r="C50" i="30"/>
  <c r="I49" i="30"/>
  <c r="D49" i="30"/>
  <c r="E49" i="30" s="1"/>
  <c r="C49" i="30"/>
  <c r="E48" i="30"/>
  <c r="D48" i="30"/>
  <c r="C48" i="30"/>
  <c r="D47" i="30"/>
  <c r="E47" i="30" s="1"/>
  <c r="C47" i="30"/>
  <c r="D46" i="30"/>
  <c r="D46" i="29" s="1"/>
  <c r="C46" i="30"/>
  <c r="D45" i="30"/>
  <c r="E45" i="30" s="1"/>
  <c r="C45" i="30"/>
  <c r="I44" i="30"/>
  <c r="E44" i="30"/>
  <c r="D44" i="30"/>
  <c r="C44" i="30"/>
  <c r="I43" i="30"/>
  <c r="D43" i="30"/>
  <c r="E43" i="30" s="1"/>
  <c r="C43" i="30"/>
  <c r="G42" i="30"/>
  <c r="F42" i="30"/>
  <c r="E42" i="30"/>
  <c r="D42" i="30"/>
  <c r="C42" i="30"/>
  <c r="D41" i="30"/>
  <c r="D41" i="29" s="1"/>
  <c r="C41" i="30"/>
  <c r="Q40" i="30"/>
  <c r="D40" i="30"/>
  <c r="E40" i="30" s="1"/>
  <c r="C40" i="30"/>
  <c r="J39" i="30"/>
  <c r="E39" i="30"/>
  <c r="D39" i="30"/>
  <c r="C39" i="30"/>
  <c r="Q38" i="30"/>
  <c r="J38" i="30"/>
  <c r="I38" i="30"/>
  <c r="D38" i="30"/>
  <c r="D52" i="30" s="1"/>
  <c r="D53" i="30" s="1"/>
  <c r="C38" i="30"/>
  <c r="J37" i="30"/>
  <c r="I37" i="30"/>
  <c r="Z36" i="30"/>
  <c r="Y36" i="30"/>
  <c r="S36" i="30"/>
  <c r="R36" i="30"/>
  <c r="Z35" i="30"/>
  <c r="Y35" i="30"/>
  <c r="X35" i="30"/>
  <c r="S35" i="30"/>
  <c r="R35" i="30"/>
  <c r="Q35" i="30"/>
  <c r="E35" i="30"/>
  <c r="D35" i="30"/>
  <c r="C35" i="30"/>
  <c r="L34" i="30"/>
  <c r="F34" i="30"/>
  <c r="E34" i="30"/>
  <c r="D34" i="30"/>
  <c r="C34" i="30"/>
  <c r="E33" i="30"/>
  <c r="D33" i="30"/>
  <c r="C33" i="30"/>
  <c r="Z32" i="30"/>
  <c r="Y32" i="30"/>
  <c r="W32" i="30"/>
  <c r="S32" i="30"/>
  <c r="R32" i="30"/>
  <c r="P32" i="30"/>
  <c r="M32" i="30"/>
  <c r="J32" i="30"/>
  <c r="F32" i="30"/>
  <c r="E32" i="30"/>
  <c r="D32" i="30"/>
  <c r="C32" i="30"/>
  <c r="Z31" i="30"/>
  <c r="Y31" i="30"/>
  <c r="W31" i="30"/>
  <c r="S31" i="30"/>
  <c r="R31" i="30"/>
  <c r="P31" i="30"/>
  <c r="M31" i="30"/>
  <c r="J31" i="30"/>
  <c r="Z30" i="30"/>
  <c r="Y30" i="30"/>
  <c r="S30" i="30"/>
  <c r="R30" i="30"/>
  <c r="J30" i="30"/>
  <c r="Z29" i="30"/>
  <c r="Y29" i="30"/>
  <c r="S29" i="30"/>
  <c r="R29" i="30"/>
  <c r="M29" i="30"/>
  <c r="J29" i="30"/>
  <c r="Z28" i="30"/>
  <c r="Y28" i="30"/>
  <c r="S28" i="30"/>
  <c r="R28" i="30"/>
  <c r="M28" i="30"/>
  <c r="J28" i="30"/>
  <c r="J28" i="29" s="1"/>
  <c r="J28" i="27" s="1"/>
  <c r="J28" i="28" s="1"/>
  <c r="J28" i="26" s="1"/>
  <c r="Z27" i="30"/>
  <c r="Y27" i="30"/>
  <c r="S27" i="30"/>
  <c r="R27" i="30"/>
  <c r="P27" i="30"/>
  <c r="M27" i="30"/>
  <c r="J27" i="30"/>
  <c r="J27" i="29" s="1"/>
  <c r="J27" i="27" s="1"/>
  <c r="J27" i="28" s="1"/>
  <c r="J27" i="26" s="1"/>
  <c r="S26" i="30"/>
  <c r="R26" i="30"/>
  <c r="J26" i="30"/>
  <c r="S25" i="30"/>
  <c r="R25" i="30"/>
  <c r="Q25" i="30"/>
  <c r="M25" i="30"/>
  <c r="J25" i="30"/>
  <c r="J25" i="29" s="1"/>
  <c r="J25" i="27" s="1"/>
  <c r="J25" i="28" s="1"/>
  <c r="J25" i="26" s="1"/>
  <c r="M24" i="30"/>
  <c r="M24" i="29" s="1"/>
  <c r="M24" i="27" s="1"/>
  <c r="M24" i="28" s="1"/>
  <c r="M24" i="26" s="1"/>
  <c r="M24" i="25" s="1"/>
  <c r="M24" i="24" s="1"/>
  <c r="J24" i="30"/>
  <c r="E24" i="30"/>
  <c r="D24" i="30"/>
  <c r="C24" i="30"/>
  <c r="M23" i="30"/>
  <c r="J23" i="30"/>
  <c r="F23" i="30"/>
  <c r="E23" i="30"/>
  <c r="D23" i="30"/>
  <c r="C23" i="30"/>
  <c r="S22" i="30"/>
  <c r="R22" i="30"/>
  <c r="P22" i="30"/>
  <c r="M22" i="30"/>
  <c r="J22" i="30"/>
  <c r="J22" i="29" s="1"/>
  <c r="J22" i="27" s="1"/>
  <c r="J22" i="28" s="1"/>
  <c r="J22" i="26" s="1"/>
  <c r="J22" i="25" s="1"/>
  <c r="J22" i="24" s="1"/>
  <c r="S21" i="30"/>
  <c r="R21" i="30"/>
  <c r="P21" i="30"/>
  <c r="M21" i="30"/>
  <c r="J21" i="30"/>
  <c r="S20" i="30"/>
  <c r="R20" i="30"/>
  <c r="M20" i="30"/>
  <c r="M20" i="29" s="1"/>
  <c r="M20" i="27" s="1"/>
  <c r="M20" i="28" s="1"/>
  <c r="M20" i="26" s="1"/>
  <c r="M20" i="25" s="1"/>
  <c r="M20" i="24" s="1"/>
  <c r="J20" i="30"/>
  <c r="J20" i="29" s="1"/>
  <c r="J20" i="27" s="1"/>
  <c r="J20" i="28" s="1"/>
  <c r="J20" i="26" s="1"/>
  <c r="J20" i="25" s="1"/>
  <c r="J20" i="24" s="1"/>
  <c r="J20" i="23" s="1"/>
  <c r="J20" i="21" s="1"/>
  <c r="J20" i="22" s="1"/>
  <c r="J20" i="20" s="1"/>
  <c r="J20" i="19" s="1"/>
  <c r="J20" i="18" s="1"/>
  <c r="J20" i="17" s="1"/>
  <c r="S19" i="30"/>
  <c r="R19" i="30"/>
  <c r="M19" i="30"/>
  <c r="J19" i="30"/>
  <c r="S18" i="30"/>
  <c r="R18" i="30"/>
  <c r="Q18" i="30"/>
  <c r="P18" i="30"/>
  <c r="J18" i="30"/>
  <c r="S17" i="30"/>
  <c r="R17" i="30"/>
  <c r="Q17" i="30"/>
  <c r="P17" i="30"/>
  <c r="M17" i="30"/>
  <c r="M17" i="29" s="1"/>
  <c r="M17" i="27" s="1"/>
  <c r="M17" i="28" s="1"/>
  <c r="M17" i="26" s="1"/>
  <c r="M17" i="25" s="1"/>
  <c r="M17" i="24" s="1"/>
  <c r="J17" i="30"/>
  <c r="F17" i="30"/>
  <c r="C17" i="30"/>
  <c r="M16" i="30"/>
  <c r="J16" i="30"/>
  <c r="S15" i="30"/>
  <c r="R15" i="30"/>
  <c r="M15" i="30"/>
  <c r="M15" i="29" s="1"/>
  <c r="M15" i="27" s="1"/>
  <c r="M15" i="28" s="1"/>
  <c r="M15" i="26" s="1"/>
  <c r="M15" i="25" s="1"/>
  <c r="M15" i="24" s="1"/>
  <c r="J15" i="30"/>
  <c r="J15" i="29" s="1"/>
  <c r="J15" i="27" s="1"/>
  <c r="J15" i="28" s="1"/>
  <c r="J15" i="26" s="1"/>
  <c r="J15" i="25" s="1"/>
  <c r="J15" i="24" s="1"/>
  <c r="E15" i="30"/>
  <c r="D15" i="30"/>
  <c r="C15" i="30"/>
  <c r="S14" i="30"/>
  <c r="R14" i="30"/>
  <c r="Q14" i="30"/>
  <c r="M14" i="30"/>
  <c r="M14" i="29" s="1"/>
  <c r="M14" i="27" s="1"/>
  <c r="M14" i="28" s="1"/>
  <c r="M14" i="26" s="1"/>
  <c r="M14" i="25" s="1"/>
  <c r="M14" i="24" s="1"/>
  <c r="J14" i="30"/>
  <c r="F14" i="30"/>
  <c r="E14" i="30"/>
  <c r="D14" i="30"/>
  <c r="C14" i="30"/>
  <c r="M13" i="30"/>
  <c r="J13" i="30"/>
  <c r="M12" i="30"/>
  <c r="M12" i="29" s="1"/>
  <c r="M12" i="27" s="1"/>
  <c r="M12" i="28" s="1"/>
  <c r="M12" i="26" s="1"/>
  <c r="M12" i="25" s="1"/>
  <c r="M12" i="24" s="1"/>
  <c r="J12" i="30"/>
  <c r="J12" i="29" s="1"/>
  <c r="J12" i="27" s="1"/>
  <c r="J12" i="28" s="1"/>
  <c r="J12" i="26" s="1"/>
  <c r="J12" i="25" s="1"/>
  <c r="S11" i="30"/>
  <c r="R11" i="30"/>
  <c r="P11" i="30"/>
  <c r="J11" i="30"/>
  <c r="S10" i="30"/>
  <c r="R10" i="30"/>
  <c r="P10" i="30"/>
  <c r="M10" i="30"/>
  <c r="J10" i="30"/>
  <c r="S9" i="30"/>
  <c r="R9" i="30"/>
  <c r="M9" i="30"/>
  <c r="J9" i="30"/>
  <c r="S8" i="30"/>
  <c r="R8" i="30"/>
  <c r="K8" i="30"/>
  <c r="S7" i="30"/>
  <c r="R7" i="30"/>
  <c r="K7" i="30"/>
  <c r="S6" i="30"/>
  <c r="R6" i="30"/>
  <c r="P6" i="30"/>
  <c r="H4" i="30"/>
  <c r="J57" i="29"/>
  <c r="J56" i="29"/>
  <c r="C53" i="29"/>
  <c r="C52" i="29"/>
  <c r="D51" i="29"/>
  <c r="E51" i="29" s="1"/>
  <c r="C51" i="29"/>
  <c r="D50" i="29"/>
  <c r="D50" i="27" s="1"/>
  <c r="C50" i="29"/>
  <c r="I49" i="29"/>
  <c r="D49" i="29"/>
  <c r="C49" i="29"/>
  <c r="D48" i="29"/>
  <c r="D48" i="27" s="1"/>
  <c r="C48" i="29"/>
  <c r="D47" i="29"/>
  <c r="E47" i="29" s="1"/>
  <c r="C47" i="29"/>
  <c r="C46" i="29"/>
  <c r="D45" i="29"/>
  <c r="C45" i="29"/>
  <c r="D44" i="29"/>
  <c r="D44" i="27" s="1"/>
  <c r="C44" i="29"/>
  <c r="I43" i="29"/>
  <c r="I45" i="29" s="1"/>
  <c r="D43" i="29"/>
  <c r="E43" i="29" s="1"/>
  <c r="C43" i="29"/>
  <c r="G42" i="29"/>
  <c r="F42" i="29"/>
  <c r="E42" i="29"/>
  <c r="D42" i="29"/>
  <c r="C42" i="29"/>
  <c r="C41" i="29"/>
  <c r="I40" i="29"/>
  <c r="I51" i="29" s="1"/>
  <c r="D40" i="29"/>
  <c r="E40" i="29" s="1"/>
  <c r="C40" i="29"/>
  <c r="J39" i="29"/>
  <c r="D39" i="29"/>
  <c r="E39" i="29" s="1"/>
  <c r="C39" i="29"/>
  <c r="J38" i="29"/>
  <c r="I38" i="29"/>
  <c r="C38" i="29"/>
  <c r="J37" i="29"/>
  <c r="I37" i="29"/>
  <c r="E35" i="29"/>
  <c r="D35" i="29"/>
  <c r="C35" i="29"/>
  <c r="L34" i="29"/>
  <c r="K34" i="29"/>
  <c r="F34" i="29"/>
  <c r="E34" i="29"/>
  <c r="D34" i="29"/>
  <c r="C34" i="29"/>
  <c r="E33" i="29"/>
  <c r="D33" i="29"/>
  <c r="C33" i="29"/>
  <c r="M32" i="29"/>
  <c r="J32" i="29"/>
  <c r="F32" i="29"/>
  <c r="E32" i="29"/>
  <c r="D32" i="29"/>
  <c r="C32" i="29"/>
  <c r="M31" i="29"/>
  <c r="M31" i="27" s="1"/>
  <c r="M31" i="28" s="1"/>
  <c r="M31" i="26" s="1"/>
  <c r="M31" i="25" s="1"/>
  <c r="J31" i="29"/>
  <c r="J30" i="29"/>
  <c r="M29" i="29"/>
  <c r="J29" i="29"/>
  <c r="J29" i="27" s="1"/>
  <c r="J29" i="28" s="1"/>
  <c r="J29" i="26" s="1"/>
  <c r="M28" i="29"/>
  <c r="M27" i="29"/>
  <c r="M27" i="27" s="1"/>
  <c r="M27" i="28" s="1"/>
  <c r="M27" i="26" s="1"/>
  <c r="M27" i="25" s="1"/>
  <c r="J26" i="29"/>
  <c r="F26" i="29"/>
  <c r="M25" i="29"/>
  <c r="M25" i="27" s="1"/>
  <c r="M25" i="28" s="1"/>
  <c r="M25" i="26" s="1"/>
  <c r="M25" i="25" s="1"/>
  <c r="M25" i="24" s="1"/>
  <c r="J24" i="29"/>
  <c r="J24" i="27" s="1"/>
  <c r="J24" i="28" s="1"/>
  <c r="J24" i="26" s="1"/>
  <c r="E24" i="29"/>
  <c r="D24" i="29"/>
  <c r="C24" i="29"/>
  <c r="M23" i="29"/>
  <c r="J23" i="29"/>
  <c r="J23" i="27" s="1"/>
  <c r="J23" i="28" s="1"/>
  <c r="J23" i="26" s="1"/>
  <c r="J23" i="25" s="1"/>
  <c r="J23" i="24" s="1"/>
  <c r="J23" i="23" s="1"/>
  <c r="J23" i="21" s="1"/>
  <c r="J23" i="22" s="1"/>
  <c r="J23" i="20" s="1"/>
  <c r="J23" i="19" s="1"/>
  <c r="F23" i="29"/>
  <c r="E23" i="29"/>
  <c r="D23" i="29"/>
  <c r="C23" i="29"/>
  <c r="M22" i="29"/>
  <c r="M21" i="29"/>
  <c r="J21" i="29"/>
  <c r="J21" i="27" s="1"/>
  <c r="J21" i="28" s="1"/>
  <c r="J21" i="26" s="1"/>
  <c r="J21" i="25" s="1"/>
  <c r="J21" i="24" s="1"/>
  <c r="M19" i="29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J19" i="29"/>
  <c r="J18" i="29"/>
  <c r="J17" i="29"/>
  <c r="J17" i="27" s="1"/>
  <c r="J17" i="28" s="1"/>
  <c r="J17" i="26" s="1"/>
  <c r="J17" i="25" s="1"/>
  <c r="J17" i="24" s="1"/>
  <c r="F17" i="29"/>
  <c r="R16" i="29"/>
  <c r="Q16" i="29"/>
  <c r="M16" i="29"/>
  <c r="J16" i="29"/>
  <c r="R15" i="29"/>
  <c r="Q15" i="29"/>
  <c r="P15" i="29"/>
  <c r="E15" i="29"/>
  <c r="D15" i="29"/>
  <c r="C15" i="29"/>
  <c r="J14" i="29"/>
  <c r="F14" i="29"/>
  <c r="E14" i="29"/>
  <c r="D14" i="29"/>
  <c r="C14" i="29"/>
  <c r="M13" i="29"/>
  <c r="J13" i="29"/>
  <c r="R12" i="29"/>
  <c r="Q12" i="29"/>
  <c r="O12" i="29"/>
  <c r="R11" i="29"/>
  <c r="Q11" i="29"/>
  <c r="O11" i="29"/>
  <c r="J11" i="29"/>
  <c r="R10" i="29"/>
  <c r="Q10" i="29"/>
  <c r="O10" i="29"/>
  <c r="M10" i="29"/>
  <c r="M10" i="27" s="1"/>
  <c r="M10" i="28" s="1"/>
  <c r="J10" i="29"/>
  <c r="R9" i="29"/>
  <c r="Q9" i="29"/>
  <c r="O9" i="29"/>
  <c r="M9" i="29"/>
  <c r="M9" i="27" s="1"/>
  <c r="M9" i="28" s="1"/>
  <c r="J9" i="29"/>
  <c r="F9" i="29"/>
  <c r="R8" i="29"/>
  <c r="Q8" i="29"/>
  <c r="O8" i="29"/>
  <c r="R7" i="29"/>
  <c r="Q7" i="29"/>
  <c r="O7" i="29"/>
  <c r="K7" i="29"/>
  <c r="H4" i="29"/>
  <c r="J57" i="27"/>
  <c r="J57" i="28" s="1"/>
  <c r="J56" i="27"/>
  <c r="C53" i="27"/>
  <c r="C52" i="27"/>
  <c r="E51" i="27"/>
  <c r="D51" i="27"/>
  <c r="C51" i="27"/>
  <c r="I50" i="27"/>
  <c r="C50" i="27"/>
  <c r="I49" i="27"/>
  <c r="E49" i="27"/>
  <c r="D49" i="27"/>
  <c r="C49" i="27"/>
  <c r="C48" i="27"/>
  <c r="E47" i="27"/>
  <c r="D47" i="27"/>
  <c r="C47" i="27"/>
  <c r="C46" i="27"/>
  <c r="E45" i="27"/>
  <c r="D45" i="27"/>
  <c r="C45" i="27"/>
  <c r="I44" i="27"/>
  <c r="C44" i="27"/>
  <c r="I43" i="27"/>
  <c r="E43" i="27"/>
  <c r="D43" i="27"/>
  <c r="C43" i="27"/>
  <c r="G42" i="27"/>
  <c r="F42" i="27"/>
  <c r="D42" i="27"/>
  <c r="E42" i="27" s="1"/>
  <c r="C42" i="27"/>
  <c r="C41" i="27"/>
  <c r="C40" i="27"/>
  <c r="D39" i="27"/>
  <c r="D39" i="28" s="1"/>
  <c r="C39" i="27"/>
  <c r="J38" i="27"/>
  <c r="I38" i="27"/>
  <c r="C38" i="27"/>
  <c r="J37" i="27"/>
  <c r="J39" i="27" s="1"/>
  <c r="I37" i="27"/>
  <c r="E35" i="27"/>
  <c r="D35" i="27"/>
  <c r="C35" i="27"/>
  <c r="L34" i="27"/>
  <c r="F34" i="27"/>
  <c r="E34" i="27"/>
  <c r="D34" i="27"/>
  <c r="C34" i="27"/>
  <c r="E33" i="27"/>
  <c r="D33" i="27"/>
  <c r="C33" i="27"/>
  <c r="M32" i="27"/>
  <c r="J32" i="27"/>
  <c r="F32" i="27"/>
  <c r="E32" i="27"/>
  <c r="D32" i="27"/>
  <c r="C32" i="27"/>
  <c r="J31" i="27"/>
  <c r="J30" i="27"/>
  <c r="M29" i="27"/>
  <c r="M29" i="28" s="1"/>
  <c r="M29" i="26" s="1"/>
  <c r="M29" i="25" s="1"/>
  <c r="M29" i="24" s="1"/>
  <c r="M28" i="27"/>
  <c r="J26" i="27"/>
  <c r="F26" i="27"/>
  <c r="E24" i="27"/>
  <c r="D24" i="27"/>
  <c r="C24" i="27"/>
  <c r="M23" i="27"/>
  <c r="F23" i="27"/>
  <c r="E23" i="27"/>
  <c r="D23" i="27"/>
  <c r="C23" i="27"/>
  <c r="M22" i="27"/>
  <c r="M21" i="27"/>
  <c r="J19" i="27"/>
  <c r="J18" i="27"/>
  <c r="F17" i="27"/>
  <c r="M16" i="27"/>
  <c r="M16" i="28" s="1"/>
  <c r="M16" i="26" s="1"/>
  <c r="M16" i="25" s="1"/>
  <c r="M16" i="24" s="1"/>
  <c r="J16" i="27"/>
  <c r="S15" i="27"/>
  <c r="R15" i="27"/>
  <c r="E15" i="27"/>
  <c r="D15" i="27"/>
  <c r="C15" i="27"/>
  <c r="S14" i="27"/>
  <c r="R14" i="27"/>
  <c r="Q14" i="27"/>
  <c r="J14" i="27"/>
  <c r="J14" i="28" s="1"/>
  <c r="J14" i="26" s="1"/>
  <c r="J14" i="25" s="1"/>
  <c r="J14" i="24" s="1"/>
  <c r="F14" i="27"/>
  <c r="E14" i="27"/>
  <c r="D14" i="27"/>
  <c r="C14" i="27"/>
  <c r="M13" i="27"/>
  <c r="J13" i="27"/>
  <c r="S11" i="27"/>
  <c r="R11" i="27"/>
  <c r="P11" i="27"/>
  <c r="J11" i="27"/>
  <c r="S10" i="27"/>
  <c r="R10" i="27"/>
  <c r="P10" i="27"/>
  <c r="J10" i="27"/>
  <c r="S9" i="27"/>
  <c r="R9" i="27"/>
  <c r="P9" i="27"/>
  <c r="J9" i="27"/>
  <c r="F9" i="27"/>
  <c r="S8" i="27"/>
  <c r="R8" i="27"/>
  <c r="P8" i="27"/>
  <c r="S7" i="27"/>
  <c r="R7" i="27"/>
  <c r="P7" i="27"/>
  <c r="K7" i="27"/>
  <c r="S6" i="27"/>
  <c r="R6" i="27"/>
  <c r="P6" i="27"/>
  <c r="H4" i="27"/>
  <c r="J56" i="28"/>
  <c r="C53" i="28"/>
  <c r="C52" i="28"/>
  <c r="D51" i="28"/>
  <c r="E51" i="28" s="1"/>
  <c r="C51" i="28"/>
  <c r="I50" i="28"/>
  <c r="C50" i="28"/>
  <c r="I49" i="28"/>
  <c r="D49" i="28"/>
  <c r="E49" i="28" s="1"/>
  <c r="C49" i="28"/>
  <c r="C48" i="28"/>
  <c r="D47" i="28"/>
  <c r="E47" i="28" s="1"/>
  <c r="C47" i="28"/>
  <c r="C46" i="28"/>
  <c r="D45" i="28"/>
  <c r="E45" i="28" s="1"/>
  <c r="C45" i="28"/>
  <c r="I44" i="28"/>
  <c r="C44" i="28"/>
  <c r="I43" i="28"/>
  <c r="D43" i="28"/>
  <c r="E43" i="28" s="1"/>
  <c r="C43" i="28"/>
  <c r="G42" i="28"/>
  <c r="F42" i="28"/>
  <c r="C42" i="28"/>
  <c r="C41" i="28"/>
  <c r="C40" i="28"/>
  <c r="C39" i="28"/>
  <c r="J38" i="28"/>
  <c r="I38" i="28"/>
  <c r="C38" i="28"/>
  <c r="J37" i="28"/>
  <c r="J37" i="26" s="1"/>
  <c r="I37" i="28"/>
  <c r="S36" i="28"/>
  <c r="R36" i="28"/>
  <c r="S35" i="28"/>
  <c r="R35" i="28"/>
  <c r="Q35" i="28"/>
  <c r="E35" i="28"/>
  <c r="D35" i="28"/>
  <c r="C35" i="28"/>
  <c r="L34" i="28"/>
  <c r="F34" i="28"/>
  <c r="E34" i="28"/>
  <c r="D34" i="28"/>
  <c r="C34" i="28"/>
  <c r="E33" i="28"/>
  <c r="D33" i="28"/>
  <c r="C33" i="28"/>
  <c r="S32" i="28"/>
  <c r="R32" i="28"/>
  <c r="P32" i="28"/>
  <c r="M32" i="28"/>
  <c r="J32" i="28"/>
  <c r="F32" i="28"/>
  <c r="E32" i="28"/>
  <c r="D32" i="28"/>
  <c r="C32" i="28"/>
  <c r="S31" i="28"/>
  <c r="R31" i="28"/>
  <c r="P31" i="28"/>
  <c r="J31" i="28"/>
  <c r="S30" i="28"/>
  <c r="R30" i="28"/>
  <c r="P30" i="28"/>
  <c r="J30" i="28"/>
  <c r="S29" i="28"/>
  <c r="R29" i="28"/>
  <c r="P29" i="28"/>
  <c r="S28" i="28"/>
  <c r="R28" i="28"/>
  <c r="Q28" i="28"/>
  <c r="P28" i="28"/>
  <c r="M28" i="28"/>
  <c r="M28" i="26" s="1"/>
  <c r="M28" i="25" s="1"/>
  <c r="M28" i="24" s="1"/>
  <c r="S27" i="28"/>
  <c r="R27" i="28"/>
  <c r="Q27" i="28"/>
  <c r="P27" i="28"/>
  <c r="J26" i="28"/>
  <c r="F26" i="28"/>
  <c r="S25" i="28"/>
  <c r="R25" i="28"/>
  <c r="S24" i="28"/>
  <c r="R24" i="28"/>
  <c r="Q24" i="28"/>
  <c r="E24" i="28"/>
  <c r="D24" i="28"/>
  <c r="C24" i="28"/>
  <c r="M23" i="28"/>
  <c r="F23" i="28"/>
  <c r="E23" i="28"/>
  <c r="D23" i="28"/>
  <c r="C23" i="28"/>
  <c r="M22" i="28"/>
  <c r="S21" i="28"/>
  <c r="R21" i="28"/>
  <c r="P21" i="28"/>
  <c r="M21" i="28"/>
  <c r="S20" i="28"/>
  <c r="R20" i="28"/>
  <c r="P20" i="28"/>
  <c r="S19" i="28"/>
  <c r="R19" i="28"/>
  <c r="P19" i="28"/>
  <c r="J19" i="28"/>
  <c r="S18" i="28"/>
  <c r="R18" i="28"/>
  <c r="P18" i="28"/>
  <c r="J18" i="28"/>
  <c r="S17" i="28"/>
  <c r="R17" i="28"/>
  <c r="Q17" i="28"/>
  <c r="P17" i="28"/>
  <c r="S16" i="28"/>
  <c r="R16" i="28"/>
  <c r="P16" i="28"/>
  <c r="J16" i="28"/>
  <c r="S15" i="28"/>
  <c r="R15" i="28"/>
  <c r="E15" i="28"/>
  <c r="D15" i="28"/>
  <c r="C15" i="28"/>
  <c r="S14" i="28"/>
  <c r="R14" i="28"/>
  <c r="Q14" i="28"/>
  <c r="F14" i="28"/>
  <c r="E14" i="28"/>
  <c r="D14" i="28"/>
  <c r="C14" i="28"/>
  <c r="M13" i="28"/>
  <c r="J13" i="28"/>
  <c r="S11" i="28"/>
  <c r="R11" i="28"/>
  <c r="P11" i="28"/>
  <c r="J11" i="28"/>
  <c r="S10" i="28"/>
  <c r="R10" i="28"/>
  <c r="P10" i="28"/>
  <c r="J10" i="28"/>
  <c r="S9" i="28"/>
  <c r="R9" i="28"/>
  <c r="P9" i="28"/>
  <c r="J9" i="28"/>
  <c r="P7" i="28"/>
  <c r="K7" i="28"/>
  <c r="S6" i="28"/>
  <c r="R6" i="28"/>
  <c r="P6" i="28"/>
  <c r="H4" i="28"/>
  <c r="J56" i="26"/>
  <c r="C53" i="26"/>
  <c r="C52" i="26"/>
  <c r="D51" i="26"/>
  <c r="E51" i="26" s="1"/>
  <c r="C51" i="26"/>
  <c r="C50" i="26"/>
  <c r="I49" i="26"/>
  <c r="I50" i="26" s="1"/>
  <c r="D49" i="26"/>
  <c r="E49" i="26" s="1"/>
  <c r="C49" i="26"/>
  <c r="C48" i="26"/>
  <c r="D47" i="26"/>
  <c r="E47" i="26" s="1"/>
  <c r="C47" i="26"/>
  <c r="C46" i="26"/>
  <c r="D45" i="26"/>
  <c r="E45" i="26" s="1"/>
  <c r="C45" i="26"/>
  <c r="C44" i="26"/>
  <c r="I43" i="26"/>
  <c r="I44" i="26" s="1"/>
  <c r="D43" i="26"/>
  <c r="E43" i="26" s="1"/>
  <c r="C43" i="26"/>
  <c r="G42" i="26"/>
  <c r="F42" i="26"/>
  <c r="C42" i="26"/>
  <c r="Q41" i="26"/>
  <c r="C41" i="26"/>
  <c r="C40" i="26"/>
  <c r="C39" i="26"/>
  <c r="J38" i="26"/>
  <c r="I38" i="26"/>
  <c r="C38" i="26"/>
  <c r="I37" i="26"/>
  <c r="S36" i="26"/>
  <c r="R36" i="26"/>
  <c r="S35" i="26"/>
  <c r="R35" i="26"/>
  <c r="Q35" i="26"/>
  <c r="E35" i="26"/>
  <c r="D35" i="26"/>
  <c r="C35" i="26"/>
  <c r="L34" i="26"/>
  <c r="F34" i="26"/>
  <c r="E34" i="26"/>
  <c r="D34" i="26"/>
  <c r="C34" i="26"/>
  <c r="E33" i="26"/>
  <c r="D33" i="26"/>
  <c r="C33" i="26"/>
  <c r="S32" i="26"/>
  <c r="R32" i="26"/>
  <c r="P32" i="26"/>
  <c r="M32" i="26"/>
  <c r="J32" i="26"/>
  <c r="F32" i="26"/>
  <c r="E32" i="26"/>
  <c r="D32" i="26"/>
  <c r="C32" i="26"/>
  <c r="S31" i="26"/>
  <c r="R31" i="26"/>
  <c r="P31" i="26"/>
  <c r="J31" i="26"/>
  <c r="S30" i="26"/>
  <c r="R30" i="26"/>
  <c r="P30" i="26"/>
  <c r="J30" i="26"/>
  <c r="S28" i="26"/>
  <c r="R28" i="26"/>
  <c r="Q28" i="26"/>
  <c r="P28" i="26"/>
  <c r="S27" i="26"/>
  <c r="R27" i="26"/>
  <c r="Q27" i="26"/>
  <c r="P27" i="26"/>
  <c r="S26" i="26"/>
  <c r="R26" i="26"/>
  <c r="J26" i="26"/>
  <c r="F26" i="26"/>
  <c r="S25" i="26"/>
  <c r="R25" i="26"/>
  <c r="Q25" i="26"/>
  <c r="E24" i="26"/>
  <c r="D24" i="26"/>
  <c r="C24" i="26"/>
  <c r="M23" i="26"/>
  <c r="F23" i="26"/>
  <c r="E23" i="26"/>
  <c r="D23" i="26"/>
  <c r="C23" i="26"/>
  <c r="S22" i="26"/>
  <c r="R22" i="26"/>
  <c r="P22" i="26"/>
  <c r="M22" i="26"/>
  <c r="S21" i="26"/>
  <c r="R21" i="26"/>
  <c r="P21" i="26"/>
  <c r="M21" i="26"/>
  <c r="S20" i="26"/>
  <c r="R20" i="26"/>
  <c r="P20" i="26"/>
  <c r="J19" i="26"/>
  <c r="J18" i="26"/>
  <c r="S17" i="26"/>
  <c r="R17" i="26"/>
  <c r="P17" i="26"/>
  <c r="J16" i="26"/>
  <c r="Y15" i="26"/>
  <c r="X15" i="26"/>
  <c r="S15" i="26"/>
  <c r="R15" i="26"/>
  <c r="E15" i="26"/>
  <c r="D15" i="26"/>
  <c r="C15" i="26"/>
  <c r="Y14" i="26"/>
  <c r="X14" i="26"/>
  <c r="W14" i="26"/>
  <c r="S14" i="26"/>
  <c r="R14" i="26"/>
  <c r="Q14" i="26"/>
  <c r="F14" i="26"/>
  <c r="E14" i="26"/>
  <c r="D14" i="26"/>
  <c r="C14" i="26"/>
  <c r="M13" i="26"/>
  <c r="J13" i="26"/>
  <c r="Y11" i="26"/>
  <c r="X11" i="26"/>
  <c r="V11" i="26"/>
  <c r="S11" i="26"/>
  <c r="R11" i="26"/>
  <c r="P11" i="26"/>
  <c r="J11" i="26"/>
  <c r="Y10" i="26"/>
  <c r="X10" i="26"/>
  <c r="V10" i="26"/>
  <c r="S10" i="26"/>
  <c r="R10" i="26"/>
  <c r="P10" i="26"/>
  <c r="K10" i="26"/>
  <c r="Y9" i="26"/>
  <c r="X9" i="26"/>
  <c r="S9" i="26"/>
  <c r="R9" i="26"/>
  <c r="P9" i="26"/>
  <c r="K9" i="26"/>
  <c r="Y8" i="26"/>
  <c r="X8" i="26"/>
  <c r="W8" i="26"/>
  <c r="V8" i="26"/>
  <c r="S8" i="26"/>
  <c r="R8" i="26"/>
  <c r="Q8" i="26"/>
  <c r="P8" i="26"/>
  <c r="Y7" i="26"/>
  <c r="X7" i="26"/>
  <c r="W7" i="26"/>
  <c r="V7" i="26"/>
  <c r="S7" i="26"/>
  <c r="R7" i="26"/>
  <c r="Q7" i="26"/>
  <c r="P7" i="26"/>
  <c r="K7" i="26"/>
  <c r="C7" i="26"/>
  <c r="Y6" i="26"/>
  <c r="X6" i="26"/>
  <c r="S6" i="26"/>
  <c r="R6" i="26"/>
  <c r="Q6" i="26"/>
  <c r="P6" i="26"/>
  <c r="H4" i="26"/>
  <c r="J56" i="25"/>
  <c r="C53" i="25"/>
  <c r="C52" i="25"/>
  <c r="D51" i="25"/>
  <c r="E51" i="25" s="1"/>
  <c r="C51" i="25"/>
  <c r="C50" i="25"/>
  <c r="I49" i="25"/>
  <c r="D49" i="25"/>
  <c r="E49" i="25" s="1"/>
  <c r="C49" i="25"/>
  <c r="C48" i="25"/>
  <c r="D47" i="25"/>
  <c r="E47" i="25" s="1"/>
  <c r="C47" i="25"/>
  <c r="C46" i="25"/>
  <c r="D45" i="25"/>
  <c r="E45" i="25" s="1"/>
  <c r="C45" i="25"/>
  <c r="C44" i="25"/>
  <c r="I43" i="25"/>
  <c r="D43" i="25"/>
  <c r="E43" i="25" s="1"/>
  <c r="C43" i="25"/>
  <c r="G42" i="25"/>
  <c r="F42" i="25"/>
  <c r="C42" i="25"/>
  <c r="C41" i="25"/>
  <c r="C40" i="25"/>
  <c r="C39" i="25"/>
  <c r="J38" i="25"/>
  <c r="I38" i="25"/>
  <c r="C38" i="25"/>
  <c r="I37" i="25"/>
  <c r="S36" i="25"/>
  <c r="R36" i="25"/>
  <c r="S35" i="25"/>
  <c r="R35" i="25"/>
  <c r="Q35" i="25"/>
  <c r="E35" i="25"/>
  <c r="D35" i="25"/>
  <c r="C35" i="25"/>
  <c r="L34" i="25"/>
  <c r="F34" i="25"/>
  <c r="E34" i="25"/>
  <c r="D34" i="25"/>
  <c r="C34" i="25"/>
  <c r="E33" i="25"/>
  <c r="D33" i="25"/>
  <c r="C33" i="25"/>
  <c r="S32" i="25"/>
  <c r="R32" i="25"/>
  <c r="P32" i="25"/>
  <c r="M32" i="25"/>
  <c r="J32" i="25"/>
  <c r="F32" i="25"/>
  <c r="E32" i="25"/>
  <c r="D32" i="25"/>
  <c r="C32" i="25"/>
  <c r="S31" i="25"/>
  <c r="R31" i="25"/>
  <c r="P31" i="25"/>
  <c r="J31" i="25"/>
  <c r="S30" i="25"/>
  <c r="R30" i="25"/>
  <c r="P30" i="25"/>
  <c r="J30" i="25"/>
  <c r="S28" i="25"/>
  <c r="R28" i="25"/>
  <c r="Q28" i="25"/>
  <c r="P28" i="25"/>
  <c r="S27" i="25"/>
  <c r="R27" i="25"/>
  <c r="P27" i="25"/>
  <c r="S26" i="25"/>
  <c r="R26" i="25"/>
  <c r="J26" i="25"/>
  <c r="F26" i="25"/>
  <c r="S25" i="25"/>
  <c r="R25" i="25"/>
  <c r="Q25" i="25"/>
  <c r="E24" i="25"/>
  <c r="D24" i="25"/>
  <c r="C24" i="25"/>
  <c r="M23" i="25"/>
  <c r="F23" i="25"/>
  <c r="E23" i="25"/>
  <c r="D23" i="25"/>
  <c r="C23" i="25"/>
  <c r="S22" i="25"/>
  <c r="R22" i="25"/>
  <c r="P22" i="25"/>
  <c r="M22" i="25"/>
  <c r="S21" i="25"/>
  <c r="R21" i="25"/>
  <c r="P21" i="25"/>
  <c r="M21" i="25"/>
  <c r="S20" i="25"/>
  <c r="R20" i="25"/>
  <c r="P20" i="25"/>
  <c r="J19" i="25"/>
  <c r="S18" i="25"/>
  <c r="R18" i="25"/>
  <c r="Q18" i="25"/>
  <c r="P18" i="25"/>
  <c r="J18" i="25"/>
  <c r="S17" i="25"/>
  <c r="R17" i="25"/>
  <c r="P17" i="25"/>
  <c r="F17" i="25"/>
  <c r="J16" i="25"/>
  <c r="S15" i="25"/>
  <c r="R15" i="25"/>
  <c r="E15" i="25"/>
  <c r="D15" i="25"/>
  <c r="C15" i="25"/>
  <c r="S14" i="25"/>
  <c r="R14" i="25"/>
  <c r="Q14" i="25"/>
  <c r="F14" i="25"/>
  <c r="E14" i="25"/>
  <c r="D14" i="25"/>
  <c r="C14" i="25"/>
  <c r="M13" i="25"/>
  <c r="J13" i="25"/>
  <c r="S11" i="25"/>
  <c r="R11" i="25"/>
  <c r="P11" i="25"/>
  <c r="J11" i="25"/>
  <c r="S10" i="25"/>
  <c r="R10" i="25"/>
  <c r="P10" i="25"/>
  <c r="K10" i="25"/>
  <c r="J10" i="25"/>
  <c r="S9" i="25"/>
  <c r="R9" i="25"/>
  <c r="P9" i="25"/>
  <c r="J9" i="25"/>
  <c r="S7" i="25"/>
  <c r="R7" i="25"/>
  <c r="Q7" i="25"/>
  <c r="P7" i="25"/>
  <c r="S6" i="25"/>
  <c r="R6" i="25"/>
  <c r="Q6" i="25"/>
  <c r="P6" i="25"/>
  <c r="H4" i="25"/>
  <c r="J56" i="24"/>
  <c r="C53" i="24"/>
  <c r="C52" i="24"/>
  <c r="D51" i="24"/>
  <c r="E51" i="24" s="1"/>
  <c r="C51" i="24"/>
  <c r="C50" i="24"/>
  <c r="I49" i="24"/>
  <c r="I51" i="24" s="1"/>
  <c r="E49" i="24"/>
  <c r="D49" i="24"/>
  <c r="C49" i="24"/>
  <c r="C48" i="24"/>
  <c r="D47" i="24"/>
  <c r="E47" i="24" s="1"/>
  <c r="C47" i="24"/>
  <c r="C46" i="24"/>
  <c r="D45" i="24"/>
  <c r="E45" i="24" s="1"/>
  <c r="C45" i="24"/>
  <c r="C44" i="24"/>
  <c r="I43" i="24"/>
  <c r="I45" i="24" s="1"/>
  <c r="D43" i="24"/>
  <c r="E43" i="24" s="1"/>
  <c r="C43" i="24"/>
  <c r="G42" i="24"/>
  <c r="F42" i="24"/>
  <c r="C42" i="24"/>
  <c r="C41" i="24"/>
  <c r="I40" i="24"/>
  <c r="C40" i="24"/>
  <c r="C39" i="24"/>
  <c r="J38" i="24"/>
  <c r="I38" i="24"/>
  <c r="C38" i="24"/>
  <c r="I37" i="24"/>
  <c r="E35" i="24"/>
  <c r="D35" i="24"/>
  <c r="C35" i="24"/>
  <c r="L34" i="24"/>
  <c r="K34" i="24"/>
  <c r="F34" i="24"/>
  <c r="E34" i="24"/>
  <c r="D34" i="24"/>
  <c r="C34" i="24"/>
  <c r="E33" i="24"/>
  <c r="D33" i="24"/>
  <c r="C33" i="24"/>
  <c r="M32" i="24"/>
  <c r="J32" i="24"/>
  <c r="F32" i="24"/>
  <c r="E32" i="24"/>
  <c r="D32" i="24"/>
  <c r="C32" i="24"/>
  <c r="M31" i="24"/>
  <c r="M31" i="23" s="1"/>
  <c r="M31" i="21" s="1"/>
  <c r="J31" i="24"/>
  <c r="J30" i="24"/>
  <c r="M27" i="24"/>
  <c r="M27" i="23" s="1"/>
  <c r="M27" i="21" s="1"/>
  <c r="M27" i="22" s="1"/>
  <c r="M27" i="20" s="1"/>
  <c r="J26" i="24"/>
  <c r="E24" i="24"/>
  <c r="D24" i="24"/>
  <c r="C24" i="24"/>
  <c r="M23" i="24"/>
  <c r="F23" i="24"/>
  <c r="E23" i="24"/>
  <c r="D23" i="24"/>
  <c r="C23" i="24"/>
  <c r="M22" i="24"/>
  <c r="M21" i="24"/>
  <c r="J19" i="24"/>
  <c r="J19" i="23" s="1"/>
  <c r="J19" i="21" s="1"/>
  <c r="J19" i="22" s="1"/>
  <c r="J18" i="24"/>
  <c r="J16" i="24"/>
  <c r="J16" i="23" s="1"/>
  <c r="J16" i="21" s="1"/>
  <c r="J16" i="22" s="1"/>
  <c r="J16" i="20" s="1"/>
  <c r="S15" i="24"/>
  <c r="R15" i="24"/>
  <c r="E15" i="24"/>
  <c r="D15" i="24"/>
  <c r="C15" i="24"/>
  <c r="S14" i="24"/>
  <c r="R14" i="24"/>
  <c r="Q14" i="24"/>
  <c r="F14" i="24"/>
  <c r="E14" i="24"/>
  <c r="D14" i="24"/>
  <c r="C14" i="24"/>
  <c r="M13" i="24"/>
  <c r="J13" i="24"/>
  <c r="J13" i="23" s="1"/>
  <c r="J13" i="21" s="1"/>
  <c r="J13" i="22" s="1"/>
  <c r="J12" i="24"/>
  <c r="S11" i="24"/>
  <c r="R11" i="24"/>
  <c r="P11" i="24"/>
  <c r="J11" i="24"/>
  <c r="S10" i="24"/>
  <c r="R10" i="24"/>
  <c r="P10" i="24"/>
  <c r="K10" i="24"/>
  <c r="J10" i="24"/>
  <c r="S9" i="24"/>
  <c r="R9" i="24"/>
  <c r="P9" i="24"/>
  <c r="J9" i="24"/>
  <c r="S8" i="24"/>
  <c r="R8" i="24"/>
  <c r="P8" i="24"/>
  <c r="S7" i="24"/>
  <c r="R7" i="24"/>
  <c r="P7" i="24"/>
  <c r="S6" i="24"/>
  <c r="R6" i="24"/>
  <c r="P6" i="24"/>
  <c r="H4" i="24"/>
  <c r="J57" i="23"/>
  <c r="J56" i="23"/>
  <c r="C53" i="23"/>
  <c r="C52" i="23"/>
  <c r="D51" i="23"/>
  <c r="E51" i="23" s="1"/>
  <c r="C51" i="23"/>
  <c r="I50" i="23"/>
  <c r="C50" i="23"/>
  <c r="I49" i="23"/>
  <c r="D49" i="23"/>
  <c r="E49" i="23" s="1"/>
  <c r="C49" i="23"/>
  <c r="C48" i="23"/>
  <c r="E47" i="23"/>
  <c r="D47" i="23"/>
  <c r="C47" i="23"/>
  <c r="C46" i="23"/>
  <c r="D45" i="23"/>
  <c r="E45" i="23" s="1"/>
  <c r="C45" i="23"/>
  <c r="C44" i="23"/>
  <c r="I43" i="23"/>
  <c r="I44" i="23" s="1"/>
  <c r="D43" i="23"/>
  <c r="E43" i="23" s="1"/>
  <c r="C43" i="23"/>
  <c r="G42" i="23"/>
  <c r="F42" i="23"/>
  <c r="C42" i="23"/>
  <c r="C41" i="23"/>
  <c r="C40" i="23"/>
  <c r="Q39" i="23"/>
  <c r="C39" i="23"/>
  <c r="J38" i="23"/>
  <c r="I38" i="23"/>
  <c r="C38" i="23"/>
  <c r="I37" i="23"/>
  <c r="S36" i="23"/>
  <c r="R36" i="23"/>
  <c r="S35" i="23"/>
  <c r="R35" i="23"/>
  <c r="Q35" i="23"/>
  <c r="E35" i="23"/>
  <c r="D35" i="23"/>
  <c r="C35" i="23"/>
  <c r="L34" i="23"/>
  <c r="K34" i="23"/>
  <c r="I40" i="23" s="1"/>
  <c r="F34" i="23"/>
  <c r="E34" i="23"/>
  <c r="D34" i="23"/>
  <c r="C34" i="23"/>
  <c r="E33" i="23"/>
  <c r="D33" i="23"/>
  <c r="C33" i="23"/>
  <c r="S32" i="23"/>
  <c r="R32" i="23"/>
  <c r="P32" i="23"/>
  <c r="M32" i="23"/>
  <c r="M32" i="21" s="1"/>
  <c r="M32" i="22" s="1"/>
  <c r="M32" i="20" s="1"/>
  <c r="J32" i="23"/>
  <c r="F32" i="23"/>
  <c r="E32" i="23"/>
  <c r="D32" i="23"/>
  <c r="C32" i="23"/>
  <c r="S31" i="23"/>
  <c r="R31" i="23"/>
  <c r="P31" i="23"/>
  <c r="J31" i="23"/>
  <c r="S30" i="23"/>
  <c r="R30" i="23"/>
  <c r="P30" i="23"/>
  <c r="M30" i="23"/>
  <c r="M30" i="21" s="1"/>
  <c r="M30" i="22" s="1"/>
  <c r="M30" i="20" s="1"/>
  <c r="M30" i="19" s="1"/>
  <c r="J30" i="23"/>
  <c r="M29" i="23"/>
  <c r="M29" i="21" s="1"/>
  <c r="S28" i="23"/>
  <c r="R28" i="23"/>
  <c r="Q28" i="23"/>
  <c r="P28" i="23"/>
  <c r="M28" i="23"/>
  <c r="S27" i="23"/>
  <c r="R27" i="23"/>
  <c r="Q27" i="23"/>
  <c r="P27" i="23"/>
  <c r="S26" i="23"/>
  <c r="R26" i="23"/>
  <c r="M26" i="23"/>
  <c r="M26" i="21" s="1"/>
  <c r="J26" i="23"/>
  <c r="F26" i="23"/>
  <c r="S25" i="23"/>
  <c r="R25" i="23"/>
  <c r="Q25" i="23"/>
  <c r="M25" i="23"/>
  <c r="M24" i="23"/>
  <c r="M24" i="21" s="1"/>
  <c r="M24" i="22" s="1"/>
  <c r="M24" i="20" s="1"/>
  <c r="E24" i="23"/>
  <c r="D24" i="23"/>
  <c r="C24" i="23"/>
  <c r="M23" i="23"/>
  <c r="F23" i="23"/>
  <c r="E23" i="23"/>
  <c r="D23" i="23"/>
  <c r="C23" i="23"/>
  <c r="S22" i="23"/>
  <c r="R22" i="23"/>
  <c r="P22" i="23"/>
  <c r="M22" i="23"/>
  <c r="J22" i="23"/>
  <c r="S21" i="23"/>
  <c r="R21" i="23"/>
  <c r="P21" i="23"/>
  <c r="M21" i="23"/>
  <c r="J21" i="23"/>
  <c r="S20" i="23"/>
  <c r="R20" i="23"/>
  <c r="P20" i="23"/>
  <c r="M20" i="23"/>
  <c r="M20" i="21" s="1"/>
  <c r="M18" i="23"/>
  <c r="J18" i="23"/>
  <c r="S17" i="23"/>
  <c r="R17" i="23"/>
  <c r="P17" i="23"/>
  <c r="M17" i="23"/>
  <c r="J17" i="23"/>
  <c r="F17" i="23"/>
  <c r="M16" i="23"/>
  <c r="Z15" i="23"/>
  <c r="Y15" i="23"/>
  <c r="S15" i="23"/>
  <c r="R15" i="23"/>
  <c r="M15" i="23"/>
  <c r="J15" i="23"/>
  <c r="E15" i="23"/>
  <c r="D15" i="23"/>
  <c r="C15" i="23"/>
  <c r="Z14" i="23"/>
  <c r="Y14" i="23"/>
  <c r="X14" i="23"/>
  <c r="S14" i="23"/>
  <c r="R14" i="23"/>
  <c r="Q14" i="23"/>
  <c r="M14" i="23"/>
  <c r="M14" i="21" s="1"/>
  <c r="M14" i="22" s="1"/>
  <c r="J14" i="23"/>
  <c r="J14" i="21" s="1"/>
  <c r="F14" i="23"/>
  <c r="E14" i="23"/>
  <c r="D14" i="23"/>
  <c r="C14" i="23"/>
  <c r="M13" i="23"/>
  <c r="M12" i="23"/>
  <c r="M12" i="21" s="1"/>
  <c r="J12" i="23"/>
  <c r="J12" i="21" s="1"/>
  <c r="Z11" i="23"/>
  <c r="Y11" i="23"/>
  <c r="W11" i="23"/>
  <c r="S11" i="23"/>
  <c r="R11" i="23"/>
  <c r="P11" i="23"/>
  <c r="J11" i="23"/>
  <c r="Z10" i="23"/>
  <c r="Y10" i="23"/>
  <c r="W10" i="23"/>
  <c r="S10" i="23"/>
  <c r="R10" i="23"/>
  <c r="P10" i="23"/>
  <c r="K10" i="23"/>
  <c r="J10" i="23"/>
  <c r="Z9" i="23"/>
  <c r="Y9" i="23"/>
  <c r="S9" i="23"/>
  <c r="R9" i="23"/>
  <c r="P9" i="23"/>
  <c r="J9" i="23"/>
  <c r="J8" i="23"/>
  <c r="Z7" i="23"/>
  <c r="Y7" i="23"/>
  <c r="J7" i="23"/>
  <c r="Z6" i="23"/>
  <c r="Y6" i="23"/>
  <c r="W6" i="23"/>
  <c r="S6" i="23"/>
  <c r="R6" i="23"/>
  <c r="P6" i="23"/>
  <c r="H4" i="23"/>
  <c r="J57" i="21"/>
  <c r="J56" i="21"/>
  <c r="C53" i="21"/>
  <c r="C52" i="21"/>
  <c r="E51" i="21"/>
  <c r="D51" i="21"/>
  <c r="C51" i="21"/>
  <c r="I50" i="21"/>
  <c r="C50" i="21"/>
  <c r="I49" i="21"/>
  <c r="D49" i="21"/>
  <c r="E49" i="21" s="1"/>
  <c r="C49" i="21"/>
  <c r="C48" i="21"/>
  <c r="E47" i="21"/>
  <c r="D47" i="21"/>
  <c r="C47" i="21"/>
  <c r="C46" i="21"/>
  <c r="C45" i="21"/>
  <c r="I44" i="21"/>
  <c r="C44" i="21"/>
  <c r="I43" i="21"/>
  <c r="D43" i="21"/>
  <c r="E43" i="21" s="1"/>
  <c r="C43" i="21"/>
  <c r="G42" i="21"/>
  <c r="F42" i="21"/>
  <c r="C42" i="21"/>
  <c r="C41" i="21"/>
  <c r="Q40" i="21"/>
  <c r="C40" i="21"/>
  <c r="C39" i="21"/>
  <c r="J38" i="21"/>
  <c r="J38" i="22" s="1"/>
  <c r="J38" i="20" s="1"/>
  <c r="J38" i="19" s="1"/>
  <c r="J38" i="18" s="1"/>
  <c r="J38" i="17" s="1"/>
  <c r="I38" i="21"/>
  <c r="C38" i="21"/>
  <c r="I37" i="21"/>
  <c r="S36" i="21"/>
  <c r="R36" i="21"/>
  <c r="S35" i="21"/>
  <c r="R35" i="21"/>
  <c r="Q35" i="21"/>
  <c r="E35" i="21"/>
  <c r="D35" i="21"/>
  <c r="C35" i="21"/>
  <c r="L34" i="21"/>
  <c r="F34" i="21"/>
  <c r="E34" i="21"/>
  <c r="D34" i="21"/>
  <c r="C34" i="21"/>
  <c r="E33" i="21"/>
  <c r="D33" i="21"/>
  <c r="C33" i="21"/>
  <c r="S32" i="21"/>
  <c r="R32" i="21"/>
  <c r="P32" i="21"/>
  <c r="J32" i="21"/>
  <c r="J32" i="22" s="1"/>
  <c r="J32" i="20" s="1"/>
  <c r="J32" i="19" s="1"/>
  <c r="J32" i="18" s="1"/>
  <c r="F32" i="21"/>
  <c r="E32" i="21"/>
  <c r="D32" i="21"/>
  <c r="C32" i="21"/>
  <c r="S31" i="21"/>
  <c r="R31" i="21"/>
  <c r="P31" i="21"/>
  <c r="J31" i="21"/>
  <c r="J31" i="22" s="1"/>
  <c r="J31" i="20" s="1"/>
  <c r="S30" i="21"/>
  <c r="R30" i="21"/>
  <c r="P30" i="21"/>
  <c r="J30" i="21"/>
  <c r="M28" i="21"/>
  <c r="Z27" i="21"/>
  <c r="Y27" i="21"/>
  <c r="S27" i="21"/>
  <c r="R27" i="21"/>
  <c r="P27" i="21"/>
  <c r="Z26" i="21"/>
  <c r="Y26" i="21"/>
  <c r="X26" i="21"/>
  <c r="J26" i="21"/>
  <c r="F26" i="21"/>
  <c r="S25" i="21"/>
  <c r="R25" i="21"/>
  <c r="M25" i="21"/>
  <c r="C25" i="21"/>
  <c r="S24" i="21"/>
  <c r="R24" i="21"/>
  <c r="Q24" i="21"/>
  <c r="E24" i="21"/>
  <c r="D24" i="21"/>
  <c r="C24" i="21"/>
  <c r="Z23" i="21"/>
  <c r="Y23" i="21"/>
  <c r="W23" i="21"/>
  <c r="M23" i="21"/>
  <c r="F23" i="21"/>
  <c r="E23" i="21"/>
  <c r="D23" i="21"/>
  <c r="C23" i="21"/>
  <c r="Z22" i="21"/>
  <c r="Y22" i="21"/>
  <c r="W22" i="21"/>
  <c r="M22" i="21"/>
  <c r="J22" i="21"/>
  <c r="Z21" i="21"/>
  <c r="Y21" i="21"/>
  <c r="W21" i="21"/>
  <c r="S21" i="21"/>
  <c r="R21" i="21"/>
  <c r="P21" i="21"/>
  <c r="M21" i="21"/>
  <c r="M21" i="22" s="1"/>
  <c r="M21" i="20" s="1"/>
  <c r="M21" i="19" s="1"/>
  <c r="M21" i="18" s="1"/>
  <c r="M21" i="17" s="1"/>
  <c r="J21" i="21"/>
  <c r="Z20" i="21"/>
  <c r="Y20" i="21"/>
  <c r="S20" i="21"/>
  <c r="R20" i="21"/>
  <c r="P20" i="21"/>
  <c r="Z19" i="21"/>
  <c r="Y19" i="21"/>
  <c r="S19" i="21"/>
  <c r="R19" i="21"/>
  <c r="P19" i="21"/>
  <c r="Z18" i="21"/>
  <c r="Y18" i="21"/>
  <c r="S18" i="21"/>
  <c r="R18" i="21"/>
  <c r="Q18" i="21"/>
  <c r="P18" i="21"/>
  <c r="M18" i="21"/>
  <c r="M18" i="22" s="1"/>
  <c r="M18" i="20" s="1"/>
  <c r="J18" i="21"/>
  <c r="S17" i="21"/>
  <c r="R17" i="21"/>
  <c r="Q17" i="21"/>
  <c r="P17" i="21"/>
  <c r="M17" i="21"/>
  <c r="J17" i="21"/>
  <c r="F17" i="21"/>
  <c r="S16" i="21"/>
  <c r="R16" i="21"/>
  <c r="Q16" i="21"/>
  <c r="P16" i="21"/>
  <c r="M16" i="21"/>
  <c r="Z15" i="21"/>
  <c r="Y15" i="21"/>
  <c r="S15" i="21"/>
  <c r="R15" i="21"/>
  <c r="M15" i="21"/>
  <c r="J15" i="21"/>
  <c r="E15" i="21"/>
  <c r="D15" i="21"/>
  <c r="C15" i="21"/>
  <c r="Z14" i="21"/>
  <c r="Y14" i="21"/>
  <c r="X14" i="21"/>
  <c r="S14" i="21"/>
  <c r="R14" i="21"/>
  <c r="Q14" i="21"/>
  <c r="F14" i="21"/>
  <c r="E14" i="21"/>
  <c r="D14" i="21"/>
  <c r="C14" i="21"/>
  <c r="M13" i="21"/>
  <c r="M13" i="22" s="1"/>
  <c r="M13" i="20" s="1"/>
  <c r="Z11" i="21"/>
  <c r="Y11" i="21"/>
  <c r="W11" i="21"/>
  <c r="S11" i="21"/>
  <c r="R11" i="21"/>
  <c r="P11" i="21"/>
  <c r="K11" i="21"/>
  <c r="Z10" i="21"/>
  <c r="Y10" i="21"/>
  <c r="W10" i="21"/>
  <c r="S10" i="21"/>
  <c r="R10" i="21"/>
  <c r="P10" i="21"/>
  <c r="K10" i="21"/>
  <c r="J10" i="21"/>
  <c r="J10" i="22" s="1"/>
  <c r="J10" i="20" s="1"/>
  <c r="Z9" i="21"/>
  <c r="Y9" i="21"/>
  <c r="W9" i="21"/>
  <c r="S9" i="21"/>
  <c r="R9" i="21"/>
  <c r="P9" i="21"/>
  <c r="K9" i="21"/>
  <c r="J9" i="21"/>
  <c r="F9" i="21"/>
  <c r="J8" i="21"/>
  <c r="J8" i="22" s="1"/>
  <c r="C8" i="21"/>
  <c r="Z7" i="21"/>
  <c r="Y7" i="21"/>
  <c r="J7" i="21"/>
  <c r="J7" i="22" s="1"/>
  <c r="J7" i="20" s="1"/>
  <c r="J7" i="19" s="1"/>
  <c r="Z6" i="21"/>
  <c r="Y6" i="21"/>
  <c r="W6" i="21"/>
  <c r="S6" i="21"/>
  <c r="R6" i="21"/>
  <c r="P6" i="21"/>
  <c r="H4" i="21"/>
  <c r="J57" i="22"/>
  <c r="J57" i="20" s="1"/>
  <c r="J56" i="22"/>
  <c r="C53" i="22"/>
  <c r="C52" i="22"/>
  <c r="D51" i="22"/>
  <c r="E51" i="22" s="1"/>
  <c r="C51" i="22"/>
  <c r="I50" i="22"/>
  <c r="C50" i="22"/>
  <c r="I49" i="22"/>
  <c r="D49" i="22"/>
  <c r="D49" i="20" s="1"/>
  <c r="C49" i="22"/>
  <c r="C48" i="22"/>
  <c r="D47" i="22"/>
  <c r="E47" i="22" s="1"/>
  <c r="C47" i="22"/>
  <c r="C46" i="22"/>
  <c r="C45" i="22"/>
  <c r="I44" i="22"/>
  <c r="C44" i="22"/>
  <c r="I43" i="22"/>
  <c r="D43" i="22"/>
  <c r="D43" i="20" s="1"/>
  <c r="C43" i="22"/>
  <c r="G42" i="22"/>
  <c r="F42" i="22"/>
  <c r="C42" i="22"/>
  <c r="Q41" i="22"/>
  <c r="C41" i="22"/>
  <c r="C40" i="22"/>
  <c r="AA39" i="22"/>
  <c r="Z39" i="22"/>
  <c r="C39" i="22"/>
  <c r="AA38" i="22"/>
  <c r="Z38" i="22"/>
  <c r="Y38" i="22"/>
  <c r="I38" i="22"/>
  <c r="C38" i="22"/>
  <c r="I37" i="22"/>
  <c r="AA36" i="22"/>
  <c r="Z36" i="22"/>
  <c r="X36" i="22"/>
  <c r="S36" i="22"/>
  <c r="R36" i="22"/>
  <c r="AA35" i="22"/>
  <c r="Z35" i="22"/>
  <c r="S35" i="22"/>
  <c r="R35" i="22"/>
  <c r="Q35" i="22"/>
  <c r="E35" i="22"/>
  <c r="D35" i="22"/>
  <c r="C35" i="22"/>
  <c r="AA34" i="22"/>
  <c r="Z34" i="22"/>
  <c r="Y34" i="22"/>
  <c r="X34" i="22"/>
  <c r="S34" i="22"/>
  <c r="R34" i="22"/>
  <c r="Q34" i="22"/>
  <c r="P34" i="22"/>
  <c r="L34" i="22"/>
  <c r="F34" i="22"/>
  <c r="E34" i="22"/>
  <c r="D34" i="22"/>
  <c r="C34" i="22"/>
  <c r="AA33" i="22"/>
  <c r="Z33" i="22"/>
  <c r="Y33" i="22"/>
  <c r="X33" i="22"/>
  <c r="W33" i="22"/>
  <c r="S33" i="22"/>
  <c r="R33" i="22"/>
  <c r="Q33" i="22"/>
  <c r="P33" i="22"/>
  <c r="O33" i="22"/>
  <c r="E33" i="22"/>
  <c r="D33" i="22"/>
  <c r="C33" i="22"/>
  <c r="AA32" i="22"/>
  <c r="Z32" i="22"/>
  <c r="Y32" i="22"/>
  <c r="X32" i="22"/>
  <c r="W32" i="22"/>
  <c r="S32" i="22"/>
  <c r="R32" i="22"/>
  <c r="Q32" i="22"/>
  <c r="P32" i="22"/>
  <c r="O32" i="22"/>
  <c r="F32" i="22"/>
  <c r="E32" i="22"/>
  <c r="D32" i="22"/>
  <c r="C32" i="22"/>
  <c r="AA31" i="22"/>
  <c r="Z31" i="22"/>
  <c r="Y31" i="22"/>
  <c r="X31" i="22"/>
  <c r="W31" i="22"/>
  <c r="S31" i="22"/>
  <c r="R31" i="22"/>
  <c r="Q31" i="22"/>
  <c r="P31" i="22"/>
  <c r="O31" i="22"/>
  <c r="M31" i="22"/>
  <c r="M31" i="20" s="1"/>
  <c r="M31" i="19" s="1"/>
  <c r="AA30" i="22"/>
  <c r="Z30" i="22"/>
  <c r="Y30" i="22"/>
  <c r="X30" i="22"/>
  <c r="W30" i="22"/>
  <c r="S30" i="22"/>
  <c r="R30" i="22"/>
  <c r="Q30" i="22"/>
  <c r="P30" i="22"/>
  <c r="O30" i="22"/>
  <c r="J30" i="22"/>
  <c r="AA29" i="22"/>
  <c r="Z29" i="22"/>
  <c r="Y29" i="22"/>
  <c r="X29" i="22"/>
  <c r="W29" i="22"/>
  <c r="S29" i="22"/>
  <c r="R29" i="22"/>
  <c r="Q29" i="22"/>
  <c r="P29" i="22"/>
  <c r="O29" i="22"/>
  <c r="M29" i="22"/>
  <c r="M29" i="20" s="1"/>
  <c r="AA28" i="22"/>
  <c r="Z28" i="22"/>
  <c r="Y28" i="22"/>
  <c r="X28" i="22"/>
  <c r="W28" i="22"/>
  <c r="S28" i="22"/>
  <c r="R28" i="22"/>
  <c r="Q28" i="22"/>
  <c r="P28" i="22"/>
  <c r="O28" i="22"/>
  <c r="M28" i="22"/>
  <c r="AA27" i="22"/>
  <c r="Z27" i="22"/>
  <c r="Y27" i="22"/>
  <c r="X27" i="22"/>
  <c r="S27" i="22"/>
  <c r="R27" i="22"/>
  <c r="Q27" i="22"/>
  <c r="P27" i="22"/>
  <c r="M26" i="22"/>
  <c r="M26" i="20" s="1"/>
  <c r="M26" i="19" s="1"/>
  <c r="M26" i="18" s="1"/>
  <c r="J26" i="22"/>
  <c r="F26" i="22"/>
  <c r="S25" i="22"/>
  <c r="R25" i="22"/>
  <c r="M25" i="22"/>
  <c r="M25" i="20" s="1"/>
  <c r="M25" i="19" s="1"/>
  <c r="C25" i="22"/>
  <c r="S24" i="22"/>
  <c r="R24" i="22"/>
  <c r="Q24" i="22"/>
  <c r="E24" i="22"/>
  <c r="D24" i="22"/>
  <c r="C24" i="22"/>
  <c r="M23" i="22"/>
  <c r="M23" i="20" s="1"/>
  <c r="F23" i="22"/>
  <c r="E23" i="22"/>
  <c r="D23" i="22"/>
  <c r="C23" i="22"/>
  <c r="M22" i="22"/>
  <c r="J22" i="22"/>
  <c r="S21" i="22"/>
  <c r="R21" i="22"/>
  <c r="P21" i="22"/>
  <c r="J21" i="22"/>
  <c r="S20" i="22"/>
  <c r="R20" i="22"/>
  <c r="P20" i="22"/>
  <c r="M20" i="22"/>
  <c r="M20" i="20" s="1"/>
  <c r="S19" i="22"/>
  <c r="R19" i="22"/>
  <c r="P19" i="22"/>
  <c r="J18" i="22"/>
  <c r="J18" i="20" s="1"/>
  <c r="S17" i="22"/>
  <c r="R17" i="22"/>
  <c r="Q17" i="22"/>
  <c r="P17" i="22"/>
  <c r="M17" i="22"/>
  <c r="M17" i="20" s="1"/>
  <c r="J17" i="22"/>
  <c r="S16" i="22"/>
  <c r="R16" i="22"/>
  <c r="P16" i="22"/>
  <c r="M16" i="22"/>
  <c r="C16" i="22"/>
  <c r="S15" i="22"/>
  <c r="R15" i="22"/>
  <c r="M15" i="22"/>
  <c r="J15" i="22"/>
  <c r="J15" i="20" s="1"/>
  <c r="E15" i="22"/>
  <c r="D15" i="22"/>
  <c r="C15" i="22"/>
  <c r="S14" i="22"/>
  <c r="R14" i="22"/>
  <c r="Q14" i="22"/>
  <c r="J14" i="22"/>
  <c r="J14" i="20" s="1"/>
  <c r="J14" i="19" s="1"/>
  <c r="F14" i="22"/>
  <c r="E14" i="22"/>
  <c r="D14" i="22"/>
  <c r="C14" i="22"/>
  <c r="K12" i="22"/>
  <c r="S11" i="22"/>
  <c r="R11" i="22"/>
  <c r="P11" i="22"/>
  <c r="J11" i="22"/>
  <c r="S10" i="22"/>
  <c r="R10" i="22"/>
  <c r="P10" i="22"/>
  <c r="S9" i="22"/>
  <c r="R9" i="22"/>
  <c r="P9" i="22"/>
  <c r="K9" i="22"/>
  <c r="J9" i="22"/>
  <c r="J9" i="20" s="1"/>
  <c r="J9" i="19" s="1"/>
  <c r="J9" i="18" s="1"/>
  <c r="J9" i="17" s="1"/>
  <c r="J9" i="16" s="1"/>
  <c r="J9" i="15" s="1"/>
  <c r="J9" i="14" s="1"/>
  <c r="J9" i="13" s="1"/>
  <c r="F9" i="22"/>
  <c r="C8" i="22"/>
  <c r="S7" i="22"/>
  <c r="R7" i="22"/>
  <c r="Q7" i="22"/>
  <c r="P7" i="22"/>
  <c r="C7" i="22"/>
  <c r="S6" i="22"/>
  <c r="R6" i="22"/>
  <c r="Q6" i="22"/>
  <c r="P6" i="22"/>
  <c r="H4" i="22"/>
  <c r="W78" i="20"/>
  <c r="C53" i="20"/>
  <c r="C52" i="20"/>
  <c r="E51" i="20"/>
  <c r="D51" i="20"/>
  <c r="C51" i="20"/>
  <c r="C50" i="20"/>
  <c r="I49" i="20"/>
  <c r="I50" i="20" s="1"/>
  <c r="E49" i="20"/>
  <c r="C49" i="20"/>
  <c r="C48" i="20"/>
  <c r="E47" i="20"/>
  <c r="D47" i="20"/>
  <c r="C47" i="20"/>
  <c r="C46" i="20"/>
  <c r="C45" i="20"/>
  <c r="C44" i="20"/>
  <c r="I43" i="20"/>
  <c r="I44" i="20" s="1"/>
  <c r="E43" i="20"/>
  <c r="C43" i="20"/>
  <c r="G42" i="20"/>
  <c r="F42" i="20"/>
  <c r="C42" i="20"/>
  <c r="C41" i="20"/>
  <c r="C40" i="20"/>
  <c r="C39" i="20"/>
  <c r="I38" i="20"/>
  <c r="C38" i="20"/>
  <c r="I37" i="20"/>
  <c r="S36" i="20"/>
  <c r="R36" i="20"/>
  <c r="S35" i="20"/>
  <c r="R35" i="20"/>
  <c r="Q35" i="20"/>
  <c r="E35" i="20"/>
  <c r="D35" i="20"/>
  <c r="C35" i="20"/>
  <c r="L34" i="20"/>
  <c r="F34" i="20"/>
  <c r="E34" i="20"/>
  <c r="D34" i="20"/>
  <c r="C34" i="20"/>
  <c r="E33" i="20"/>
  <c r="D33" i="20"/>
  <c r="C33" i="20"/>
  <c r="S32" i="20"/>
  <c r="R32" i="20"/>
  <c r="P32" i="20"/>
  <c r="F32" i="20"/>
  <c r="E32" i="20"/>
  <c r="D32" i="20"/>
  <c r="C32" i="20"/>
  <c r="S31" i="20"/>
  <c r="R31" i="20"/>
  <c r="P31" i="20"/>
  <c r="S30" i="20"/>
  <c r="R30" i="20"/>
  <c r="P30" i="20"/>
  <c r="J30" i="20"/>
  <c r="J30" i="19" s="1"/>
  <c r="J30" i="18" s="1"/>
  <c r="S28" i="20"/>
  <c r="R28" i="20"/>
  <c r="Q28" i="20"/>
  <c r="P28" i="20"/>
  <c r="O28" i="20"/>
  <c r="M28" i="20"/>
  <c r="M28" i="19" s="1"/>
  <c r="M28" i="18" s="1"/>
  <c r="M28" i="17" s="1"/>
  <c r="S27" i="20"/>
  <c r="R27" i="20"/>
  <c r="Q27" i="20"/>
  <c r="P27" i="20"/>
  <c r="S26" i="20"/>
  <c r="R26" i="20"/>
  <c r="J26" i="20"/>
  <c r="S25" i="20"/>
  <c r="R25" i="20"/>
  <c r="Q25" i="20"/>
  <c r="E24" i="20"/>
  <c r="D24" i="20"/>
  <c r="C24" i="20"/>
  <c r="F23" i="20"/>
  <c r="E23" i="20"/>
  <c r="D23" i="20"/>
  <c r="C23" i="20"/>
  <c r="S22" i="20"/>
  <c r="R22" i="20"/>
  <c r="P22" i="20"/>
  <c r="M22" i="20"/>
  <c r="J22" i="20"/>
  <c r="J22" i="19" s="1"/>
  <c r="S21" i="20"/>
  <c r="R21" i="20"/>
  <c r="P21" i="20"/>
  <c r="J21" i="20"/>
  <c r="S20" i="20"/>
  <c r="R20" i="20"/>
  <c r="P20" i="20"/>
  <c r="J19" i="20"/>
  <c r="J19" i="19" s="1"/>
  <c r="S18" i="20"/>
  <c r="R18" i="20"/>
  <c r="Q18" i="20"/>
  <c r="P18" i="20"/>
  <c r="S17" i="20"/>
  <c r="R17" i="20"/>
  <c r="P17" i="20"/>
  <c r="J17" i="20"/>
  <c r="F17" i="20"/>
  <c r="M16" i="20"/>
  <c r="S15" i="20"/>
  <c r="R15" i="20"/>
  <c r="M15" i="20"/>
  <c r="M15" i="19" s="1"/>
  <c r="M15" i="18" s="1"/>
  <c r="M15" i="17" s="1"/>
  <c r="E15" i="20"/>
  <c r="D15" i="20"/>
  <c r="C15" i="20"/>
  <c r="S14" i="20"/>
  <c r="R14" i="20"/>
  <c r="Q14" i="20"/>
  <c r="M14" i="20"/>
  <c r="M14" i="19" s="1"/>
  <c r="M14" i="18" s="1"/>
  <c r="F14" i="20"/>
  <c r="E14" i="20"/>
  <c r="D14" i="20"/>
  <c r="C14" i="20"/>
  <c r="J13" i="20"/>
  <c r="K12" i="20"/>
  <c r="J12" i="20"/>
  <c r="S11" i="20"/>
  <c r="R11" i="20"/>
  <c r="P11" i="20"/>
  <c r="J11" i="20"/>
  <c r="S10" i="20"/>
  <c r="R10" i="20"/>
  <c r="P10" i="20"/>
  <c r="S9" i="20"/>
  <c r="R9" i="20"/>
  <c r="P9" i="20"/>
  <c r="J8" i="20"/>
  <c r="S7" i="20"/>
  <c r="R7" i="20"/>
  <c r="Q7" i="20"/>
  <c r="P7" i="20"/>
  <c r="S6" i="20"/>
  <c r="R6" i="20"/>
  <c r="P6" i="20"/>
  <c r="H4" i="20"/>
  <c r="J57" i="19"/>
  <c r="C53" i="19"/>
  <c r="C52" i="19"/>
  <c r="D51" i="19"/>
  <c r="C51" i="19"/>
  <c r="C50" i="19"/>
  <c r="I49" i="19"/>
  <c r="D49" i="19"/>
  <c r="C49" i="19"/>
  <c r="C48" i="19"/>
  <c r="D47" i="19"/>
  <c r="C47" i="19"/>
  <c r="C46" i="19"/>
  <c r="C45" i="19"/>
  <c r="C44" i="19"/>
  <c r="I43" i="19"/>
  <c r="D43" i="19"/>
  <c r="E43" i="19" s="1"/>
  <c r="C43" i="19"/>
  <c r="G42" i="19"/>
  <c r="F42" i="19"/>
  <c r="C42" i="19"/>
  <c r="C41" i="19"/>
  <c r="C40" i="19"/>
  <c r="Q39" i="19"/>
  <c r="C39" i="19"/>
  <c r="I38" i="19"/>
  <c r="C38" i="19"/>
  <c r="I37" i="19"/>
  <c r="Z36" i="19"/>
  <c r="Y36" i="19"/>
  <c r="S36" i="19"/>
  <c r="R36" i="19"/>
  <c r="Z35" i="19"/>
  <c r="Y35" i="19"/>
  <c r="X35" i="19"/>
  <c r="S35" i="19"/>
  <c r="R35" i="19"/>
  <c r="Q35" i="19"/>
  <c r="E35" i="19"/>
  <c r="D35" i="19"/>
  <c r="C35" i="19"/>
  <c r="L34" i="19"/>
  <c r="K34" i="19"/>
  <c r="I40" i="19" s="1"/>
  <c r="F34" i="19"/>
  <c r="E34" i="19"/>
  <c r="D34" i="19"/>
  <c r="C34" i="19"/>
  <c r="E33" i="19"/>
  <c r="D33" i="19"/>
  <c r="C33" i="19"/>
  <c r="Z32" i="19"/>
  <c r="Y32" i="19"/>
  <c r="W32" i="19"/>
  <c r="M32" i="19"/>
  <c r="M32" i="18" s="1"/>
  <c r="M32" i="17" s="1"/>
  <c r="F32" i="19"/>
  <c r="E32" i="19"/>
  <c r="D32" i="19"/>
  <c r="C32" i="19"/>
  <c r="Z31" i="19"/>
  <c r="Y31" i="19"/>
  <c r="W31" i="19"/>
  <c r="J31" i="19"/>
  <c r="Z30" i="19"/>
  <c r="Y30" i="19"/>
  <c r="W30" i="19"/>
  <c r="Z29" i="19"/>
  <c r="Y29" i="19"/>
  <c r="M29" i="19"/>
  <c r="Z28" i="19"/>
  <c r="Y28" i="19"/>
  <c r="Z27" i="19"/>
  <c r="Y27" i="19"/>
  <c r="S27" i="19"/>
  <c r="R27" i="19"/>
  <c r="P27" i="19"/>
  <c r="M27" i="19"/>
  <c r="S26" i="19"/>
  <c r="R26" i="19"/>
  <c r="J26" i="19"/>
  <c r="S25" i="19"/>
  <c r="R25" i="19"/>
  <c r="Q25" i="19"/>
  <c r="M24" i="19"/>
  <c r="M24" i="18" s="1"/>
  <c r="M24" i="17" s="1"/>
  <c r="E24" i="19"/>
  <c r="D24" i="19"/>
  <c r="C24" i="19"/>
  <c r="M23" i="19"/>
  <c r="M23" i="18" s="1"/>
  <c r="M23" i="17" s="1"/>
  <c r="F23" i="19"/>
  <c r="E23" i="19"/>
  <c r="D23" i="19"/>
  <c r="C23" i="19"/>
  <c r="S22" i="19"/>
  <c r="R22" i="19"/>
  <c r="P22" i="19"/>
  <c r="M22" i="19"/>
  <c r="S21" i="19"/>
  <c r="R21" i="19"/>
  <c r="P21" i="19"/>
  <c r="J21" i="19"/>
  <c r="S20" i="19"/>
  <c r="R20" i="19"/>
  <c r="P20" i="19"/>
  <c r="M20" i="19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S19" i="19"/>
  <c r="R19" i="19"/>
  <c r="Q19" i="19"/>
  <c r="P19" i="19"/>
  <c r="S18" i="19"/>
  <c r="R18" i="19"/>
  <c r="Q18" i="19"/>
  <c r="P18" i="19"/>
  <c r="M18" i="19"/>
  <c r="J18" i="19"/>
  <c r="J18" i="18" s="1"/>
  <c r="S17" i="19"/>
  <c r="R17" i="19"/>
  <c r="Q17" i="19"/>
  <c r="P17" i="19"/>
  <c r="M17" i="19"/>
  <c r="M17" i="18" s="1"/>
  <c r="M17" i="17" s="1"/>
  <c r="J17" i="19"/>
  <c r="M16" i="19"/>
  <c r="M16" i="18" s="1"/>
  <c r="J16" i="19"/>
  <c r="J16" i="18" s="1"/>
  <c r="J16" i="17" s="1"/>
  <c r="C16" i="19"/>
  <c r="Z15" i="19"/>
  <c r="Y15" i="19"/>
  <c r="S15" i="19"/>
  <c r="R15" i="19"/>
  <c r="J15" i="19"/>
  <c r="J15" i="18" s="1"/>
  <c r="J15" i="17" s="1"/>
  <c r="J15" i="16" s="1"/>
  <c r="J15" i="15" s="1"/>
  <c r="J15" i="14" s="1"/>
  <c r="J15" i="13" s="1"/>
  <c r="E15" i="19"/>
  <c r="D15" i="19"/>
  <c r="C15" i="19"/>
  <c r="Z14" i="19"/>
  <c r="Y14" i="19"/>
  <c r="X14" i="19"/>
  <c r="S14" i="19"/>
  <c r="R14" i="19"/>
  <c r="Q14" i="19"/>
  <c r="F14" i="19"/>
  <c r="E14" i="19"/>
  <c r="D14" i="19"/>
  <c r="C14" i="19"/>
  <c r="K13" i="19"/>
  <c r="K12" i="19"/>
  <c r="J12" i="19"/>
  <c r="J12" i="18" s="1"/>
  <c r="Z11" i="19"/>
  <c r="Y11" i="19"/>
  <c r="W11" i="19"/>
  <c r="S11" i="19"/>
  <c r="R11" i="19"/>
  <c r="P11" i="19"/>
  <c r="J11" i="19"/>
  <c r="J11" i="18" s="1"/>
  <c r="J11" i="17" s="1"/>
  <c r="J11" i="16" s="1"/>
  <c r="J11" i="15" s="1"/>
  <c r="J11" i="14" s="1"/>
  <c r="J11" i="13" s="1"/>
  <c r="J11" i="12" s="1"/>
  <c r="Z10" i="19"/>
  <c r="Y10" i="19"/>
  <c r="W10" i="19"/>
  <c r="S10" i="19"/>
  <c r="R10" i="19"/>
  <c r="P10" i="19"/>
  <c r="J10" i="19"/>
  <c r="Z9" i="19"/>
  <c r="Y9" i="19"/>
  <c r="W9" i="19"/>
  <c r="S9" i="19"/>
  <c r="R9" i="19"/>
  <c r="P9" i="19"/>
  <c r="J8" i="19"/>
  <c r="J8" i="18" s="1"/>
  <c r="Z7" i="19"/>
  <c r="Y7" i="19"/>
  <c r="S7" i="19"/>
  <c r="R7" i="19"/>
  <c r="P7" i="19"/>
  <c r="D7" i="19"/>
  <c r="Z6" i="19"/>
  <c r="Y6" i="19"/>
  <c r="W6" i="19"/>
  <c r="S6" i="19"/>
  <c r="R6" i="19"/>
  <c r="P6" i="19"/>
  <c r="H4" i="19"/>
  <c r="C53" i="18"/>
  <c r="C52" i="18"/>
  <c r="C51" i="18"/>
  <c r="I50" i="18"/>
  <c r="C50" i="18"/>
  <c r="I49" i="18"/>
  <c r="C49" i="18"/>
  <c r="C48" i="18"/>
  <c r="C47" i="18"/>
  <c r="C46" i="18"/>
  <c r="Q45" i="18"/>
  <c r="C45" i="18"/>
  <c r="C44" i="18"/>
  <c r="I43" i="18"/>
  <c r="D43" i="18"/>
  <c r="C43" i="18"/>
  <c r="G42" i="18"/>
  <c r="F42" i="18"/>
  <c r="C42" i="18"/>
  <c r="C41" i="18"/>
  <c r="N40" i="18"/>
  <c r="C40" i="18"/>
  <c r="C39" i="18"/>
  <c r="I38" i="18"/>
  <c r="C38" i="18"/>
  <c r="I37" i="18"/>
  <c r="Z36" i="18"/>
  <c r="Y36" i="18"/>
  <c r="S36" i="18"/>
  <c r="R36" i="18"/>
  <c r="Q36" i="18"/>
  <c r="Z35" i="18"/>
  <c r="Y35" i="18"/>
  <c r="X35" i="18"/>
  <c r="S35" i="18"/>
  <c r="R35" i="18"/>
  <c r="Q35" i="18"/>
  <c r="E35" i="18"/>
  <c r="D35" i="18"/>
  <c r="C35" i="18"/>
  <c r="L34" i="18"/>
  <c r="F34" i="18"/>
  <c r="E34" i="18"/>
  <c r="D34" i="18"/>
  <c r="C34" i="18"/>
  <c r="E33" i="18"/>
  <c r="D33" i="18"/>
  <c r="C33" i="18"/>
  <c r="F32" i="18"/>
  <c r="E32" i="18"/>
  <c r="D32" i="18"/>
  <c r="C32" i="18"/>
  <c r="M31" i="18"/>
  <c r="M31" i="17" s="1"/>
  <c r="M31" i="16" s="1"/>
  <c r="M31" i="15" s="1"/>
  <c r="M31" i="14" s="1"/>
  <c r="M31" i="13" s="1"/>
  <c r="M31" i="12" s="1"/>
  <c r="J31" i="18"/>
  <c r="Z30" i="18"/>
  <c r="Y30" i="18"/>
  <c r="M30" i="18"/>
  <c r="M30" i="17" s="1"/>
  <c r="Z29" i="18"/>
  <c r="Y29" i="18"/>
  <c r="M29" i="18"/>
  <c r="M29" i="17" s="1"/>
  <c r="Z28" i="18"/>
  <c r="Y28" i="18"/>
  <c r="S28" i="18"/>
  <c r="R28" i="18"/>
  <c r="P28" i="18"/>
  <c r="Z27" i="18"/>
  <c r="Y27" i="18"/>
  <c r="S27" i="18"/>
  <c r="R27" i="18"/>
  <c r="P27" i="18"/>
  <c r="M27" i="18"/>
  <c r="M27" i="17" s="1"/>
  <c r="M27" i="16" s="1"/>
  <c r="M27" i="15" s="1"/>
  <c r="M27" i="14" s="1"/>
  <c r="M27" i="13" s="1"/>
  <c r="M27" i="12" s="1"/>
  <c r="S26" i="18"/>
  <c r="R26" i="18"/>
  <c r="Q26" i="18"/>
  <c r="J26" i="18"/>
  <c r="J26" i="17" s="1"/>
  <c r="J26" i="16" s="1"/>
  <c r="J26" i="15" s="1"/>
  <c r="J26" i="14" s="1"/>
  <c r="J26" i="13" s="1"/>
  <c r="J26" i="12" s="1"/>
  <c r="S25" i="18"/>
  <c r="R25" i="18"/>
  <c r="Q25" i="18"/>
  <c r="M25" i="18"/>
  <c r="M25" i="17" s="1"/>
  <c r="M25" i="16" s="1"/>
  <c r="E24" i="18"/>
  <c r="D24" i="18"/>
  <c r="C24" i="18"/>
  <c r="J23" i="18"/>
  <c r="F23" i="18"/>
  <c r="E23" i="18"/>
  <c r="D23" i="18"/>
  <c r="C23" i="18"/>
  <c r="M22" i="18"/>
  <c r="J22" i="18"/>
  <c r="J22" i="17" s="1"/>
  <c r="J22" i="16" s="1"/>
  <c r="J22" i="15" s="1"/>
  <c r="J22" i="14" s="1"/>
  <c r="J21" i="18"/>
  <c r="J21" i="17" s="1"/>
  <c r="J21" i="16" s="1"/>
  <c r="J21" i="15" s="1"/>
  <c r="J21" i="14" s="1"/>
  <c r="J21" i="13" s="1"/>
  <c r="J19" i="18"/>
  <c r="S18" i="18"/>
  <c r="R18" i="18"/>
  <c r="Q18" i="18"/>
  <c r="P18" i="18"/>
  <c r="M18" i="18"/>
  <c r="M18" i="17" s="1"/>
  <c r="S17" i="18"/>
  <c r="R17" i="18"/>
  <c r="Q17" i="18"/>
  <c r="P17" i="18"/>
  <c r="J17" i="18"/>
  <c r="J17" i="17" s="1"/>
  <c r="J17" i="16" s="1"/>
  <c r="J17" i="15" s="1"/>
  <c r="J17" i="14" s="1"/>
  <c r="J17" i="13" s="1"/>
  <c r="J17" i="12" s="1"/>
  <c r="F17" i="18"/>
  <c r="C16" i="18"/>
  <c r="S15" i="18"/>
  <c r="R15" i="18"/>
  <c r="E15" i="18"/>
  <c r="D15" i="18"/>
  <c r="C15" i="18"/>
  <c r="S14" i="18"/>
  <c r="R14" i="18"/>
  <c r="Q14" i="18"/>
  <c r="J14" i="18"/>
  <c r="F14" i="18"/>
  <c r="E14" i="18"/>
  <c r="D14" i="18"/>
  <c r="C14" i="18"/>
  <c r="K13" i="18"/>
  <c r="J13" i="18"/>
  <c r="J13" i="17" s="1"/>
  <c r="K12" i="18"/>
  <c r="J10" i="18"/>
  <c r="F9" i="18"/>
  <c r="S7" i="18"/>
  <c r="R7" i="18"/>
  <c r="Q7" i="18"/>
  <c r="P7" i="18"/>
  <c r="J7" i="18"/>
  <c r="C7" i="18"/>
  <c r="S6" i="18"/>
  <c r="R6" i="18"/>
  <c r="Q6" i="18"/>
  <c r="P6" i="18"/>
  <c r="H4" i="18"/>
  <c r="C53" i="17"/>
  <c r="C52" i="17"/>
  <c r="C51" i="17"/>
  <c r="I50" i="17"/>
  <c r="C50" i="17"/>
  <c r="I49" i="17"/>
  <c r="C49" i="17"/>
  <c r="C48" i="17"/>
  <c r="C47" i="17"/>
  <c r="C46" i="17"/>
  <c r="C45" i="17"/>
  <c r="I44" i="17"/>
  <c r="C44" i="17"/>
  <c r="I43" i="17"/>
  <c r="C43" i="17"/>
  <c r="M42" i="17"/>
  <c r="G42" i="17"/>
  <c r="F42" i="17"/>
  <c r="C42" i="17"/>
  <c r="Q41" i="17"/>
  <c r="C41" i="17"/>
  <c r="C40" i="17"/>
  <c r="C39" i="17"/>
  <c r="I38" i="17"/>
  <c r="C38" i="17"/>
  <c r="S37" i="17"/>
  <c r="R37" i="17"/>
  <c r="Q37" i="17"/>
  <c r="I37" i="17"/>
  <c r="S36" i="17"/>
  <c r="R36" i="17"/>
  <c r="Q36" i="17"/>
  <c r="E35" i="17"/>
  <c r="D35" i="17"/>
  <c r="C35" i="17"/>
  <c r="L34" i="17"/>
  <c r="F34" i="17"/>
  <c r="E34" i="17"/>
  <c r="D34" i="17"/>
  <c r="C34" i="17"/>
  <c r="E33" i="17"/>
  <c r="D33" i="17"/>
  <c r="C33" i="17"/>
  <c r="J32" i="17"/>
  <c r="F32" i="17"/>
  <c r="E32" i="17"/>
  <c r="D32" i="17"/>
  <c r="C32" i="17"/>
  <c r="J31" i="17"/>
  <c r="J31" i="16" s="1"/>
  <c r="J31" i="15" s="1"/>
  <c r="J30" i="17"/>
  <c r="J30" i="16" s="1"/>
  <c r="J30" i="15" s="1"/>
  <c r="J30" i="14" s="1"/>
  <c r="J30" i="13" s="1"/>
  <c r="J30" i="12" s="1"/>
  <c r="J30" i="11" s="1"/>
  <c r="J30" i="10" s="1"/>
  <c r="J30" i="9" s="1"/>
  <c r="S29" i="17"/>
  <c r="R29" i="17"/>
  <c r="Q29" i="17"/>
  <c r="P29" i="17"/>
  <c r="S28" i="17"/>
  <c r="R28" i="17"/>
  <c r="P28" i="17"/>
  <c r="S26" i="17"/>
  <c r="R26" i="17"/>
  <c r="Q26" i="17"/>
  <c r="M26" i="17"/>
  <c r="C26" i="17"/>
  <c r="S25" i="17"/>
  <c r="R25" i="17"/>
  <c r="Q25" i="17"/>
  <c r="C25" i="17"/>
  <c r="E24" i="17"/>
  <c r="D24" i="17"/>
  <c r="C24" i="17"/>
  <c r="J23" i="17"/>
  <c r="J23" i="16" s="1"/>
  <c r="F23" i="17"/>
  <c r="E23" i="17"/>
  <c r="D23" i="17"/>
  <c r="C23" i="17"/>
  <c r="M22" i="17"/>
  <c r="J19" i="17"/>
  <c r="J19" i="16" s="1"/>
  <c r="J19" i="15" s="1"/>
  <c r="J19" i="14" s="1"/>
  <c r="J19" i="13" s="1"/>
  <c r="J19" i="12" s="1"/>
  <c r="J19" i="11" s="1"/>
  <c r="J19" i="10" s="1"/>
  <c r="J19" i="9" s="1"/>
  <c r="J19" i="8" s="1"/>
  <c r="J19" i="7" s="1"/>
  <c r="J19" i="6" s="1"/>
  <c r="J19" i="37" s="1"/>
  <c r="J19" i="4" s="1"/>
  <c r="J19" i="43" s="1"/>
  <c r="J18" i="17"/>
  <c r="S17" i="17"/>
  <c r="R17" i="17"/>
  <c r="Q17" i="17"/>
  <c r="P17" i="17"/>
  <c r="F17" i="17"/>
  <c r="M16" i="17"/>
  <c r="M16" i="16" s="1"/>
  <c r="M16" i="15" s="1"/>
  <c r="M16" i="14" s="1"/>
  <c r="M16" i="13" s="1"/>
  <c r="M16" i="12" s="1"/>
  <c r="S15" i="17"/>
  <c r="R15" i="17"/>
  <c r="Q15" i="17"/>
  <c r="E15" i="17"/>
  <c r="D15" i="17"/>
  <c r="C15" i="17"/>
  <c r="S14" i="17"/>
  <c r="R14" i="17"/>
  <c r="Q14" i="17"/>
  <c r="K14" i="17"/>
  <c r="F14" i="17"/>
  <c r="E14" i="17"/>
  <c r="D14" i="17"/>
  <c r="C14" i="17"/>
  <c r="K12" i="17"/>
  <c r="J12" i="17"/>
  <c r="J12" i="16" s="1"/>
  <c r="M11" i="17"/>
  <c r="J10" i="17"/>
  <c r="F9" i="17"/>
  <c r="J8" i="17"/>
  <c r="J8" i="16" s="1"/>
  <c r="J8" i="15" s="1"/>
  <c r="J8" i="14" s="1"/>
  <c r="J7" i="17"/>
  <c r="S6" i="17"/>
  <c r="R6" i="17"/>
  <c r="Q6" i="17"/>
  <c r="P6" i="17"/>
  <c r="H4" i="17"/>
  <c r="C53" i="16"/>
  <c r="C52" i="16"/>
  <c r="C51" i="16"/>
  <c r="C50" i="16"/>
  <c r="I49" i="16"/>
  <c r="I51" i="16" s="1"/>
  <c r="C49" i="16"/>
  <c r="C48" i="16"/>
  <c r="C47" i="16"/>
  <c r="C46" i="16"/>
  <c r="C45" i="16"/>
  <c r="I44" i="16"/>
  <c r="C44" i="16"/>
  <c r="I43" i="16"/>
  <c r="I45" i="16" s="1"/>
  <c r="C43" i="16"/>
  <c r="G42" i="16"/>
  <c r="F42" i="16"/>
  <c r="C42" i="16"/>
  <c r="C41" i="16"/>
  <c r="C40" i="16"/>
  <c r="C39" i="16"/>
  <c r="J38" i="16"/>
  <c r="I38" i="16"/>
  <c r="C38" i="16"/>
  <c r="I37" i="16"/>
  <c r="S36" i="16"/>
  <c r="R36" i="16"/>
  <c r="Q36" i="16"/>
  <c r="S35" i="16"/>
  <c r="R35" i="16"/>
  <c r="Q35" i="16"/>
  <c r="E35" i="16"/>
  <c r="D35" i="16"/>
  <c r="C35" i="16"/>
  <c r="L34" i="16"/>
  <c r="K34" i="16"/>
  <c r="I40" i="16" s="1"/>
  <c r="F34" i="16"/>
  <c r="E34" i="16"/>
  <c r="D34" i="16"/>
  <c r="C34" i="16"/>
  <c r="E33" i="16"/>
  <c r="D33" i="16"/>
  <c r="C33" i="16"/>
  <c r="M32" i="16"/>
  <c r="J32" i="16"/>
  <c r="J32" i="15" s="1"/>
  <c r="J32" i="14" s="1"/>
  <c r="J32" i="13" s="1"/>
  <c r="J32" i="12" s="1"/>
  <c r="J32" i="11" s="1"/>
  <c r="J32" i="10" s="1"/>
  <c r="J32" i="9" s="1"/>
  <c r="F32" i="16"/>
  <c r="E32" i="16"/>
  <c r="D32" i="16"/>
  <c r="C32" i="16"/>
  <c r="M30" i="16"/>
  <c r="M29" i="16"/>
  <c r="M29" i="15" s="1"/>
  <c r="M29" i="14" s="1"/>
  <c r="M29" i="13" s="1"/>
  <c r="S28" i="16"/>
  <c r="R28" i="16"/>
  <c r="Q28" i="16"/>
  <c r="P28" i="16"/>
  <c r="M28" i="16"/>
  <c r="S27" i="16"/>
  <c r="R27" i="16"/>
  <c r="P27" i="16"/>
  <c r="S26" i="16"/>
  <c r="R26" i="16"/>
  <c r="Q26" i="16"/>
  <c r="M26" i="16"/>
  <c r="S25" i="16"/>
  <c r="R25" i="16"/>
  <c r="Q25" i="16"/>
  <c r="M24" i="16"/>
  <c r="E24" i="16"/>
  <c r="D24" i="16"/>
  <c r="C24" i="16"/>
  <c r="M23" i="16"/>
  <c r="F23" i="16"/>
  <c r="E23" i="16"/>
  <c r="D23" i="16"/>
  <c r="C23" i="16"/>
  <c r="M22" i="16"/>
  <c r="M22" i="15" s="1"/>
  <c r="M22" i="14" s="1"/>
  <c r="M22" i="13" s="1"/>
  <c r="M21" i="16"/>
  <c r="J20" i="16"/>
  <c r="J20" i="15" s="1"/>
  <c r="J20" i="14" s="1"/>
  <c r="M19" i="16"/>
  <c r="S18" i="16"/>
  <c r="R18" i="16"/>
  <c r="Q18" i="16"/>
  <c r="P18" i="16"/>
  <c r="M18" i="16"/>
  <c r="J18" i="16"/>
  <c r="J18" i="15" s="1"/>
  <c r="S17" i="16"/>
  <c r="R17" i="16"/>
  <c r="P17" i="16"/>
  <c r="M17" i="16"/>
  <c r="F17" i="16"/>
  <c r="J16" i="16"/>
  <c r="J16" i="15" s="1"/>
  <c r="S15" i="16"/>
  <c r="R15" i="16"/>
  <c r="Q15" i="16"/>
  <c r="M15" i="16"/>
  <c r="M15" i="15" s="1"/>
  <c r="M15" i="14" s="1"/>
  <c r="M15" i="13" s="1"/>
  <c r="M15" i="12" s="1"/>
  <c r="E15" i="16"/>
  <c r="D15" i="16"/>
  <c r="C15" i="16"/>
  <c r="S14" i="16"/>
  <c r="R14" i="16"/>
  <c r="Q14" i="16"/>
  <c r="K14" i="16"/>
  <c r="J14" i="16"/>
  <c r="F14" i="16"/>
  <c r="E14" i="16"/>
  <c r="D14" i="16"/>
  <c r="C14" i="16"/>
  <c r="J13" i="16"/>
  <c r="J13" i="15" s="1"/>
  <c r="J13" i="14" s="1"/>
  <c r="J13" i="13" s="1"/>
  <c r="J13" i="12" s="1"/>
  <c r="M11" i="16"/>
  <c r="J10" i="16"/>
  <c r="F9" i="16"/>
  <c r="S7" i="16"/>
  <c r="R7" i="16"/>
  <c r="Q7" i="16"/>
  <c r="P7" i="16"/>
  <c r="J7" i="16"/>
  <c r="S6" i="16"/>
  <c r="R6" i="16"/>
  <c r="Q6" i="16"/>
  <c r="P6" i="16"/>
  <c r="H4" i="16"/>
  <c r="C53" i="15"/>
  <c r="C52" i="15"/>
  <c r="C51" i="15"/>
  <c r="C50" i="15"/>
  <c r="I49" i="15"/>
  <c r="C49" i="15"/>
  <c r="C48" i="15"/>
  <c r="C47" i="15"/>
  <c r="C46" i="15"/>
  <c r="C45" i="15"/>
  <c r="C44" i="15"/>
  <c r="I43" i="15"/>
  <c r="I44" i="15" s="1"/>
  <c r="C43" i="15"/>
  <c r="G42" i="15"/>
  <c r="F42" i="15"/>
  <c r="C42" i="15"/>
  <c r="Q41" i="15"/>
  <c r="C41" i="15"/>
  <c r="C40" i="15"/>
  <c r="C39" i="15"/>
  <c r="J38" i="15"/>
  <c r="I38" i="15"/>
  <c r="C38" i="15"/>
  <c r="I37" i="15"/>
  <c r="Z36" i="15"/>
  <c r="Y36" i="15"/>
  <c r="X36" i="15"/>
  <c r="S36" i="15"/>
  <c r="R36" i="15"/>
  <c r="Q36" i="15"/>
  <c r="Z35" i="15"/>
  <c r="Y35" i="15"/>
  <c r="X35" i="15"/>
  <c r="S35" i="15"/>
  <c r="R35" i="15"/>
  <c r="Q35" i="15"/>
  <c r="E35" i="15"/>
  <c r="D35" i="15"/>
  <c r="C35" i="15"/>
  <c r="L34" i="15"/>
  <c r="K34" i="15"/>
  <c r="I40" i="15" s="1"/>
  <c r="F34" i="15"/>
  <c r="E34" i="15"/>
  <c r="D34" i="15"/>
  <c r="C34" i="15"/>
  <c r="E33" i="15"/>
  <c r="D33" i="15"/>
  <c r="C33" i="15"/>
  <c r="M32" i="15"/>
  <c r="F32" i="15"/>
  <c r="E32" i="15"/>
  <c r="D32" i="15"/>
  <c r="C32" i="15"/>
  <c r="M30" i="15"/>
  <c r="Z28" i="15"/>
  <c r="Y28" i="15"/>
  <c r="S28" i="15"/>
  <c r="R28" i="15"/>
  <c r="Q28" i="15"/>
  <c r="P28" i="15"/>
  <c r="M28" i="15"/>
  <c r="Z27" i="15"/>
  <c r="Y27" i="15"/>
  <c r="S27" i="15"/>
  <c r="R27" i="15"/>
  <c r="P27" i="15"/>
  <c r="M26" i="15"/>
  <c r="Z25" i="15"/>
  <c r="Y25" i="15"/>
  <c r="X25" i="15"/>
  <c r="S25" i="15"/>
  <c r="R25" i="15"/>
  <c r="Q25" i="15"/>
  <c r="M25" i="15"/>
  <c r="M25" i="14" s="1"/>
  <c r="M25" i="13" s="1"/>
  <c r="Z24" i="15"/>
  <c r="Y24" i="15"/>
  <c r="X24" i="15"/>
  <c r="S24" i="15"/>
  <c r="R24" i="15"/>
  <c r="Q24" i="15"/>
  <c r="M24" i="15"/>
  <c r="E24" i="15"/>
  <c r="D24" i="15"/>
  <c r="C24" i="15"/>
  <c r="M23" i="15"/>
  <c r="J23" i="15"/>
  <c r="J23" i="14" s="1"/>
  <c r="J23" i="13" s="1"/>
  <c r="J23" i="12" s="1"/>
  <c r="J23" i="11" s="1"/>
  <c r="J23" i="10" s="1"/>
  <c r="J23" i="9" s="1"/>
  <c r="J23" i="8" s="1"/>
  <c r="J23" i="7" s="1"/>
  <c r="F23" i="15"/>
  <c r="E23" i="15"/>
  <c r="D23" i="15"/>
  <c r="C23" i="15"/>
  <c r="M21" i="15"/>
  <c r="M19" i="15"/>
  <c r="M19" i="14" s="1"/>
  <c r="M19" i="13" s="1"/>
  <c r="M19" i="12" s="1"/>
  <c r="M19" i="11" s="1"/>
  <c r="M19" i="10" s="1"/>
  <c r="M19" i="9" s="1"/>
  <c r="M18" i="15"/>
  <c r="Z17" i="15"/>
  <c r="Y17" i="15"/>
  <c r="S17" i="15"/>
  <c r="R17" i="15"/>
  <c r="Q17" i="15"/>
  <c r="P17" i="15"/>
  <c r="M17" i="15"/>
  <c r="M17" i="14" s="1"/>
  <c r="M17" i="13" s="1"/>
  <c r="M17" i="12" s="1"/>
  <c r="F17" i="15"/>
  <c r="Z16" i="15"/>
  <c r="Y16" i="15"/>
  <c r="S16" i="15"/>
  <c r="R16" i="15"/>
  <c r="P16" i="15"/>
  <c r="S15" i="15"/>
  <c r="R15" i="15"/>
  <c r="Q15" i="15"/>
  <c r="E15" i="15"/>
  <c r="D15" i="15"/>
  <c r="C15" i="15"/>
  <c r="S14" i="15"/>
  <c r="R14" i="15"/>
  <c r="Q14" i="15"/>
  <c r="K14" i="15"/>
  <c r="J14" i="15"/>
  <c r="J14" i="14" s="1"/>
  <c r="J14" i="13" s="1"/>
  <c r="J14" i="12" s="1"/>
  <c r="J14" i="11" s="1"/>
  <c r="J14" i="10" s="1"/>
  <c r="J14" i="9" s="1"/>
  <c r="F14" i="15"/>
  <c r="E14" i="15"/>
  <c r="D14" i="15"/>
  <c r="C14" i="15"/>
  <c r="J12" i="15"/>
  <c r="J12" i="14" s="1"/>
  <c r="J12" i="13" s="1"/>
  <c r="J12" i="12" s="1"/>
  <c r="J12" i="11" s="1"/>
  <c r="J12" i="10" s="1"/>
  <c r="J12" i="9" s="1"/>
  <c r="M11" i="15"/>
  <c r="K10" i="15"/>
  <c r="J10" i="15"/>
  <c r="S7" i="15"/>
  <c r="R7" i="15"/>
  <c r="Q7" i="15"/>
  <c r="P7" i="15"/>
  <c r="K7" i="15"/>
  <c r="J7" i="15"/>
  <c r="S6" i="15"/>
  <c r="R6" i="15"/>
  <c r="Q6" i="15"/>
  <c r="P6" i="15"/>
  <c r="H4" i="15"/>
  <c r="C53" i="14"/>
  <c r="C52" i="14"/>
  <c r="C51" i="14"/>
  <c r="I50" i="14"/>
  <c r="C50" i="14"/>
  <c r="I49" i="14"/>
  <c r="C49" i="14"/>
  <c r="C48" i="14"/>
  <c r="C47" i="14"/>
  <c r="C46" i="14"/>
  <c r="C45" i="14"/>
  <c r="C44" i="14"/>
  <c r="I43" i="14"/>
  <c r="C43" i="14"/>
  <c r="G42" i="14"/>
  <c r="F42" i="14"/>
  <c r="C42" i="14"/>
  <c r="C41" i="14"/>
  <c r="C40" i="14"/>
  <c r="C39" i="14"/>
  <c r="J38" i="14"/>
  <c r="I38" i="14"/>
  <c r="C38" i="14"/>
  <c r="I37" i="14"/>
  <c r="E35" i="14"/>
  <c r="D35" i="14"/>
  <c r="C35" i="14"/>
  <c r="L34" i="14"/>
  <c r="K34" i="14"/>
  <c r="I40" i="14" s="1"/>
  <c r="F34" i="14"/>
  <c r="E34" i="14"/>
  <c r="D34" i="14"/>
  <c r="C34" i="14"/>
  <c r="E33" i="14"/>
  <c r="D33" i="14"/>
  <c r="C33" i="14"/>
  <c r="M32" i="14"/>
  <c r="F32" i="14"/>
  <c r="E32" i="14"/>
  <c r="D32" i="14"/>
  <c r="C32" i="14"/>
  <c r="J31" i="14"/>
  <c r="M30" i="14"/>
  <c r="M28" i="14"/>
  <c r="M26" i="14"/>
  <c r="M24" i="14"/>
  <c r="E24" i="14"/>
  <c r="D24" i="14"/>
  <c r="C24" i="14"/>
  <c r="M23" i="14"/>
  <c r="F23" i="14"/>
  <c r="E23" i="14"/>
  <c r="D23" i="14"/>
  <c r="C23" i="14"/>
  <c r="M21" i="14"/>
  <c r="M18" i="14"/>
  <c r="J18" i="14"/>
  <c r="F17" i="14"/>
  <c r="J16" i="14"/>
  <c r="S15" i="14"/>
  <c r="R15" i="14"/>
  <c r="Q15" i="14"/>
  <c r="E15" i="14"/>
  <c r="D15" i="14"/>
  <c r="C15" i="14"/>
  <c r="S14" i="14"/>
  <c r="R14" i="14"/>
  <c r="Q14" i="14"/>
  <c r="F14" i="14"/>
  <c r="E14" i="14"/>
  <c r="D14" i="14"/>
  <c r="C14" i="14"/>
  <c r="M11" i="14"/>
  <c r="K10" i="14"/>
  <c r="J10" i="14"/>
  <c r="F9" i="14"/>
  <c r="S8" i="14"/>
  <c r="R8" i="14"/>
  <c r="P8" i="14"/>
  <c r="S7" i="14"/>
  <c r="R7" i="14"/>
  <c r="P7" i="14"/>
  <c r="J7" i="14"/>
  <c r="J7" i="13" s="1"/>
  <c r="J7" i="12" s="1"/>
  <c r="J7" i="11" s="1"/>
  <c r="S6" i="14"/>
  <c r="R6" i="14"/>
  <c r="P6" i="14"/>
  <c r="H4" i="14"/>
  <c r="C53" i="13"/>
  <c r="C52" i="13"/>
  <c r="C51" i="13"/>
  <c r="C50" i="13"/>
  <c r="I49" i="13"/>
  <c r="C49" i="13"/>
  <c r="C48" i="13"/>
  <c r="C47" i="13"/>
  <c r="C46" i="13"/>
  <c r="C45" i="13"/>
  <c r="C44" i="13"/>
  <c r="I43" i="13"/>
  <c r="C43" i="13"/>
  <c r="G42" i="13"/>
  <c r="F42" i="13"/>
  <c r="C42" i="13"/>
  <c r="C41" i="13"/>
  <c r="C40" i="13"/>
  <c r="C39" i="13"/>
  <c r="J38" i="13"/>
  <c r="I38" i="13"/>
  <c r="C38" i="13"/>
  <c r="I37" i="13"/>
  <c r="E35" i="13"/>
  <c r="D35" i="13"/>
  <c r="C35" i="13"/>
  <c r="L34" i="13"/>
  <c r="K34" i="13"/>
  <c r="I40" i="13" s="1"/>
  <c r="F34" i="13"/>
  <c r="E34" i="13"/>
  <c r="D34" i="13"/>
  <c r="C34" i="13"/>
  <c r="E33" i="13"/>
  <c r="D33" i="13"/>
  <c r="C33" i="13"/>
  <c r="M32" i="13"/>
  <c r="M32" i="12" s="1"/>
  <c r="M32" i="11" s="1"/>
  <c r="M32" i="10" s="1"/>
  <c r="M32" i="9" s="1"/>
  <c r="F32" i="13"/>
  <c r="E32" i="13"/>
  <c r="D32" i="13"/>
  <c r="C32" i="13"/>
  <c r="J31" i="13"/>
  <c r="J31" i="12" s="1"/>
  <c r="J31" i="11" s="1"/>
  <c r="J31" i="10" s="1"/>
  <c r="J31" i="9" s="1"/>
  <c r="J31" i="8" s="1"/>
  <c r="J31" i="7" s="1"/>
  <c r="M30" i="13"/>
  <c r="M30" i="12" s="1"/>
  <c r="M30" i="11" s="1"/>
  <c r="M30" i="10" s="1"/>
  <c r="M30" i="9" s="1"/>
  <c r="M28" i="13"/>
  <c r="M28" i="12" s="1"/>
  <c r="M28" i="11" s="1"/>
  <c r="M28" i="10" s="1"/>
  <c r="M28" i="9" s="1"/>
  <c r="M26" i="13"/>
  <c r="M26" i="12" s="1"/>
  <c r="W24" i="13"/>
  <c r="V24" i="13"/>
  <c r="U24" i="13"/>
  <c r="R24" i="13"/>
  <c r="M24" i="13"/>
  <c r="M24" i="12" s="1"/>
  <c r="E24" i="13"/>
  <c r="D24" i="13"/>
  <c r="C24" i="13"/>
  <c r="M23" i="13"/>
  <c r="F23" i="13"/>
  <c r="E23" i="13"/>
  <c r="D23" i="13"/>
  <c r="C23" i="13"/>
  <c r="J22" i="13"/>
  <c r="J22" i="12" s="1"/>
  <c r="M21" i="13"/>
  <c r="J20" i="13"/>
  <c r="J20" i="12" s="1"/>
  <c r="J20" i="11" s="1"/>
  <c r="J20" i="10" s="1"/>
  <c r="J20" i="9" s="1"/>
  <c r="J20" i="8" s="1"/>
  <c r="M18" i="13"/>
  <c r="J18" i="13"/>
  <c r="J18" i="12" s="1"/>
  <c r="J18" i="11" s="1"/>
  <c r="J18" i="10" s="1"/>
  <c r="J18" i="9" s="1"/>
  <c r="J18" i="8" s="1"/>
  <c r="J18" i="7" s="1"/>
  <c r="J18" i="6" s="1"/>
  <c r="J18" i="37" s="1"/>
  <c r="J18" i="4" s="1"/>
  <c r="J16" i="13"/>
  <c r="W15" i="13"/>
  <c r="V15" i="13"/>
  <c r="U15" i="13"/>
  <c r="R15" i="13"/>
  <c r="E15" i="13"/>
  <c r="D15" i="13"/>
  <c r="C15" i="13"/>
  <c r="F14" i="13"/>
  <c r="E14" i="13"/>
  <c r="D14" i="13"/>
  <c r="C14" i="13"/>
  <c r="M11" i="13"/>
  <c r="M11" i="12" s="1"/>
  <c r="K10" i="13"/>
  <c r="J10" i="13"/>
  <c r="J10" i="12" s="1"/>
  <c r="J10" i="11" s="1"/>
  <c r="J10" i="10" s="1"/>
  <c r="J10" i="9" s="1"/>
  <c r="F9" i="13"/>
  <c r="U8" i="13"/>
  <c r="S8" i="13"/>
  <c r="R8" i="13"/>
  <c r="J8" i="13"/>
  <c r="J8" i="12" s="1"/>
  <c r="W7" i="13"/>
  <c r="V7" i="13"/>
  <c r="U7" i="13"/>
  <c r="R7" i="13"/>
  <c r="H4" i="13"/>
  <c r="C53" i="12"/>
  <c r="C52" i="12"/>
  <c r="C51" i="12"/>
  <c r="I50" i="12"/>
  <c r="C50" i="12"/>
  <c r="I49" i="12"/>
  <c r="C49" i="12"/>
  <c r="C48" i="12"/>
  <c r="C47" i="12"/>
  <c r="C46" i="12"/>
  <c r="C45" i="12"/>
  <c r="I44" i="12"/>
  <c r="C44" i="12"/>
  <c r="I43" i="12"/>
  <c r="C43" i="12"/>
  <c r="Q42" i="12"/>
  <c r="G42" i="12"/>
  <c r="F42" i="12"/>
  <c r="C42" i="12"/>
  <c r="C41" i="12"/>
  <c r="C40" i="12"/>
  <c r="C39" i="12"/>
  <c r="J38" i="12"/>
  <c r="I38" i="12"/>
  <c r="C38" i="12"/>
  <c r="I37" i="12"/>
  <c r="S36" i="12"/>
  <c r="R36" i="12"/>
  <c r="Q36" i="12"/>
  <c r="S35" i="12"/>
  <c r="R35" i="12"/>
  <c r="Q35" i="12"/>
  <c r="E35" i="12"/>
  <c r="D35" i="12"/>
  <c r="C35" i="12"/>
  <c r="L34" i="12"/>
  <c r="F34" i="12"/>
  <c r="E34" i="12"/>
  <c r="D34" i="12"/>
  <c r="C34" i="12"/>
  <c r="E33" i="12"/>
  <c r="D33" i="12"/>
  <c r="C33" i="12"/>
  <c r="F32" i="12"/>
  <c r="E32" i="12"/>
  <c r="D32" i="12"/>
  <c r="C32" i="12"/>
  <c r="M29" i="12"/>
  <c r="Z27" i="12"/>
  <c r="Y27" i="12"/>
  <c r="X27" i="12"/>
  <c r="S27" i="12"/>
  <c r="R27" i="12"/>
  <c r="P27" i="12"/>
  <c r="Z26" i="12"/>
  <c r="Y26" i="12"/>
  <c r="X26" i="12"/>
  <c r="S26" i="12"/>
  <c r="R26" i="12"/>
  <c r="Q26" i="12"/>
  <c r="S25" i="12"/>
  <c r="R25" i="12"/>
  <c r="Q25" i="12"/>
  <c r="M25" i="12"/>
  <c r="M25" i="11" s="1"/>
  <c r="M25" i="10" s="1"/>
  <c r="M25" i="9" s="1"/>
  <c r="M25" i="8" s="1"/>
  <c r="M25" i="7" s="1"/>
  <c r="E24" i="12"/>
  <c r="D24" i="12"/>
  <c r="C24" i="12"/>
  <c r="M23" i="12"/>
  <c r="F23" i="12"/>
  <c r="E23" i="12"/>
  <c r="D23" i="12"/>
  <c r="C23" i="12"/>
  <c r="M22" i="12"/>
  <c r="M22" i="11" s="1"/>
  <c r="M21" i="12"/>
  <c r="J21" i="12"/>
  <c r="J21" i="11" s="1"/>
  <c r="J21" i="10" s="1"/>
  <c r="J21" i="9" s="1"/>
  <c r="J21" i="8" s="1"/>
  <c r="J21" i="7" s="1"/>
  <c r="Z19" i="12"/>
  <c r="Y19" i="12"/>
  <c r="Z18" i="12"/>
  <c r="Y18" i="12"/>
  <c r="S18" i="12"/>
  <c r="R18" i="12"/>
  <c r="P18" i="12"/>
  <c r="M18" i="12"/>
  <c r="S17" i="12"/>
  <c r="R17" i="12"/>
  <c r="Q17" i="12"/>
  <c r="P17" i="12"/>
  <c r="J16" i="12"/>
  <c r="J16" i="11" s="1"/>
  <c r="J16" i="10" s="1"/>
  <c r="J16" i="9" s="1"/>
  <c r="J16" i="8" s="1"/>
  <c r="J16" i="7" s="1"/>
  <c r="Z15" i="12"/>
  <c r="Y15" i="12"/>
  <c r="X15" i="12"/>
  <c r="S15" i="12"/>
  <c r="R15" i="12"/>
  <c r="Q15" i="12"/>
  <c r="J15" i="12"/>
  <c r="E15" i="12"/>
  <c r="D15" i="12"/>
  <c r="C15" i="12"/>
  <c r="Z14" i="12"/>
  <c r="Y14" i="12"/>
  <c r="X14" i="12"/>
  <c r="S14" i="12"/>
  <c r="R14" i="12"/>
  <c r="Q14" i="12"/>
  <c r="F14" i="12"/>
  <c r="E14" i="12"/>
  <c r="D14" i="12"/>
  <c r="C14" i="12"/>
  <c r="K11" i="12"/>
  <c r="K10" i="12"/>
  <c r="J9" i="12"/>
  <c r="J9" i="11" s="1"/>
  <c r="J9" i="10" s="1"/>
  <c r="J9" i="9" s="1"/>
  <c r="J9" i="8" s="1"/>
  <c r="J9" i="7" s="1"/>
  <c r="J9" i="6" s="1"/>
  <c r="J9" i="37" s="1"/>
  <c r="J9" i="4" s="1"/>
  <c r="J9" i="43" s="1"/>
  <c r="F9" i="12"/>
  <c r="Z7" i="12"/>
  <c r="Y7" i="12"/>
  <c r="Z6" i="12"/>
  <c r="Y6" i="12"/>
  <c r="W6" i="12"/>
  <c r="S6" i="12"/>
  <c r="R6" i="12"/>
  <c r="P6" i="12"/>
  <c r="H4" i="12"/>
  <c r="C53" i="11"/>
  <c r="C52" i="11"/>
  <c r="C51" i="11"/>
  <c r="I50" i="11"/>
  <c r="C50" i="11"/>
  <c r="I49" i="11"/>
  <c r="C49" i="11"/>
  <c r="C48" i="11"/>
  <c r="C47" i="11"/>
  <c r="C46" i="11"/>
  <c r="C45" i="11"/>
  <c r="C44" i="11"/>
  <c r="I43" i="11"/>
  <c r="I44" i="11" s="1"/>
  <c r="C43" i="11"/>
  <c r="G42" i="11"/>
  <c r="F42" i="11"/>
  <c r="C42" i="11"/>
  <c r="C41" i="11"/>
  <c r="P40" i="11"/>
  <c r="C40" i="11"/>
  <c r="C39" i="11"/>
  <c r="P38" i="11"/>
  <c r="J38" i="11"/>
  <c r="J38" i="10" s="1"/>
  <c r="J38" i="9" s="1"/>
  <c r="J38" i="8" s="1"/>
  <c r="J38" i="7" s="1"/>
  <c r="J38" i="6" s="1"/>
  <c r="I38" i="11"/>
  <c r="C38" i="11"/>
  <c r="I37" i="11"/>
  <c r="S36" i="11"/>
  <c r="R36" i="11"/>
  <c r="Q36" i="11"/>
  <c r="S35" i="11"/>
  <c r="R35" i="11"/>
  <c r="Q35" i="11"/>
  <c r="E35" i="11"/>
  <c r="D35" i="11"/>
  <c r="C35" i="11"/>
  <c r="L34" i="11"/>
  <c r="F34" i="11"/>
  <c r="E34" i="11"/>
  <c r="D34" i="11"/>
  <c r="C34" i="11"/>
  <c r="E33" i="11"/>
  <c r="D33" i="11"/>
  <c r="C33" i="11"/>
  <c r="F32" i="11"/>
  <c r="E32" i="11"/>
  <c r="D32" i="11"/>
  <c r="C32" i="11"/>
  <c r="M31" i="11"/>
  <c r="M31" i="10" s="1"/>
  <c r="M31" i="9" s="1"/>
  <c r="M29" i="11"/>
  <c r="S28" i="11"/>
  <c r="R28" i="11"/>
  <c r="Q28" i="11"/>
  <c r="P28" i="11"/>
  <c r="S27" i="11"/>
  <c r="R27" i="11"/>
  <c r="Q27" i="11"/>
  <c r="P27" i="11"/>
  <c r="M27" i="11"/>
  <c r="M27" i="10" s="1"/>
  <c r="M27" i="9" s="1"/>
  <c r="S26" i="11"/>
  <c r="R26" i="11"/>
  <c r="Q26" i="11"/>
  <c r="M26" i="11"/>
  <c r="J26" i="11"/>
  <c r="J26" i="10" s="1"/>
  <c r="J26" i="9" s="1"/>
  <c r="S25" i="11"/>
  <c r="R25" i="11"/>
  <c r="Q25" i="11"/>
  <c r="M24" i="11"/>
  <c r="E24" i="11"/>
  <c r="D24" i="11"/>
  <c r="C24" i="11"/>
  <c r="M23" i="11"/>
  <c r="F23" i="11"/>
  <c r="E23" i="11"/>
  <c r="D23" i="11"/>
  <c r="C23" i="11"/>
  <c r="J22" i="11"/>
  <c r="M21" i="11"/>
  <c r="M21" i="10" s="1"/>
  <c r="M21" i="9" s="1"/>
  <c r="M21" i="8" s="1"/>
  <c r="M21" i="7" s="1"/>
  <c r="M21" i="6" s="1"/>
  <c r="M21" i="37" s="1"/>
  <c r="M21" i="4" s="1"/>
  <c r="M21" i="43" s="1"/>
  <c r="M18" i="11"/>
  <c r="S17" i="11"/>
  <c r="R17" i="11"/>
  <c r="P17" i="11"/>
  <c r="M17" i="11"/>
  <c r="J17" i="11"/>
  <c r="M16" i="11"/>
  <c r="M16" i="10" s="1"/>
  <c r="M16" i="9" s="1"/>
  <c r="S15" i="11"/>
  <c r="R15" i="11"/>
  <c r="Q15" i="11"/>
  <c r="K15" i="11"/>
  <c r="E15" i="11"/>
  <c r="D15" i="11"/>
  <c r="C15" i="11"/>
  <c r="S14" i="11"/>
  <c r="R14" i="11"/>
  <c r="Q14" i="11"/>
  <c r="F14" i="11"/>
  <c r="E14" i="11"/>
  <c r="D14" i="11"/>
  <c r="C14" i="11"/>
  <c r="J13" i="11"/>
  <c r="K11" i="11"/>
  <c r="J11" i="11"/>
  <c r="F9" i="11"/>
  <c r="J8" i="11"/>
  <c r="J8" i="10" s="1"/>
  <c r="J8" i="9" s="1"/>
  <c r="J8" i="8" s="1"/>
  <c r="J8" i="7" s="1"/>
  <c r="S6" i="11"/>
  <c r="R6" i="11"/>
  <c r="P6" i="11"/>
  <c r="H4" i="11"/>
  <c r="C53" i="10"/>
  <c r="C52" i="10"/>
  <c r="C51" i="10"/>
  <c r="I50" i="10"/>
  <c r="C50" i="10"/>
  <c r="I49" i="10"/>
  <c r="C49" i="10"/>
  <c r="C48" i="10"/>
  <c r="C47" i="10"/>
  <c r="C46" i="10"/>
  <c r="C45" i="10"/>
  <c r="I44" i="10"/>
  <c r="C44" i="10"/>
  <c r="I43" i="10"/>
  <c r="C43" i="10"/>
  <c r="G42" i="10"/>
  <c r="F42" i="10"/>
  <c r="C42" i="10"/>
  <c r="C41" i="10"/>
  <c r="C40" i="10"/>
  <c r="C39" i="10"/>
  <c r="I38" i="10"/>
  <c r="C38" i="10"/>
  <c r="I37" i="10"/>
  <c r="E35" i="10"/>
  <c r="D35" i="10"/>
  <c r="C35" i="10"/>
  <c r="L34" i="10"/>
  <c r="F34" i="10"/>
  <c r="E34" i="10"/>
  <c r="D34" i="10"/>
  <c r="C34" i="10"/>
  <c r="E33" i="10"/>
  <c r="D33" i="10"/>
  <c r="C33" i="10"/>
  <c r="F32" i="10"/>
  <c r="E32" i="10"/>
  <c r="D32" i="10"/>
  <c r="C32" i="10"/>
  <c r="M29" i="10"/>
  <c r="S26" i="10"/>
  <c r="R26" i="10"/>
  <c r="Q26" i="10"/>
  <c r="M26" i="10"/>
  <c r="M26" i="9" s="1"/>
  <c r="S25" i="10"/>
  <c r="R25" i="10"/>
  <c r="Q25" i="10"/>
  <c r="M24" i="10"/>
  <c r="E24" i="10"/>
  <c r="D24" i="10"/>
  <c r="C24" i="10"/>
  <c r="M23" i="10"/>
  <c r="F23" i="10"/>
  <c r="E23" i="10"/>
  <c r="D23" i="10"/>
  <c r="C23" i="10"/>
  <c r="M22" i="10"/>
  <c r="M22" i="9" s="1"/>
  <c r="M22" i="8" s="1"/>
  <c r="M22" i="7" s="1"/>
  <c r="J22" i="10"/>
  <c r="J22" i="9" s="1"/>
  <c r="J22" i="8" s="1"/>
  <c r="J22" i="7" s="1"/>
  <c r="J22" i="6" s="1"/>
  <c r="J22" i="37" s="1"/>
  <c r="J22" i="4" s="1"/>
  <c r="S18" i="10"/>
  <c r="R18" i="10"/>
  <c r="P18" i="10"/>
  <c r="M18" i="10"/>
  <c r="M18" i="9" s="1"/>
  <c r="M18" i="8" s="1"/>
  <c r="M18" i="7" s="1"/>
  <c r="S17" i="10"/>
  <c r="R17" i="10"/>
  <c r="P17" i="10"/>
  <c r="M17" i="10"/>
  <c r="M17" i="9" s="1"/>
  <c r="J17" i="10"/>
  <c r="J17" i="9" s="1"/>
  <c r="J17" i="8" s="1"/>
  <c r="J17" i="7" s="1"/>
  <c r="J17" i="6" s="1"/>
  <c r="S15" i="10"/>
  <c r="R15" i="10"/>
  <c r="Q15" i="10"/>
  <c r="K15" i="10"/>
  <c r="J15" i="10"/>
  <c r="J15" i="9" s="1"/>
  <c r="E15" i="10"/>
  <c r="D15" i="10"/>
  <c r="C15" i="10"/>
  <c r="S14" i="10"/>
  <c r="R14" i="10"/>
  <c r="Q14" i="10"/>
  <c r="F14" i="10"/>
  <c r="E14" i="10"/>
  <c r="D14" i="10"/>
  <c r="C14" i="10"/>
  <c r="J13" i="10"/>
  <c r="J11" i="10"/>
  <c r="J11" i="9" s="1"/>
  <c r="F9" i="10"/>
  <c r="S7" i="10"/>
  <c r="R7" i="10"/>
  <c r="Q7" i="10"/>
  <c r="P7" i="10"/>
  <c r="J7" i="10"/>
  <c r="J7" i="9" s="1"/>
  <c r="S6" i="10"/>
  <c r="R6" i="10"/>
  <c r="Q6" i="10"/>
  <c r="P6" i="10"/>
  <c r="H4" i="10"/>
  <c r="C53" i="9"/>
  <c r="C52" i="9"/>
  <c r="C51" i="9"/>
  <c r="I50" i="9"/>
  <c r="C50" i="9"/>
  <c r="I49" i="9"/>
  <c r="C49" i="9"/>
  <c r="C48" i="9"/>
  <c r="C47" i="9"/>
  <c r="C46" i="9"/>
  <c r="C45" i="9"/>
  <c r="I44" i="9"/>
  <c r="C44" i="9"/>
  <c r="I43" i="9"/>
  <c r="C43" i="9"/>
  <c r="G42" i="9"/>
  <c r="F42" i="9"/>
  <c r="C42" i="9"/>
  <c r="C41" i="9"/>
  <c r="C40" i="9"/>
  <c r="C39" i="9"/>
  <c r="I38" i="9"/>
  <c r="C38" i="9"/>
  <c r="I37" i="9"/>
  <c r="E35" i="9"/>
  <c r="D35" i="9"/>
  <c r="C35" i="9"/>
  <c r="L34" i="9"/>
  <c r="F34" i="9"/>
  <c r="E34" i="9"/>
  <c r="D34" i="9"/>
  <c r="C34" i="9"/>
  <c r="E33" i="9"/>
  <c r="D33" i="9"/>
  <c r="C33" i="9"/>
  <c r="F32" i="9"/>
  <c r="E32" i="9"/>
  <c r="D32" i="9"/>
  <c r="C32" i="9"/>
  <c r="Q30" i="9"/>
  <c r="M29" i="9"/>
  <c r="M29" i="8" s="1"/>
  <c r="Z26" i="9"/>
  <c r="Y26" i="9"/>
  <c r="X26" i="9"/>
  <c r="S26" i="9"/>
  <c r="R26" i="9"/>
  <c r="Q26" i="9"/>
  <c r="Z25" i="9"/>
  <c r="Y25" i="9"/>
  <c r="X25" i="9"/>
  <c r="S25" i="9"/>
  <c r="R25" i="9"/>
  <c r="Q25" i="9"/>
  <c r="M24" i="9"/>
  <c r="M24" i="8" s="1"/>
  <c r="E24" i="9"/>
  <c r="D24" i="9"/>
  <c r="C24" i="9"/>
  <c r="M23" i="9"/>
  <c r="M23" i="8" s="1"/>
  <c r="F23" i="9"/>
  <c r="E23" i="9"/>
  <c r="D23" i="9"/>
  <c r="C23" i="9"/>
  <c r="Z19" i="9"/>
  <c r="Y19" i="9"/>
  <c r="Z18" i="9"/>
  <c r="Y18" i="9"/>
  <c r="W18" i="9"/>
  <c r="S18" i="9"/>
  <c r="R18" i="9"/>
  <c r="P18" i="9"/>
  <c r="Z17" i="9"/>
  <c r="Y17" i="9"/>
  <c r="W17" i="9"/>
  <c r="S17" i="9"/>
  <c r="R17" i="9"/>
  <c r="P17" i="9"/>
  <c r="S15" i="9"/>
  <c r="R15" i="9"/>
  <c r="Q15" i="9"/>
  <c r="K15" i="9"/>
  <c r="E15" i="9"/>
  <c r="D15" i="9"/>
  <c r="C15" i="9"/>
  <c r="S14" i="9"/>
  <c r="R14" i="9"/>
  <c r="Q14" i="9"/>
  <c r="F14" i="9"/>
  <c r="E14" i="9"/>
  <c r="D14" i="9"/>
  <c r="C14" i="9"/>
  <c r="J13" i="9"/>
  <c r="J13" i="8" s="1"/>
  <c r="J13" i="7" s="1"/>
  <c r="K10" i="9"/>
  <c r="F9" i="9"/>
  <c r="S7" i="9"/>
  <c r="R7" i="9"/>
  <c r="Q7" i="9"/>
  <c r="P7" i="9"/>
  <c r="S6" i="9"/>
  <c r="R6" i="9"/>
  <c r="Q6" i="9"/>
  <c r="P6" i="9"/>
  <c r="H4" i="9"/>
  <c r="C53" i="8"/>
  <c r="C52" i="8"/>
  <c r="C51" i="8"/>
  <c r="I50" i="8"/>
  <c r="C50" i="8"/>
  <c r="I49" i="8"/>
  <c r="C49" i="8"/>
  <c r="C48" i="8"/>
  <c r="C47" i="8"/>
  <c r="C46" i="8"/>
  <c r="C45" i="8"/>
  <c r="I44" i="8"/>
  <c r="C44" i="8"/>
  <c r="I43" i="8"/>
  <c r="C43" i="8"/>
  <c r="G42" i="8"/>
  <c r="F42" i="8"/>
  <c r="C42" i="8"/>
  <c r="C41" i="8"/>
  <c r="C40" i="8"/>
  <c r="C39" i="8"/>
  <c r="I38" i="8"/>
  <c r="C38" i="8"/>
  <c r="I37" i="8"/>
  <c r="S36" i="8"/>
  <c r="R36" i="8"/>
  <c r="Q36" i="8"/>
  <c r="S35" i="8"/>
  <c r="R35" i="8"/>
  <c r="Q35" i="8"/>
  <c r="E35" i="8"/>
  <c r="D35" i="8"/>
  <c r="C35" i="8"/>
  <c r="L34" i="8"/>
  <c r="K34" i="8"/>
  <c r="I40" i="8" s="1"/>
  <c r="F34" i="8"/>
  <c r="E34" i="8"/>
  <c r="D34" i="8"/>
  <c r="C34" i="8"/>
  <c r="E33" i="8"/>
  <c r="D33" i="8"/>
  <c r="C33" i="8"/>
  <c r="M32" i="8"/>
  <c r="J32" i="8"/>
  <c r="J32" i="7" s="1"/>
  <c r="J32" i="6" s="1"/>
  <c r="F32" i="8"/>
  <c r="E32" i="8"/>
  <c r="D32" i="8"/>
  <c r="C32" i="8"/>
  <c r="M31" i="8"/>
  <c r="M31" i="7" s="1"/>
  <c r="M31" i="6" s="1"/>
  <c r="M31" i="37" s="1"/>
  <c r="M31" i="4" s="1"/>
  <c r="M31" i="43" s="1"/>
  <c r="M30" i="8"/>
  <c r="M30" i="7" s="1"/>
  <c r="M30" i="6" s="1"/>
  <c r="M30" i="37" s="1"/>
  <c r="M30" i="4" s="1"/>
  <c r="M30" i="43" s="1"/>
  <c r="J30" i="8"/>
  <c r="J30" i="7" s="1"/>
  <c r="J30" i="6" s="1"/>
  <c r="S28" i="8"/>
  <c r="R28" i="8"/>
  <c r="M28" i="8"/>
  <c r="M28" i="7" s="1"/>
  <c r="S27" i="8"/>
  <c r="R27" i="8"/>
  <c r="P27" i="8"/>
  <c r="M27" i="8"/>
  <c r="M27" i="7" s="1"/>
  <c r="S26" i="8"/>
  <c r="R26" i="8"/>
  <c r="Q26" i="8"/>
  <c r="M26" i="8"/>
  <c r="J26" i="8"/>
  <c r="J26" i="7" s="1"/>
  <c r="S25" i="8"/>
  <c r="R25" i="8"/>
  <c r="Q25" i="8"/>
  <c r="E24" i="8"/>
  <c r="D24" i="8"/>
  <c r="C24" i="8"/>
  <c r="F23" i="8"/>
  <c r="E23" i="8"/>
  <c r="D23" i="8"/>
  <c r="C23" i="8"/>
  <c r="M20" i="8"/>
  <c r="M20" i="7" s="1"/>
  <c r="M20" i="6" s="1"/>
  <c r="M20" i="37" s="1"/>
  <c r="M20" i="4" s="1"/>
  <c r="M20" i="43" s="1"/>
  <c r="M19" i="8"/>
  <c r="M19" i="7" s="1"/>
  <c r="S18" i="8"/>
  <c r="R18" i="8"/>
  <c r="S17" i="8"/>
  <c r="R17" i="8"/>
  <c r="P17" i="8"/>
  <c r="M17" i="8"/>
  <c r="M17" i="7" s="1"/>
  <c r="M17" i="6" s="1"/>
  <c r="M17" i="37" s="1"/>
  <c r="M17" i="4" s="1"/>
  <c r="M17" i="43" s="1"/>
  <c r="M16" i="8"/>
  <c r="S15" i="8"/>
  <c r="R15" i="8"/>
  <c r="Q15" i="8"/>
  <c r="J15" i="8"/>
  <c r="J15" i="7" s="1"/>
  <c r="E15" i="8"/>
  <c r="D15" i="8"/>
  <c r="C15" i="8"/>
  <c r="S14" i="8"/>
  <c r="R14" i="8"/>
  <c r="Q14" i="8"/>
  <c r="J14" i="8"/>
  <c r="J14" i="7" s="1"/>
  <c r="J14" i="6" s="1"/>
  <c r="J14" i="37" s="1"/>
  <c r="J14" i="4" s="1"/>
  <c r="J14" i="43" s="1"/>
  <c r="F14" i="8"/>
  <c r="E14" i="8"/>
  <c r="D14" i="8"/>
  <c r="C14" i="8"/>
  <c r="J12" i="8"/>
  <c r="J12" i="7" s="1"/>
  <c r="J12" i="6" s="1"/>
  <c r="J12" i="37" s="1"/>
  <c r="J12" i="4" s="1"/>
  <c r="J12" i="43" s="1"/>
  <c r="J11" i="8"/>
  <c r="K10" i="8"/>
  <c r="J10" i="8"/>
  <c r="J10" i="7" s="1"/>
  <c r="J10" i="6" s="1"/>
  <c r="J10" i="37" s="1"/>
  <c r="J10" i="4" s="1"/>
  <c r="J10" i="43" s="1"/>
  <c r="S7" i="8"/>
  <c r="R7" i="8"/>
  <c r="Q7" i="8"/>
  <c r="P7" i="8"/>
  <c r="O7" i="8"/>
  <c r="J7" i="8"/>
  <c r="S6" i="8"/>
  <c r="R6" i="8"/>
  <c r="Q6" i="8"/>
  <c r="P6" i="8"/>
  <c r="H4" i="8"/>
  <c r="C53" i="7"/>
  <c r="C52" i="7"/>
  <c r="C51" i="7"/>
  <c r="C50" i="7"/>
  <c r="I49" i="7"/>
  <c r="I50" i="7" s="1"/>
  <c r="C49" i="7"/>
  <c r="C48" i="7"/>
  <c r="C47" i="7"/>
  <c r="C46" i="7"/>
  <c r="C45" i="7"/>
  <c r="C44" i="7"/>
  <c r="I43" i="7"/>
  <c r="I44" i="7" s="1"/>
  <c r="C43" i="7"/>
  <c r="G42" i="7"/>
  <c r="F42" i="7"/>
  <c r="C42" i="7"/>
  <c r="C41" i="7"/>
  <c r="C40" i="7"/>
  <c r="C39" i="7"/>
  <c r="I38" i="7"/>
  <c r="C38" i="7"/>
  <c r="I37" i="7"/>
  <c r="E35" i="7"/>
  <c r="D35" i="7"/>
  <c r="C35" i="7"/>
  <c r="L34" i="7"/>
  <c r="F34" i="7"/>
  <c r="E34" i="7"/>
  <c r="D34" i="7"/>
  <c r="C34" i="7"/>
  <c r="E33" i="7"/>
  <c r="D33" i="7"/>
  <c r="C33" i="7"/>
  <c r="M32" i="7"/>
  <c r="F32" i="7"/>
  <c r="E32" i="7"/>
  <c r="D32" i="7"/>
  <c r="C32" i="7"/>
  <c r="M29" i="7"/>
  <c r="S26" i="7"/>
  <c r="R26" i="7"/>
  <c r="Q26" i="7"/>
  <c r="M26" i="7"/>
  <c r="M26" i="6" s="1"/>
  <c r="F26" i="7"/>
  <c r="S25" i="7"/>
  <c r="R25" i="7"/>
  <c r="Q25" i="7"/>
  <c r="M24" i="7"/>
  <c r="E24" i="7"/>
  <c r="D24" i="7"/>
  <c r="C24" i="7"/>
  <c r="M23" i="7"/>
  <c r="M23" i="6" s="1"/>
  <c r="M23" i="37" s="1"/>
  <c r="M23" i="4" s="1"/>
  <c r="M23" i="43" s="1"/>
  <c r="F23" i="7"/>
  <c r="E23" i="7"/>
  <c r="D23" i="7"/>
  <c r="C23" i="7"/>
  <c r="J20" i="7"/>
  <c r="S18" i="7"/>
  <c r="R18" i="7"/>
  <c r="P18" i="7"/>
  <c r="S17" i="7"/>
  <c r="R17" i="7"/>
  <c r="P17" i="7"/>
  <c r="M16" i="7"/>
  <c r="S15" i="7"/>
  <c r="R15" i="7"/>
  <c r="Q15" i="7"/>
  <c r="E15" i="7"/>
  <c r="D15" i="7"/>
  <c r="C15" i="7"/>
  <c r="S14" i="7"/>
  <c r="R14" i="7"/>
  <c r="Q14" i="7"/>
  <c r="F14" i="7"/>
  <c r="E14" i="7"/>
  <c r="D14" i="7"/>
  <c r="C14" i="7"/>
  <c r="J11" i="7"/>
  <c r="J11" i="6" s="1"/>
  <c r="J11" i="37" s="1"/>
  <c r="J11" i="4" s="1"/>
  <c r="J11" i="43" s="1"/>
  <c r="K10" i="7"/>
  <c r="S7" i="7"/>
  <c r="R7" i="7"/>
  <c r="J7" i="7"/>
  <c r="S6" i="7"/>
  <c r="R6" i="7"/>
  <c r="P6" i="7"/>
  <c r="H4" i="7"/>
  <c r="C53" i="6"/>
  <c r="C52" i="6"/>
  <c r="C51" i="6"/>
  <c r="I50" i="6"/>
  <c r="C50" i="6"/>
  <c r="I49" i="6"/>
  <c r="C49" i="6"/>
  <c r="C48" i="6"/>
  <c r="C47" i="6"/>
  <c r="C46" i="6"/>
  <c r="C45" i="6"/>
  <c r="I44" i="6"/>
  <c r="C44" i="6"/>
  <c r="I43" i="6"/>
  <c r="C43" i="6"/>
  <c r="G42" i="6"/>
  <c r="F42" i="6"/>
  <c r="C42" i="6"/>
  <c r="C41" i="6"/>
  <c r="AA40" i="6"/>
  <c r="C40" i="6"/>
  <c r="C39" i="6"/>
  <c r="I38" i="6"/>
  <c r="C38" i="6"/>
  <c r="I37" i="6"/>
  <c r="AC36" i="6"/>
  <c r="AB36" i="6"/>
  <c r="AA36" i="6"/>
  <c r="AC35" i="6"/>
  <c r="AB35" i="6"/>
  <c r="AA35" i="6"/>
  <c r="E35" i="6"/>
  <c r="D35" i="6"/>
  <c r="C35" i="6"/>
  <c r="L34" i="6"/>
  <c r="F34" i="6"/>
  <c r="E34" i="6"/>
  <c r="D34" i="6"/>
  <c r="C34" i="6"/>
  <c r="E33" i="6"/>
  <c r="D33" i="6"/>
  <c r="C33" i="6"/>
  <c r="M32" i="6"/>
  <c r="F32" i="6"/>
  <c r="E32" i="6"/>
  <c r="D32" i="6"/>
  <c r="C32" i="6"/>
  <c r="J31" i="6"/>
  <c r="M29" i="6"/>
  <c r="AC28" i="6"/>
  <c r="AB28" i="6"/>
  <c r="AA28" i="6"/>
  <c r="M28" i="6"/>
  <c r="AC27" i="6"/>
  <c r="AB27" i="6"/>
  <c r="Z27" i="6"/>
  <c r="M27" i="6"/>
  <c r="AC26" i="6"/>
  <c r="AB26" i="6"/>
  <c r="AA26" i="6"/>
  <c r="J26" i="6"/>
  <c r="F26" i="6"/>
  <c r="AC25" i="6"/>
  <c r="AB25" i="6"/>
  <c r="AA25" i="6"/>
  <c r="M25" i="6"/>
  <c r="W24" i="6"/>
  <c r="V24" i="6"/>
  <c r="U24" i="6"/>
  <c r="R24" i="6"/>
  <c r="M24" i="6"/>
  <c r="E24" i="6"/>
  <c r="D24" i="6"/>
  <c r="C24" i="6"/>
  <c r="J23" i="6"/>
  <c r="F23" i="6"/>
  <c r="E23" i="6"/>
  <c r="D23" i="6"/>
  <c r="C23" i="6"/>
  <c r="M22" i="6"/>
  <c r="J21" i="6"/>
  <c r="J20" i="6"/>
  <c r="M19" i="6"/>
  <c r="AC18" i="6"/>
  <c r="AB18" i="6"/>
  <c r="AA18" i="6"/>
  <c r="M18" i="6"/>
  <c r="AC17" i="6"/>
  <c r="AB17" i="6"/>
  <c r="Z17" i="6"/>
  <c r="K16" i="6"/>
  <c r="AJ15" i="6"/>
  <c r="AI15" i="6"/>
  <c r="AH15" i="6"/>
  <c r="AC15" i="6"/>
  <c r="AB15" i="6"/>
  <c r="AA15" i="6"/>
  <c r="W15" i="6"/>
  <c r="V15" i="6"/>
  <c r="U15" i="6"/>
  <c r="R15" i="6"/>
  <c r="J15" i="6"/>
  <c r="E15" i="6"/>
  <c r="D15" i="6"/>
  <c r="C15" i="6"/>
  <c r="AJ14" i="6"/>
  <c r="AI14" i="6"/>
  <c r="AH14" i="6"/>
  <c r="AC14" i="6"/>
  <c r="AB14" i="6"/>
  <c r="AA14" i="6"/>
  <c r="F14" i="6"/>
  <c r="E14" i="6"/>
  <c r="D14" i="6"/>
  <c r="C14" i="6"/>
  <c r="J13" i="6"/>
  <c r="J13" i="37" s="1"/>
  <c r="J13" i="4" s="1"/>
  <c r="J13" i="43" s="1"/>
  <c r="K10" i="6"/>
  <c r="F9" i="6"/>
  <c r="AJ8" i="6"/>
  <c r="AI8" i="6"/>
  <c r="U8" i="6"/>
  <c r="S8" i="6"/>
  <c r="R8" i="6"/>
  <c r="J8" i="6"/>
  <c r="AJ7" i="6"/>
  <c r="AI7" i="6"/>
  <c r="AC7" i="6"/>
  <c r="AB7" i="6"/>
  <c r="AA7" i="6"/>
  <c r="Z7" i="6"/>
  <c r="W7" i="6"/>
  <c r="V7" i="6"/>
  <c r="U7" i="6"/>
  <c r="R7" i="6"/>
  <c r="J7" i="6"/>
  <c r="AJ6" i="6"/>
  <c r="AI6" i="6"/>
  <c r="AC6" i="6"/>
  <c r="AB6" i="6"/>
  <c r="AA6" i="6"/>
  <c r="Z6" i="6"/>
  <c r="H4" i="6"/>
  <c r="C53" i="37"/>
  <c r="C52" i="37"/>
  <c r="C51" i="37"/>
  <c r="C50" i="37"/>
  <c r="I49" i="37"/>
  <c r="C49" i="37"/>
  <c r="C48" i="37"/>
  <c r="C47" i="37"/>
  <c r="C46" i="37"/>
  <c r="C45" i="37"/>
  <c r="C44" i="37"/>
  <c r="I43" i="37"/>
  <c r="C43" i="37"/>
  <c r="G42" i="37"/>
  <c r="F42" i="37"/>
  <c r="C42" i="37"/>
  <c r="C41" i="37"/>
  <c r="C40" i="37"/>
  <c r="C39" i="37"/>
  <c r="J38" i="37"/>
  <c r="I38" i="37"/>
  <c r="C38" i="37"/>
  <c r="I37" i="37"/>
  <c r="E35" i="37"/>
  <c r="D35" i="37"/>
  <c r="C35" i="37"/>
  <c r="AA34" i="37"/>
  <c r="L34" i="37"/>
  <c r="F34" i="37"/>
  <c r="E34" i="37"/>
  <c r="D34" i="37"/>
  <c r="C34" i="37"/>
  <c r="E33" i="37"/>
  <c r="D33" i="37"/>
  <c r="C33" i="37"/>
  <c r="AA32" i="37"/>
  <c r="M32" i="37"/>
  <c r="M32" i="4" s="1"/>
  <c r="M32" i="43" s="1"/>
  <c r="J32" i="37"/>
  <c r="F32" i="37"/>
  <c r="E32" i="37"/>
  <c r="D32" i="37"/>
  <c r="C32" i="37"/>
  <c r="J31" i="37"/>
  <c r="AI30" i="37"/>
  <c r="AH30" i="37"/>
  <c r="AG30" i="37"/>
  <c r="J30" i="37"/>
  <c r="AI29" i="37"/>
  <c r="AH29" i="37"/>
  <c r="AG29" i="37"/>
  <c r="M29" i="37"/>
  <c r="M29" i="4" s="1"/>
  <c r="M29" i="43" s="1"/>
  <c r="M28" i="37"/>
  <c r="M27" i="37"/>
  <c r="M26" i="37"/>
  <c r="J26" i="37"/>
  <c r="F26" i="37"/>
  <c r="M25" i="37"/>
  <c r="W24" i="37"/>
  <c r="V24" i="37"/>
  <c r="U24" i="37"/>
  <c r="R24" i="37"/>
  <c r="M24" i="37"/>
  <c r="E24" i="37"/>
  <c r="D24" i="37"/>
  <c r="C24" i="37"/>
  <c r="J23" i="37"/>
  <c r="F23" i="37"/>
  <c r="E23" i="37"/>
  <c r="D23" i="37"/>
  <c r="C23" i="37"/>
  <c r="AI22" i="37"/>
  <c r="AH22" i="37"/>
  <c r="M22" i="37"/>
  <c r="AI21" i="37"/>
  <c r="AH21" i="37"/>
  <c r="J21" i="37"/>
  <c r="J20" i="37"/>
  <c r="M19" i="37"/>
  <c r="M18" i="37"/>
  <c r="J17" i="37"/>
  <c r="K16" i="37"/>
  <c r="J16" i="37"/>
  <c r="AC15" i="37"/>
  <c r="AB15" i="37"/>
  <c r="AA15" i="37"/>
  <c r="W15" i="37"/>
  <c r="V15" i="37"/>
  <c r="U15" i="37"/>
  <c r="R15" i="37"/>
  <c r="J15" i="37"/>
  <c r="E15" i="37"/>
  <c r="D15" i="37"/>
  <c r="C15" i="37"/>
  <c r="AC14" i="37"/>
  <c r="AB14" i="37"/>
  <c r="AA14" i="37"/>
  <c r="F14" i="37"/>
  <c r="E14" i="37"/>
  <c r="D14" i="37"/>
  <c r="C14" i="37"/>
  <c r="AC9" i="37"/>
  <c r="AB9" i="37"/>
  <c r="AA9" i="37"/>
  <c r="Z9" i="37"/>
  <c r="AC8" i="37"/>
  <c r="AB8" i="37"/>
  <c r="AA8" i="37"/>
  <c r="Z8" i="37"/>
  <c r="U8" i="37"/>
  <c r="S8" i="37"/>
  <c r="R8" i="37"/>
  <c r="J8" i="37"/>
  <c r="J8" i="4" s="1"/>
  <c r="J8" i="43" s="1"/>
  <c r="AC7" i="37"/>
  <c r="AB7" i="37"/>
  <c r="Z7" i="37"/>
  <c r="W7" i="37"/>
  <c r="V7" i="37"/>
  <c r="U7" i="37"/>
  <c r="R7" i="37"/>
  <c r="J7" i="37"/>
  <c r="AC6" i="37"/>
  <c r="AB6" i="37"/>
  <c r="Z6" i="37"/>
  <c r="H4" i="37"/>
  <c r="C53" i="4"/>
  <c r="C52" i="4"/>
  <c r="C51" i="4"/>
  <c r="C50" i="4"/>
  <c r="I49" i="4"/>
  <c r="C49" i="4"/>
  <c r="C48" i="4"/>
  <c r="C47" i="4"/>
  <c r="C46" i="4"/>
  <c r="C45" i="4"/>
  <c r="C44" i="4"/>
  <c r="I43" i="4"/>
  <c r="C43" i="4"/>
  <c r="G42" i="4"/>
  <c r="F42" i="4"/>
  <c r="C42" i="4"/>
  <c r="C41" i="4"/>
  <c r="C40" i="4"/>
  <c r="C39" i="4"/>
  <c r="J38" i="4"/>
  <c r="I38" i="4"/>
  <c r="C38" i="4"/>
  <c r="I37" i="4"/>
  <c r="E35" i="4"/>
  <c r="D35" i="4"/>
  <c r="C35" i="4"/>
  <c r="L34" i="4"/>
  <c r="F34" i="4"/>
  <c r="E34" i="4"/>
  <c r="D34" i="4"/>
  <c r="C34" i="4"/>
  <c r="E33" i="4"/>
  <c r="D33" i="4"/>
  <c r="C33" i="4"/>
  <c r="J32" i="4"/>
  <c r="F32" i="4"/>
  <c r="E32" i="4"/>
  <c r="D32" i="4"/>
  <c r="C32" i="4"/>
  <c r="J31" i="4"/>
  <c r="J30" i="4"/>
  <c r="M28" i="4"/>
  <c r="M27" i="4"/>
  <c r="M26" i="4"/>
  <c r="J26" i="4"/>
  <c r="M25" i="4"/>
  <c r="W24" i="4"/>
  <c r="V24" i="4"/>
  <c r="U24" i="4"/>
  <c r="R24" i="4"/>
  <c r="M24" i="4"/>
  <c r="M24" i="43" s="1"/>
  <c r="E24" i="4"/>
  <c r="D24" i="4"/>
  <c r="C24" i="4"/>
  <c r="J23" i="4"/>
  <c r="J23" i="43" s="1"/>
  <c r="F23" i="4"/>
  <c r="E23" i="4"/>
  <c r="D23" i="4"/>
  <c r="C23" i="4"/>
  <c r="M22" i="4"/>
  <c r="M22" i="43" s="1"/>
  <c r="J21" i="4"/>
  <c r="J21" i="43" s="1"/>
  <c r="J20" i="4"/>
  <c r="J20" i="43" s="1"/>
  <c r="M19" i="4"/>
  <c r="M18" i="4"/>
  <c r="M18" i="43" s="1"/>
  <c r="J17" i="4"/>
  <c r="K16" i="4"/>
  <c r="J16" i="4"/>
  <c r="AC15" i="4"/>
  <c r="AB15" i="4"/>
  <c r="AA15" i="4"/>
  <c r="W15" i="4"/>
  <c r="V15" i="4"/>
  <c r="U15" i="4"/>
  <c r="R15" i="4"/>
  <c r="J15" i="4"/>
  <c r="E15" i="4"/>
  <c r="D15" i="4"/>
  <c r="C15" i="4"/>
  <c r="AC14" i="4"/>
  <c r="AB14" i="4"/>
  <c r="AA14" i="4"/>
  <c r="F14" i="4"/>
  <c r="E14" i="4"/>
  <c r="D14" i="4"/>
  <c r="C14" i="4"/>
  <c r="K10" i="4"/>
  <c r="F9" i="4"/>
  <c r="AC8" i="4"/>
  <c r="AB8" i="4"/>
  <c r="Z8" i="4"/>
  <c r="U8" i="4"/>
  <c r="S8" i="4"/>
  <c r="R8" i="4"/>
  <c r="AC7" i="4"/>
  <c r="AB7" i="4"/>
  <c r="Z7" i="4"/>
  <c r="W7" i="4"/>
  <c r="V7" i="4"/>
  <c r="U7" i="4"/>
  <c r="R7" i="4"/>
  <c r="J7" i="4"/>
  <c r="J7" i="43" s="1"/>
  <c r="AC6" i="4"/>
  <c r="AB6" i="4"/>
  <c r="Z6" i="4"/>
  <c r="H4" i="4"/>
  <c r="C53" i="43"/>
  <c r="C52" i="43"/>
  <c r="C51" i="43"/>
  <c r="I50" i="43"/>
  <c r="C50" i="43"/>
  <c r="I49" i="43"/>
  <c r="C49" i="43"/>
  <c r="C48" i="43"/>
  <c r="C47" i="43"/>
  <c r="C46" i="43"/>
  <c r="C45" i="43"/>
  <c r="I44" i="43"/>
  <c r="C44" i="43"/>
  <c r="I43" i="43"/>
  <c r="C43" i="43"/>
  <c r="G42" i="43"/>
  <c r="F42" i="43"/>
  <c r="C42" i="43"/>
  <c r="C41" i="43"/>
  <c r="C40" i="43"/>
  <c r="C39" i="43"/>
  <c r="J38" i="43"/>
  <c r="I38" i="43"/>
  <c r="C38" i="43"/>
  <c r="I37" i="43"/>
  <c r="AD36" i="43"/>
  <c r="AC36" i="43"/>
  <c r="AB36" i="43"/>
  <c r="AD35" i="43"/>
  <c r="AC35" i="43"/>
  <c r="AB35" i="43"/>
  <c r="E35" i="43"/>
  <c r="D35" i="43"/>
  <c r="C35" i="43"/>
  <c r="L34" i="43"/>
  <c r="F34" i="43"/>
  <c r="E34" i="43"/>
  <c r="D34" i="43"/>
  <c r="C34" i="43"/>
  <c r="E33" i="43"/>
  <c r="D33" i="43"/>
  <c r="C33" i="43"/>
  <c r="J32" i="43"/>
  <c r="F32" i="43"/>
  <c r="E32" i="43"/>
  <c r="D32" i="43"/>
  <c r="C32" i="43"/>
  <c r="J31" i="43"/>
  <c r="J30" i="43"/>
  <c r="M28" i="43"/>
  <c r="AD27" i="43"/>
  <c r="AC27" i="43"/>
  <c r="AA27" i="43"/>
  <c r="M27" i="43"/>
  <c r="AD26" i="43"/>
  <c r="AC26" i="43"/>
  <c r="AB26" i="43"/>
  <c r="M26" i="43"/>
  <c r="J26" i="43"/>
  <c r="F26" i="43"/>
  <c r="AD25" i="43"/>
  <c r="AC25" i="43"/>
  <c r="AB25" i="43"/>
  <c r="M25" i="43"/>
  <c r="W24" i="43"/>
  <c r="V24" i="43"/>
  <c r="U24" i="43"/>
  <c r="R24" i="43"/>
  <c r="E24" i="43"/>
  <c r="D24" i="43"/>
  <c r="C24" i="43"/>
  <c r="F23" i="43"/>
  <c r="E23" i="43"/>
  <c r="D23" i="43"/>
  <c r="C23" i="43"/>
  <c r="J22" i="43"/>
  <c r="AD19" i="43"/>
  <c r="AC19" i="43"/>
  <c r="AB19" i="43"/>
  <c r="AA19" i="43"/>
  <c r="M19" i="43"/>
  <c r="AD18" i="43"/>
  <c r="AC18" i="43"/>
  <c r="AB18" i="43"/>
  <c r="AA18" i="43"/>
  <c r="J18" i="43"/>
  <c r="AD17" i="43"/>
  <c r="AC17" i="43"/>
  <c r="AB17" i="43"/>
  <c r="AA17" i="43"/>
  <c r="J17" i="43"/>
  <c r="J16" i="43"/>
  <c r="AD15" i="43"/>
  <c r="AC15" i="43"/>
  <c r="AB15" i="43"/>
  <c r="W15" i="43"/>
  <c r="V15" i="43"/>
  <c r="U15" i="43"/>
  <c r="R15" i="43"/>
  <c r="J15" i="43"/>
  <c r="E15" i="43"/>
  <c r="D15" i="43"/>
  <c r="C15" i="43"/>
  <c r="AD14" i="43"/>
  <c r="AC14" i="43"/>
  <c r="AB14" i="43"/>
  <c r="F14" i="43"/>
  <c r="E14" i="43"/>
  <c r="D14" i="43"/>
  <c r="C14" i="43"/>
  <c r="K10" i="43"/>
  <c r="U8" i="43"/>
  <c r="S8" i="43"/>
  <c r="R8" i="43"/>
  <c r="W7" i="43"/>
  <c r="V7" i="43"/>
  <c r="U7" i="43"/>
  <c r="R7" i="43"/>
  <c r="AD6" i="43"/>
  <c r="AC6" i="43"/>
  <c r="AA6" i="43"/>
  <c r="H4" i="43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6" i="55"/>
  <c r="D16" i="55"/>
  <c r="M11" i="55"/>
  <c r="D11" i="55"/>
  <c r="M10" i="55"/>
  <c r="D10" i="55"/>
  <c r="M9" i="55"/>
  <c r="D9" i="55"/>
  <c r="M8" i="55"/>
  <c r="D8" i="55"/>
  <c r="M7" i="55"/>
  <c r="D7" i="55"/>
  <c r="M6" i="55"/>
  <c r="D6" i="55"/>
  <c r="M5" i="55"/>
  <c r="D5" i="55"/>
  <c r="M4" i="55"/>
  <c r="M40" i="55" s="1"/>
  <c r="D4" i="55"/>
  <c r="D40" i="55" s="1"/>
  <c r="E3" i="55"/>
  <c r="F3" i="55" s="1"/>
  <c r="G3" i="55" s="1"/>
  <c r="H3" i="55" s="1"/>
  <c r="M3" i="55" s="1"/>
  <c r="N3" i="55" s="1"/>
  <c r="O3" i="55" s="1"/>
  <c r="P3" i="55" s="1"/>
  <c r="Q3" i="55" s="1"/>
  <c r="G145" i="56"/>
  <c r="R144" i="56"/>
  <c r="BP42" i="2"/>
  <c r="BO42" i="2"/>
  <c r="BL42" i="2"/>
  <c r="BK42" i="2"/>
  <c r="BH42" i="2"/>
  <c r="BG42" i="2"/>
  <c r="BD42" i="2"/>
  <c r="BC42" i="2"/>
  <c r="AZ42" i="2"/>
  <c r="AY42" i="2"/>
  <c r="AV42" i="2"/>
  <c r="AU42" i="2"/>
  <c r="AR42" i="2"/>
  <c r="AQ42" i="2"/>
  <c r="AN42" i="2"/>
  <c r="AM42" i="2"/>
  <c r="AJ42" i="2"/>
  <c r="AI42" i="2"/>
  <c r="AF42" i="2"/>
  <c r="AE42" i="2"/>
  <c r="AB42" i="2"/>
  <c r="AA42" i="2"/>
  <c r="X42" i="2"/>
  <c r="W42" i="2"/>
  <c r="T42" i="2"/>
  <c r="S42" i="2"/>
  <c r="K42" i="2"/>
  <c r="H42" i="2"/>
  <c r="G42" i="2"/>
  <c r="BP40" i="2"/>
  <c r="BO40" i="2"/>
  <c r="BN40" i="2"/>
  <c r="BM40" i="2"/>
  <c r="BL40" i="2"/>
  <c r="BJ40" i="2"/>
  <c r="BI40" i="2"/>
  <c r="BH40" i="2"/>
  <c r="BG40" i="2"/>
  <c r="BF40" i="2"/>
  <c r="BE40" i="2"/>
  <c r="BD40" i="2"/>
  <c r="BB40" i="2"/>
  <c r="BA40" i="2"/>
  <c r="AZ40" i="2"/>
  <c r="AY40" i="2"/>
  <c r="AX40" i="2"/>
  <c r="AW40" i="2"/>
  <c r="AV40" i="2"/>
  <c r="AT40" i="2"/>
  <c r="AS40" i="2"/>
  <c r="AR40" i="2"/>
  <c r="AP40" i="2"/>
  <c r="AO40" i="2"/>
  <c r="AN40" i="2"/>
  <c r="AM40" i="2"/>
  <c r="AL40" i="2"/>
  <c r="AK40" i="2"/>
  <c r="AJ40" i="2"/>
  <c r="AI40" i="2"/>
  <c r="AH40" i="2"/>
  <c r="AG40" i="2"/>
  <c r="AF40" i="2"/>
  <c r="AD40" i="2"/>
  <c r="AC40" i="2"/>
  <c r="AB40" i="2"/>
  <c r="AA40" i="2"/>
  <c r="V40" i="2"/>
  <c r="U40" i="2"/>
  <c r="T40" i="2"/>
  <c r="S40" i="2"/>
  <c r="R40" i="2"/>
  <c r="Q40" i="2"/>
  <c r="P40" i="2"/>
  <c r="N40" i="2"/>
  <c r="M40" i="2"/>
  <c r="L40" i="2"/>
  <c r="J40" i="2"/>
  <c r="I40" i="2"/>
  <c r="H40" i="2"/>
  <c r="G40" i="2"/>
  <c r="A40" i="2"/>
  <c r="BP39" i="2"/>
  <c r="BO39" i="2"/>
  <c r="BN39" i="2"/>
  <c r="BM39" i="2"/>
  <c r="BL39" i="2"/>
  <c r="BJ39" i="2"/>
  <c r="BI39" i="2"/>
  <c r="BH39" i="2"/>
  <c r="BG39" i="2"/>
  <c r="BF39" i="2"/>
  <c r="BE39" i="2"/>
  <c r="BD39" i="2"/>
  <c r="BB39" i="2"/>
  <c r="BA39" i="2"/>
  <c r="AZ39" i="2"/>
  <c r="AY39" i="2"/>
  <c r="AX39" i="2"/>
  <c r="AW39" i="2"/>
  <c r="AV39" i="2"/>
  <c r="AT39" i="2"/>
  <c r="AS39" i="2"/>
  <c r="AR39" i="2"/>
  <c r="AQ39" i="2"/>
  <c r="AP39" i="2"/>
  <c r="AO39" i="2"/>
  <c r="AN39" i="2"/>
  <c r="AM39" i="2"/>
  <c r="AL39" i="2"/>
  <c r="AK39" i="2"/>
  <c r="AJ39" i="2"/>
  <c r="AH39" i="2"/>
  <c r="AG39" i="2"/>
  <c r="AF39" i="2"/>
  <c r="AD39" i="2"/>
  <c r="AC39" i="2"/>
  <c r="AB39" i="2"/>
  <c r="AA39" i="2"/>
  <c r="V39" i="2"/>
  <c r="U39" i="2"/>
  <c r="T39" i="2"/>
  <c r="S39" i="2"/>
  <c r="R39" i="2"/>
  <c r="Q39" i="2"/>
  <c r="P39" i="2"/>
  <c r="N39" i="2"/>
  <c r="M39" i="2"/>
  <c r="L39" i="2"/>
  <c r="J39" i="2"/>
  <c r="I39" i="2"/>
  <c r="H39" i="2"/>
  <c r="G39" i="2"/>
  <c r="A39" i="2"/>
  <c r="BP38" i="2"/>
  <c r="BO38" i="2"/>
  <c r="BN38" i="2"/>
  <c r="BM38" i="2"/>
  <c r="BL38" i="2"/>
  <c r="BJ38" i="2"/>
  <c r="BI38" i="2"/>
  <c r="BH38" i="2"/>
  <c r="BG38" i="2"/>
  <c r="BF38" i="2"/>
  <c r="BE38" i="2"/>
  <c r="BD38" i="2"/>
  <c r="BB38" i="2"/>
  <c r="BA38" i="2"/>
  <c r="AZ38" i="2"/>
  <c r="AY38" i="2"/>
  <c r="AX38" i="2"/>
  <c r="AW38" i="2"/>
  <c r="AV38" i="2"/>
  <c r="AT38" i="2"/>
  <c r="AS38" i="2"/>
  <c r="AR38" i="2"/>
  <c r="AQ38" i="2"/>
  <c r="AP38" i="2"/>
  <c r="AO38" i="2"/>
  <c r="AN38" i="2"/>
  <c r="AM38" i="2"/>
  <c r="AL38" i="2"/>
  <c r="AK38" i="2"/>
  <c r="AJ38" i="2"/>
  <c r="AH38" i="2"/>
  <c r="AG38" i="2"/>
  <c r="AF38" i="2"/>
  <c r="AD38" i="2"/>
  <c r="AC38" i="2"/>
  <c r="AB38" i="2"/>
  <c r="V38" i="2"/>
  <c r="U38" i="2"/>
  <c r="T38" i="2"/>
  <c r="S38" i="2"/>
  <c r="R38" i="2"/>
  <c r="Q38" i="2"/>
  <c r="P38" i="2"/>
  <c r="N38" i="2"/>
  <c r="M38" i="2"/>
  <c r="L38" i="2"/>
  <c r="J38" i="2"/>
  <c r="I38" i="2"/>
  <c r="H38" i="2"/>
  <c r="G38" i="2"/>
  <c r="C38" i="2"/>
  <c r="A38" i="2"/>
  <c r="BP37" i="2"/>
  <c r="BO37" i="2"/>
  <c r="BN37" i="2"/>
  <c r="BM37" i="2"/>
  <c r="BL37" i="2"/>
  <c r="BJ37" i="2"/>
  <c r="BI37" i="2"/>
  <c r="BH37" i="2"/>
  <c r="BG37" i="2"/>
  <c r="BF37" i="2"/>
  <c r="BE37" i="2"/>
  <c r="BD37" i="2"/>
  <c r="BB37" i="2"/>
  <c r="BA37" i="2"/>
  <c r="AZ37" i="2"/>
  <c r="AY37" i="2"/>
  <c r="AX37" i="2"/>
  <c r="AW37" i="2"/>
  <c r="AV37" i="2"/>
  <c r="AT37" i="2"/>
  <c r="AS37" i="2"/>
  <c r="AR37" i="2"/>
  <c r="AQ37" i="2"/>
  <c r="AP37" i="2"/>
  <c r="AO37" i="2"/>
  <c r="AN37" i="2"/>
  <c r="AM37" i="2"/>
  <c r="AL37" i="2"/>
  <c r="AK37" i="2"/>
  <c r="AJ37" i="2"/>
  <c r="AH37" i="2"/>
  <c r="AG37" i="2"/>
  <c r="AF37" i="2"/>
  <c r="AD37" i="2"/>
  <c r="AC37" i="2"/>
  <c r="AB37" i="2"/>
  <c r="V37" i="2"/>
  <c r="U37" i="2"/>
  <c r="T37" i="2"/>
  <c r="S37" i="2"/>
  <c r="R37" i="2"/>
  <c r="Q37" i="2"/>
  <c r="P37" i="2"/>
  <c r="N37" i="2"/>
  <c r="M37" i="2"/>
  <c r="L37" i="2"/>
  <c r="J37" i="2"/>
  <c r="I37" i="2"/>
  <c r="H37" i="2"/>
  <c r="G37" i="2"/>
  <c r="A37" i="2"/>
  <c r="BP36" i="2"/>
  <c r="BO36" i="2"/>
  <c r="BN36" i="2"/>
  <c r="BM36" i="2"/>
  <c r="BL36" i="2"/>
  <c r="BJ36" i="2"/>
  <c r="BI36" i="2"/>
  <c r="BH36" i="2"/>
  <c r="BG36" i="2"/>
  <c r="BF36" i="2"/>
  <c r="BE36" i="2"/>
  <c r="BD36" i="2"/>
  <c r="BB36" i="2"/>
  <c r="BA36" i="2"/>
  <c r="AZ36" i="2"/>
  <c r="AY36" i="2"/>
  <c r="AX36" i="2"/>
  <c r="AW36" i="2"/>
  <c r="AV36" i="2"/>
  <c r="AT36" i="2"/>
  <c r="AS36" i="2"/>
  <c r="AR36" i="2"/>
  <c r="AQ36" i="2"/>
  <c r="AP36" i="2"/>
  <c r="AO36" i="2"/>
  <c r="AN36" i="2"/>
  <c r="AM36" i="2"/>
  <c r="AL36" i="2"/>
  <c r="AK36" i="2"/>
  <c r="AJ36" i="2"/>
  <c r="AH36" i="2"/>
  <c r="AG36" i="2"/>
  <c r="AF36" i="2"/>
  <c r="AD36" i="2"/>
  <c r="AC36" i="2"/>
  <c r="AB36" i="2"/>
  <c r="V36" i="2"/>
  <c r="U36" i="2"/>
  <c r="T36" i="2"/>
  <c r="S36" i="2"/>
  <c r="R36" i="2"/>
  <c r="Q36" i="2"/>
  <c r="P36" i="2"/>
  <c r="N36" i="2"/>
  <c r="M36" i="2"/>
  <c r="L36" i="2"/>
  <c r="J36" i="2"/>
  <c r="I36" i="2"/>
  <c r="H36" i="2"/>
  <c r="G36" i="2"/>
  <c r="A36" i="2"/>
  <c r="BP35" i="2"/>
  <c r="BO35" i="2"/>
  <c r="BN35" i="2"/>
  <c r="BM35" i="2"/>
  <c r="BL35" i="2"/>
  <c r="BJ35" i="2"/>
  <c r="BI35" i="2"/>
  <c r="BH35" i="2"/>
  <c r="BG35" i="2"/>
  <c r="BF35" i="2"/>
  <c r="BE35" i="2"/>
  <c r="BD35" i="2"/>
  <c r="BB35" i="2"/>
  <c r="BA35" i="2"/>
  <c r="AZ35" i="2"/>
  <c r="AY35" i="2"/>
  <c r="AX35" i="2"/>
  <c r="AW35" i="2"/>
  <c r="AV35" i="2"/>
  <c r="AT35" i="2"/>
  <c r="AS35" i="2"/>
  <c r="AR35" i="2"/>
  <c r="AQ35" i="2"/>
  <c r="AP35" i="2"/>
  <c r="AO35" i="2"/>
  <c r="AN35" i="2"/>
  <c r="AM35" i="2"/>
  <c r="AL35" i="2"/>
  <c r="AK35" i="2"/>
  <c r="AJ35" i="2"/>
  <c r="AH35" i="2"/>
  <c r="AG35" i="2"/>
  <c r="AF35" i="2"/>
  <c r="AD35" i="2"/>
  <c r="AC35" i="2"/>
  <c r="AB35" i="2"/>
  <c r="V35" i="2"/>
  <c r="U35" i="2"/>
  <c r="T35" i="2"/>
  <c r="S35" i="2"/>
  <c r="R35" i="2"/>
  <c r="Q35" i="2"/>
  <c r="P35" i="2"/>
  <c r="N35" i="2"/>
  <c r="M35" i="2"/>
  <c r="L35" i="2"/>
  <c r="J35" i="2"/>
  <c r="I35" i="2"/>
  <c r="H35" i="2"/>
  <c r="G35" i="2"/>
  <c r="C35" i="2"/>
  <c r="A35" i="2"/>
  <c r="BP34" i="2"/>
  <c r="BO34" i="2"/>
  <c r="BN34" i="2"/>
  <c r="BM34" i="2"/>
  <c r="BL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T34" i="2"/>
  <c r="AS34" i="2"/>
  <c r="AR34" i="2"/>
  <c r="AQ34" i="2"/>
  <c r="AP34" i="2"/>
  <c r="AO34" i="2"/>
  <c r="AN34" i="2"/>
  <c r="AM34" i="2"/>
  <c r="AL34" i="2"/>
  <c r="AK34" i="2"/>
  <c r="AJ34" i="2"/>
  <c r="AH34" i="2"/>
  <c r="AG34" i="2"/>
  <c r="AF34" i="2"/>
  <c r="AD34" i="2"/>
  <c r="AC34" i="2"/>
  <c r="AB34" i="2"/>
  <c r="V34" i="2"/>
  <c r="U34" i="2"/>
  <c r="T34" i="2"/>
  <c r="S34" i="2"/>
  <c r="R34" i="2"/>
  <c r="Q34" i="2"/>
  <c r="P34" i="2"/>
  <c r="N34" i="2"/>
  <c r="M34" i="2"/>
  <c r="L34" i="2"/>
  <c r="J34" i="2"/>
  <c r="I34" i="2"/>
  <c r="H34" i="2"/>
  <c r="G34" i="2"/>
  <c r="C34" i="2"/>
  <c r="A34" i="2"/>
  <c r="BP33" i="2"/>
  <c r="BO33" i="2"/>
  <c r="BN33" i="2"/>
  <c r="BM33" i="2"/>
  <c r="BL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T33" i="2"/>
  <c r="AS33" i="2"/>
  <c r="AR33" i="2"/>
  <c r="AP33" i="2"/>
  <c r="AO33" i="2"/>
  <c r="AN33" i="2"/>
  <c r="AM33" i="2"/>
  <c r="AL33" i="2"/>
  <c r="AK33" i="2"/>
  <c r="AJ33" i="2"/>
  <c r="AH33" i="2"/>
  <c r="AG33" i="2"/>
  <c r="AF33" i="2"/>
  <c r="AD33" i="2"/>
  <c r="AC33" i="2"/>
  <c r="AB33" i="2"/>
  <c r="V33" i="2"/>
  <c r="U33" i="2"/>
  <c r="T33" i="2"/>
  <c r="S33" i="2"/>
  <c r="R33" i="2"/>
  <c r="Q33" i="2"/>
  <c r="P33" i="2"/>
  <c r="N33" i="2"/>
  <c r="M33" i="2"/>
  <c r="L33" i="2"/>
  <c r="J33" i="2"/>
  <c r="I33" i="2"/>
  <c r="H33" i="2"/>
  <c r="G33" i="2"/>
  <c r="A33" i="2"/>
  <c r="BP32" i="2"/>
  <c r="BO32" i="2"/>
  <c r="BN32" i="2"/>
  <c r="BM32" i="2"/>
  <c r="BL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T32" i="2"/>
  <c r="AS32" i="2"/>
  <c r="AR32" i="2"/>
  <c r="AP32" i="2"/>
  <c r="AO32" i="2"/>
  <c r="AN32" i="2"/>
  <c r="AM32" i="2"/>
  <c r="AL32" i="2"/>
  <c r="AK32" i="2"/>
  <c r="AJ32" i="2"/>
  <c r="AH32" i="2"/>
  <c r="AG32" i="2"/>
  <c r="AF32" i="2"/>
  <c r="AD32" i="2"/>
  <c r="AC32" i="2"/>
  <c r="AB32" i="2"/>
  <c r="V32" i="2"/>
  <c r="U32" i="2"/>
  <c r="T32" i="2"/>
  <c r="S32" i="2"/>
  <c r="R32" i="2"/>
  <c r="Q32" i="2"/>
  <c r="P32" i="2"/>
  <c r="N32" i="2"/>
  <c r="M32" i="2"/>
  <c r="L32" i="2"/>
  <c r="J32" i="2"/>
  <c r="I32" i="2"/>
  <c r="H32" i="2"/>
  <c r="G32" i="2"/>
  <c r="A32" i="2"/>
  <c r="BP31" i="2"/>
  <c r="BO31" i="2"/>
  <c r="BN31" i="2"/>
  <c r="BM31" i="2"/>
  <c r="BL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T31" i="2"/>
  <c r="AS31" i="2"/>
  <c r="AR31" i="2"/>
  <c r="AP31" i="2"/>
  <c r="AO31" i="2"/>
  <c r="AN31" i="2"/>
  <c r="AM31" i="2"/>
  <c r="AL31" i="2"/>
  <c r="AK31" i="2"/>
  <c r="AJ31" i="2"/>
  <c r="AH31" i="2"/>
  <c r="AG31" i="2"/>
  <c r="AF31" i="2"/>
  <c r="AD31" i="2"/>
  <c r="AC31" i="2"/>
  <c r="AB31" i="2"/>
  <c r="V31" i="2"/>
  <c r="U31" i="2"/>
  <c r="T31" i="2"/>
  <c r="S31" i="2"/>
  <c r="R31" i="2"/>
  <c r="Q31" i="2"/>
  <c r="P31" i="2"/>
  <c r="N31" i="2"/>
  <c r="M31" i="2"/>
  <c r="L31" i="2"/>
  <c r="J31" i="2"/>
  <c r="I31" i="2"/>
  <c r="H31" i="2"/>
  <c r="G31" i="2"/>
  <c r="A31" i="2"/>
  <c r="BP30" i="2"/>
  <c r="BO30" i="2"/>
  <c r="BN30" i="2"/>
  <c r="BM30" i="2"/>
  <c r="BL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T30" i="2"/>
  <c r="AS30" i="2"/>
  <c r="AR30" i="2"/>
  <c r="AP30" i="2"/>
  <c r="AO30" i="2"/>
  <c r="AN30" i="2"/>
  <c r="AM30" i="2"/>
  <c r="AL30" i="2"/>
  <c r="AK30" i="2"/>
  <c r="AJ30" i="2"/>
  <c r="AH30" i="2"/>
  <c r="AG30" i="2"/>
  <c r="AF30" i="2"/>
  <c r="AD30" i="2"/>
  <c r="AC30" i="2"/>
  <c r="AB30" i="2"/>
  <c r="V30" i="2"/>
  <c r="U30" i="2"/>
  <c r="T30" i="2"/>
  <c r="S30" i="2"/>
  <c r="R30" i="2"/>
  <c r="Q30" i="2"/>
  <c r="P30" i="2"/>
  <c r="N30" i="2"/>
  <c r="M30" i="2"/>
  <c r="L30" i="2"/>
  <c r="J30" i="2"/>
  <c r="I30" i="2"/>
  <c r="H30" i="2"/>
  <c r="G30" i="2"/>
  <c r="A30" i="2"/>
  <c r="BP29" i="2"/>
  <c r="BO29" i="2"/>
  <c r="BN29" i="2"/>
  <c r="BM29" i="2"/>
  <c r="BL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T29" i="2"/>
  <c r="AS29" i="2"/>
  <c r="AR29" i="2"/>
  <c r="AP29" i="2"/>
  <c r="AO29" i="2"/>
  <c r="AN29" i="2"/>
  <c r="AM29" i="2"/>
  <c r="AL29" i="2"/>
  <c r="AK29" i="2"/>
  <c r="AJ29" i="2"/>
  <c r="AH29" i="2"/>
  <c r="AG29" i="2"/>
  <c r="AF29" i="2"/>
  <c r="AD29" i="2"/>
  <c r="AC29" i="2"/>
  <c r="AB29" i="2"/>
  <c r="V29" i="2"/>
  <c r="U29" i="2"/>
  <c r="T29" i="2"/>
  <c r="S29" i="2"/>
  <c r="R29" i="2"/>
  <c r="Q29" i="2"/>
  <c r="P29" i="2"/>
  <c r="N29" i="2"/>
  <c r="M29" i="2"/>
  <c r="L29" i="2"/>
  <c r="J29" i="2"/>
  <c r="I29" i="2"/>
  <c r="H29" i="2"/>
  <c r="G29" i="2"/>
  <c r="A29" i="2"/>
  <c r="BP28" i="2"/>
  <c r="BO28" i="2"/>
  <c r="BN28" i="2"/>
  <c r="BM28" i="2"/>
  <c r="BL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T28" i="2"/>
  <c r="AS28" i="2"/>
  <c r="AR28" i="2"/>
  <c r="AP28" i="2"/>
  <c r="AO28" i="2"/>
  <c r="AN28" i="2"/>
  <c r="AM28" i="2"/>
  <c r="AL28" i="2"/>
  <c r="AK28" i="2"/>
  <c r="AJ28" i="2"/>
  <c r="AH28" i="2"/>
  <c r="AG28" i="2"/>
  <c r="AF28" i="2"/>
  <c r="AD28" i="2"/>
  <c r="AC28" i="2"/>
  <c r="AB28" i="2"/>
  <c r="V28" i="2"/>
  <c r="U28" i="2"/>
  <c r="T28" i="2"/>
  <c r="S28" i="2"/>
  <c r="R28" i="2"/>
  <c r="Q28" i="2"/>
  <c r="P28" i="2"/>
  <c r="N28" i="2"/>
  <c r="M28" i="2"/>
  <c r="L28" i="2"/>
  <c r="J28" i="2"/>
  <c r="I28" i="2"/>
  <c r="H28" i="2"/>
  <c r="G28" i="2"/>
  <c r="A28" i="2"/>
  <c r="BP27" i="2"/>
  <c r="BO27" i="2"/>
  <c r="BN27" i="2"/>
  <c r="BM27" i="2"/>
  <c r="BL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T27" i="2"/>
  <c r="AS27" i="2"/>
  <c r="AR27" i="2"/>
  <c r="AP27" i="2"/>
  <c r="AO27" i="2"/>
  <c r="AN27" i="2"/>
  <c r="AM27" i="2"/>
  <c r="AL27" i="2"/>
  <c r="AK27" i="2"/>
  <c r="AJ27" i="2"/>
  <c r="AH27" i="2"/>
  <c r="AG27" i="2"/>
  <c r="AF27" i="2"/>
  <c r="AD27" i="2"/>
  <c r="AC27" i="2"/>
  <c r="AB27" i="2"/>
  <c r="V27" i="2"/>
  <c r="U27" i="2"/>
  <c r="T27" i="2"/>
  <c r="S27" i="2"/>
  <c r="R27" i="2"/>
  <c r="Q27" i="2"/>
  <c r="P27" i="2"/>
  <c r="N27" i="2"/>
  <c r="M27" i="2"/>
  <c r="L27" i="2"/>
  <c r="J27" i="2"/>
  <c r="I27" i="2"/>
  <c r="H27" i="2"/>
  <c r="G27" i="2"/>
  <c r="A27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T26" i="2"/>
  <c r="AS26" i="2"/>
  <c r="AR26" i="2"/>
  <c r="AP26" i="2"/>
  <c r="AO26" i="2"/>
  <c r="AN26" i="2"/>
  <c r="AM26" i="2"/>
  <c r="AL26" i="2"/>
  <c r="AK26" i="2"/>
  <c r="AJ26" i="2"/>
  <c r="AH26" i="2"/>
  <c r="AG26" i="2"/>
  <c r="AF26" i="2"/>
  <c r="AD26" i="2"/>
  <c r="AC26" i="2"/>
  <c r="AB26" i="2"/>
  <c r="V26" i="2"/>
  <c r="U26" i="2"/>
  <c r="T26" i="2"/>
  <c r="S26" i="2"/>
  <c r="R26" i="2"/>
  <c r="Q26" i="2"/>
  <c r="P26" i="2"/>
  <c r="N26" i="2"/>
  <c r="M26" i="2"/>
  <c r="L26" i="2"/>
  <c r="J26" i="2"/>
  <c r="I26" i="2"/>
  <c r="H26" i="2"/>
  <c r="G26" i="2"/>
  <c r="A26" i="2"/>
  <c r="BP25" i="2"/>
  <c r="BO25" i="2"/>
  <c r="BN25" i="2"/>
  <c r="BM25" i="2"/>
  <c r="BL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T25" i="2"/>
  <c r="AS25" i="2"/>
  <c r="AR25" i="2"/>
  <c r="AP25" i="2"/>
  <c r="AO25" i="2"/>
  <c r="AN25" i="2"/>
  <c r="AM25" i="2"/>
  <c r="AL25" i="2"/>
  <c r="AK25" i="2"/>
  <c r="AJ25" i="2"/>
  <c r="AH25" i="2"/>
  <c r="AG25" i="2"/>
  <c r="AF25" i="2"/>
  <c r="AD25" i="2"/>
  <c r="AC25" i="2"/>
  <c r="AB25" i="2"/>
  <c r="V25" i="2"/>
  <c r="U25" i="2"/>
  <c r="T25" i="2"/>
  <c r="S25" i="2"/>
  <c r="R25" i="2"/>
  <c r="Q25" i="2"/>
  <c r="P25" i="2"/>
  <c r="N25" i="2"/>
  <c r="M25" i="2"/>
  <c r="L25" i="2"/>
  <c r="J25" i="2"/>
  <c r="I25" i="2"/>
  <c r="H25" i="2"/>
  <c r="G25" i="2"/>
  <c r="A25" i="2"/>
  <c r="BP24" i="2"/>
  <c r="BO24" i="2"/>
  <c r="BN24" i="2"/>
  <c r="BM24" i="2"/>
  <c r="BL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T24" i="2"/>
  <c r="AS24" i="2"/>
  <c r="AR24" i="2"/>
  <c r="AP24" i="2"/>
  <c r="AO24" i="2"/>
  <c r="AN24" i="2"/>
  <c r="AM24" i="2"/>
  <c r="AL24" i="2"/>
  <c r="AK24" i="2"/>
  <c r="AJ24" i="2"/>
  <c r="AH24" i="2"/>
  <c r="AG24" i="2"/>
  <c r="AF24" i="2"/>
  <c r="AD24" i="2"/>
  <c r="AC24" i="2"/>
  <c r="AB24" i="2"/>
  <c r="V24" i="2"/>
  <c r="U24" i="2"/>
  <c r="T24" i="2"/>
  <c r="S24" i="2"/>
  <c r="R24" i="2"/>
  <c r="Q24" i="2"/>
  <c r="P24" i="2"/>
  <c r="N24" i="2"/>
  <c r="M24" i="2"/>
  <c r="L24" i="2"/>
  <c r="J24" i="2"/>
  <c r="I24" i="2"/>
  <c r="H24" i="2"/>
  <c r="G24" i="2"/>
  <c r="A24" i="2"/>
  <c r="BP23" i="2"/>
  <c r="BO23" i="2"/>
  <c r="BN23" i="2"/>
  <c r="BM23" i="2"/>
  <c r="BL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T23" i="2"/>
  <c r="AS23" i="2"/>
  <c r="AR23" i="2"/>
  <c r="AP23" i="2"/>
  <c r="AO23" i="2"/>
  <c r="AN23" i="2"/>
  <c r="AM23" i="2"/>
  <c r="AL23" i="2"/>
  <c r="AK23" i="2"/>
  <c r="AJ23" i="2"/>
  <c r="AH23" i="2"/>
  <c r="AG23" i="2"/>
  <c r="AF23" i="2"/>
  <c r="AD23" i="2"/>
  <c r="AC23" i="2"/>
  <c r="AB23" i="2"/>
  <c r="V23" i="2"/>
  <c r="U23" i="2"/>
  <c r="T23" i="2"/>
  <c r="S23" i="2"/>
  <c r="R23" i="2"/>
  <c r="Q23" i="2"/>
  <c r="P23" i="2"/>
  <c r="N23" i="2"/>
  <c r="M23" i="2"/>
  <c r="L23" i="2"/>
  <c r="J23" i="2"/>
  <c r="I23" i="2"/>
  <c r="H23" i="2"/>
  <c r="G23" i="2"/>
  <c r="A23" i="2"/>
  <c r="BP22" i="2"/>
  <c r="BO22" i="2"/>
  <c r="BN22" i="2"/>
  <c r="BM22" i="2"/>
  <c r="BL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T22" i="2"/>
  <c r="AS22" i="2"/>
  <c r="AR22" i="2"/>
  <c r="AP22" i="2"/>
  <c r="AO22" i="2"/>
  <c r="AN22" i="2"/>
  <c r="AM22" i="2"/>
  <c r="AL22" i="2"/>
  <c r="AK22" i="2"/>
  <c r="AJ22" i="2"/>
  <c r="AH22" i="2"/>
  <c r="AG22" i="2"/>
  <c r="AF22" i="2"/>
  <c r="AD22" i="2"/>
  <c r="AC22" i="2"/>
  <c r="AB22" i="2"/>
  <c r="V22" i="2"/>
  <c r="U22" i="2"/>
  <c r="T22" i="2"/>
  <c r="S22" i="2"/>
  <c r="R22" i="2"/>
  <c r="Q22" i="2"/>
  <c r="P22" i="2"/>
  <c r="N22" i="2"/>
  <c r="M22" i="2"/>
  <c r="L22" i="2"/>
  <c r="J22" i="2"/>
  <c r="I22" i="2"/>
  <c r="H22" i="2"/>
  <c r="G22" i="2"/>
  <c r="A22" i="2"/>
  <c r="BP21" i="2"/>
  <c r="BO21" i="2"/>
  <c r="BN21" i="2"/>
  <c r="BM21" i="2"/>
  <c r="BL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T21" i="2"/>
  <c r="AS21" i="2"/>
  <c r="AR21" i="2"/>
  <c r="AP21" i="2"/>
  <c r="AO21" i="2"/>
  <c r="AN21" i="2"/>
  <c r="AM21" i="2"/>
  <c r="AL21" i="2"/>
  <c r="AK21" i="2"/>
  <c r="AJ21" i="2"/>
  <c r="AH21" i="2"/>
  <c r="AG21" i="2"/>
  <c r="AF21" i="2"/>
  <c r="AD21" i="2"/>
  <c r="AC21" i="2"/>
  <c r="AB21" i="2"/>
  <c r="V21" i="2"/>
  <c r="U21" i="2"/>
  <c r="T21" i="2"/>
  <c r="S21" i="2"/>
  <c r="R21" i="2"/>
  <c r="Q21" i="2"/>
  <c r="P21" i="2"/>
  <c r="N21" i="2"/>
  <c r="M21" i="2"/>
  <c r="L21" i="2"/>
  <c r="J21" i="2"/>
  <c r="I21" i="2"/>
  <c r="H21" i="2"/>
  <c r="G21" i="2"/>
  <c r="A21" i="2"/>
  <c r="BP20" i="2"/>
  <c r="BO20" i="2"/>
  <c r="BN20" i="2"/>
  <c r="BM20" i="2"/>
  <c r="BL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T20" i="2"/>
  <c r="AS20" i="2"/>
  <c r="AR20" i="2"/>
  <c r="AP20" i="2"/>
  <c r="AO20" i="2"/>
  <c r="AN20" i="2"/>
  <c r="AM20" i="2"/>
  <c r="AL20" i="2"/>
  <c r="AK20" i="2"/>
  <c r="AJ20" i="2"/>
  <c r="AH20" i="2"/>
  <c r="AG20" i="2"/>
  <c r="AF20" i="2"/>
  <c r="AD20" i="2"/>
  <c r="AC20" i="2"/>
  <c r="AB20" i="2"/>
  <c r="V20" i="2"/>
  <c r="U20" i="2"/>
  <c r="T20" i="2"/>
  <c r="S20" i="2"/>
  <c r="R20" i="2"/>
  <c r="Q20" i="2"/>
  <c r="P20" i="2"/>
  <c r="N20" i="2"/>
  <c r="M20" i="2"/>
  <c r="L20" i="2"/>
  <c r="J20" i="2"/>
  <c r="I20" i="2"/>
  <c r="H20" i="2"/>
  <c r="G20" i="2"/>
  <c r="A20" i="2"/>
  <c r="BP19" i="2"/>
  <c r="BO19" i="2"/>
  <c r="BN19" i="2"/>
  <c r="BM19" i="2"/>
  <c r="BL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T19" i="2"/>
  <c r="AS19" i="2"/>
  <c r="AR19" i="2"/>
  <c r="AP19" i="2"/>
  <c r="AO19" i="2"/>
  <c r="AN19" i="2"/>
  <c r="AM19" i="2"/>
  <c r="AL19" i="2"/>
  <c r="AK19" i="2"/>
  <c r="AJ19" i="2"/>
  <c r="AH19" i="2"/>
  <c r="AG19" i="2"/>
  <c r="AF19" i="2"/>
  <c r="AD19" i="2"/>
  <c r="AC19" i="2"/>
  <c r="AB19" i="2"/>
  <c r="V19" i="2"/>
  <c r="U19" i="2"/>
  <c r="T19" i="2"/>
  <c r="S19" i="2"/>
  <c r="R19" i="2"/>
  <c r="Q19" i="2"/>
  <c r="P19" i="2"/>
  <c r="N19" i="2"/>
  <c r="M19" i="2"/>
  <c r="L19" i="2"/>
  <c r="J19" i="2"/>
  <c r="I19" i="2"/>
  <c r="H19" i="2"/>
  <c r="G19" i="2"/>
  <c r="A19" i="2"/>
  <c r="BP18" i="2"/>
  <c r="BO18" i="2"/>
  <c r="BN18" i="2"/>
  <c r="BM18" i="2"/>
  <c r="BL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T18" i="2"/>
  <c r="AS18" i="2"/>
  <c r="AR18" i="2"/>
  <c r="AP18" i="2"/>
  <c r="AO18" i="2"/>
  <c r="AN18" i="2"/>
  <c r="AM18" i="2"/>
  <c r="AL18" i="2"/>
  <c r="AK18" i="2"/>
  <c r="AJ18" i="2"/>
  <c r="AH18" i="2"/>
  <c r="AG18" i="2"/>
  <c r="AF18" i="2"/>
  <c r="AD18" i="2"/>
  <c r="AC18" i="2"/>
  <c r="AB18" i="2"/>
  <c r="V18" i="2"/>
  <c r="U18" i="2"/>
  <c r="T18" i="2"/>
  <c r="S18" i="2"/>
  <c r="R18" i="2"/>
  <c r="Q18" i="2"/>
  <c r="P18" i="2"/>
  <c r="N18" i="2"/>
  <c r="M18" i="2"/>
  <c r="L18" i="2"/>
  <c r="J18" i="2"/>
  <c r="I18" i="2"/>
  <c r="H18" i="2"/>
  <c r="G18" i="2"/>
  <c r="A18" i="2"/>
  <c r="BP17" i="2"/>
  <c r="BO17" i="2"/>
  <c r="BN17" i="2"/>
  <c r="BM17" i="2"/>
  <c r="BL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P17" i="2"/>
  <c r="AO17" i="2"/>
  <c r="AN17" i="2"/>
  <c r="AM17" i="2"/>
  <c r="AL17" i="2"/>
  <c r="AK17" i="2"/>
  <c r="AJ17" i="2"/>
  <c r="AH17" i="2"/>
  <c r="AG17" i="2"/>
  <c r="AF17" i="2"/>
  <c r="AD17" i="2"/>
  <c r="AC17" i="2"/>
  <c r="AB17" i="2"/>
  <c r="V17" i="2"/>
  <c r="U17" i="2"/>
  <c r="T17" i="2"/>
  <c r="S17" i="2"/>
  <c r="R17" i="2"/>
  <c r="Q17" i="2"/>
  <c r="P17" i="2"/>
  <c r="N17" i="2"/>
  <c r="M17" i="2"/>
  <c r="L17" i="2"/>
  <c r="J17" i="2"/>
  <c r="I17" i="2"/>
  <c r="H17" i="2"/>
  <c r="G17" i="2"/>
  <c r="A17" i="2"/>
  <c r="BP16" i="2"/>
  <c r="BO16" i="2"/>
  <c r="BN16" i="2"/>
  <c r="BM16" i="2"/>
  <c r="BL16" i="2"/>
  <c r="BJ16" i="2"/>
  <c r="BI16" i="2"/>
  <c r="BH16" i="2"/>
  <c r="BG16" i="2"/>
  <c r="BF16" i="2"/>
  <c r="BE16" i="2"/>
  <c r="BD16" i="2"/>
  <c r="BB16" i="2"/>
  <c r="BA16" i="2"/>
  <c r="AZ16" i="2"/>
  <c r="AX16" i="2"/>
  <c r="AW16" i="2"/>
  <c r="AV16" i="2"/>
  <c r="AU16" i="2"/>
  <c r="AT16" i="2"/>
  <c r="AS16" i="2"/>
  <c r="AR16" i="2"/>
  <c r="AP16" i="2"/>
  <c r="AO16" i="2"/>
  <c r="AN16" i="2"/>
  <c r="AM16" i="2"/>
  <c r="AL16" i="2"/>
  <c r="AK16" i="2"/>
  <c r="AJ16" i="2"/>
  <c r="AH16" i="2"/>
  <c r="AG16" i="2"/>
  <c r="AF16" i="2"/>
  <c r="AD16" i="2"/>
  <c r="AC16" i="2"/>
  <c r="AB16" i="2"/>
  <c r="V16" i="2"/>
  <c r="U16" i="2"/>
  <c r="T16" i="2"/>
  <c r="S16" i="2"/>
  <c r="R16" i="2"/>
  <c r="Q16" i="2"/>
  <c r="P16" i="2"/>
  <c r="N16" i="2"/>
  <c r="M16" i="2"/>
  <c r="L16" i="2"/>
  <c r="J16" i="2"/>
  <c r="I16" i="2"/>
  <c r="H16" i="2"/>
  <c r="G16" i="2"/>
  <c r="A16" i="2"/>
  <c r="BP15" i="2"/>
  <c r="BO15" i="2"/>
  <c r="BN15" i="2"/>
  <c r="BM15" i="2"/>
  <c r="BL15" i="2"/>
  <c r="BJ15" i="2"/>
  <c r="BI15" i="2"/>
  <c r="BH15" i="2"/>
  <c r="BG15" i="2"/>
  <c r="BF15" i="2"/>
  <c r="BE15" i="2"/>
  <c r="BD15" i="2"/>
  <c r="BB15" i="2"/>
  <c r="BA15" i="2"/>
  <c r="AZ15" i="2"/>
  <c r="AX15" i="2"/>
  <c r="AW15" i="2"/>
  <c r="AV15" i="2"/>
  <c r="AU15" i="2"/>
  <c r="AT15" i="2"/>
  <c r="AS15" i="2"/>
  <c r="AR15" i="2"/>
  <c r="AP15" i="2"/>
  <c r="AO15" i="2"/>
  <c r="AN15" i="2"/>
  <c r="AM15" i="2"/>
  <c r="AL15" i="2"/>
  <c r="AK15" i="2"/>
  <c r="AJ15" i="2"/>
  <c r="AH15" i="2"/>
  <c r="AG15" i="2"/>
  <c r="AF15" i="2"/>
  <c r="AD15" i="2"/>
  <c r="AC15" i="2"/>
  <c r="AB15" i="2"/>
  <c r="V15" i="2"/>
  <c r="U15" i="2"/>
  <c r="T15" i="2"/>
  <c r="S15" i="2"/>
  <c r="R15" i="2"/>
  <c r="Q15" i="2"/>
  <c r="P15" i="2"/>
  <c r="N15" i="2"/>
  <c r="M15" i="2"/>
  <c r="L15" i="2"/>
  <c r="J15" i="2"/>
  <c r="I15" i="2"/>
  <c r="H15" i="2"/>
  <c r="G15" i="2"/>
  <c r="A15" i="2"/>
  <c r="BP14" i="2"/>
  <c r="BO14" i="2"/>
  <c r="BN14" i="2"/>
  <c r="BM14" i="2"/>
  <c r="BL14" i="2"/>
  <c r="BJ14" i="2"/>
  <c r="BI14" i="2"/>
  <c r="BH14" i="2"/>
  <c r="BG14" i="2"/>
  <c r="BF14" i="2"/>
  <c r="BE14" i="2"/>
  <c r="BD14" i="2"/>
  <c r="BB14" i="2"/>
  <c r="BA14" i="2"/>
  <c r="AZ14" i="2"/>
  <c r="AY14" i="2"/>
  <c r="AX14" i="2"/>
  <c r="AW14" i="2"/>
  <c r="AV14" i="2"/>
  <c r="AU14" i="2"/>
  <c r="AT14" i="2"/>
  <c r="AS14" i="2"/>
  <c r="AR14" i="2"/>
  <c r="AP14" i="2"/>
  <c r="AO14" i="2"/>
  <c r="AN14" i="2"/>
  <c r="AM14" i="2"/>
  <c r="AL14" i="2"/>
  <c r="AK14" i="2"/>
  <c r="AJ14" i="2"/>
  <c r="AH14" i="2"/>
  <c r="AG14" i="2"/>
  <c r="AF14" i="2"/>
  <c r="AD14" i="2"/>
  <c r="AC14" i="2"/>
  <c r="AB14" i="2"/>
  <c r="V14" i="2"/>
  <c r="U14" i="2"/>
  <c r="T14" i="2"/>
  <c r="S14" i="2"/>
  <c r="R14" i="2"/>
  <c r="Q14" i="2"/>
  <c r="P14" i="2"/>
  <c r="N14" i="2"/>
  <c r="M14" i="2"/>
  <c r="L14" i="2"/>
  <c r="J14" i="2"/>
  <c r="I14" i="2"/>
  <c r="H14" i="2"/>
  <c r="G14" i="2"/>
  <c r="A14" i="2"/>
  <c r="BP13" i="2"/>
  <c r="BO13" i="2"/>
  <c r="BN13" i="2"/>
  <c r="BM13" i="2"/>
  <c r="BL13" i="2"/>
  <c r="BJ13" i="2"/>
  <c r="BI13" i="2"/>
  <c r="BH13" i="2"/>
  <c r="BG13" i="2"/>
  <c r="BF13" i="2"/>
  <c r="BE13" i="2"/>
  <c r="BD13" i="2"/>
  <c r="BB13" i="2"/>
  <c r="BA13" i="2"/>
  <c r="AZ13" i="2"/>
  <c r="AY13" i="2"/>
  <c r="AX13" i="2"/>
  <c r="AW13" i="2"/>
  <c r="AV13" i="2"/>
  <c r="AU13" i="2"/>
  <c r="AT13" i="2"/>
  <c r="AS13" i="2"/>
  <c r="AR13" i="2"/>
  <c r="AP13" i="2"/>
  <c r="AO13" i="2"/>
  <c r="AN13" i="2"/>
  <c r="AM13" i="2"/>
  <c r="AL13" i="2"/>
  <c r="AK13" i="2"/>
  <c r="AJ13" i="2"/>
  <c r="AH13" i="2"/>
  <c r="AG13" i="2"/>
  <c r="AF13" i="2"/>
  <c r="AD13" i="2"/>
  <c r="AC13" i="2"/>
  <c r="AB13" i="2"/>
  <c r="V13" i="2"/>
  <c r="U13" i="2"/>
  <c r="T13" i="2"/>
  <c r="S13" i="2"/>
  <c r="R13" i="2"/>
  <c r="Q13" i="2"/>
  <c r="P13" i="2"/>
  <c r="N13" i="2"/>
  <c r="M13" i="2"/>
  <c r="L13" i="2"/>
  <c r="J13" i="2"/>
  <c r="I13" i="2"/>
  <c r="H13" i="2"/>
  <c r="G13" i="2"/>
  <c r="A13" i="2"/>
  <c r="BP12" i="2"/>
  <c r="BO12" i="2"/>
  <c r="BN12" i="2"/>
  <c r="BM12" i="2"/>
  <c r="BL12" i="2"/>
  <c r="BJ12" i="2"/>
  <c r="BI12" i="2"/>
  <c r="BH12" i="2"/>
  <c r="BG12" i="2"/>
  <c r="BF12" i="2"/>
  <c r="BE12" i="2"/>
  <c r="BD12" i="2"/>
  <c r="BB12" i="2"/>
  <c r="BA12" i="2"/>
  <c r="AZ12" i="2"/>
  <c r="AY12" i="2"/>
  <c r="AX12" i="2"/>
  <c r="AW12" i="2"/>
  <c r="AV12" i="2"/>
  <c r="AU12" i="2"/>
  <c r="AT12" i="2"/>
  <c r="AS12" i="2"/>
  <c r="AR12" i="2"/>
  <c r="AP12" i="2"/>
  <c r="AO12" i="2"/>
  <c r="AN12" i="2"/>
  <c r="AM12" i="2"/>
  <c r="AL12" i="2"/>
  <c r="AK12" i="2"/>
  <c r="AJ12" i="2"/>
  <c r="AH12" i="2"/>
  <c r="AG12" i="2"/>
  <c r="AF12" i="2"/>
  <c r="AD12" i="2"/>
  <c r="AC12" i="2"/>
  <c r="AB12" i="2"/>
  <c r="V12" i="2"/>
  <c r="U12" i="2"/>
  <c r="T12" i="2"/>
  <c r="S12" i="2"/>
  <c r="R12" i="2"/>
  <c r="Q12" i="2"/>
  <c r="P12" i="2"/>
  <c r="N12" i="2"/>
  <c r="M12" i="2"/>
  <c r="L12" i="2"/>
  <c r="J12" i="2"/>
  <c r="I12" i="2"/>
  <c r="H12" i="2"/>
  <c r="G12" i="2"/>
  <c r="A12" i="2"/>
  <c r="BP11" i="2"/>
  <c r="BO11" i="2"/>
  <c r="BN11" i="2"/>
  <c r="BM11" i="2"/>
  <c r="BL11" i="2"/>
  <c r="BJ11" i="2"/>
  <c r="BI11" i="2"/>
  <c r="BH11" i="2"/>
  <c r="BG11" i="2"/>
  <c r="BF11" i="2"/>
  <c r="BE11" i="2"/>
  <c r="BD11" i="2"/>
  <c r="BB11" i="2"/>
  <c r="BA11" i="2"/>
  <c r="AZ11" i="2"/>
  <c r="AY11" i="2"/>
  <c r="AX11" i="2"/>
  <c r="AW11" i="2"/>
  <c r="AV11" i="2"/>
  <c r="AU11" i="2"/>
  <c r="AT11" i="2"/>
  <c r="AS11" i="2"/>
  <c r="AR11" i="2"/>
  <c r="AP11" i="2"/>
  <c r="AO11" i="2"/>
  <c r="AN11" i="2"/>
  <c r="AM11" i="2"/>
  <c r="AL11" i="2"/>
  <c r="AK11" i="2"/>
  <c r="AJ11" i="2"/>
  <c r="AH11" i="2"/>
  <c r="AG11" i="2"/>
  <c r="AF11" i="2"/>
  <c r="AD11" i="2"/>
  <c r="AC11" i="2"/>
  <c r="AB11" i="2"/>
  <c r="V11" i="2"/>
  <c r="U11" i="2"/>
  <c r="T11" i="2"/>
  <c r="S11" i="2"/>
  <c r="R11" i="2"/>
  <c r="Q11" i="2"/>
  <c r="P11" i="2"/>
  <c r="N11" i="2"/>
  <c r="M11" i="2"/>
  <c r="L11" i="2"/>
  <c r="J11" i="2"/>
  <c r="I11" i="2"/>
  <c r="H11" i="2"/>
  <c r="G11" i="2"/>
  <c r="A11" i="2"/>
  <c r="BP10" i="2"/>
  <c r="BO10" i="2"/>
  <c r="BN10" i="2"/>
  <c r="BM10" i="2"/>
  <c r="BL10" i="2"/>
  <c r="BJ10" i="2"/>
  <c r="BI10" i="2"/>
  <c r="BH10" i="2"/>
  <c r="BG10" i="2"/>
  <c r="BF10" i="2"/>
  <c r="BE10" i="2"/>
  <c r="BD10" i="2"/>
  <c r="BB10" i="2"/>
  <c r="BA10" i="2"/>
  <c r="AZ10" i="2"/>
  <c r="AY10" i="2"/>
  <c r="AX10" i="2"/>
  <c r="AW10" i="2"/>
  <c r="AV10" i="2"/>
  <c r="AU10" i="2"/>
  <c r="AT10" i="2"/>
  <c r="AS10" i="2"/>
  <c r="AR10" i="2"/>
  <c r="AP10" i="2"/>
  <c r="AO10" i="2"/>
  <c r="AN10" i="2"/>
  <c r="AM10" i="2"/>
  <c r="AL10" i="2"/>
  <c r="AK10" i="2"/>
  <c r="AJ10" i="2"/>
  <c r="AH10" i="2"/>
  <c r="AG10" i="2"/>
  <c r="AF10" i="2"/>
  <c r="AD10" i="2"/>
  <c r="AC10" i="2"/>
  <c r="AB10" i="2"/>
  <c r="Z10" i="2"/>
  <c r="Y10" i="2"/>
  <c r="X10" i="2"/>
  <c r="V10" i="2"/>
  <c r="U10" i="2"/>
  <c r="T10" i="2"/>
  <c r="S10" i="2"/>
  <c r="R10" i="2"/>
  <c r="Q10" i="2"/>
  <c r="P10" i="2"/>
  <c r="N10" i="2"/>
  <c r="M10" i="2"/>
  <c r="L10" i="2"/>
  <c r="J10" i="2"/>
  <c r="I10" i="2"/>
  <c r="H10" i="2"/>
  <c r="G10" i="2"/>
  <c r="A10" i="2"/>
  <c r="AH39" i="54"/>
  <c r="AG39" i="54"/>
  <c r="AF39" i="54"/>
  <c r="AE39" i="54"/>
  <c r="AD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H37" i="54"/>
  <c r="AG37" i="54"/>
  <c r="AH36" i="54"/>
  <c r="AG36" i="54"/>
  <c r="P36" i="54"/>
  <c r="AH35" i="54"/>
  <c r="AG35" i="54"/>
  <c r="AH34" i="54"/>
  <c r="AG34" i="54"/>
  <c r="AH33" i="54"/>
  <c r="AG33" i="54"/>
  <c r="AH32" i="54"/>
  <c r="AG32" i="54"/>
  <c r="AH31" i="54"/>
  <c r="AG31" i="54"/>
  <c r="AH30" i="54"/>
  <c r="AG30" i="54"/>
  <c r="AH29" i="54"/>
  <c r="AG29" i="54"/>
  <c r="AH28" i="54"/>
  <c r="AG28" i="54"/>
  <c r="AH27" i="54"/>
  <c r="AG27" i="54"/>
  <c r="AH26" i="54"/>
  <c r="AG26" i="54"/>
  <c r="AH25" i="54"/>
  <c r="AG25" i="54"/>
  <c r="AH24" i="54"/>
  <c r="AG24" i="54"/>
  <c r="AH23" i="54"/>
  <c r="AG23" i="54"/>
  <c r="AH22" i="54"/>
  <c r="AG22" i="54"/>
  <c r="AH21" i="54"/>
  <c r="AG21" i="54"/>
  <c r="AH20" i="54"/>
  <c r="AG20" i="54"/>
  <c r="AH19" i="54"/>
  <c r="AG19" i="54"/>
  <c r="R19" i="54"/>
  <c r="AH18" i="54"/>
  <c r="AG18" i="54"/>
  <c r="AH17" i="54"/>
  <c r="AG17" i="54"/>
  <c r="AH16" i="54"/>
  <c r="AG16" i="54"/>
  <c r="AH15" i="54"/>
  <c r="AG15" i="54"/>
  <c r="AH14" i="54"/>
  <c r="AG14" i="54"/>
  <c r="AH13" i="54"/>
  <c r="AG13" i="54"/>
  <c r="AH12" i="54"/>
  <c r="AG12" i="54"/>
  <c r="AH11" i="54"/>
  <c r="AG11" i="54"/>
  <c r="Z11" i="54"/>
  <c r="AH10" i="54"/>
  <c r="AG10" i="54"/>
  <c r="AH9" i="54"/>
  <c r="AG9" i="54"/>
  <c r="AH8" i="54"/>
  <c r="AG8" i="54"/>
  <c r="AH7" i="54"/>
  <c r="AG7" i="54"/>
  <c r="B7" i="54"/>
  <c r="AH6" i="54"/>
  <c r="AG6" i="54"/>
  <c r="R6" i="54"/>
  <c r="Q6" i="54"/>
  <c r="AG4" i="54"/>
  <c r="AF4" i="54"/>
  <c r="AE4" i="54"/>
  <c r="AD4" i="54"/>
  <c r="AC4" i="54"/>
  <c r="AB4" i="54"/>
  <c r="AA4" i="54"/>
  <c r="Z4" i="54"/>
  <c r="Y4" i="54"/>
  <c r="X4" i="54"/>
  <c r="W4" i="54"/>
  <c r="V4" i="54"/>
  <c r="U4" i="54"/>
  <c r="T4" i="54"/>
  <c r="S4" i="54"/>
  <c r="R4" i="54"/>
  <c r="Q4" i="54"/>
  <c r="P4" i="54"/>
  <c r="O4" i="54"/>
  <c r="N4" i="54"/>
  <c r="M4" i="54"/>
  <c r="L4" i="54"/>
  <c r="K4" i="54"/>
  <c r="J4" i="54"/>
  <c r="I4" i="54"/>
  <c r="H4" i="54"/>
  <c r="G4" i="54"/>
  <c r="F4" i="54"/>
  <c r="E4" i="54"/>
  <c r="D4" i="54"/>
  <c r="C4" i="54"/>
  <c r="B4" i="54"/>
  <c r="AG3" i="54"/>
  <c r="AF3" i="54"/>
  <c r="AE3" i="54"/>
  <c r="AD3" i="54"/>
  <c r="AC3" i="54"/>
  <c r="AB3" i="54"/>
  <c r="AA3" i="54"/>
  <c r="Z3" i="54"/>
  <c r="Y3" i="54"/>
  <c r="X3" i="54"/>
  <c r="W3" i="54"/>
  <c r="V3" i="54"/>
  <c r="U3" i="54"/>
  <c r="T3" i="54"/>
  <c r="S3" i="54"/>
  <c r="R3" i="54"/>
  <c r="Q3" i="54"/>
  <c r="P3" i="54"/>
  <c r="O3" i="54"/>
  <c r="N3" i="54"/>
  <c r="M3" i="54"/>
  <c r="L3" i="54"/>
  <c r="K3" i="54"/>
  <c r="J3" i="54"/>
  <c r="I3" i="54"/>
  <c r="H3" i="54"/>
  <c r="G3" i="54"/>
  <c r="F3" i="54"/>
  <c r="D3" i="54"/>
  <c r="C3" i="54"/>
  <c r="B3" i="54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KV39" i="1"/>
  <c r="KU39" i="1"/>
  <c r="KT39" i="1"/>
  <c r="KS39" i="1"/>
  <c r="KR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C39" i="1"/>
  <c r="C40" i="2" s="1"/>
  <c r="B39" i="1"/>
  <c r="B40" i="2" s="1"/>
  <c r="A39" i="1"/>
  <c r="KV38" i="1"/>
  <c r="KU38" i="1"/>
  <c r="KT38" i="1"/>
  <c r="KS38" i="1"/>
  <c r="KR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C38" i="1"/>
  <c r="C39" i="2" s="1"/>
  <c r="B38" i="1"/>
  <c r="B39" i="2" s="1"/>
  <c r="A38" i="1"/>
  <c r="KV37" i="1"/>
  <c r="KU37" i="1"/>
  <c r="KT37" i="1"/>
  <c r="KS37" i="1"/>
  <c r="KR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C37" i="1"/>
  <c r="B37" i="1"/>
  <c r="B38" i="2" s="1"/>
  <c r="A37" i="1"/>
  <c r="KV36" i="1"/>
  <c r="KU36" i="1"/>
  <c r="KT36" i="1"/>
  <c r="KS36" i="1"/>
  <c r="KR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C36" i="1"/>
  <c r="C37" i="2" s="1"/>
  <c r="B36" i="1"/>
  <c r="B37" i="2" s="1"/>
  <c r="A36" i="1"/>
  <c r="KV35" i="1"/>
  <c r="KU35" i="1"/>
  <c r="KT35" i="1"/>
  <c r="KS35" i="1"/>
  <c r="KR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C35" i="1"/>
  <c r="C36" i="2" s="1"/>
  <c r="B35" i="1"/>
  <c r="B36" i="2" s="1"/>
  <c r="A35" i="1"/>
  <c r="KV34" i="1"/>
  <c r="KU34" i="1"/>
  <c r="KT34" i="1"/>
  <c r="KS34" i="1"/>
  <c r="KR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C34" i="1"/>
  <c r="B34" i="1"/>
  <c r="B35" i="2" s="1"/>
  <c r="A34" i="1"/>
  <c r="KV33" i="1"/>
  <c r="KU33" i="1"/>
  <c r="KT33" i="1"/>
  <c r="KS33" i="1"/>
  <c r="KR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C33" i="1"/>
  <c r="B33" i="1"/>
  <c r="B34" i="2" s="1"/>
  <c r="A33" i="1"/>
  <c r="KV32" i="1"/>
  <c r="KU32" i="1"/>
  <c r="KT32" i="1"/>
  <c r="KS32" i="1"/>
  <c r="KR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C32" i="1"/>
  <c r="C33" i="2" s="1"/>
  <c r="B32" i="1"/>
  <c r="B33" i="2" s="1"/>
  <c r="A32" i="1"/>
  <c r="KV31" i="1"/>
  <c r="KU31" i="1"/>
  <c r="KT31" i="1"/>
  <c r="KS31" i="1"/>
  <c r="KR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C31" i="1"/>
  <c r="C32" i="2" s="1"/>
  <c r="B31" i="1"/>
  <c r="B32" i="2" s="1"/>
  <c r="A31" i="1"/>
  <c r="KV30" i="1"/>
  <c r="KU30" i="1"/>
  <c r="KT30" i="1"/>
  <c r="KS30" i="1"/>
  <c r="KR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C30" i="1"/>
  <c r="C31" i="2" s="1"/>
  <c r="B30" i="1"/>
  <c r="B31" i="2" s="1"/>
  <c r="A30" i="1"/>
  <c r="KV29" i="1"/>
  <c r="KU29" i="1"/>
  <c r="KT29" i="1"/>
  <c r="KS29" i="1"/>
  <c r="KR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C29" i="1"/>
  <c r="C30" i="2" s="1"/>
  <c r="B29" i="1"/>
  <c r="B30" i="2" s="1"/>
  <c r="A29" i="1"/>
  <c r="KV28" i="1"/>
  <c r="KU28" i="1"/>
  <c r="KT28" i="1"/>
  <c r="KS28" i="1"/>
  <c r="KR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C28" i="1"/>
  <c r="C29" i="2" s="1"/>
  <c r="B28" i="1"/>
  <c r="B29" i="2" s="1"/>
  <c r="A28" i="1"/>
  <c r="KV27" i="1"/>
  <c r="KU27" i="1"/>
  <c r="KT27" i="1"/>
  <c r="KS27" i="1"/>
  <c r="KR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C27" i="1"/>
  <c r="C28" i="2" s="1"/>
  <c r="B27" i="1"/>
  <c r="B28" i="2" s="1"/>
  <c r="A27" i="1"/>
  <c r="KV26" i="1"/>
  <c r="KU26" i="1"/>
  <c r="KT26" i="1"/>
  <c r="KS26" i="1"/>
  <c r="KR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C26" i="1"/>
  <c r="C27" i="2" s="1"/>
  <c r="B26" i="1"/>
  <c r="B27" i="2" s="1"/>
  <c r="A26" i="1"/>
  <c r="KV25" i="1"/>
  <c r="KU25" i="1"/>
  <c r="KT25" i="1"/>
  <c r="KS25" i="1"/>
  <c r="KR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C25" i="1"/>
  <c r="C26" i="2" s="1"/>
  <c r="B25" i="1"/>
  <c r="B26" i="2" s="1"/>
  <c r="A25" i="1"/>
  <c r="KV24" i="1"/>
  <c r="KU24" i="1"/>
  <c r="KT24" i="1"/>
  <c r="KS24" i="1"/>
  <c r="KR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C24" i="1"/>
  <c r="C25" i="2" s="1"/>
  <c r="B24" i="1"/>
  <c r="B25" i="2" s="1"/>
  <c r="A24" i="1"/>
  <c r="KV23" i="1"/>
  <c r="KU23" i="1"/>
  <c r="KT23" i="1"/>
  <c r="KS23" i="1"/>
  <c r="KR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C23" i="1"/>
  <c r="C24" i="2" s="1"/>
  <c r="B23" i="1"/>
  <c r="B24" i="2" s="1"/>
  <c r="A23" i="1"/>
  <c r="KV22" i="1"/>
  <c r="KU22" i="1"/>
  <c r="KT22" i="1"/>
  <c r="KS22" i="1"/>
  <c r="KR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C22" i="1"/>
  <c r="C23" i="2" s="1"/>
  <c r="B22" i="1"/>
  <c r="B23" i="2" s="1"/>
  <c r="A22" i="1"/>
  <c r="KV21" i="1"/>
  <c r="KU21" i="1"/>
  <c r="KT21" i="1"/>
  <c r="KS21" i="1"/>
  <c r="KR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C21" i="1"/>
  <c r="C22" i="2" s="1"/>
  <c r="B21" i="1"/>
  <c r="B22" i="2" s="1"/>
  <c r="A21" i="1"/>
  <c r="KV20" i="1"/>
  <c r="KU20" i="1"/>
  <c r="KT20" i="1"/>
  <c r="KS20" i="1"/>
  <c r="KR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C20" i="1"/>
  <c r="C21" i="2" s="1"/>
  <c r="B20" i="1"/>
  <c r="B21" i="2" s="1"/>
  <c r="A20" i="1"/>
  <c r="KV19" i="1"/>
  <c r="KU19" i="1"/>
  <c r="KT19" i="1"/>
  <c r="KS19" i="1"/>
  <c r="KR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C19" i="1"/>
  <c r="C20" i="2" s="1"/>
  <c r="B19" i="1"/>
  <c r="B20" i="2" s="1"/>
  <c r="A19" i="1"/>
  <c r="KV18" i="1"/>
  <c r="KU18" i="1"/>
  <c r="KT18" i="1"/>
  <c r="KS18" i="1"/>
  <c r="KR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R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C18" i="1"/>
  <c r="C19" i="2" s="1"/>
  <c r="B18" i="1"/>
  <c r="B19" i="2" s="1"/>
  <c r="A18" i="1"/>
  <c r="KV17" i="1"/>
  <c r="KU17" i="1"/>
  <c r="KT17" i="1"/>
  <c r="KS17" i="1"/>
  <c r="KR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C17" i="1"/>
  <c r="C18" i="2" s="1"/>
  <c r="B17" i="1"/>
  <c r="B18" i="2" s="1"/>
  <c r="A17" i="1"/>
  <c r="KV16" i="1"/>
  <c r="KU16" i="1"/>
  <c r="KT16" i="1"/>
  <c r="KS16" i="1"/>
  <c r="KR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C16" i="1"/>
  <c r="C17" i="2" s="1"/>
  <c r="B16" i="1"/>
  <c r="B17" i="2" s="1"/>
  <c r="A16" i="1"/>
  <c r="KV15" i="1"/>
  <c r="KU15" i="1"/>
  <c r="KT15" i="1"/>
  <c r="KS15" i="1"/>
  <c r="KR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C15" i="1"/>
  <c r="C16" i="2" s="1"/>
  <c r="B15" i="1"/>
  <c r="B16" i="2" s="1"/>
  <c r="A15" i="1"/>
  <c r="KV14" i="1"/>
  <c r="KU14" i="1"/>
  <c r="KT14" i="1"/>
  <c r="KS14" i="1"/>
  <c r="KR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C14" i="1"/>
  <c r="C15" i="2" s="1"/>
  <c r="B14" i="1"/>
  <c r="B15" i="2" s="1"/>
  <c r="A14" i="1"/>
  <c r="KV13" i="1"/>
  <c r="KU13" i="1"/>
  <c r="KT13" i="1"/>
  <c r="KS13" i="1"/>
  <c r="KR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C13" i="1"/>
  <c r="C14" i="2" s="1"/>
  <c r="B13" i="1"/>
  <c r="B14" i="2" s="1"/>
  <c r="A13" i="1"/>
  <c r="KV12" i="1"/>
  <c r="KU12" i="1"/>
  <c r="KT12" i="1"/>
  <c r="KS12" i="1"/>
  <c r="KR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D12" i="1"/>
  <c r="D13" i="2" s="1"/>
  <c r="C12" i="1"/>
  <c r="C13" i="2" s="1"/>
  <c r="B12" i="1"/>
  <c r="B13" i="2" s="1"/>
  <c r="A12" i="1"/>
  <c r="KV11" i="1"/>
  <c r="KU11" i="1"/>
  <c r="KT11" i="1"/>
  <c r="KS11" i="1"/>
  <c r="KR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C11" i="1"/>
  <c r="C12" i="2" s="1"/>
  <c r="B11" i="1"/>
  <c r="B12" i="2" s="1"/>
  <c r="A11" i="1"/>
  <c r="KV10" i="1"/>
  <c r="KU10" i="1"/>
  <c r="KT10" i="1"/>
  <c r="KS10" i="1"/>
  <c r="KR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C10" i="1"/>
  <c r="C11" i="2" s="1"/>
  <c r="B10" i="1"/>
  <c r="B11" i="2" s="1"/>
  <c r="A10" i="1"/>
  <c r="KV9" i="1"/>
  <c r="KU9" i="1"/>
  <c r="KT9" i="1"/>
  <c r="KS9" i="1"/>
  <c r="KR9" i="1"/>
  <c r="KP9" i="1"/>
  <c r="KO9" i="1"/>
  <c r="KM9" i="1"/>
  <c r="KL9" i="1"/>
  <c r="KJ9" i="1"/>
  <c r="KI9" i="1"/>
  <c r="KG9" i="1"/>
  <c r="KF9" i="1"/>
  <c r="KD9" i="1"/>
  <c r="KC9" i="1"/>
  <c r="KA9" i="1"/>
  <c r="JZ9" i="1"/>
  <c r="JX9" i="1"/>
  <c r="JW9" i="1"/>
  <c r="JU9" i="1"/>
  <c r="JT9" i="1"/>
  <c r="JR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C9" i="1"/>
  <c r="C10" i="2" s="1"/>
  <c r="B9" i="1"/>
  <c r="B10" i="2" s="1"/>
  <c r="AY139" i="57"/>
  <c r="AY141" i="57" s="1"/>
  <c r="BF135" i="57"/>
  <c r="BE135" i="57"/>
  <c r="BD135" i="57"/>
  <c r="BC135" i="57"/>
  <c r="BB135" i="57"/>
  <c r="AZ135" i="57"/>
  <c r="AY135" i="57"/>
  <c r="AX135" i="57"/>
  <c r="AW135" i="57"/>
  <c r="AV135" i="57"/>
  <c r="AU135" i="57"/>
  <c r="AT135" i="57"/>
  <c r="AS135" i="57"/>
  <c r="AQ135" i="57"/>
  <c r="AP135" i="57"/>
  <c r="AO135" i="57"/>
  <c r="AN135" i="57"/>
  <c r="AL135" i="57"/>
  <c r="AK135" i="57"/>
  <c r="AJ135" i="57"/>
  <c r="AI135" i="57"/>
  <c r="AH135" i="57"/>
  <c r="AG135" i="57"/>
  <c r="AF135" i="57"/>
  <c r="AR134" i="57"/>
  <c r="AM134" i="57"/>
  <c r="AC134" i="57"/>
  <c r="AA134" i="57"/>
  <c r="AR132" i="57"/>
  <c r="BA132" i="57" s="1"/>
  <c r="AM132" i="57"/>
  <c r="AR131" i="57"/>
  <c r="BA131" i="57" s="1"/>
  <c r="AD131" i="57" s="1"/>
  <c r="AM131" i="57"/>
  <c r="AR130" i="57"/>
  <c r="BA130" i="57" s="1"/>
  <c r="AM130" i="57"/>
  <c r="Z130" i="57"/>
  <c r="Y130" i="57"/>
  <c r="W130" i="57"/>
  <c r="O130" i="57"/>
  <c r="U130" i="57" s="1"/>
  <c r="AA130" i="57" s="1"/>
  <c r="N130" i="57"/>
  <c r="K130" i="57" s="1"/>
  <c r="J130" i="57"/>
  <c r="G130" i="57"/>
  <c r="AR128" i="57"/>
  <c r="BA128" i="57" s="1"/>
  <c r="AM128" i="57"/>
  <c r="AR127" i="57"/>
  <c r="BA127" i="57" s="1"/>
  <c r="AM127" i="57"/>
  <c r="AD127" i="57" s="1"/>
  <c r="W127" i="57"/>
  <c r="AR126" i="57"/>
  <c r="BA126" i="57" s="1"/>
  <c r="AM126" i="57"/>
  <c r="W126" i="57"/>
  <c r="U126" i="57"/>
  <c r="AA126" i="57" s="1"/>
  <c r="P126" i="57"/>
  <c r="O126" i="57"/>
  <c r="T126" i="57" s="1"/>
  <c r="N126" i="57"/>
  <c r="G126" i="57"/>
  <c r="K126" i="57" s="1"/>
  <c r="C126" i="57"/>
  <c r="AR124" i="57"/>
  <c r="BA124" i="57" s="1"/>
  <c r="AM124" i="57"/>
  <c r="AD124" i="57" s="1"/>
  <c r="BA123" i="57"/>
  <c r="AR123" i="57"/>
  <c r="AM123" i="57"/>
  <c r="AD123" i="57" s="1"/>
  <c r="W123" i="57"/>
  <c r="O123" i="57"/>
  <c r="T123" i="57" s="1"/>
  <c r="N123" i="57"/>
  <c r="G123" i="57"/>
  <c r="V123" i="57" s="1"/>
  <c r="AR122" i="57"/>
  <c r="BA122" i="57" s="1"/>
  <c r="AD122" i="57" s="1"/>
  <c r="AM122" i="57"/>
  <c r="Y122" i="57"/>
  <c r="Y135" i="57" s="1"/>
  <c r="W122" i="57"/>
  <c r="O122" i="57"/>
  <c r="N122" i="57"/>
  <c r="J122" i="57"/>
  <c r="BA120" i="57"/>
  <c r="AD120" i="57" s="1"/>
  <c r="AR120" i="57"/>
  <c r="AM120" i="57"/>
  <c r="BA119" i="57"/>
  <c r="AR119" i="57"/>
  <c r="AM119" i="57"/>
  <c r="AD119" i="57" s="1"/>
  <c r="W119" i="57"/>
  <c r="O119" i="57"/>
  <c r="V119" i="57" s="1"/>
  <c r="N119" i="57"/>
  <c r="J119" i="57"/>
  <c r="AR118" i="57"/>
  <c r="BA118" i="57" s="1"/>
  <c r="AM118" i="57"/>
  <c r="Z118" i="57"/>
  <c r="W118" i="57"/>
  <c r="O118" i="57"/>
  <c r="U118" i="57" s="1"/>
  <c r="N118" i="57"/>
  <c r="G118" i="57"/>
  <c r="AR116" i="57"/>
  <c r="BA116" i="57" s="1"/>
  <c r="AM116" i="57"/>
  <c r="AR115" i="57"/>
  <c r="BA115" i="57" s="1"/>
  <c r="AD115" i="57" s="1"/>
  <c r="AM115" i="57"/>
  <c r="AR114" i="57"/>
  <c r="BA114" i="57" s="1"/>
  <c r="AM114" i="57"/>
  <c r="Z114" i="57"/>
  <c r="W114" i="57"/>
  <c r="P114" i="57"/>
  <c r="O114" i="57"/>
  <c r="U114" i="57" s="1"/>
  <c r="AA114" i="57" s="1"/>
  <c r="N114" i="57"/>
  <c r="H114" i="57"/>
  <c r="J114" i="57" s="1"/>
  <c r="G114" i="57"/>
  <c r="K114" i="57" s="1"/>
  <c r="BA112" i="57"/>
  <c r="AR112" i="57"/>
  <c r="AM112" i="57"/>
  <c r="AD112" i="57" s="1"/>
  <c r="AR111" i="57"/>
  <c r="BA111" i="57" s="1"/>
  <c r="AD111" i="57" s="1"/>
  <c r="AM111" i="57"/>
  <c r="BA110" i="57"/>
  <c r="AR110" i="57"/>
  <c r="AM110" i="57"/>
  <c r="AD110" i="57" s="1"/>
  <c r="W110" i="57"/>
  <c r="O110" i="57"/>
  <c r="U110" i="57" s="1"/>
  <c r="AA110" i="57" s="1"/>
  <c r="N110" i="57"/>
  <c r="H110" i="57" s="1"/>
  <c r="J110" i="57" s="1"/>
  <c r="G110" i="57"/>
  <c r="AR108" i="57"/>
  <c r="BA108" i="57" s="1"/>
  <c r="AM108" i="57"/>
  <c r="AD108" i="57" s="1"/>
  <c r="BA107" i="57"/>
  <c r="AR107" i="57"/>
  <c r="AM107" i="57"/>
  <c r="AD107" i="57" s="1"/>
  <c r="W107" i="57"/>
  <c r="T107" i="57"/>
  <c r="O107" i="57"/>
  <c r="U107" i="57" s="1"/>
  <c r="N107" i="57"/>
  <c r="J107" i="57"/>
  <c r="H107" i="57"/>
  <c r="G107" i="57"/>
  <c r="AR106" i="57"/>
  <c r="BA106" i="57" s="1"/>
  <c r="AD106" i="57" s="1"/>
  <c r="AM106" i="57"/>
  <c r="W106" i="57"/>
  <c r="V106" i="57"/>
  <c r="T106" i="57"/>
  <c r="P106" i="57"/>
  <c r="O106" i="57"/>
  <c r="U106" i="57" s="1"/>
  <c r="N106" i="57"/>
  <c r="K106" i="57"/>
  <c r="H106" i="57"/>
  <c r="J106" i="57" s="1"/>
  <c r="G106" i="57"/>
  <c r="C106" i="57"/>
  <c r="BA104" i="57"/>
  <c r="AD104" i="57" s="1"/>
  <c r="AR104" i="57"/>
  <c r="AM104" i="57"/>
  <c r="AR103" i="57"/>
  <c r="BA103" i="57" s="1"/>
  <c r="AD103" i="57" s="1"/>
  <c r="AM103" i="57"/>
  <c r="BA102" i="57"/>
  <c r="AD102" i="57" s="1"/>
  <c r="AR102" i="57"/>
  <c r="AM102" i="57"/>
  <c r="Z102" i="57"/>
  <c r="W102" i="57"/>
  <c r="O102" i="57"/>
  <c r="T102" i="57" s="1"/>
  <c r="N102" i="57"/>
  <c r="H102" i="57" s="1"/>
  <c r="G102" i="57"/>
  <c r="V102" i="57" s="1"/>
  <c r="BA100" i="57"/>
  <c r="AR100" i="57"/>
  <c r="AM100" i="57"/>
  <c r="AD100" i="57" s="1"/>
  <c r="AR99" i="57"/>
  <c r="BA99" i="57" s="1"/>
  <c r="AM99" i="57"/>
  <c r="AD99" i="57" s="1"/>
  <c r="W99" i="57"/>
  <c r="V99" i="57"/>
  <c r="O99" i="57"/>
  <c r="P99" i="57" s="1"/>
  <c r="N99" i="57"/>
  <c r="H99" i="57"/>
  <c r="G99" i="57"/>
  <c r="AR98" i="57"/>
  <c r="BA98" i="57" s="1"/>
  <c r="AD98" i="57" s="1"/>
  <c r="AM98" i="57"/>
  <c r="Z98" i="57"/>
  <c r="W98" i="57"/>
  <c r="O98" i="57"/>
  <c r="N98" i="57"/>
  <c r="H98" i="57" s="1"/>
  <c r="J98" i="57" s="1"/>
  <c r="G98" i="57"/>
  <c r="BA96" i="57"/>
  <c r="AR96" i="57"/>
  <c r="AM96" i="57"/>
  <c r="AD96" i="57" s="1"/>
  <c r="BA95" i="57"/>
  <c r="AR95" i="57"/>
  <c r="AM95" i="57"/>
  <c r="AD95" i="57" s="1"/>
  <c r="W95" i="57"/>
  <c r="T95" i="57"/>
  <c r="O95" i="57"/>
  <c r="U95" i="57" s="1"/>
  <c r="N95" i="57"/>
  <c r="K95" i="57"/>
  <c r="AC95" i="57" s="1"/>
  <c r="J95" i="57"/>
  <c r="H95" i="57"/>
  <c r="G95" i="57"/>
  <c r="AR94" i="57"/>
  <c r="BA94" i="57" s="1"/>
  <c r="AD94" i="57" s="1"/>
  <c r="AM94" i="57"/>
  <c r="W94" i="57"/>
  <c r="T94" i="57"/>
  <c r="P94" i="57"/>
  <c r="O94" i="57"/>
  <c r="U94" i="57" s="1"/>
  <c r="N94" i="57"/>
  <c r="G94" i="57"/>
  <c r="J94" i="57" s="1"/>
  <c r="BA92" i="57"/>
  <c r="AR92" i="57"/>
  <c r="AM92" i="57"/>
  <c r="AD92" i="57" s="1"/>
  <c r="BA91" i="57"/>
  <c r="AR91" i="57"/>
  <c r="AM91" i="57"/>
  <c r="AD91" i="57" s="1"/>
  <c r="BA90" i="57"/>
  <c r="AR90" i="57"/>
  <c r="AM90" i="57"/>
  <c r="AD90" i="57" s="1"/>
  <c r="Z90" i="57"/>
  <c r="W90" i="57"/>
  <c r="T90" i="57"/>
  <c r="O90" i="57"/>
  <c r="U90" i="57" s="1"/>
  <c r="N90" i="57"/>
  <c r="J90" i="57"/>
  <c r="G90" i="57"/>
  <c r="BA88" i="57"/>
  <c r="AR88" i="57"/>
  <c r="AM88" i="57"/>
  <c r="AD88" i="57" s="1"/>
  <c r="BA87" i="57"/>
  <c r="AR87" i="57"/>
  <c r="AM87" i="57"/>
  <c r="AD87" i="57" s="1"/>
  <c r="BA86" i="57"/>
  <c r="AR86" i="57"/>
  <c r="AM86" i="57"/>
  <c r="AD86" i="57" s="1"/>
  <c r="Z86" i="57"/>
  <c r="W86" i="57"/>
  <c r="T86" i="57"/>
  <c r="AC86" i="57" s="1"/>
  <c r="P86" i="57"/>
  <c r="O86" i="57"/>
  <c r="U86" i="57" s="1"/>
  <c r="N86" i="57"/>
  <c r="K86" i="57"/>
  <c r="G86" i="57"/>
  <c r="J86" i="57" s="1"/>
  <c r="BA84" i="57"/>
  <c r="AR84" i="57"/>
  <c r="AM84" i="57"/>
  <c r="AD84" i="57" s="1"/>
  <c r="Z84" i="57"/>
  <c r="W84" i="57"/>
  <c r="P84" i="57"/>
  <c r="O84" i="57"/>
  <c r="U84" i="57" s="1"/>
  <c r="N84" i="57"/>
  <c r="K84" i="57" s="1"/>
  <c r="J84" i="57"/>
  <c r="G84" i="57"/>
  <c r="V84" i="57" s="1"/>
  <c r="BA83" i="57"/>
  <c r="AR83" i="57"/>
  <c r="AM83" i="57"/>
  <c r="AD83" i="57"/>
  <c r="W83" i="57"/>
  <c r="U83" i="57"/>
  <c r="S83" i="57"/>
  <c r="O83" i="57"/>
  <c r="P83" i="57" s="1"/>
  <c r="N83" i="57"/>
  <c r="H83" i="57"/>
  <c r="BA82" i="57"/>
  <c r="AR82" i="57"/>
  <c r="AM82" i="57"/>
  <c r="AD82" i="57" s="1"/>
  <c r="Z82" i="57"/>
  <c r="W82" i="57"/>
  <c r="O82" i="57"/>
  <c r="V82" i="57" s="1"/>
  <c r="N82" i="57"/>
  <c r="H82" i="57"/>
  <c r="J82" i="57" s="1"/>
  <c r="BA80" i="57"/>
  <c r="AR80" i="57"/>
  <c r="AM80" i="57"/>
  <c r="AD80" i="57" s="1"/>
  <c r="BA79" i="57"/>
  <c r="AR79" i="57"/>
  <c r="AM79" i="57"/>
  <c r="AD79" i="57" s="1"/>
  <c r="BA78" i="57"/>
  <c r="AR78" i="57"/>
  <c r="AM78" i="57"/>
  <c r="AD78" i="57" s="1"/>
  <c r="Z78" i="57"/>
  <c r="W78" i="57"/>
  <c r="O78" i="57"/>
  <c r="N78" i="57"/>
  <c r="H78" i="57"/>
  <c r="BA76" i="57"/>
  <c r="AR76" i="57"/>
  <c r="AM76" i="57"/>
  <c r="AD76" i="57" s="1"/>
  <c r="BA75" i="57"/>
  <c r="AR75" i="57"/>
  <c r="AM75" i="57"/>
  <c r="AD75" i="57" s="1"/>
  <c r="BA74" i="57"/>
  <c r="AR74" i="57"/>
  <c r="AM74" i="57"/>
  <c r="AD74" i="57" s="1"/>
  <c r="W74" i="57"/>
  <c r="O74" i="57"/>
  <c r="P74" i="57" s="1"/>
  <c r="N74" i="57"/>
  <c r="H74" i="57"/>
  <c r="BA73" i="57"/>
  <c r="AR73" i="57"/>
  <c r="AM73" i="57"/>
  <c r="AD73" i="57" s="1"/>
  <c r="Z73" i="57"/>
  <c r="W73" i="57"/>
  <c r="V73" i="57"/>
  <c r="S73" i="57"/>
  <c r="Q73" i="57"/>
  <c r="O73" i="57"/>
  <c r="U73" i="57" s="1"/>
  <c r="N73" i="57"/>
  <c r="H73" i="57"/>
  <c r="J73" i="57" s="1"/>
  <c r="BA71" i="57"/>
  <c r="AR71" i="57"/>
  <c r="AM71" i="57"/>
  <c r="BA70" i="57"/>
  <c r="AR70" i="57"/>
  <c r="AM70" i="57"/>
  <c r="AD70" i="57" s="1"/>
  <c r="BA69" i="57"/>
  <c r="AD69" i="57" s="1"/>
  <c r="AR69" i="57"/>
  <c r="AM69" i="57"/>
  <c r="W69" i="57"/>
  <c r="S69" i="57"/>
  <c r="Q69" i="57"/>
  <c r="Q135" i="57" s="1"/>
  <c r="Q136" i="57" s="1"/>
  <c r="O69" i="57"/>
  <c r="N69" i="57"/>
  <c r="H69" i="57"/>
  <c r="AR68" i="57"/>
  <c r="BA68" i="57" s="1"/>
  <c r="AM68" i="57"/>
  <c r="AD68" i="57" s="1"/>
  <c r="Z68" i="57"/>
  <c r="W68" i="57"/>
  <c r="O68" i="57"/>
  <c r="N68" i="57"/>
  <c r="J68" i="57"/>
  <c r="AR66" i="57"/>
  <c r="BA66" i="57" s="1"/>
  <c r="AM66" i="57"/>
  <c r="AD66" i="57"/>
  <c r="BA65" i="57"/>
  <c r="AR65" i="57"/>
  <c r="AM65" i="57"/>
  <c r="AD65" i="57"/>
  <c r="W65" i="57"/>
  <c r="U65" i="57"/>
  <c r="O65" i="57"/>
  <c r="C65" i="57" s="1"/>
  <c r="N65" i="57"/>
  <c r="J65" i="57"/>
  <c r="BA64" i="57"/>
  <c r="AD64" i="57" s="1"/>
  <c r="AR64" i="57"/>
  <c r="AM64" i="57"/>
  <c r="Z64" i="57"/>
  <c r="W64" i="57"/>
  <c r="T64" i="57"/>
  <c r="O64" i="57"/>
  <c r="P64" i="57" s="1"/>
  <c r="N64" i="57"/>
  <c r="K64" i="57"/>
  <c r="J64" i="57"/>
  <c r="AR62" i="57"/>
  <c r="BA62" i="57" s="1"/>
  <c r="AD62" i="57" s="1"/>
  <c r="AM62" i="57"/>
  <c r="AR61" i="57"/>
  <c r="BA61" i="57" s="1"/>
  <c r="AM61" i="57"/>
  <c r="BA60" i="57"/>
  <c r="AD60" i="57" s="1"/>
  <c r="AR60" i="57"/>
  <c r="AM60" i="57"/>
  <c r="Z60" i="57"/>
  <c r="W60" i="57"/>
  <c r="O60" i="57"/>
  <c r="K60" i="57" s="1"/>
  <c r="N60" i="57"/>
  <c r="V60" i="57" s="1"/>
  <c r="J60" i="57"/>
  <c r="BA58" i="57"/>
  <c r="AR58" i="57"/>
  <c r="AM58" i="57"/>
  <c r="AD58" i="57"/>
  <c r="AR57" i="57"/>
  <c r="BA57" i="57" s="1"/>
  <c r="AM57" i="57"/>
  <c r="AD57" i="57" s="1"/>
  <c r="W57" i="57"/>
  <c r="O57" i="57"/>
  <c r="N57" i="57"/>
  <c r="H57" i="57"/>
  <c r="J57" i="57" s="1"/>
  <c r="AR56" i="57"/>
  <c r="BA56" i="57" s="1"/>
  <c r="AM56" i="57"/>
  <c r="Z56" i="57"/>
  <c r="W56" i="57"/>
  <c r="O56" i="57"/>
  <c r="N56" i="57"/>
  <c r="H56" i="57" s="1"/>
  <c r="BA54" i="57"/>
  <c r="AR54" i="57"/>
  <c r="AM54" i="57"/>
  <c r="AD54" i="57" s="1"/>
  <c r="W54" i="57"/>
  <c r="BA53" i="57"/>
  <c r="AD53" i="57" s="1"/>
  <c r="AR53" i="57"/>
  <c r="AM53" i="57"/>
  <c r="W53" i="57"/>
  <c r="S53" i="57"/>
  <c r="O53" i="57"/>
  <c r="T53" i="57" s="1"/>
  <c r="N53" i="57"/>
  <c r="K53" i="57"/>
  <c r="J53" i="57"/>
  <c r="H53" i="57"/>
  <c r="BA52" i="57"/>
  <c r="AR52" i="57"/>
  <c r="AM52" i="57"/>
  <c r="W52" i="57"/>
  <c r="O52" i="57"/>
  <c r="P52" i="57" s="1"/>
  <c r="N52" i="57"/>
  <c r="H52" i="57" s="1"/>
  <c r="G52" i="57"/>
  <c r="BA50" i="57"/>
  <c r="AR50" i="57"/>
  <c r="AM50" i="57"/>
  <c r="AD50" i="57" s="1"/>
  <c r="BA49" i="57"/>
  <c r="AR49" i="57"/>
  <c r="AM49" i="57"/>
  <c r="AD49" i="57"/>
  <c r="W49" i="57"/>
  <c r="U49" i="57"/>
  <c r="O49" i="57"/>
  <c r="T49" i="57" s="1"/>
  <c r="N49" i="57"/>
  <c r="K49" i="57"/>
  <c r="J49" i="57"/>
  <c r="H49" i="57"/>
  <c r="G49" i="57"/>
  <c r="V49" i="57" s="1"/>
  <c r="BA48" i="57"/>
  <c r="AR48" i="57"/>
  <c r="AM48" i="57"/>
  <c r="AD48" i="57"/>
  <c r="Z48" i="57"/>
  <c r="W48" i="57"/>
  <c r="U48" i="57"/>
  <c r="T48" i="57"/>
  <c r="O48" i="57"/>
  <c r="P48" i="57" s="1"/>
  <c r="N48" i="57"/>
  <c r="H48" i="57" s="1"/>
  <c r="G48" i="57"/>
  <c r="K48" i="57" s="1"/>
  <c r="C48" i="57"/>
  <c r="AR46" i="57"/>
  <c r="BA46" i="57" s="1"/>
  <c r="AD46" i="57" s="1"/>
  <c r="AM46" i="57"/>
  <c r="BA45" i="57"/>
  <c r="AR45" i="57"/>
  <c r="AM45" i="57"/>
  <c r="AD45" i="57" s="1"/>
  <c r="AR44" i="57"/>
  <c r="BA44" i="57" s="1"/>
  <c r="AD44" i="57" s="1"/>
  <c r="AM44" i="57"/>
  <c r="Z44" i="57"/>
  <c r="W44" i="57"/>
  <c r="O44" i="57"/>
  <c r="U44" i="57" s="1"/>
  <c r="AA44" i="57" s="1"/>
  <c r="N44" i="57"/>
  <c r="H44" i="57" s="1"/>
  <c r="G44" i="57"/>
  <c r="AR42" i="57"/>
  <c r="BA42" i="57" s="1"/>
  <c r="AM42" i="57"/>
  <c r="AR41" i="57"/>
  <c r="BA41" i="57" s="1"/>
  <c r="AM41" i="57"/>
  <c r="AR40" i="57"/>
  <c r="BA40" i="57" s="1"/>
  <c r="AM40" i="57"/>
  <c r="W40" i="57"/>
  <c r="X40" i="57" s="1"/>
  <c r="O40" i="57"/>
  <c r="P40" i="57" s="1"/>
  <c r="N40" i="57"/>
  <c r="H40" i="57"/>
  <c r="G40" i="57"/>
  <c r="K40" i="57" s="1"/>
  <c r="AR38" i="57"/>
  <c r="BA38" i="57" s="1"/>
  <c r="AM38" i="57"/>
  <c r="AD38" i="57" s="1"/>
  <c r="W38" i="57"/>
  <c r="S38" i="57"/>
  <c r="S135" i="57" s="1"/>
  <c r="P38" i="57"/>
  <c r="O38" i="57"/>
  <c r="U38" i="57" s="1"/>
  <c r="N38" i="57"/>
  <c r="H38" i="57" s="1"/>
  <c r="G38" i="57"/>
  <c r="BA37" i="57"/>
  <c r="AR37" i="57"/>
  <c r="AM37" i="57"/>
  <c r="AD37" i="57"/>
  <c r="W37" i="57"/>
  <c r="U37" i="57"/>
  <c r="T37" i="57"/>
  <c r="O37" i="57"/>
  <c r="P37" i="57" s="1"/>
  <c r="N37" i="57"/>
  <c r="C37" i="57"/>
  <c r="BA36" i="57"/>
  <c r="AR36" i="57"/>
  <c r="AM36" i="57"/>
  <c r="AD36" i="57"/>
  <c r="W36" i="57"/>
  <c r="O36" i="57"/>
  <c r="U36" i="57" s="1"/>
  <c r="N36" i="57"/>
  <c r="K36" i="57"/>
  <c r="J36" i="57"/>
  <c r="G36" i="57"/>
  <c r="V36" i="57" s="1"/>
  <c r="BA34" i="57"/>
  <c r="AD34" i="57" s="1"/>
  <c r="AR34" i="57"/>
  <c r="AM34" i="57"/>
  <c r="AR33" i="57"/>
  <c r="BA33" i="57" s="1"/>
  <c r="AD33" i="57" s="1"/>
  <c r="AM33" i="57"/>
  <c r="BA32" i="57"/>
  <c r="AD32" i="57" s="1"/>
  <c r="AR32" i="57"/>
  <c r="AM32" i="57"/>
  <c r="W32" i="57"/>
  <c r="O32" i="57"/>
  <c r="T32" i="57" s="1"/>
  <c r="N32" i="57"/>
  <c r="J32" i="57"/>
  <c r="G32" i="57"/>
  <c r="K32" i="57" s="1"/>
  <c r="AR30" i="57"/>
  <c r="BA30" i="57" s="1"/>
  <c r="AM30" i="57"/>
  <c r="AD30" i="57" s="1"/>
  <c r="AR29" i="57"/>
  <c r="BA29" i="57" s="1"/>
  <c r="AM29" i="57"/>
  <c r="AD29" i="57" s="1"/>
  <c r="AR28" i="57"/>
  <c r="BA28" i="57" s="1"/>
  <c r="AM28" i="57"/>
  <c r="AD28" i="57" s="1"/>
  <c r="Z28" i="57"/>
  <c r="W28" i="57"/>
  <c r="P28" i="57"/>
  <c r="O28" i="57"/>
  <c r="U28" i="57" s="1"/>
  <c r="N28" i="57"/>
  <c r="G28" i="57"/>
  <c r="AR26" i="57"/>
  <c r="BA26" i="57" s="1"/>
  <c r="AM26" i="57"/>
  <c r="AD26" i="57" s="1"/>
  <c r="AR25" i="57"/>
  <c r="BA25" i="57" s="1"/>
  <c r="AM25" i="57"/>
  <c r="AD25" i="57" s="1"/>
  <c r="AR24" i="57"/>
  <c r="BA24" i="57" s="1"/>
  <c r="AM24" i="57"/>
  <c r="AD24" i="57" s="1"/>
  <c r="Z24" i="57"/>
  <c r="W24" i="57"/>
  <c r="O24" i="57"/>
  <c r="T24" i="57" s="1"/>
  <c r="N24" i="57"/>
  <c r="J24" i="57"/>
  <c r="G24" i="57"/>
  <c r="K24" i="57" s="1"/>
  <c r="AR22" i="57"/>
  <c r="BA22" i="57" s="1"/>
  <c r="AM22" i="57"/>
  <c r="AD22" i="57" s="1"/>
  <c r="AR21" i="57"/>
  <c r="BA21" i="57" s="1"/>
  <c r="AM21" i="57"/>
  <c r="AD21" i="57" s="1"/>
  <c r="W21" i="57"/>
  <c r="O21" i="57"/>
  <c r="U21" i="57" s="1"/>
  <c r="N21" i="57"/>
  <c r="G21" i="57"/>
  <c r="K21" i="57" s="1"/>
  <c r="AR20" i="57"/>
  <c r="BA20" i="57" s="1"/>
  <c r="AM20" i="57"/>
  <c r="Z20" i="57"/>
  <c r="W20" i="57"/>
  <c r="O20" i="57"/>
  <c r="T20" i="57" s="1"/>
  <c r="N20" i="57"/>
  <c r="J20" i="57"/>
  <c r="G20" i="57"/>
  <c r="K20" i="57" s="1"/>
  <c r="AR18" i="57"/>
  <c r="BA18" i="57" s="1"/>
  <c r="AM18" i="57"/>
  <c r="AR17" i="57"/>
  <c r="BA17" i="57" s="1"/>
  <c r="AM17" i="57"/>
  <c r="AR16" i="57"/>
  <c r="BA16" i="57" s="1"/>
  <c r="AM16" i="57"/>
  <c r="W16" i="57"/>
  <c r="O16" i="57"/>
  <c r="U16" i="57" s="1"/>
  <c r="AA16" i="57" s="1"/>
  <c r="N16" i="57"/>
  <c r="G16" i="57"/>
  <c r="J16" i="57" s="1"/>
  <c r="BA14" i="57"/>
  <c r="AR14" i="57"/>
  <c r="AM14" i="57"/>
  <c r="AD14" i="57" s="1"/>
  <c r="AR13" i="57"/>
  <c r="BA13" i="57" s="1"/>
  <c r="AD13" i="57" s="1"/>
  <c r="AM13" i="57"/>
  <c r="W13" i="57"/>
  <c r="U13" i="57"/>
  <c r="O13" i="57"/>
  <c r="P13" i="57" s="1"/>
  <c r="N13" i="57"/>
  <c r="G13" i="57"/>
  <c r="K13" i="57" s="1"/>
  <c r="C13" i="57"/>
  <c r="AR12" i="57"/>
  <c r="BA12" i="57" s="1"/>
  <c r="AD12" i="57" s="1"/>
  <c r="AM12" i="57"/>
  <c r="Z12" i="57"/>
  <c r="W12" i="57"/>
  <c r="O12" i="57"/>
  <c r="U12" i="57" s="1"/>
  <c r="N12" i="57"/>
  <c r="G12" i="57"/>
  <c r="J12" i="57" s="1"/>
  <c r="AM11" i="57"/>
  <c r="AR10" i="57"/>
  <c r="BA10" i="57" s="1"/>
  <c r="AM10" i="57"/>
  <c r="AD10" i="57" s="1"/>
  <c r="AR9" i="57"/>
  <c r="BA9" i="57" s="1"/>
  <c r="AM9" i="57"/>
  <c r="AR8" i="57"/>
  <c r="BA8" i="57" s="1"/>
  <c r="AM8" i="57"/>
  <c r="AD8" i="57" s="1"/>
  <c r="AR7" i="57"/>
  <c r="BA7" i="57" s="1"/>
  <c r="AM7" i="57"/>
  <c r="AD7" i="57" s="1"/>
  <c r="AR6" i="57"/>
  <c r="AR135" i="57" s="1"/>
  <c r="AM6" i="57"/>
  <c r="AM135" i="57" s="1"/>
  <c r="Z6" i="57"/>
  <c r="W6" i="57"/>
  <c r="V6" i="57"/>
  <c r="R6" i="57"/>
  <c r="R135" i="57" s="1"/>
  <c r="P6" i="57"/>
  <c r="O6" i="57"/>
  <c r="T6" i="57" s="1"/>
  <c r="N6" i="57"/>
  <c r="K6" i="57"/>
  <c r="J6" i="57"/>
  <c r="G6" i="57"/>
  <c r="A6" i="57"/>
  <c r="BF135" i="46"/>
  <c r="BE135" i="46"/>
  <c r="BD135" i="46"/>
  <c r="BC135" i="46"/>
  <c r="BB135" i="46"/>
  <c r="AZ135" i="46"/>
  <c r="AY135" i="46"/>
  <c r="AX135" i="46"/>
  <c r="AW135" i="46"/>
  <c r="AV135" i="46"/>
  <c r="AU135" i="46"/>
  <c r="AT135" i="46"/>
  <c r="AS135" i="46"/>
  <c r="AQ135" i="46"/>
  <c r="AP135" i="46"/>
  <c r="AO135" i="46"/>
  <c r="AN135" i="46"/>
  <c r="AL135" i="46"/>
  <c r="AK135" i="46"/>
  <c r="AJ135" i="46"/>
  <c r="AI135" i="46"/>
  <c r="AH135" i="46"/>
  <c r="AG135" i="46"/>
  <c r="AF135" i="46"/>
  <c r="AR134" i="46"/>
  <c r="AM134" i="46"/>
  <c r="AC134" i="46"/>
  <c r="AA134" i="46"/>
  <c r="AR132" i="46"/>
  <c r="BA132" i="46" s="1"/>
  <c r="AM132" i="46"/>
  <c r="BA131" i="46"/>
  <c r="AR131" i="46"/>
  <c r="AM131" i="46"/>
  <c r="AD131" i="46"/>
  <c r="AR130" i="46"/>
  <c r="BA130" i="46" s="1"/>
  <c r="AM130" i="46"/>
  <c r="Z130" i="46"/>
  <c r="Y130" i="46"/>
  <c r="W130" i="46"/>
  <c r="O130" i="46"/>
  <c r="P130" i="46" s="1"/>
  <c r="N130" i="46"/>
  <c r="K130" i="46" s="1"/>
  <c r="J130" i="46"/>
  <c r="G130" i="46"/>
  <c r="V130" i="46" s="1"/>
  <c r="AR128" i="46"/>
  <c r="BA128" i="46" s="1"/>
  <c r="AM128" i="46"/>
  <c r="AD128" i="46" s="1"/>
  <c r="AR127" i="46"/>
  <c r="BA127" i="46" s="1"/>
  <c r="AD127" i="46" s="1"/>
  <c r="AM127" i="46"/>
  <c r="AC127" i="46"/>
  <c r="W127" i="46"/>
  <c r="BA126" i="46"/>
  <c r="AD126" i="46" s="1"/>
  <c r="AR126" i="46"/>
  <c r="AM126" i="46"/>
  <c r="W126" i="46"/>
  <c r="O126" i="46"/>
  <c r="N126" i="46"/>
  <c r="J126" i="46"/>
  <c r="G126" i="46"/>
  <c r="BA124" i="46"/>
  <c r="AR124" i="46"/>
  <c r="AM124" i="46"/>
  <c r="AD124" i="46" s="1"/>
  <c r="BA123" i="46"/>
  <c r="AR123" i="46"/>
  <c r="AM123" i="46"/>
  <c r="AD123" i="46" s="1"/>
  <c r="W123" i="46"/>
  <c r="O123" i="46"/>
  <c r="U123" i="46" s="1"/>
  <c r="N123" i="46"/>
  <c r="G123" i="46"/>
  <c r="K123" i="46" s="1"/>
  <c r="L37" i="48" s="1"/>
  <c r="H37" i="48" s="1"/>
  <c r="AR122" i="46"/>
  <c r="BA122" i="46" s="1"/>
  <c r="AM122" i="46"/>
  <c r="Y122" i="46"/>
  <c r="W122" i="46"/>
  <c r="O122" i="46"/>
  <c r="V122" i="46" s="1"/>
  <c r="N122" i="46"/>
  <c r="K122" i="46"/>
  <c r="J122" i="46"/>
  <c r="AR120" i="46"/>
  <c r="BA120" i="46" s="1"/>
  <c r="AD120" i="46" s="1"/>
  <c r="AM120" i="46"/>
  <c r="AR119" i="46"/>
  <c r="BA119" i="46" s="1"/>
  <c r="AM119" i="46"/>
  <c r="AD119" i="46" s="1"/>
  <c r="W119" i="46"/>
  <c r="P119" i="46"/>
  <c r="O119" i="46"/>
  <c r="N119" i="46"/>
  <c r="K119" i="46" s="1"/>
  <c r="J119" i="46"/>
  <c r="BA118" i="46"/>
  <c r="AR118" i="46"/>
  <c r="AM118" i="46"/>
  <c r="AD118" i="46" s="1"/>
  <c r="Z118" i="46"/>
  <c r="W118" i="46"/>
  <c r="V118" i="46"/>
  <c r="U118" i="46"/>
  <c r="O118" i="46"/>
  <c r="T118" i="46" s="1"/>
  <c r="N118" i="46"/>
  <c r="H118" i="46"/>
  <c r="G118" i="46"/>
  <c r="AR116" i="46"/>
  <c r="BA116" i="46" s="1"/>
  <c r="AD116" i="46" s="1"/>
  <c r="AM116" i="46"/>
  <c r="AR115" i="46"/>
  <c r="BA115" i="46" s="1"/>
  <c r="AM115" i="46"/>
  <c r="AR114" i="46"/>
  <c r="BA114" i="46" s="1"/>
  <c r="AD114" i="46" s="1"/>
  <c r="AM114" i="46"/>
  <c r="Z114" i="46"/>
  <c r="W114" i="46"/>
  <c r="O114" i="46"/>
  <c r="P114" i="46" s="1"/>
  <c r="N114" i="46"/>
  <c r="H114" i="46" s="1"/>
  <c r="J114" i="46" s="1"/>
  <c r="G114" i="46"/>
  <c r="AR112" i="46"/>
  <c r="BA112" i="46" s="1"/>
  <c r="AM112" i="46"/>
  <c r="BA111" i="46"/>
  <c r="AR111" i="46"/>
  <c r="AM111" i="46"/>
  <c r="AR110" i="46"/>
  <c r="BA110" i="46" s="1"/>
  <c r="AM110" i="46"/>
  <c r="W110" i="46"/>
  <c r="V110" i="46"/>
  <c r="U110" i="46"/>
  <c r="P110" i="46"/>
  <c r="O110" i="46"/>
  <c r="T110" i="46" s="1"/>
  <c r="N110" i="46"/>
  <c r="H110" i="46"/>
  <c r="G110" i="46"/>
  <c r="K110" i="46" s="1"/>
  <c r="AC110" i="46" s="1"/>
  <c r="BA108" i="46"/>
  <c r="AR108" i="46"/>
  <c r="AM108" i="46"/>
  <c r="AR107" i="46"/>
  <c r="BA107" i="46" s="1"/>
  <c r="AM107" i="46"/>
  <c r="W107" i="46"/>
  <c r="T107" i="46"/>
  <c r="O107" i="46"/>
  <c r="K107" i="46" s="1"/>
  <c r="N107" i="46"/>
  <c r="J107" i="46"/>
  <c r="H107" i="46"/>
  <c r="G107" i="46"/>
  <c r="AR106" i="46"/>
  <c r="BA106" i="46" s="1"/>
  <c r="AD106" i="46" s="1"/>
  <c r="AM106" i="46"/>
  <c r="W106" i="46"/>
  <c r="V106" i="46"/>
  <c r="O106" i="46"/>
  <c r="U106" i="46" s="1"/>
  <c r="N106" i="46"/>
  <c r="H106" i="46"/>
  <c r="G106" i="46"/>
  <c r="BA104" i="46"/>
  <c r="AD104" i="46" s="1"/>
  <c r="AR104" i="46"/>
  <c r="AM104" i="46"/>
  <c r="AR103" i="46"/>
  <c r="BA103" i="46" s="1"/>
  <c r="AD103" i="46" s="1"/>
  <c r="AM103" i="46"/>
  <c r="BA102" i="46"/>
  <c r="AD102" i="46" s="1"/>
  <c r="AR102" i="46"/>
  <c r="AM102" i="46"/>
  <c r="Z102" i="46"/>
  <c r="W102" i="46"/>
  <c r="T102" i="46"/>
  <c r="O102" i="46"/>
  <c r="U102" i="46" s="1"/>
  <c r="N102" i="46"/>
  <c r="H102" i="46" s="1"/>
  <c r="K102" i="46"/>
  <c r="G102" i="46"/>
  <c r="V102" i="46" s="1"/>
  <c r="C102" i="46"/>
  <c r="BA100" i="46"/>
  <c r="AR100" i="46"/>
  <c r="AM100" i="46"/>
  <c r="AD100" i="46"/>
  <c r="BA99" i="46"/>
  <c r="AR99" i="46"/>
  <c r="AM99" i="46"/>
  <c r="AD99" i="46" s="1"/>
  <c r="W99" i="46"/>
  <c r="T99" i="46"/>
  <c r="O99" i="46"/>
  <c r="P99" i="46" s="1"/>
  <c r="N99" i="46"/>
  <c r="V99" i="46" s="1"/>
  <c r="G99" i="46"/>
  <c r="C99" i="46"/>
  <c r="AR98" i="46"/>
  <c r="BA98" i="46" s="1"/>
  <c r="AM98" i="46"/>
  <c r="AD98" i="46" s="1"/>
  <c r="Z98" i="46"/>
  <c r="W98" i="46"/>
  <c r="O98" i="46"/>
  <c r="U98" i="46" s="1"/>
  <c r="N98" i="46"/>
  <c r="G98" i="46"/>
  <c r="AR96" i="46"/>
  <c r="BA96" i="46" s="1"/>
  <c r="AM96" i="46"/>
  <c r="AR95" i="46"/>
  <c r="BA95" i="46" s="1"/>
  <c r="AM95" i="46"/>
  <c r="W95" i="46"/>
  <c r="V95" i="46"/>
  <c r="T95" i="46"/>
  <c r="P95" i="46"/>
  <c r="O95" i="46"/>
  <c r="U95" i="46" s="1"/>
  <c r="N95" i="46"/>
  <c r="H95" i="46"/>
  <c r="K95" i="46" s="1"/>
  <c r="AC95" i="46" s="1"/>
  <c r="G95" i="46"/>
  <c r="C95" i="46"/>
  <c r="BA94" i="46"/>
  <c r="AD94" i="46" s="1"/>
  <c r="AR94" i="46"/>
  <c r="AM94" i="46"/>
  <c r="W94" i="46"/>
  <c r="O94" i="46"/>
  <c r="U94" i="46" s="1"/>
  <c r="AA94" i="46" s="1"/>
  <c r="N94" i="46"/>
  <c r="J94" i="46"/>
  <c r="G94" i="46"/>
  <c r="BA92" i="46"/>
  <c r="AR92" i="46"/>
  <c r="AM92" i="46"/>
  <c r="BA91" i="46"/>
  <c r="AR91" i="46"/>
  <c r="AM91" i="46"/>
  <c r="AD91" i="46" s="1"/>
  <c r="AR90" i="46"/>
  <c r="BA90" i="46" s="1"/>
  <c r="AM90" i="46"/>
  <c r="Z90" i="46"/>
  <c r="W90" i="46"/>
  <c r="X90" i="46" s="1"/>
  <c r="O90" i="46"/>
  <c r="T90" i="46" s="1"/>
  <c r="N90" i="46"/>
  <c r="K90" i="46"/>
  <c r="AC90" i="46" s="1"/>
  <c r="G90" i="46"/>
  <c r="J90" i="46" s="1"/>
  <c r="BA88" i="46"/>
  <c r="AR88" i="46"/>
  <c r="AM88" i="46"/>
  <c r="AD88" i="46"/>
  <c r="AR87" i="46"/>
  <c r="BA87" i="46" s="1"/>
  <c r="AM87" i="46"/>
  <c r="BA86" i="46"/>
  <c r="AD86" i="46" s="1"/>
  <c r="AR86" i="46"/>
  <c r="AM86" i="46"/>
  <c r="Z86" i="46"/>
  <c r="W86" i="46"/>
  <c r="O86" i="46"/>
  <c r="T86" i="46" s="1"/>
  <c r="N86" i="46"/>
  <c r="J86" i="46"/>
  <c r="G86" i="46"/>
  <c r="BA84" i="46"/>
  <c r="AR84" i="46"/>
  <c r="AM84" i="46"/>
  <c r="AD84" i="46" s="1"/>
  <c r="Z84" i="46"/>
  <c r="W84" i="46"/>
  <c r="U84" i="46"/>
  <c r="P84" i="46"/>
  <c r="O84" i="46"/>
  <c r="T84" i="46" s="1"/>
  <c r="N84" i="46"/>
  <c r="K84" i="46"/>
  <c r="J84" i="46"/>
  <c r="G84" i="46"/>
  <c r="V84" i="46" s="1"/>
  <c r="C84" i="46"/>
  <c r="BA83" i="46"/>
  <c r="AD83" i="46" s="1"/>
  <c r="AR83" i="46"/>
  <c r="AM83" i="46"/>
  <c r="W83" i="46"/>
  <c r="S83" i="46"/>
  <c r="O83" i="46"/>
  <c r="P83" i="46" s="1"/>
  <c r="N83" i="46"/>
  <c r="V83" i="46" s="1"/>
  <c r="BA82" i="46"/>
  <c r="AR82" i="46"/>
  <c r="AM82" i="46"/>
  <c r="AD82" i="46" s="1"/>
  <c r="Z82" i="46"/>
  <c r="W82" i="46"/>
  <c r="V82" i="46"/>
  <c r="U82" i="46"/>
  <c r="T82" i="46"/>
  <c r="O82" i="46"/>
  <c r="P82" i="46" s="1"/>
  <c r="N82" i="46"/>
  <c r="H82" i="46" s="1"/>
  <c r="C82" i="46"/>
  <c r="AR80" i="46"/>
  <c r="BA80" i="46" s="1"/>
  <c r="AM80" i="46"/>
  <c r="BA79" i="46"/>
  <c r="AR79" i="46"/>
  <c r="AM79" i="46"/>
  <c r="AD79" i="46"/>
  <c r="AR78" i="46"/>
  <c r="BA78" i="46" s="1"/>
  <c r="AM78" i="46"/>
  <c r="Z78" i="46"/>
  <c r="W78" i="46"/>
  <c r="U78" i="46"/>
  <c r="AA78" i="46" s="1"/>
  <c r="O78" i="46"/>
  <c r="P78" i="46" s="1"/>
  <c r="N78" i="46"/>
  <c r="H78" i="46" s="1"/>
  <c r="C78" i="46"/>
  <c r="BA76" i="46"/>
  <c r="AR76" i="46"/>
  <c r="AM76" i="46"/>
  <c r="AD76" i="46"/>
  <c r="AR75" i="46"/>
  <c r="BA75" i="46" s="1"/>
  <c r="AD75" i="46" s="1"/>
  <c r="AM75" i="46"/>
  <c r="BA74" i="46"/>
  <c r="AR74" i="46"/>
  <c r="AM74" i="46"/>
  <c r="AD74" i="46"/>
  <c r="W74" i="46"/>
  <c r="V74" i="46"/>
  <c r="U74" i="46"/>
  <c r="T74" i="46"/>
  <c r="O74" i="46"/>
  <c r="P74" i="46" s="1"/>
  <c r="N74" i="46"/>
  <c r="H74" i="46"/>
  <c r="K74" i="46" s="1"/>
  <c r="AC74" i="46" s="1"/>
  <c r="C74" i="46"/>
  <c r="BA73" i="46"/>
  <c r="AD73" i="46" s="1"/>
  <c r="AR73" i="46"/>
  <c r="AM73" i="46"/>
  <c r="Z73" i="46"/>
  <c r="W73" i="46"/>
  <c r="S73" i="46"/>
  <c r="Q73" i="46"/>
  <c r="O73" i="46"/>
  <c r="T73" i="46" s="1"/>
  <c r="N73" i="46"/>
  <c r="H73" i="46"/>
  <c r="K73" i="46" s="1"/>
  <c r="BA71" i="46"/>
  <c r="AR71" i="46"/>
  <c r="AM71" i="46"/>
  <c r="BA70" i="46"/>
  <c r="AR70" i="46"/>
  <c r="AM70" i="46"/>
  <c r="AD70" i="46"/>
  <c r="AR69" i="46"/>
  <c r="BA69" i="46" s="1"/>
  <c r="AM69" i="46"/>
  <c r="W69" i="46"/>
  <c r="S69" i="46"/>
  <c r="Q69" i="46"/>
  <c r="Q135" i="46" s="1"/>
  <c r="Q136" i="46" s="1"/>
  <c r="O69" i="46"/>
  <c r="U69" i="46" s="1"/>
  <c r="N69" i="46"/>
  <c r="V69" i="46" s="1"/>
  <c r="BA68" i="46"/>
  <c r="AR68" i="46"/>
  <c r="AM68" i="46"/>
  <c r="AD68" i="46"/>
  <c r="Z68" i="46"/>
  <c r="W68" i="46"/>
  <c r="O68" i="46"/>
  <c r="P68" i="46" s="1"/>
  <c r="N68" i="46"/>
  <c r="K68" i="46" s="1"/>
  <c r="J68" i="46"/>
  <c r="BA66" i="46"/>
  <c r="AD66" i="46" s="1"/>
  <c r="AR66" i="46"/>
  <c r="AM66" i="46"/>
  <c r="BA65" i="46"/>
  <c r="AD65" i="46" s="1"/>
  <c r="AR65" i="46"/>
  <c r="AM65" i="46"/>
  <c r="W65" i="46"/>
  <c r="P65" i="46"/>
  <c r="O65" i="46"/>
  <c r="T65" i="46" s="1"/>
  <c r="N65" i="46"/>
  <c r="K65" i="46"/>
  <c r="J65" i="46"/>
  <c r="C65" i="46"/>
  <c r="AR64" i="46"/>
  <c r="BA64" i="46" s="1"/>
  <c r="AM64" i="46"/>
  <c r="Z64" i="46"/>
  <c r="W64" i="46"/>
  <c r="P64" i="46"/>
  <c r="O64" i="46"/>
  <c r="U64" i="46" s="1"/>
  <c r="N64" i="46"/>
  <c r="V64" i="46" s="1"/>
  <c r="J64" i="46"/>
  <c r="AR62" i="46"/>
  <c r="BA62" i="46" s="1"/>
  <c r="AM62" i="46"/>
  <c r="AD62" i="46"/>
  <c r="AR61" i="46"/>
  <c r="BA61" i="46" s="1"/>
  <c r="AM61" i="46"/>
  <c r="AR60" i="46"/>
  <c r="BA60" i="46" s="1"/>
  <c r="AM60" i="46"/>
  <c r="AD60" i="46" s="1"/>
  <c r="Z60" i="46"/>
  <c r="W60" i="46"/>
  <c r="O60" i="46"/>
  <c r="T60" i="46" s="1"/>
  <c r="N60" i="46"/>
  <c r="J60" i="46"/>
  <c r="AR58" i="46"/>
  <c r="BA58" i="46" s="1"/>
  <c r="AD58" i="46" s="1"/>
  <c r="AM58" i="46"/>
  <c r="BA57" i="46"/>
  <c r="AR57" i="46"/>
  <c r="AM57" i="46"/>
  <c r="AD57" i="46" s="1"/>
  <c r="W57" i="46"/>
  <c r="O57" i="46"/>
  <c r="P57" i="46" s="1"/>
  <c r="N57" i="46"/>
  <c r="V57" i="46" s="1"/>
  <c r="H57" i="46"/>
  <c r="BA56" i="46"/>
  <c r="AR56" i="46"/>
  <c r="AM56" i="46"/>
  <c r="AD56" i="46" s="1"/>
  <c r="Z56" i="46"/>
  <c r="W56" i="46"/>
  <c r="O56" i="46"/>
  <c r="N56" i="46"/>
  <c r="H56" i="46"/>
  <c r="J56" i="46" s="1"/>
  <c r="BA54" i="46"/>
  <c r="AR54" i="46"/>
  <c r="AM54" i="46"/>
  <c r="AD54" i="46"/>
  <c r="W54" i="46"/>
  <c r="AR53" i="46"/>
  <c r="BA53" i="46" s="1"/>
  <c r="AM53" i="46"/>
  <c r="AD53" i="46"/>
  <c r="W53" i="46"/>
  <c r="U53" i="46"/>
  <c r="S53" i="46"/>
  <c r="P53" i="46"/>
  <c r="O53" i="46"/>
  <c r="N53" i="46"/>
  <c r="BA52" i="46"/>
  <c r="AR52" i="46"/>
  <c r="AM52" i="46"/>
  <c r="AD52" i="46" s="1"/>
  <c r="W52" i="46"/>
  <c r="O52" i="46"/>
  <c r="N52" i="46"/>
  <c r="H52" i="46" s="1"/>
  <c r="G52" i="46"/>
  <c r="J52" i="46" s="1"/>
  <c r="BA50" i="46"/>
  <c r="AR50" i="46"/>
  <c r="AM50" i="46"/>
  <c r="BA49" i="46"/>
  <c r="AR49" i="46"/>
  <c r="AM49" i="46"/>
  <c r="AD49" i="46"/>
  <c r="W49" i="46"/>
  <c r="U49" i="46"/>
  <c r="O49" i="46"/>
  <c r="V49" i="46" s="1"/>
  <c r="N49" i="46"/>
  <c r="H49" i="46"/>
  <c r="G49" i="46"/>
  <c r="AR48" i="46"/>
  <c r="BA48" i="46" s="1"/>
  <c r="AM48" i="46"/>
  <c r="Z48" i="46"/>
  <c r="W48" i="46"/>
  <c r="P48" i="46"/>
  <c r="O48" i="46"/>
  <c r="U48" i="46" s="1"/>
  <c r="AA48" i="46" s="1"/>
  <c r="N48" i="46"/>
  <c r="J48" i="46"/>
  <c r="H48" i="46"/>
  <c r="G48" i="46"/>
  <c r="BA46" i="46"/>
  <c r="AD46" i="46" s="1"/>
  <c r="AR46" i="46"/>
  <c r="AM46" i="46"/>
  <c r="BA45" i="46"/>
  <c r="AD45" i="46" s="1"/>
  <c r="AR45" i="46"/>
  <c r="AM45" i="46"/>
  <c r="BA44" i="46"/>
  <c r="AD44" i="46" s="1"/>
  <c r="AR44" i="46"/>
  <c r="AM44" i="46"/>
  <c r="Z44" i="46"/>
  <c r="W44" i="46"/>
  <c r="O44" i="46"/>
  <c r="K44" i="46" s="1"/>
  <c r="L18" i="48" s="1"/>
  <c r="N44" i="46"/>
  <c r="H44" i="46" s="1"/>
  <c r="J44" i="46"/>
  <c r="G44" i="46"/>
  <c r="AR42" i="46"/>
  <c r="BA42" i="46" s="1"/>
  <c r="AM42" i="46"/>
  <c r="BA41" i="46"/>
  <c r="AR41" i="46"/>
  <c r="AM41" i="46"/>
  <c r="AD41" i="46"/>
  <c r="AR40" i="46"/>
  <c r="BA40" i="46" s="1"/>
  <c r="AM40" i="46"/>
  <c r="W40" i="46"/>
  <c r="P40" i="46"/>
  <c r="O40" i="46"/>
  <c r="C40" i="46" s="1"/>
  <c r="N17" i="48" s="1"/>
  <c r="G17" i="48" s="1"/>
  <c r="N40" i="46"/>
  <c r="H40" i="46" s="1"/>
  <c r="J40" i="46" s="1"/>
  <c r="G40" i="46"/>
  <c r="BA38" i="46"/>
  <c r="AR38" i="46"/>
  <c r="AM38" i="46"/>
  <c r="AD38" i="46" s="1"/>
  <c r="W38" i="46"/>
  <c r="V38" i="46"/>
  <c r="U38" i="46"/>
  <c r="S38" i="46"/>
  <c r="S135" i="46" s="1"/>
  <c r="O38" i="46"/>
  <c r="C38" i="46" s="1"/>
  <c r="N38" i="46"/>
  <c r="H38" i="46" s="1"/>
  <c r="G38" i="46"/>
  <c r="AR37" i="46"/>
  <c r="BA37" i="46" s="1"/>
  <c r="AD37" i="46" s="1"/>
  <c r="AM37" i="46"/>
  <c r="W37" i="46"/>
  <c r="O37" i="46"/>
  <c r="N37" i="46"/>
  <c r="H37" i="46"/>
  <c r="J37" i="46" s="1"/>
  <c r="AR36" i="46"/>
  <c r="BA36" i="46" s="1"/>
  <c r="AM36" i="46"/>
  <c r="W36" i="46"/>
  <c r="U36" i="46"/>
  <c r="P36" i="46"/>
  <c r="O36" i="46"/>
  <c r="T36" i="46" s="1"/>
  <c r="N36" i="46"/>
  <c r="K36" i="46" s="1"/>
  <c r="AC36" i="46" s="1"/>
  <c r="G36" i="46"/>
  <c r="J36" i="46" s="1"/>
  <c r="C36" i="46"/>
  <c r="AR34" i="46"/>
  <c r="BA34" i="46" s="1"/>
  <c r="AM34" i="46"/>
  <c r="AD34" i="46"/>
  <c r="BA33" i="46"/>
  <c r="AR33" i="46"/>
  <c r="AM33" i="46"/>
  <c r="AD33" i="46"/>
  <c r="AR32" i="46"/>
  <c r="BA32" i="46" s="1"/>
  <c r="AD32" i="46" s="1"/>
  <c r="AM32" i="46"/>
  <c r="W32" i="46"/>
  <c r="V32" i="46"/>
  <c r="U32" i="46"/>
  <c r="AA32" i="46" s="1"/>
  <c r="O32" i="46"/>
  <c r="P32" i="46" s="1"/>
  <c r="N32" i="46"/>
  <c r="G32" i="46"/>
  <c r="J32" i="46" s="1"/>
  <c r="C32" i="46"/>
  <c r="BA30" i="46"/>
  <c r="AD30" i="46" s="1"/>
  <c r="AR30" i="46"/>
  <c r="AM30" i="46"/>
  <c r="BA29" i="46"/>
  <c r="AR29" i="46"/>
  <c r="AM29" i="46"/>
  <c r="AD29" i="46" s="1"/>
  <c r="BA28" i="46"/>
  <c r="AD28" i="46" s="1"/>
  <c r="AR28" i="46"/>
  <c r="AM28" i="46"/>
  <c r="Z28" i="46"/>
  <c r="W28" i="46"/>
  <c r="O28" i="46"/>
  <c r="K28" i="46" s="1"/>
  <c r="N28" i="46"/>
  <c r="J28" i="46"/>
  <c r="G28" i="46"/>
  <c r="BA26" i="46"/>
  <c r="AR26" i="46"/>
  <c r="AM26" i="46"/>
  <c r="BA25" i="46"/>
  <c r="AD25" i="46" s="1"/>
  <c r="AR25" i="46"/>
  <c r="AM25" i="46"/>
  <c r="BA24" i="46"/>
  <c r="AR24" i="46"/>
  <c r="AM24" i="46"/>
  <c r="Z24" i="46"/>
  <c r="W24" i="46"/>
  <c r="T24" i="46"/>
  <c r="O24" i="46"/>
  <c r="U24" i="46" s="1"/>
  <c r="AA24" i="46" s="1"/>
  <c r="N24" i="46"/>
  <c r="G24" i="46"/>
  <c r="J24" i="46" s="1"/>
  <c r="C24" i="46"/>
  <c r="BA22" i="46"/>
  <c r="AD22" i="46" s="1"/>
  <c r="AR22" i="46"/>
  <c r="AM22" i="46"/>
  <c r="BA21" i="46"/>
  <c r="AR21" i="46"/>
  <c r="AM21" i="46"/>
  <c r="AD21" i="46" s="1"/>
  <c r="W21" i="46"/>
  <c r="O21" i="46"/>
  <c r="T21" i="46" s="1"/>
  <c r="AC21" i="46" s="1"/>
  <c r="N21" i="46"/>
  <c r="K21" i="46"/>
  <c r="J21" i="46"/>
  <c r="G21" i="46"/>
  <c r="V21" i="46" s="1"/>
  <c r="BA20" i="46"/>
  <c r="AR20" i="46"/>
  <c r="AM20" i="46"/>
  <c r="Z20" i="46"/>
  <c r="W20" i="46"/>
  <c r="O20" i="46"/>
  <c r="N20" i="46"/>
  <c r="G20" i="46"/>
  <c r="J20" i="46" s="1"/>
  <c r="BA18" i="46"/>
  <c r="AD18" i="46" s="1"/>
  <c r="AR18" i="46"/>
  <c r="AM18" i="46"/>
  <c r="BA17" i="46"/>
  <c r="AR17" i="46"/>
  <c r="AM17" i="46"/>
  <c r="AD17" i="46" s="1"/>
  <c r="BA16" i="46"/>
  <c r="AD16" i="46" s="1"/>
  <c r="AR16" i="46"/>
  <c r="AM16" i="46"/>
  <c r="W16" i="46"/>
  <c r="O16" i="46"/>
  <c r="N16" i="46"/>
  <c r="J16" i="46"/>
  <c r="G16" i="46"/>
  <c r="AR14" i="46"/>
  <c r="BA14" i="46" s="1"/>
  <c r="AM14" i="46"/>
  <c r="AD14" i="46"/>
  <c r="AR13" i="46"/>
  <c r="BA13" i="46" s="1"/>
  <c r="AM13" i="46"/>
  <c r="AD13" i="46" s="1"/>
  <c r="W13" i="46"/>
  <c r="U13" i="46"/>
  <c r="P13" i="46"/>
  <c r="O13" i="46"/>
  <c r="T13" i="46" s="1"/>
  <c r="N13" i="46"/>
  <c r="J13" i="46"/>
  <c r="G13" i="46"/>
  <c r="V13" i="46" s="1"/>
  <c r="C13" i="46"/>
  <c r="AR12" i="46"/>
  <c r="BA12" i="46" s="1"/>
  <c r="AM12" i="46"/>
  <c r="AD12" i="46" s="1"/>
  <c r="Z12" i="46"/>
  <c r="W12" i="46"/>
  <c r="O12" i="46"/>
  <c r="U12" i="46" s="1"/>
  <c r="N12" i="46"/>
  <c r="J12" i="46"/>
  <c r="G12" i="46"/>
  <c r="AM11" i="46"/>
  <c r="BA10" i="46"/>
  <c r="AR10" i="46"/>
  <c r="AM10" i="46"/>
  <c r="AD10" i="46" s="1"/>
  <c r="BA9" i="46"/>
  <c r="AD9" i="46" s="1"/>
  <c r="AR9" i="46"/>
  <c r="AM9" i="46"/>
  <c r="BA8" i="46"/>
  <c r="AR8" i="46"/>
  <c r="AM8" i="46"/>
  <c r="BA7" i="46"/>
  <c r="AD7" i="46" s="1"/>
  <c r="AR7" i="46"/>
  <c r="AM7" i="46"/>
  <c r="BA6" i="46"/>
  <c r="AR6" i="46"/>
  <c r="AM6" i="46"/>
  <c r="Z6" i="46"/>
  <c r="W6" i="46"/>
  <c r="R6" i="46"/>
  <c r="R135" i="46" s="1"/>
  <c r="O6" i="46"/>
  <c r="U6" i="46" s="1"/>
  <c r="N6" i="46"/>
  <c r="J6" i="46"/>
  <c r="G6" i="46"/>
  <c r="A6" i="46"/>
  <c r="I92" i="47"/>
  <c r="H92" i="47"/>
  <c r="G92" i="47"/>
  <c r="E92" i="47"/>
  <c r="H90" i="47"/>
  <c r="G90" i="47"/>
  <c r="F90" i="47"/>
  <c r="E90" i="47"/>
  <c r="I89" i="47"/>
  <c r="H89" i="47"/>
  <c r="G89" i="47"/>
  <c r="E89" i="47"/>
  <c r="H87" i="47"/>
  <c r="G87" i="47"/>
  <c r="E87" i="47"/>
  <c r="I86" i="47"/>
  <c r="H86" i="47"/>
  <c r="G86" i="47"/>
  <c r="E86" i="47"/>
  <c r="H84" i="47"/>
  <c r="G84" i="47"/>
  <c r="F84" i="47"/>
  <c r="E84" i="47"/>
  <c r="I83" i="47"/>
  <c r="H83" i="47"/>
  <c r="G83" i="47"/>
  <c r="E83" i="47"/>
  <c r="I81" i="47"/>
  <c r="H81" i="47"/>
  <c r="G81" i="47"/>
  <c r="F81" i="47"/>
  <c r="E81" i="47"/>
  <c r="I79" i="47"/>
  <c r="H79" i="47"/>
  <c r="G79" i="47"/>
  <c r="F79" i="47"/>
  <c r="E79" i="47"/>
  <c r="H77" i="47"/>
  <c r="G77" i="47"/>
  <c r="F77" i="47"/>
  <c r="E77" i="47"/>
  <c r="I76" i="47"/>
  <c r="H76" i="47"/>
  <c r="G76" i="47"/>
  <c r="F76" i="47"/>
  <c r="E76" i="47"/>
  <c r="I74" i="47"/>
  <c r="H74" i="47"/>
  <c r="G74" i="47"/>
  <c r="F74" i="47"/>
  <c r="E74" i="47"/>
  <c r="H72" i="47"/>
  <c r="G72" i="47"/>
  <c r="F72" i="47"/>
  <c r="E72" i="47"/>
  <c r="I71" i="47"/>
  <c r="H71" i="47"/>
  <c r="G71" i="47"/>
  <c r="E71" i="47"/>
  <c r="H69" i="47"/>
  <c r="G69" i="47"/>
  <c r="F69" i="47"/>
  <c r="E69" i="47"/>
  <c r="G68" i="47"/>
  <c r="F68" i="47"/>
  <c r="E68" i="47"/>
  <c r="I67" i="47"/>
  <c r="H67" i="47"/>
  <c r="G67" i="47"/>
  <c r="E67" i="47"/>
  <c r="I65" i="47"/>
  <c r="H65" i="47"/>
  <c r="G65" i="47"/>
  <c r="F65" i="47"/>
  <c r="E65" i="47"/>
  <c r="I63" i="47"/>
  <c r="H63" i="47"/>
  <c r="G63" i="47"/>
  <c r="F63" i="47"/>
  <c r="E63" i="47"/>
  <c r="H61" i="47"/>
  <c r="G61" i="47"/>
  <c r="E61" i="47"/>
  <c r="H60" i="47"/>
  <c r="G60" i="47"/>
  <c r="E60" i="47"/>
  <c r="I59" i="47"/>
  <c r="H59" i="47"/>
  <c r="G59" i="47"/>
  <c r="E59" i="47"/>
  <c r="I57" i="47"/>
  <c r="H57" i="47"/>
  <c r="G57" i="47"/>
  <c r="E57" i="47"/>
  <c r="H55" i="47"/>
  <c r="G55" i="47"/>
  <c r="E55" i="47"/>
  <c r="G54" i="47"/>
  <c r="E54" i="47"/>
  <c r="I53" i="47"/>
  <c r="H53" i="47"/>
  <c r="G53" i="47"/>
  <c r="F53" i="47"/>
  <c r="E53" i="47"/>
  <c r="G51" i="47"/>
  <c r="F51" i="47"/>
  <c r="E51" i="47"/>
  <c r="H50" i="47"/>
  <c r="G50" i="47"/>
  <c r="E50" i="47"/>
  <c r="G49" i="47"/>
  <c r="E49" i="47"/>
  <c r="I48" i="47"/>
  <c r="H48" i="47"/>
  <c r="G48" i="47"/>
  <c r="F48" i="47"/>
  <c r="E48" i="47"/>
  <c r="H46" i="47"/>
  <c r="G46" i="47"/>
  <c r="E46" i="47"/>
  <c r="G45" i="47"/>
  <c r="E45" i="47"/>
  <c r="I44" i="47"/>
  <c r="H44" i="47"/>
  <c r="G44" i="47"/>
  <c r="F44" i="47"/>
  <c r="E44" i="47"/>
  <c r="I42" i="47"/>
  <c r="H42" i="47"/>
  <c r="G42" i="47"/>
  <c r="F42" i="47"/>
  <c r="E42" i="47"/>
  <c r="G40" i="47"/>
  <c r="F40" i="47"/>
  <c r="E40" i="47"/>
  <c r="H39" i="47"/>
  <c r="G39" i="47"/>
  <c r="E39" i="47"/>
  <c r="I38" i="47"/>
  <c r="H38" i="47"/>
  <c r="G38" i="47"/>
  <c r="E38" i="47"/>
  <c r="H36" i="47"/>
  <c r="G36" i="47"/>
  <c r="E36" i="47"/>
  <c r="H35" i="47"/>
  <c r="G35" i="47"/>
  <c r="E35" i="47"/>
  <c r="I34" i="47"/>
  <c r="H34" i="47"/>
  <c r="G34" i="47"/>
  <c r="F34" i="47"/>
  <c r="E34" i="47"/>
  <c r="H32" i="47"/>
  <c r="G32" i="47"/>
  <c r="E32" i="47"/>
  <c r="I31" i="47"/>
  <c r="H31" i="47"/>
  <c r="G31" i="47"/>
  <c r="F31" i="47"/>
  <c r="E31" i="47"/>
  <c r="I29" i="47"/>
  <c r="H29" i="47"/>
  <c r="G29" i="47"/>
  <c r="F29" i="47"/>
  <c r="E29" i="47"/>
  <c r="I27" i="47"/>
  <c r="H27" i="47"/>
  <c r="G27" i="47"/>
  <c r="F27" i="47"/>
  <c r="E27" i="47"/>
  <c r="H25" i="47"/>
  <c r="G25" i="47"/>
  <c r="E25" i="47"/>
  <c r="H24" i="47"/>
  <c r="G24" i="47"/>
  <c r="F24" i="47"/>
  <c r="E24" i="47"/>
  <c r="G23" i="47"/>
  <c r="E23" i="47"/>
  <c r="I22" i="47"/>
  <c r="H22" i="47"/>
  <c r="G22" i="47"/>
  <c r="E22" i="47"/>
  <c r="I20" i="47"/>
  <c r="H20" i="47"/>
  <c r="G20" i="47"/>
  <c r="F20" i="47"/>
  <c r="E20" i="47"/>
  <c r="G18" i="47"/>
  <c r="E18" i="47"/>
  <c r="I17" i="47"/>
  <c r="H17" i="47"/>
  <c r="G17" i="47"/>
  <c r="F17" i="47"/>
  <c r="E17" i="47"/>
  <c r="G15" i="47"/>
  <c r="E15" i="47"/>
  <c r="I14" i="47"/>
  <c r="H14" i="47"/>
  <c r="G14" i="47"/>
  <c r="F14" i="47"/>
  <c r="E14" i="47"/>
  <c r="H12" i="47"/>
  <c r="G12" i="47"/>
  <c r="F12" i="47"/>
  <c r="E12" i="47"/>
  <c r="I11" i="47"/>
  <c r="H11" i="47"/>
  <c r="G11" i="47"/>
  <c r="F11" i="47"/>
  <c r="E11" i="47"/>
  <c r="I9" i="47"/>
  <c r="H9" i="47"/>
  <c r="G9" i="47"/>
  <c r="F9" i="47"/>
  <c r="E9" i="47"/>
  <c r="H7" i="47"/>
  <c r="G7" i="47"/>
  <c r="F7" i="47"/>
  <c r="E7" i="47"/>
  <c r="I6" i="47"/>
  <c r="H6" i="47"/>
  <c r="G6" i="47"/>
  <c r="E6" i="47"/>
  <c r="I4" i="47"/>
  <c r="H4" i="47"/>
  <c r="G4" i="47"/>
  <c r="F4" i="47"/>
  <c r="E4" i="47"/>
  <c r="B1" i="47"/>
  <c r="A4" i="47" s="1"/>
  <c r="M38" i="45"/>
  <c r="I38" i="45"/>
  <c r="E38" i="45"/>
  <c r="P38" i="45" s="1"/>
  <c r="A38" i="45"/>
  <c r="M37" i="45"/>
  <c r="I37" i="45"/>
  <c r="E37" i="45"/>
  <c r="B37" i="45"/>
  <c r="A37" i="45"/>
  <c r="M36" i="45"/>
  <c r="I36" i="45"/>
  <c r="E36" i="45"/>
  <c r="A36" i="45"/>
  <c r="M35" i="45"/>
  <c r="I35" i="45"/>
  <c r="E35" i="45"/>
  <c r="A35" i="45"/>
  <c r="M34" i="45"/>
  <c r="I34" i="45"/>
  <c r="E34" i="45"/>
  <c r="A34" i="45"/>
  <c r="M33" i="45"/>
  <c r="I33" i="45"/>
  <c r="E33" i="45"/>
  <c r="B33" i="45"/>
  <c r="A33" i="45"/>
  <c r="M32" i="45"/>
  <c r="I32" i="45"/>
  <c r="E32" i="45"/>
  <c r="A32" i="45"/>
  <c r="M31" i="45"/>
  <c r="I31" i="45"/>
  <c r="E31" i="45"/>
  <c r="A31" i="45"/>
  <c r="M30" i="45"/>
  <c r="I30" i="45"/>
  <c r="E30" i="45"/>
  <c r="A30" i="45"/>
  <c r="M29" i="45"/>
  <c r="I29" i="45"/>
  <c r="E29" i="45"/>
  <c r="A29" i="45"/>
  <c r="M28" i="45"/>
  <c r="I28" i="45"/>
  <c r="E28" i="45"/>
  <c r="A28" i="45"/>
  <c r="M27" i="45"/>
  <c r="I27" i="45"/>
  <c r="E27" i="45"/>
  <c r="P27" i="45" s="1"/>
  <c r="A27" i="45"/>
  <c r="M26" i="45"/>
  <c r="I26" i="45"/>
  <c r="E26" i="45"/>
  <c r="A26" i="45"/>
  <c r="M25" i="45"/>
  <c r="I25" i="45"/>
  <c r="E25" i="45"/>
  <c r="A25" i="45"/>
  <c r="M24" i="45"/>
  <c r="I24" i="45"/>
  <c r="E24" i="45"/>
  <c r="A24" i="45"/>
  <c r="M23" i="45"/>
  <c r="I23" i="45"/>
  <c r="E23" i="45"/>
  <c r="P23" i="45" s="1"/>
  <c r="A23" i="45"/>
  <c r="M22" i="45"/>
  <c r="I22" i="45"/>
  <c r="E22" i="45"/>
  <c r="A22" i="45"/>
  <c r="M21" i="45"/>
  <c r="I21" i="45"/>
  <c r="E21" i="45"/>
  <c r="A21" i="45"/>
  <c r="M20" i="45"/>
  <c r="I20" i="45"/>
  <c r="E20" i="45"/>
  <c r="A20" i="45"/>
  <c r="M19" i="45"/>
  <c r="I19" i="45"/>
  <c r="E19" i="45"/>
  <c r="A19" i="45"/>
  <c r="M18" i="45"/>
  <c r="I18" i="45"/>
  <c r="E18" i="45"/>
  <c r="A18" i="45"/>
  <c r="M17" i="45"/>
  <c r="I17" i="45"/>
  <c r="E17" i="45"/>
  <c r="A17" i="45"/>
  <c r="M16" i="45"/>
  <c r="I16" i="45"/>
  <c r="E16" i="45"/>
  <c r="A16" i="45"/>
  <c r="M15" i="45"/>
  <c r="I15" i="45"/>
  <c r="E15" i="45"/>
  <c r="A15" i="45"/>
  <c r="M14" i="45"/>
  <c r="I14" i="45"/>
  <c r="E14" i="45"/>
  <c r="A14" i="45"/>
  <c r="M13" i="45"/>
  <c r="I13" i="45"/>
  <c r="E13" i="45"/>
  <c r="A13" i="45"/>
  <c r="M12" i="45"/>
  <c r="I12" i="45"/>
  <c r="E12" i="45"/>
  <c r="A12" i="45"/>
  <c r="M11" i="45"/>
  <c r="I11" i="45"/>
  <c r="E11" i="45"/>
  <c r="A11" i="45"/>
  <c r="M10" i="45"/>
  <c r="I10" i="45"/>
  <c r="E10" i="45"/>
  <c r="A10" i="45"/>
  <c r="M9" i="45"/>
  <c r="I9" i="45"/>
  <c r="E9" i="45"/>
  <c r="A9" i="45"/>
  <c r="M8" i="45"/>
  <c r="I8" i="45"/>
  <c r="E8" i="45"/>
  <c r="E40" i="45" s="1"/>
  <c r="A8" i="45"/>
  <c r="A7" i="45" s="1"/>
  <c r="AY43" i="48"/>
  <c r="AZ41" i="48"/>
  <c r="AY41" i="48"/>
  <c r="AX41" i="48"/>
  <c r="AP41" i="48"/>
  <c r="Z41" i="48"/>
  <c r="T41" i="48"/>
  <c r="BA39" i="48"/>
  <c r="AZ39" i="48"/>
  <c r="AY39" i="48"/>
  <c r="AX39" i="48"/>
  <c r="AW39" i="48"/>
  <c r="AV39" i="48"/>
  <c r="AU39" i="48"/>
  <c r="AT39" i="48"/>
  <c r="AS39" i="48"/>
  <c r="AR39" i="48"/>
  <c r="AQ39" i="48"/>
  <c r="AP39" i="48"/>
  <c r="AO39" i="48"/>
  <c r="AA39" i="48"/>
  <c r="V39" i="48"/>
  <c r="U39" i="48"/>
  <c r="T39" i="48"/>
  <c r="P39" i="48"/>
  <c r="D39" i="1" s="1"/>
  <c r="D40" i="2" s="1"/>
  <c r="L39" i="48"/>
  <c r="H39" i="48" s="1"/>
  <c r="F39" i="48"/>
  <c r="E39" i="48"/>
  <c r="D39" i="48"/>
  <c r="A39" i="48"/>
  <c r="BA38" i="48"/>
  <c r="AZ38" i="48"/>
  <c r="AY38" i="48"/>
  <c r="AX38" i="48"/>
  <c r="AW38" i="48"/>
  <c r="AV38" i="48"/>
  <c r="AU38" i="48"/>
  <c r="AT38" i="48"/>
  <c r="AS38" i="48"/>
  <c r="AR38" i="48"/>
  <c r="AQ38" i="48"/>
  <c r="AP38" i="48"/>
  <c r="AO38" i="48"/>
  <c r="AB38" i="48"/>
  <c r="AA38" i="48"/>
  <c r="U38" i="48"/>
  <c r="T38" i="48"/>
  <c r="P38" i="48"/>
  <c r="D38" i="1" s="1"/>
  <c r="D39" i="2" s="1"/>
  <c r="E38" i="48"/>
  <c r="D38" i="48"/>
  <c r="A38" i="48"/>
  <c r="AZ37" i="48"/>
  <c r="AY37" i="48"/>
  <c r="AX37" i="48"/>
  <c r="AW37" i="48"/>
  <c r="AV37" i="48"/>
  <c r="AU37" i="48"/>
  <c r="AT37" i="48"/>
  <c r="AS37" i="48"/>
  <c r="AR37" i="48"/>
  <c r="AQ37" i="48"/>
  <c r="AP37" i="48"/>
  <c r="AO37" i="48"/>
  <c r="AB37" i="48"/>
  <c r="AA37" i="48"/>
  <c r="V37" i="48"/>
  <c r="U37" i="48"/>
  <c r="T37" i="48"/>
  <c r="P37" i="48"/>
  <c r="E37" i="48"/>
  <c r="F37" i="48" s="1"/>
  <c r="D37" i="48"/>
  <c r="A37" i="48"/>
  <c r="AZ36" i="48"/>
  <c r="AY36" i="48"/>
  <c r="AX36" i="48"/>
  <c r="AW36" i="48"/>
  <c r="AV36" i="48"/>
  <c r="AU36" i="48"/>
  <c r="AT36" i="48"/>
  <c r="AS36" i="48"/>
  <c r="AR36" i="48"/>
  <c r="AQ36" i="48"/>
  <c r="AP36" i="48"/>
  <c r="AO36" i="48"/>
  <c r="AA36" i="48"/>
  <c r="U36" i="48"/>
  <c r="T36" i="48"/>
  <c r="P36" i="48"/>
  <c r="V36" i="48" s="1"/>
  <c r="E36" i="48"/>
  <c r="F36" i="48" s="1"/>
  <c r="D36" i="48"/>
  <c r="A36" i="48"/>
  <c r="AZ35" i="48"/>
  <c r="AY35" i="48"/>
  <c r="AX35" i="48"/>
  <c r="AW35" i="48"/>
  <c r="AV35" i="48"/>
  <c r="AU35" i="48"/>
  <c r="AT35" i="48"/>
  <c r="AS35" i="48"/>
  <c r="AR35" i="48"/>
  <c r="AQ35" i="48"/>
  <c r="AP35" i="48"/>
  <c r="AO35" i="48"/>
  <c r="AB35" i="48"/>
  <c r="AA35" i="48"/>
  <c r="V35" i="48"/>
  <c r="U35" i="48"/>
  <c r="T35" i="48"/>
  <c r="P35" i="48"/>
  <c r="F35" i="48"/>
  <c r="E35" i="48"/>
  <c r="D35" i="48"/>
  <c r="A35" i="48"/>
  <c r="AZ34" i="48"/>
  <c r="AY34" i="48"/>
  <c r="AX34" i="48"/>
  <c r="AW34" i="48"/>
  <c r="AV34" i="48"/>
  <c r="AU34" i="48"/>
  <c r="AT34" i="48"/>
  <c r="AS34" i="48"/>
  <c r="AR34" i="48"/>
  <c r="AQ34" i="48"/>
  <c r="AP34" i="48"/>
  <c r="AO34" i="48"/>
  <c r="AB34" i="48"/>
  <c r="AA34" i="48"/>
  <c r="V34" i="48"/>
  <c r="U34" i="48"/>
  <c r="T34" i="48"/>
  <c r="R34" i="48"/>
  <c r="X34" i="48" s="1"/>
  <c r="P34" i="48"/>
  <c r="D34" i="1" s="1"/>
  <c r="D35" i="2" s="1"/>
  <c r="L34" i="48"/>
  <c r="H34" i="48" s="1"/>
  <c r="J34" i="48"/>
  <c r="E34" i="48"/>
  <c r="F34" i="48" s="1"/>
  <c r="D34" i="48"/>
  <c r="A34" i="48"/>
  <c r="AZ33" i="48"/>
  <c r="AY33" i="48"/>
  <c r="AX33" i="48"/>
  <c r="AW33" i="48"/>
  <c r="AV33" i="48"/>
  <c r="AU33" i="48"/>
  <c r="AT33" i="48"/>
  <c r="AS33" i="48"/>
  <c r="AR33" i="48"/>
  <c r="AQ33" i="48"/>
  <c r="AP33" i="48"/>
  <c r="AO33" i="48"/>
  <c r="AB33" i="48"/>
  <c r="AA33" i="48"/>
  <c r="U33" i="48"/>
  <c r="T33" i="48"/>
  <c r="P33" i="48"/>
  <c r="V33" i="48" s="1"/>
  <c r="E33" i="48"/>
  <c r="F33" i="48" s="1"/>
  <c r="D33" i="48"/>
  <c r="A33" i="48"/>
  <c r="AZ32" i="48"/>
  <c r="AY32" i="48"/>
  <c r="AX32" i="48"/>
  <c r="AW32" i="48"/>
  <c r="AV32" i="48"/>
  <c r="AU32" i="48"/>
  <c r="AT32" i="48"/>
  <c r="AS32" i="48"/>
  <c r="AR32" i="48"/>
  <c r="AQ32" i="48"/>
  <c r="AP32" i="48"/>
  <c r="AO32" i="48"/>
  <c r="AB32" i="48"/>
  <c r="AA32" i="48"/>
  <c r="V32" i="48"/>
  <c r="U32" i="48"/>
  <c r="T32" i="48"/>
  <c r="P32" i="48"/>
  <c r="N32" i="48"/>
  <c r="G32" i="48" s="1"/>
  <c r="L32" i="48"/>
  <c r="H32" i="48" s="1"/>
  <c r="E32" i="48"/>
  <c r="F32" i="48" s="1"/>
  <c r="D32" i="48"/>
  <c r="A32" i="48"/>
  <c r="AZ31" i="48"/>
  <c r="AY31" i="48"/>
  <c r="AX31" i="48"/>
  <c r="AW31" i="48"/>
  <c r="AV31" i="48"/>
  <c r="AU31" i="48"/>
  <c r="AT31" i="48"/>
  <c r="AS31" i="48"/>
  <c r="AR31" i="48"/>
  <c r="AQ31" i="48"/>
  <c r="AP31" i="48"/>
  <c r="AO31" i="48"/>
  <c r="AA31" i="48"/>
  <c r="U31" i="48"/>
  <c r="T31" i="48"/>
  <c r="P31" i="48"/>
  <c r="V31" i="48" s="1"/>
  <c r="E31" i="48"/>
  <c r="F31" i="48" s="1"/>
  <c r="D31" i="48"/>
  <c r="A31" i="48"/>
  <c r="AZ30" i="48"/>
  <c r="AY30" i="48"/>
  <c r="AX30" i="48"/>
  <c r="AW30" i="48"/>
  <c r="AV30" i="48"/>
  <c r="AU30" i="48"/>
  <c r="AT30" i="48"/>
  <c r="AS30" i="48"/>
  <c r="AR30" i="48"/>
  <c r="AQ30" i="48"/>
  <c r="AP30" i="48"/>
  <c r="AO30" i="48"/>
  <c r="AB30" i="48"/>
  <c r="AA30" i="48"/>
  <c r="V30" i="48"/>
  <c r="U30" i="48"/>
  <c r="T30" i="48"/>
  <c r="P30" i="48"/>
  <c r="D30" i="1" s="1"/>
  <c r="D31" i="2" s="1"/>
  <c r="F30" i="48"/>
  <c r="E30" i="48"/>
  <c r="D30" i="48"/>
  <c r="A30" i="48"/>
  <c r="AZ29" i="48"/>
  <c r="AY29" i="48"/>
  <c r="AX29" i="48"/>
  <c r="AW29" i="48"/>
  <c r="AV29" i="48"/>
  <c r="AU29" i="48"/>
  <c r="AT29" i="48"/>
  <c r="AS29" i="48"/>
  <c r="AR29" i="48"/>
  <c r="AQ29" i="48"/>
  <c r="AP29" i="48"/>
  <c r="AO29" i="48"/>
  <c r="AA29" i="48"/>
  <c r="X29" i="48"/>
  <c r="U29" i="48"/>
  <c r="T29" i="48"/>
  <c r="R29" i="48"/>
  <c r="P29" i="48"/>
  <c r="V29" i="48" s="1"/>
  <c r="L29" i="48"/>
  <c r="H29" i="48" s="1"/>
  <c r="E29" i="48"/>
  <c r="F29" i="48" s="1"/>
  <c r="D29" i="48"/>
  <c r="A29" i="48"/>
  <c r="BA28" i="48"/>
  <c r="AZ28" i="48"/>
  <c r="AY28" i="48"/>
  <c r="AX28" i="48"/>
  <c r="AW28" i="48"/>
  <c r="AV28" i="48"/>
  <c r="AU28" i="48"/>
  <c r="AT28" i="48"/>
  <c r="AS28" i="48"/>
  <c r="AR28" i="48"/>
  <c r="AQ28" i="48"/>
  <c r="AP28" i="48"/>
  <c r="AO28" i="48"/>
  <c r="AB28" i="48"/>
  <c r="AA28" i="48"/>
  <c r="V28" i="48"/>
  <c r="U28" i="48"/>
  <c r="T28" i="48"/>
  <c r="R28" i="48"/>
  <c r="P28" i="48"/>
  <c r="F28" i="48"/>
  <c r="E28" i="48"/>
  <c r="D28" i="48"/>
  <c r="A28" i="48"/>
  <c r="AZ27" i="48"/>
  <c r="AY27" i="48"/>
  <c r="AX27" i="48"/>
  <c r="AW27" i="48"/>
  <c r="AV27" i="48"/>
  <c r="AU27" i="48"/>
  <c r="AT27" i="48"/>
  <c r="AS27" i="48"/>
  <c r="AR27" i="48"/>
  <c r="AQ27" i="48"/>
  <c r="AP27" i="48"/>
  <c r="AO27" i="48"/>
  <c r="AB27" i="48"/>
  <c r="AA27" i="48"/>
  <c r="V27" i="48"/>
  <c r="U27" i="48"/>
  <c r="T27" i="48"/>
  <c r="R27" i="48"/>
  <c r="I27" i="48" s="1"/>
  <c r="P27" i="48"/>
  <c r="F27" i="48"/>
  <c r="E27" i="48"/>
  <c r="D27" i="48"/>
  <c r="A27" i="48"/>
  <c r="AZ26" i="48"/>
  <c r="AY26" i="48"/>
  <c r="AX26" i="48"/>
  <c r="AW26" i="48"/>
  <c r="AV26" i="48"/>
  <c r="AU26" i="48"/>
  <c r="AT26" i="48"/>
  <c r="AS26" i="48"/>
  <c r="AR26" i="48"/>
  <c r="AQ26" i="48"/>
  <c r="AP26" i="48"/>
  <c r="AO26" i="48"/>
  <c r="AB26" i="48"/>
  <c r="AA26" i="48"/>
  <c r="U26" i="48"/>
  <c r="T26" i="48"/>
  <c r="R26" i="48"/>
  <c r="P26" i="48"/>
  <c r="D26" i="1" s="1"/>
  <c r="D27" i="2" s="1"/>
  <c r="N26" i="48"/>
  <c r="E26" i="48"/>
  <c r="F26" i="48" s="1"/>
  <c r="D26" i="48"/>
  <c r="A26" i="48"/>
  <c r="AZ25" i="48"/>
  <c r="AY25" i="48"/>
  <c r="AX25" i="48"/>
  <c r="AW25" i="48"/>
  <c r="AV25" i="48"/>
  <c r="AU25" i="48"/>
  <c r="AT25" i="48"/>
  <c r="AS25" i="48"/>
  <c r="AR25" i="48"/>
  <c r="AQ25" i="48"/>
  <c r="AP25" i="48"/>
  <c r="AO25" i="48"/>
  <c r="AA25" i="48"/>
  <c r="V25" i="48"/>
  <c r="U25" i="48"/>
  <c r="T25" i="48"/>
  <c r="P25" i="48"/>
  <c r="E25" i="48"/>
  <c r="F25" i="48" s="1"/>
  <c r="D25" i="48"/>
  <c r="A25" i="48"/>
  <c r="AZ24" i="48"/>
  <c r="AY24" i="48"/>
  <c r="AX24" i="48"/>
  <c r="AW24" i="48"/>
  <c r="AV24" i="48"/>
  <c r="AU24" i="48"/>
  <c r="AT24" i="48"/>
  <c r="AS24" i="48"/>
  <c r="AR24" i="48"/>
  <c r="AQ24" i="48"/>
  <c r="AP24" i="48"/>
  <c r="AO24" i="48"/>
  <c r="AA24" i="48"/>
  <c r="V24" i="48"/>
  <c r="U24" i="48"/>
  <c r="T24" i="48"/>
  <c r="P24" i="48"/>
  <c r="E24" i="48"/>
  <c r="F24" i="48" s="1"/>
  <c r="D24" i="48"/>
  <c r="A24" i="48"/>
  <c r="AZ23" i="48"/>
  <c r="AY23" i="48"/>
  <c r="AX23" i="48"/>
  <c r="AW23" i="48"/>
  <c r="AV23" i="48"/>
  <c r="AU23" i="48"/>
  <c r="AT23" i="48"/>
  <c r="AS23" i="48"/>
  <c r="AR23" i="48"/>
  <c r="AQ23" i="48"/>
  <c r="AP23" i="48"/>
  <c r="AO23" i="48"/>
  <c r="AD23" i="48"/>
  <c r="AA23" i="48"/>
  <c r="V23" i="48"/>
  <c r="U23" i="48"/>
  <c r="T23" i="48"/>
  <c r="R23" i="48"/>
  <c r="X23" i="48" s="1"/>
  <c r="P23" i="48"/>
  <c r="E23" i="48"/>
  <c r="F23" i="48" s="1"/>
  <c r="D23" i="48"/>
  <c r="A23" i="48"/>
  <c r="AZ22" i="48"/>
  <c r="AY22" i="48"/>
  <c r="AX22" i="48"/>
  <c r="AW22" i="48"/>
  <c r="AV22" i="48"/>
  <c r="AU22" i="48"/>
  <c r="AT22" i="48"/>
  <c r="AS22" i="48"/>
  <c r="AR22" i="48"/>
  <c r="AQ22" i="48"/>
  <c r="AP22" i="48"/>
  <c r="AO22" i="48"/>
  <c r="AA22" i="48"/>
  <c r="V22" i="48"/>
  <c r="U22" i="48"/>
  <c r="T22" i="48"/>
  <c r="P22" i="48"/>
  <c r="D22" i="1" s="1"/>
  <c r="D23" i="2" s="1"/>
  <c r="E22" i="48"/>
  <c r="F22" i="48" s="1"/>
  <c r="D22" i="48"/>
  <c r="A22" i="48"/>
  <c r="AZ21" i="48"/>
  <c r="AY21" i="48"/>
  <c r="AX21" i="48"/>
  <c r="AW21" i="48"/>
  <c r="AV21" i="48"/>
  <c r="AU21" i="48"/>
  <c r="AT21" i="48"/>
  <c r="AS21" i="48"/>
  <c r="AR21" i="48"/>
  <c r="AQ21" i="48"/>
  <c r="AP21" i="48"/>
  <c r="AO21" i="48"/>
  <c r="AA21" i="48"/>
  <c r="V21" i="48"/>
  <c r="U21" i="48"/>
  <c r="T21" i="48"/>
  <c r="P21" i="48"/>
  <c r="E21" i="48"/>
  <c r="F21" i="48" s="1"/>
  <c r="D21" i="48"/>
  <c r="A21" i="48"/>
  <c r="AZ20" i="48"/>
  <c r="AY20" i="48"/>
  <c r="AX20" i="48"/>
  <c r="AW20" i="48"/>
  <c r="AV20" i="48"/>
  <c r="AU20" i="48"/>
  <c r="AT20" i="48"/>
  <c r="AS20" i="48"/>
  <c r="AR20" i="48"/>
  <c r="AQ20" i="48"/>
  <c r="AP20" i="48"/>
  <c r="AO20" i="48"/>
  <c r="AA20" i="48"/>
  <c r="V20" i="48"/>
  <c r="U20" i="48"/>
  <c r="T20" i="48"/>
  <c r="P20" i="48"/>
  <c r="E20" i="48"/>
  <c r="F20" i="48" s="1"/>
  <c r="D20" i="48"/>
  <c r="A20" i="48"/>
  <c r="AZ19" i="48"/>
  <c r="AY19" i="48"/>
  <c r="AX19" i="48"/>
  <c r="AW19" i="48"/>
  <c r="AV19" i="48"/>
  <c r="AU19" i="48"/>
  <c r="AT19" i="48"/>
  <c r="AS19" i="48"/>
  <c r="AR19" i="48"/>
  <c r="AQ19" i="48"/>
  <c r="AP19" i="48"/>
  <c r="AO19" i="48"/>
  <c r="AD19" i="48"/>
  <c r="AA19" i="48"/>
  <c r="X19" i="48"/>
  <c r="V19" i="48"/>
  <c r="U19" i="48"/>
  <c r="T19" i="48"/>
  <c r="R19" i="48"/>
  <c r="I19" i="48" s="1"/>
  <c r="P19" i="48"/>
  <c r="E19" i="48"/>
  <c r="F19" i="48" s="1"/>
  <c r="D19" i="48"/>
  <c r="A19" i="48"/>
  <c r="AZ18" i="48"/>
  <c r="AY18" i="48"/>
  <c r="AX18" i="48"/>
  <c r="AW18" i="48"/>
  <c r="AV18" i="48"/>
  <c r="AU18" i="48"/>
  <c r="AT18" i="48"/>
  <c r="AS18" i="48"/>
  <c r="AR18" i="48"/>
  <c r="AQ18" i="48"/>
  <c r="AP18" i="48"/>
  <c r="AO18" i="48"/>
  <c r="AD18" i="48"/>
  <c r="AA18" i="48"/>
  <c r="X18" i="48"/>
  <c r="V18" i="48"/>
  <c r="U18" i="48"/>
  <c r="T18" i="48"/>
  <c r="R18" i="48"/>
  <c r="E18" i="1" s="1"/>
  <c r="CS18" i="1" s="1"/>
  <c r="P18" i="48"/>
  <c r="F18" i="48"/>
  <c r="E18" i="48"/>
  <c r="D18" i="48"/>
  <c r="A18" i="48"/>
  <c r="AZ17" i="48"/>
  <c r="AY17" i="48"/>
  <c r="AX17" i="48"/>
  <c r="AW17" i="48"/>
  <c r="AV17" i="48"/>
  <c r="AU17" i="48"/>
  <c r="AT17" i="48"/>
  <c r="AS17" i="48"/>
  <c r="AR17" i="48"/>
  <c r="AQ17" i="48"/>
  <c r="AP17" i="48"/>
  <c r="AO17" i="48"/>
  <c r="AB17" i="48"/>
  <c r="AA17" i="48"/>
  <c r="V17" i="48"/>
  <c r="U17" i="48"/>
  <c r="T17" i="48"/>
  <c r="P17" i="48"/>
  <c r="E17" i="48"/>
  <c r="F17" i="48" s="1"/>
  <c r="D17" i="48"/>
  <c r="A17" i="48"/>
  <c r="AZ16" i="48"/>
  <c r="AY16" i="48"/>
  <c r="AX16" i="48"/>
  <c r="AW16" i="48"/>
  <c r="AV16" i="48"/>
  <c r="AU16" i="48"/>
  <c r="AT16" i="48"/>
  <c r="AS16" i="48"/>
  <c r="AR16" i="48"/>
  <c r="AQ16" i="48"/>
  <c r="AP16" i="48"/>
  <c r="AO16" i="48"/>
  <c r="AA16" i="48"/>
  <c r="U16" i="48"/>
  <c r="T16" i="48"/>
  <c r="P16" i="48"/>
  <c r="B15" i="45" s="1"/>
  <c r="E16" i="48"/>
  <c r="F16" i="48" s="1"/>
  <c r="D16" i="48"/>
  <c r="A16" i="48"/>
  <c r="AZ15" i="48"/>
  <c r="AY15" i="48"/>
  <c r="AX15" i="48"/>
  <c r="AW15" i="48"/>
  <c r="AV15" i="48"/>
  <c r="AU15" i="48"/>
  <c r="AT15" i="48"/>
  <c r="AS15" i="48"/>
  <c r="AR15" i="48"/>
  <c r="AQ15" i="48"/>
  <c r="AP15" i="48"/>
  <c r="AO15" i="48"/>
  <c r="AA15" i="48"/>
  <c r="U15" i="48"/>
  <c r="T15" i="48"/>
  <c r="P15" i="48"/>
  <c r="N15" i="48"/>
  <c r="F15" i="48"/>
  <c r="E15" i="48"/>
  <c r="D15" i="48"/>
  <c r="A15" i="48"/>
  <c r="AZ14" i="48"/>
  <c r="AY14" i="48"/>
  <c r="AX14" i="48"/>
  <c r="AW14" i="48"/>
  <c r="AV14" i="48"/>
  <c r="AU14" i="48"/>
  <c r="AT14" i="48"/>
  <c r="AS14" i="48"/>
  <c r="AR14" i="48"/>
  <c r="AQ14" i="48"/>
  <c r="AP14" i="48"/>
  <c r="AO14" i="48"/>
  <c r="AB14" i="48"/>
  <c r="AA14" i="48"/>
  <c r="V14" i="48"/>
  <c r="U14" i="48"/>
  <c r="T14" i="48"/>
  <c r="P14" i="48"/>
  <c r="F14" i="48"/>
  <c r="E14" i="48"/>
  <c r="D14" i="48"/>
  <c r="A14" i="48"/>
  <c r="AZ13" i="48"/>
  <c r="AY13" i="48"/>
  <c r="AX13" i="48"/>
  <c r="AW13" i="48"/>
  <c r="AV13" i="48"/>
  <c r="AU13" i="48"/>
  <c r="AT13" i="48"/>
  <c r="AS13" i="48"/>
  <c r="AR13" i="48"/>
  <c r="AQ13" i="48"/>
  <c r="AP13" i="48"/>
  <c r="AO13" i="48"/>
  <c r="AB13" i="48"/>
  <c r="AA13" i="48"/>
  <c r="V13" i="48"/>
  <c r="U13" i="48"/>
  <c r="T13" i="48"/>
  <c r="R13" i="48"/>
  <c r="E13" i="1" s="1"/>
  <c r="IG13" i="1" s="1"/>
  <c r="P13" i="48"/>
  <c r="N13" i="48"/>
  <c r="G13" i="48"/>
  <c r="E13" i="48"/>
  <c r="F13" i="48" s="1"/>
  <c r="D13" i="48"/>
  <c r="A13" i="48"/>
  <c r="AZ12" i="48"/>
  <c r="AY12" i="48"/>
  <c r="AX12" i="48"/>
  <c r="AW12" i="48"/>
  <c r="AV12" i="48"/>
  <c r="AU12" i="48"/>
  <c r="AT12" i="48"/>
  <c r="AS12" i="48"/>
  <c r="AR12" i="48"/>
  <c r="AQ12" i="48"/>
  <c r="AP12" i="48"/>
  <c r="AO12" i="48"/>
  <c r="AA12" i="48"/>
  <c r="U12" i="48"/>
  <c r="T12" i="48"/>
  <c r="P12" i="48"/>
  <c r="B11" i="45" s="1"/>
  <c r="E12" i="48"/>
  <c r="F12" i="48" s="1"/>
  <c r="D12" i="48"/>
  <c r="A12" i="48"/>
  <c r="AZ11" i="48"/>
  <c r="AY11" i="48"/>
  <c r="AX11" i="48"/>
  <c r="AW11" i="48"/>
  <c r="AV11" i="48"/>
  <c r="AU11" i="48"/>
  <c r="AT11" i="48"/>
  <c r="AS11" i="48"/>
  <c r="AR11" i="48"/>
  <c r="AQ11" i="48"/>
  <c r="AP11" i="48"/>
  <c r="AO11" i="48"/>
  <c r="AA11" i="48"/>
  <c r="U11" i="48"/>
  <c r="T11" i="48"/>
  <c r="P11" i="48"/>
  <c r="V11" i="48" s="1"/>
  <c r="E11" i="48"/>
  <c r="F11" i="48" s="1"/>
  <c r="D11" i="48"/>
  <c r="A11" i="48"/>
  <c r="AZ10" i="48"/>
  <c r="AY10" i="48"/>
  <c r="AX10" i="48"/>
  <c r="AW10" i="48"/>
  <c r="AV10" i="48"/>
  <c r="AU10" i="48"/>
  <c r="AT10" i="48"/>
  <c r="AS10" i="48"/>
  <c r="AR10" i="48"/>
  <c r="AQ10" i="48"/>
  <c r="AP10" i="48"/>
  <c r="AO10" i="48"/>
  <c r="AA10" i="48"/>
  <c r="U10" i="48"/>
  <c r="T10" i="48"/>
  <c r="P10" i="48"/>
  <c r="V10" i="48" s="1"/>
  <c r="E10" i="48"/>
  <c r="F10" i="48" s="1"/>
  <c r="D10" i="48"/>
  <c r="A10" i="48"/>
  <c r="BA9" i="48"/>
  <c r="BB9" i="48" s="1"/>
  <c r="AZ9" i="48"/>
  <c r="AY9" i="48"/>
  <c r="AX9" i="48"/>
  <c r="AW9" i="48"/>
  <c r="AV9" i="48"/>
  <c r="AU9" i="48"/>
  <c r="AT9" i="48"/>
  <c r="AS9" i="48"/>
  <c r="AR9" i="48"/>
  <c r="AQ9" i="48"/>
  <c r="AP9" i="48"/>
  <c r="AO9" i="48"/>
  <c r="AB9" i="48"/>
  <c r="AA9" i="48"/>
  <c r="W9" i="48"/>
  <c r="V9" i="48"/>
  <c r="U9" i="48"/>
  <c r="T9" i="48"/>
  <c r="R9" i="48"/>
  <c r="C8" i="45" s="1"/>
  <c r="Q9" i="48"/>
  <c r="AC9" i="48" s="1"/>
  <c r="P9" i="48"/>
  <c r="I9" i="48"/>
  <c r="F9" i="48"/>
  <c r="E9" i="48"/>
  <c r="D9" i="48"/>
  <c r="P24" i="45" l="1"/>
  <c r="P28" i="45"/>
  <c r="I40" i="45"/>
  <c r="M40" i="45"/>
  <c r="P32" i="45"/>
  <c r="P36" i="45"/>
  <c r="AD9" i="48"/>
  <c r="AB10" i="48"/>
  <c r="AB11" i="48"/>
  <c r="AB12" i="48"/>
  <c r="E26" i="1"/>
  <c r="C25" i="45"/>
  <c r="G25" i="45" s="1"/>
  <c r="J29" i="48"/>
  <c r="AB31" i="48"/>
  <c r="I34" i="48"/>
  <c r="AD34" i="48"/>
  <c r="AB36" i="48"/>
  <c r="U16" i="46"/>
  <c r="AA16" i="46" s="1"/>
  <c r="P16" i="46"/>
  <c r="P78" i="57"/>
  <c r="V78" i="57"/>
  <c r="EO13" i="1"/>
  <c r="E14" i="2"/>
  <c r="DH13" i="1"/>
  <c r="CV13" i="1"/>
  <c r="CJ13" i="1"/>
  <c r="BX13" i="1"/>
  <c r="BL13" i="1"/>
  <c r="AZ13" i="1"/>
  <c r="AN13" i="1"/>
  <c r="AB13" i="1"/>
  <c r="P13" i="1"/>
  <c r="DB13" i="1"/>
  <c r="CP13" i="1"/>
  <c r="CD13" i="1"/>
  <c r="BR13" i="1"/>
  <c r="BF13" i="1"/>
  <c r="AT13" i="1"/>
  <c r="AH13" i="1"/>
  <c r="V13" i="1"/>
  <c r="J13" i="1"/>
  <c r="CY13" i="1"/>
  <c r="CM13" i="1"/>
  <c r="CA13" i="1"/>
  <c r="BO13" i="1"/>
  <c r="BC13" i="1"/>
  <c r="AQ13" i="1"/>
  <c r="AE13" i="1"/>
  <c r="S13" i="1"/>
  <c r="G13" i="1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BI13" i="1"/>
  <c r="CS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AK13" i="1"/>
  <c r="BU13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E13" i="1"/>
  <c r="M13" i="1"/>
  <c r="AW13" i="1"/>
  <c r="Y13" i="1"/>
  <c r="B14" i="45"/>
  <c r="F14" i="45" s="1"/>
  <c r="D15" i="1"/>
  <c r="D16" i="2" s="1"/>
  <c r="P41" i="48"/>
  <c r="GW13" i="1"/>
  <c r="C68" i="57"/>
  <c r="V68" i="57"/>
  <c r="D9" i="1"/>
  <c r="B8" i="45"/>
  <c r="J8" i="45" s="1"/>
  <c r="X9" i="48"/>
  <c r="V12" i="48"/>
  <c r="B16" i="45"/>
  <c r="D17" i="1"/>
  <c r="D18" i="2" s="1"/>
  <c r="I18" i="48"/>
  <c r="I23" i="48"/>
  <c r="G26" i="48"/>
  <c r="AD26" i="48"/>
  <c r="D32" i="1"/>
  <c r="D33" i="2" s="1"/>
  <c r="B31" i="45"/>
  <c r="D35" i="1"/>
  <c r="D36" i="2" s="1"/>
  <c r="B34" i="45"/>
  <c r="C17" i="45"/>
  <c r="EC13" i="1"/>
  <c r="HU13" i="1"/>
  <c r="AB18" i="1"/>
  <c r="E28" i="1"/>
  <c r="C27" i="45"/>
  <c r="U56" i="46"/>
  <c r="K56" i="46"/>
  <c r="C56" i="46"/>
  <c r="V56" i="46"/>
  <c r="U98" i="57"/>
  <c r="P98" i="57"/>
  <c r="D29" i="1"/>
  <c r="D30" i="2" s="1"/>
  <c r="B28" i="45"/>
  <c r="N31" i="45"/>
  <c r="FM13" i="1"/>
  <c r="AD13" i="48"/>
  <c r="AB15" i="48"/>
  <c r="AB16" i="48"/>
  <c r="D18" i="1"/>
  <c r="D19" i="2" s="1"/>
  <c r="B17" i="45"/>
  <c r="D19" i="1"/>
  <c r="D20" i="2" s="1"/>
  <c r="B18" i="45"/>
  <c r="J18" i="45" s="1"/>
  <c r="D20" i="1"/>
  <c r="D21" i="2" s="1"/>
  <c r="B19" i="45"/>
  <c r="N19" i="45" s="1"/>
  <c r="D21" i="1"/>
  <c r="D22" i="2" s="1"/>
  <c r="B20" i="45"/>
  <c r="D23" i="1"/>
  <c r="D24" i="2" s="1"/>
  <c r="B22" i="45"/>
  <c r="D24" i="1"/>
  <c r="D25" i="2" s="1"/>
  <c r="B23" i="45"/>
  <c r="N23" i="45" s="1"/>
  <c r="D25" i="1"/>
  <c r="D26" i="2" s="1"/>
  <c r="B24" i="45"/>
  <c r="N24" i="45" s="1"/>
  <c r="I26" i="48"/>
  <c r="V26" i="48"/>
  <c r="AD27" i="48"/>
  <c r="AD28" i="48"/>
  <c r="E29" i="1"/>
  <c r="C28" i="45"/>
  <c r="GK13" i="1"/>
  <c r="E9" i="1"/>
  <c r="D11" i="1"/>
  <c r="D12" i="2" s="1"/>
  <c r="B10" i="45"/>
  <c r="AB29" i="48"/>
  <c r="D31" i="1"/>
  <c r="D32" i="2" s="1"/>
  <c r="B30" i="45"/>
  <c r="E34" i="1"/>
  <c r="C33" i="45"/>
  <c r="D36" i="1"/>
  <c r="D37" i="2" s="1"/>
  <c r="B35" i="45"/>
  <c r="N35" i="45" s="1"/>
  <c r="C12" i="45"/>
  <c r="B21" i="45"/>
  <c r="K20" i="46"/>
  <c r="L12" i="48" s="1"/>
  <c r="V20" i="46"/>
  <c r="C20" i="46"/>
  <c r="U20" i="46"/>
  <c r="T20" i="46"/>
  <c r="P20" i="46"/>
  <c r="FA13" i="1"/>
  <c r="IS13" i="1"/>
  <c r="D16" i="1"/>
  <c r="D17" i="2" s="1"/>
  <c r="N27" i="45"/>
  <c r="C122" i="57"/>
  <c r="U122" i="57"/>
  <c r="T122" i="57"/>
  <c r="JE13" i="1"/>
  <c r="Q10" i="48"/>
  <c r="G15" i="48"/>
  <c r="E19" i="2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P18" i="1"/>
  <c r="AZ18" i="1"/>
  <c r="Y18" i="1"/>
  <c r="JE18" i="1"/>
  <c r="IP18" i="1"/>
  <c r="HI18" i="1"/>
  <c r="GT18" i="1"/>
  <c r="FM18" i="1"/>
  <c r="EX18" i="1"/>
  <c r="DQ18" i="1"/>
  <c r="DB18" i="1"/>
  <c r="BL18" i="1"/>
  <c r="AK18" i="1"/>
  <c r="J18" i="1"/>
  <c r="BX18" i="1"/>
  <c r="AW18" i="1"/>
  <c r="V18" i="1"/>
  <c r="JB18" i="1"/>
  <c r="HU18" i="1"/>
  <c r="HF18" i="1"/>
  <c r="FY18" i="1"/>
  <c r="FJ18" i="1"/>
  <c r="EC18" i="1"/>
  <c r="DN18" i="1"/>
  <c r="CJ18" i="1"/>
  <c r="BI18" i="1"/>
  <c r="AH18" i="1"/>
  <c r="CV18" i="1"/>
  <c r="BU18" i="1"/>
  <c r="AT18" i="1"/>
  <c r="IG18" i="1"/>
  <c r="HR18" i="1"/>
  <c r="GK18" i="1"/>
  <c r="FV18" i="1"/>
  <c r="EO18" i="1"/>
  <c r="DZ18" i="1"/>
  <c r="CG18" i="1"/>
  <c r="BF18" i="1"/>
  <c r="P18" i="1"/>
  <c r="IS18" i="1"/>
  <c r="ID18" i="1"/>
  <c r="GW18" i="1"/>
  <c r="GH18" i="1"/>
  <c r="FA18" i="1"/>
  <c r="EL18" i="1"/>
  <c r="DE18" i="1"/>
  <c r="CD18" i="1"/>
  <c r="AN18" i="1"/>
  <c r="M18" i="1"/>
  <c r="E19" i="1"/>
  <c r="C18" i="45"/>
  <c r="E23" i="1"/>
  <c r="C22" i="45"/>
  <c r="G22" i="45" s="1"/>
  <c r="X26" i="48"/>
  <c r="I28" i="48"/>
  <c r="D33" i="1"/>
  <c r="D34" i="2" s="1"/>
  <c r="B32" i="45"/>
  <c r="BA35" i="48"/>
  <c r="F38" i="48"/>
  <c r="J10" i="45"/>
  <c r="B25" i="45"/>
  <c r="N25" i="45" s="1"/>
  <c r="U126" i="46"/>
  <c r="AA126" i="46" s="1"/>
  <c r="K126" i="46"/>
  <c r="T57" i="57"/>
  <c r="K57" i="57"/>
  <c r="V57" i="57"/>
  <c r="DQ13" i="1"/>
  <c r="HI13" i="1"/>
  <c r="E27" i="1"/>
  <c r="C26" i="45"/>
  <c r="BC28" i="48"/>
  <c r="CG13" i="1"/>
  <c r="D10" i="1"/>
  <c r="D11" i="2" s="1"/>
  <c r="B9" i="45"/>
  <c r="J9" i="45" s="1"/>
  <c r="I13" i="48"/>
  <c r="S9" i="48"/>
  <c r="D13" i="1"/>
  <c r="D14" i="2" s="1"/>
  <c r="B12" i="45"/>
  <c r="X13" i="48"/>
  <c r="D14" i="1"/>
  <c r="D15" i="2" s="1"/>
  <c r="B13" i="45"/>
  <c r="N13" i="45" s="1"/>
  <c r="V15" i="48"/>
  <c r="V16" i="48"/>
  <c r="AB18" i="48"/>
  <c r="AB19" i="48"/>
  <c r="AB20" i="48"/>
  <c r="AB21" i="48"/>
  <c r="AB22" i="48"/>
  <c r="AB23" i="48"/>
  <c r="AB24" i="48"/>
  <c r="AB25" i="48"/>
  <c r="D27" i="1"/>
  <c r="D28" i="2" s="1"/>
  <c r="B26" i="45"/>
  <c r="X27" i="48"/>
  <c r="D28" i="1"/>
  <c r="D29" i="2" s="1"/>
  <c r="B27" i="45"/>
  <c r="X28" i="48"/>
  <c r="I29" i="48"/>
  <c r="AD29" i="48"/>
  <c r="D37" i="1"/>
  <c r="D38" i="2" s="1"/>
  <c r="B36" i="45"/>
  <c r="B29" i="45"/>
  <c r="FY13" i="1"/>
  <c r="V38" i="48"/>
  <c r="AB39" i="48"/>
  <c r="N11" i="45"/>
  <c r="N15" i="45"/>
  <c r="G18" i="45"/>
  <c r="J23" i="45"/>
  <c r="J27" i="45"/>
  <c r="J31" i="45"/>
  <c r="J35" i="45"/>
  <c r="K12" i="46"/>
  <c r="T32" i="46"/>
  <c r="X44" i="46"/>
  <c r="K48" i="46"/>
  <c r="K57" i="46"/>
  <c r="U65" i="46"/>
  <c r="AA64" i="46" s="1"/>
  <c r="C68" i="46"/>
  <c r="T106" i="46"/>
  <c r="AC106" i="46" s="1"/>
  <c r="W135" i="57"/>
  <c r="AA28" i="57"/>
  <c r="AA48" i="57"/>
  <c r="AC64" i="57"/>
  <c r="K68" i="57"/>
  <c r="C84" i="57"/>
  <c r="AA86" i="57"/>
  <c r="K90" i="57"/>
  <c r="K94" i="57"/>
  <c r="C95" i="57"/>
  <c r="C114" i="57"/>
  <c r="V114" i="57"/>
  <c r="C119" i="57"/>
  <c r="K122" i="57"/>
  <c r="C123" i="57"/>
  <c r="G17" i="45"/>
  <c r="N18" i="45"/>
  <c r="K26" i="45"/>
  <c r="V6" i="46"/>
  <c r="K60" i="46"/>
  <c r="AC60" i="46" s="1"/>
  <c r="V98" i="46"/>
  <c r="AC102" i="46"/>
  <c r="C106" i="46"/>
  <c r="AC107" i="46"/>
  <c r="AA90" i="57"/>
  <c r="AA94" i="57"/>
  <c r="C102" i="57"/>
  <c r="K107" i="57"/>
  <c r="V118" i="57"/>
  <c r="K119" i="57"/>
  <c r="K123" i="57"/>
  <c r="V130" i="57"/>
  <c r="J17" i="45"/>
  <c r="F21" i="45"/>
  <c r="O26" i="45"/>
  <c r="F29" i="45"/>
  <c r="F33" i="45"/>
  <c r="F37" i="45"/>
  <c r="AC65" i="46"/>
  <c r="AC84" i="46"/>
  <c r="K94" i="46"/>
  <c r="AC94" i="46" s="1"/>
  <c r="N9" i="45"/>
  <c r="N17" i="45"/>
  <c r="J29" i="45"/>
  <c r="J33" i="45"/>
  <c r="J37" i="45"/>
  <c r="P12" i="46"/>
  <c r="K32" i="46"/>
  <c r="T40" i="46"/>
  <c r="P44" i="46"/>
  <c r="C48" i="46"/>
  <c r="V48" i="46"/>
  <c r="P60" i="46"/>
  <c r="V65" i="46"/>
  <c r="T68" i="46"/>
  <c r="P98" i="46"/>
  <c r="K106" i="46"/>
  <c r="X106" i="46" s="1"/>
  <c r="P123" i="46"/>
  <c r="P21" i="57"/>
  <c r="U52" i="57"/>
  <c r="U64" i="57"/>
  <c r="AA64" i="57" s="1"/>
  <c r="V74" i="57"/>
  <c r="K102" i="57"/>
  <c r="BA32" i="48" s="1"/>
  <c r="P119" i="57"/>
  <c r="X122" i="57"/>
  <c r="P123" i="57"/>
  <c r="J12" i="45"/>
  <c r="J16" i="45"/>
  <c r="N21" i="45"/>
  <c r="N29" i="45"/>
  <c r="N33" i="45"/>
  <c r="N37" i="45"/>
  <c r="T6" i="46"/>
  <c r="P24" i="46"/>
  <c r="K38" i="46"/>
  <c r="U40" i="46"/>
  <c r="T44" i="46"/>
  <c r="AC44" i="46" s="1"/>
  <c r="P49" i="46"/>
  <c r="U60" i="46"/>
  <c r="AA60" i="46" s="1"/>
  <c r="U68" i="46"/>
  <c r="AA68" i="46" s="1"/>
  <c r="P102" i="46"/>
  <c r="C107" i="46"/>
  <c r="X122" i="46"/>
  <c r="T123" i="46"/>
  <c r="AC123" i="46" s="1"/>
  <c r="V126" i="46"/>
  <c r="P36" i="57"/>
  <c r="T38" i="57"/>
  <c r="P60" i="57"/>
  <c r="AC106" i="57"/>
  <c r="T119" i="57"/>
  <c r="U123" i="57"/>
  <c r="N12" i="45"/>
  <c r="N16" i="45"/>
  <c r="J20" i="45"/>
  <c r="K28" i="45"/>
  <c r="K16" i="46"/>
  <c r="L11" i="48" s="1"/>
  <c r="U44" i="46"/>
  <c r="AA44" i="46" s="1"/>
  <c r="V86" i="46"/>
  <c r="Y135" i="46"/>
  <c r="K28" i="57"/>
  <c r="T36" i="57"/>
  <c r="AC36" i="57" s="1"/>
  <c r="V37" i="57"/>
  <c r="V38" i="57"/>
  <c r="U40" i="57"/>
  <c r="AA40" i="57" s="1"/>
  <c r="P49" i="57"/>
  <c r="K83" i="57"/>
  <c r="T84" i="57"/>
  <c r="AC84" i="57" s="1"/>
  <c r="X86" i="57"/>
  <c r="V90" i="57"/>
  <c r="P102" i="57"/>
  <c r="C107" i="57"/>
  <c r="X106" i="57"/>
  <c r="T114" i="57"/>
  <c r="AC114" i="57" s="1"/>
  <c r="AB114" i="57" s="1"/>
  <c r="U119" i="57"/>
  <c r="AA118" i="57" s="1"/>
  <c r="J11" i="45"/>
  <c r="J15" i="45"/>
  <c r="J19" i="45"/>
  <c r="O28" i="45"/>
  <c r="B38" i="45"/>
  <c r="C6" i="46"/>
  <c r="P38" i="46"/>
  <c r="C44" i="46"/>
  <c r="N18" i="48" s="1"/>
  <c r="G18" i="48" s="1"/>
  <c r="T94" i="46"/>
  <c r="U99" i="46"/>
  <c r="AA98" i="46" s="1"/>
  <c r="P106" i="46"/>
  <c r="AA12" i="57"/>
  <c r="C36" i="57"/>
  <c r="C38" i="57"/>
  <c r="V40" i="57"/>
  <c r="C49" i="57"/>
  <c r="K78" i="57"/>
  <c r="BA26" i="48" s="1"/>
  <c r="BC26" i="48" s="1"/>
  <c r="V83" i="57"/>
  <c r="K98" i="57"/>
  <c r="K99" i="57"/>
  <c r="U102" i="57"/>
  <c r="AA102" i="57" s="1"/>
  <c r="AA106" i="57"/>
  <c r="V107" i="57"/>
  <c r="K34" i="10"/>
  <c r="I40" i="10" s="1"/>
  <c r="I51" i="6"/>
  <c r="I51" i="8"/>
  <c r="K34" i="37"/>
  <c r="I40" i="37" s="1"/>
  <c r="I44" i="4"/>
  <c r="I50" i="4"/>
  <c r="I44" i="37"/>
  <c r="I50" i="37"/>
  <c r="I51" i="13"/>
  <c r="I45" i="13"/>
  <c r="K34" i="4"/>
  <c r="I40" i="4" s="1"/>
  <c r="K34" i="6"/>
  <c r="I40" i="6" s="1"/>
  <c r="K34" i="7"/>
  <c r="I40" i="7" s="1"/>
  <c r="K34" i="43"/>
  <c r="I40" i="43" s="1"/>
  <c r="M16" i="37"/>
  <c r="M16" i="4" s="1"/>
  <c r="M16" i="43" s="1"/>
  <c r="M16" i="6"/>
  <c r="I45" i="8"/>
  <c r="I45" i="7"/>
  <c r="I51" i="7"/>
  <c r="K34" i="9"/>
  <c r="I40" i="9" s="1"/>
  <c r="M11" i="11"/>
  <c r="M11" i="10" s="1"/>
  <c r="M11" i="9" s="1"/>
  <c r="M11" i="8" s="1"/>
  <c r="M11" i="7" s="1"/>
  <c r="M11" i="6" s="1"/>
  <c r="M11" i="37" s="1"/>
  <c r="M11" i="4" s="1"/>
  <c r="M11" i="43" s="1"/>
  <c r="K34" i="12"/>
  <c r="I40" i="12" s="1"/>
  <c r="I45" i="11"/>
  <c r="M15" i="11"/>
  <c r="M15" i="10" s="1"/>
  <c r="M15" i="9" s="1"/>
  <c r="M15" i="8" s="1"/>
  <c r="M15" i="7" s="1"/>
  <c r="M15" i="6" s="1"/>
  <c r="M15" i="37" s="1"/>
  <c r="M15" i="4" s="1"/>
  <c r="M15" i="43" s="1"/>
  <c r="K34" i="11"/>
  <c r="I40" i="11" s="1"/>
  <c r="I51" i="11" s="1"/>
  <c r="M13" i="19"/>
  <c r="I44" i="13"/>
  <c r="I50" i="13"/>
  <c r="M13" i="18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I45" i="14"/>
  <c r="I51" i="15"/>
  <c r="J57" i="18"/>
  <c r="I45" i="15"/>
  <c r="K34" i="17"/>
  <c r="I40" i="17" s="1"/>
  <c r="M14" i="17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E43" i="18"/>
  <c r="D43" i="17"/>
  <c r="E51" i="19"/>
  <c r="D51" i="18"/>
  <c r="I44" i="18"/>
  <c r="I44" i="19"/>
  <c r="I45" i="19"/>
  <c r="E49" i="19"/>
  <c r="D49" i="18"/>
  <c r="I50" i="19"/>
  <c r="I51" i="19"/>
  <c r="I44" i="14"/>
  <c r="K34" i="18"/>
  <c r="I40" i="18" s="1"/>
  <c r="I51" i="14"/>
  <c r="I50" i="15"/>
  <c r="I50" i="16"/>
  <c r="M12" i="18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E47" i="19"/>
  <c r="D47" i="18"/>
  <c r="M12" i="22"/>
  <c r="M12" i="20" s="1"/>
  <c r="K34" i="22"/>
  <c r="I40" i="22" s="1"/>
  <c r="M12" i="19"/>
  <c r="K34" i="20"/>
  <c r="I40" i="20" s="1"/>
  <c r="J56" i="20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E50" i="27"/>
  <c r="D50" i="28"/>
  <c r="E43" i="22"/>
  <c r="E49" i="22"/>
  <c r="J39" i="26"/>
  <c r="J37" i="25"/>
  <c r="J24" i="24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24" i="25"/>
  <c r="J43" i="32"/>
  <c r="I51" i="23"/>
  <c r="E48" i="27"/>
  <c r="D48" i="28"/>
  <c r="K34" i="21"/>
  <c r="I40" i="21" s="1"/>
  <c r="D45" i="21"/>
  <c r="E39" i="28"/>
  <c r="D39" i="26"/>
  <c r="E44" i="27"/>
  <c r="D44" i="28"/>
  <c r="I45" i="23"/>
  <c r="J57" i="26"/>
  <c r="J28" i="24"/>
  <c r="J28" i="23" s="1"/>
  <c r="J28" i="21" s="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8" i="25"/>
  <c r="J25" i="25"/>
  <c r="J25" i="24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7" i="25"/>
  <c r="J27" i="24"/>
  <c r="J27" i="23" s="1"/>
  <c r="J27" i="21" s="1"/>
  <c r="J27" i="22" s="1"/>
  <c r="J27" i="20" s="1"/>
  <c r="J27" i="19" s="1"/>
  <c r="J27" i="18" s="1"/>
  <c r="J27" i="17" s="1"/>
  <c r="J27" i="16" s="1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E41" i="29"/>
  <c r="D41" i="27"/>
  <c r="E46" i="29"/>
  <c r="D46" i="27"/>
  <c r="M10" i="26"/>
  <c r="J39" i="28"/>
  <c r="E39" i="27"/>
  <c r="E44" i="29"/>
  <c r="E48" i="29"/>
  <c r="E50" i="29"/>
  <c r="E38" i="30"/>
  <c r="E52" i="30" s="1"/>
  <c r="E53" i="30" s="1"/>
  <c r="E41" i="30"/>
  <c r="E46" i="30"/>
  <c r="M8" i="3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M9" i="26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K34" i="27"/>
  <c r="I40" i="27" s="1"/>
  <c r="I44" i="29"/>
  <c r="I50" i="29"/>
  <c r="E38" i="31"/>
  <c r="E52" i="31" s="1"/>
  <c r="E53" i="31" s="1"/>
  <c r="M7" i="32"/>
  <c r="I44" i="24"/>
  <c r="I50" i="24"/>
  <c r="I44" i="25"/>
  <c r="I50" i="25"/>
  <c r="J43" i="31"/>
  <c r="K34" i="28"/>
  <c r="I40" i="28" s="1"/>
  <c r="D42" i="28"/>
  <c r="D40" i="27"/>
  <c r="D38" i="29"/>
  <c r="E49" i="29"/>
  <c r="I45" i="31"/>
  <c r="E38" i="32"/>
  <c r="E52" i="32" s="1"/>
  <c r="E53" i="32" s="1"/>
  <c r="I44" i="32"/>
  <c r="J43" i="33"/>
  <c r="J49" i="33"/>
  <c r="K34" i="30"/>
  <c r="I40" i="30" s="1"/>
  <c r="I45" i="33"/>
  <c r="I51" i="33"/>
  <c r="E45" i="29"/>
  <c r="M10" i="25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K34" i="25"/>
  <c r="I40" i="25" s="1"/>
  <c r="I45" i="25" s="1"/>
  <c r="K34" i="32"/>
  <c r="I40" i="32" s="1"/>
  <c r="K34" i="26"/>
  <c r="I40" i="26" s="1"/>
  <c r="K34" i="31"/>
  <c r="I40" i="31" s="1"/>
  <c r="I51" i="31" s="1"/>
  <c r="AD17" i="57"/>
  <c r="X20" i="57"/>
  <c r="AD42" i="57"/>
  <c r="X24" i="57"/>
  <c r="BA14" i="48"/>
  <c r="X32" i="57"/>
  <c r="AD18" i="57"/>
  <c r="AD20" i="57"/>
  <c r="AA36" i="57"/>
  <c r="J44" i="57"/>
  <c r="AD9" i="57"/>
  <c r="K56" i="57"/>
  <c r="J56" i="57"/>
  <c r="AC20" i="57"/>
  <c r="BA12" i="48"/>
  <c r="K38" i="57"/>
  <c r="AC38" i="57" s="1"/>
  <c r="J38" i="57"/>
  <c r="AD40" i="57"/>
  <c r="K52" i="57"/>
  <c r="X52" i="57" s="1"/>
  <c r="AC24" i="57"/>
  <c r="BA13" i="48"/>
  <c r="BC13" i="48" s="1"/>
  <c r="X28" i="57"/>
  <c r="AC32" i="57"/>
  <c r="BA15" i="48"/>
  <c r="BA17" i="48"/>
  <c r="AD16" i="57"/>
  <c r="AD41" i="57"/>
  <c r="X48" i="57"/>
  <c r="AC48" i="57"/>
  <c r="AB48" i="57" s="1"/>
  <c r="BA19" i="48"/>
  <c r="BC19" i="48" s="1"/>
  <c r="BA22" i="48"/>
  <c r="X60" i="57"/>
  <c r="U6" i="57"/>
  <c r="K12" i="57"/>
  <c r="T13" i="57"/>
  <c r="AC13" i="57" s="1"/>
  <c r="K16" i="57"/>
  <c r="C20" i="57"/>
  <c r="U20" i="57"/>
  <c r="AA20" i="57" s="1"/>
  <c r="C24" i="57"/>
  <c r="U24" i="57"/>
  <c r="AA24" i="57" s="1"/>
  <c r="C32" i="57"/>
  <c r="U32" i="57"/>
  <c r="AA32" i="57" s="1"/>
  <c r="C40" i="57"/>
  <c r="T40" i="57"/>
  <c r="AC40" i="57" s="1"/>
  <c r="K44" i="57"/>
  <c r="X44" i="57" s="1"/>
  <c r="AD52" i="57"/>
  <c r="P53" i="57"/>
  <c r="P57" i="57"/>
  <c r="AD61" i="57"/>
  <c r="U68" i="57"/>
  <c r="T68" i="57"/>
  <c r="AC68" i="57" s="1"/>
  <c r="P68" i="57"/>
  <c r="Y137" i="57"/>
  <c r="AC126" i="57"/>
  <c r="X126" i="57"/>
  <c r="AD132" i="57"/>
  <c r="V20" i="57"/>
  <c r="V24" i="57"/>
  <c r="V32" i="57"/>
  <c r="AD56" i="57"/>
  <c r="U57" i="57"/>
  <c r="P69" i="57"/>
  <c r="V69" i="57"/>
  <c r="U69" i="57"/>
  <c r="C69" i="57"/>
  <c r="AD118" i="57"/>
  <c r="X130" i="57"/>
  <c r="BB137" i="57"/>
  <c r="X140" i="57"/>
  <c r="V13" i="57"/>
  <c r="V52" i="57"/>
  <c r="U56" i="57"/>
  <c r="C56" i="57"/>
  <c r="P56" i="57"/>
  <c r="K65" i="57"/>
  <c r="X64" i="57" s="1"/>
  <c r="V65" i="57"/>
  <c r="X78" i="57"/>
  <c r="AD116" i="57"/>
  <c r="BC137" i="57"/>
  <c r="BC9" i="48"/>
  <c r="X6" i="57"/>
  <c r="BA6" i="57"/>
  <c r="BA135" i="57" s="1"/>
  <c r="P12" i="57"/>
  <c r="J13" i="57"/>
  <c r="P16" i="57"/>
  <c r="T21" i="57"/>
  <c r="AC21" i="57" s="1"/>
  <c r="T28" i="57"/>
  <c r="AC28" i="57" s="1"/>
  <c r="AB28" i="57" s="1"/>
  <c r="J40" i="57"/>
  <c r="P44" i="57"/>
  <c r="V48" i="57"/>
  <c r="C53" i="57"/>
  <c r="U53" i="57"/>
  <c r="T56" i="57"/>
  <c r="C57" i="57"/>
  <c r="K73" i="57"/>
  <c r="T73" i="57"/>
  <c r="P73" i="57"/>
  <c r="AD128" i="57"/>
  <c r="BD137" i="57"/>
  <c r="BD9" i="48"/>
  <c r="Z135" i="57"/>
  <c r="T12" i="57"/>
  <c r="T16" i="57"/>
  <c r="C21" i="57"/>
  <c r="C28" i="57"/>
  <c r="C44" i="57"/>
  <c r="T44" i="57"/>
  <c r="J48" i="57"/>
  <c r="J52" i="57"/>
  <c r="V53" i="57"/>
  <c r="V56" i="57"/>
  <c r="T69" i="57"/>
  <c r="K74" i="57"/>
  <c r="J74" i="57"/>
  <c r="X114" i="57"/>
  <c r="AD130" i="57"/>
  <c r="BE137" i="57"/>
  <c r="C12" i="57"/>
  <c r="C16" i="57"/>
  <c r="V21" i="57"/>
  <c r="V28" i="57"/>
  <c r="X56" i="57"/>
  <c r="AD71" i="57"/>
  <c r="BF137" i="57"/>
  <c r="R136" i="57"/>
  <c r="R137" i="57"/>
  <c r="V12" i="57"/>
  <c r="V16" i="57"/>
  <c r="P20" i="57"/>
  <c r="J21" i="57"/>
  <c r="P24" i="57"/>
  <c r="J28" i="57"/>
  <c r="P32" i="57"/>
  <c r="S136" i="57"/>
  <c r="S137" i="57"/>
  <c r="V44" i="57"/>
  <c r="AC53" i="57"/>
  <c r="C60" i="57"/>
  <c r="U60" i="57"/>
  <c r="AA60" i="57" s="1"/>
  <c r="T60" i="57"/>
  <c r="AC60" i="57" s="1"/>
  <c r="X98" i="57"/>
  <c r="AD114" i="57"/>
  <c r="AD126" i="57"/>
  <c r="C6" i="57"/>
  <c r="AC6" i="57"/>
  <c r="H37" i="57"/>
  <c r="T52" i="57"/>
  <c r="C52" i="57"/>
  <c r="K69" i="57"/>
  <c r="J69" i="57"/>
  <c r="AC102" i="57"/>
  <c r="AB102" i="57" s="1"/>
  <c r="X102" i="57"/>
  <c r="K110" i="57"/>
  <c r="C64" i="57"/>
  <c r="V64" i="57"/>
  <c r="P65" i="57"/>
  <c r="T74" i="57"/>
  <c r="T78" i="57"/>
  <c r="AC78" i="57" s="1"/>
  <c r="K82" i="57"/>
  <c r="X82" i="57" s="1"/>
  <c r="V95" i="57"/>
  <c r="C99" i="57"/>
  <c r="T99" i="57"/>
  <c r="AC99" i="57" s="1"/>
  <c r="J102" i="57"/>
  <c r="P122" i="57"/>
  <c r="J123" i="57"/>
  <c r="T65" i="57"/>
  <c r="C74" i="57"/>
  <c r="U74" i="57"/>
  <c r="AA73" i="57" s="1"/>
  <c r="C78" i="57"/>
  <c r="U78" i="57"/>
  <c r="AA78" i="57" s="1"/>
  <c r="C83" i="57"/>
  <c r="T83" i="57"/>
  <c r="AC83" i="57" s="1"/>
  <c r="AC94" i="57"/>
  <c r="AB94" i="57" s="1"/>
  <c r="U99" i="57"/>
  <c r="AA98" i="57" s="1"/>
  <c r="P110" i="57"/>
  <c r="V126" i="57"/>
  <c r="AB126" i="57" s="1"/>
  <c r="C73" i="57"/>
  <c r="J78" i="57"/>
  <c r="P82" i="57"/>
  <c r="J83" i="57"/>
  <c r="C86" i="57"/>
  <c r="C94" i="57"/>
  <c r="C98" i="57"/>
  <c r="T98" i="57"/>
  <c r="AC98" i="57" s="1"/>
  <c r="J99" i="57"/>
  <c r="C110" i="57"/>
  <c r="T110" i="57"/>
  <c r="P118" i="57"/>
  <c r="V122" i="57"/>
  <c r="J126" i="57"/>
  <c r="P130" i="57"/>
  <c r="T82" i="57"/>
  <c r="V86" i="57"/>
  <c r="AB86" i="57" s="1"/>
  <c r="V94" i="57"/>
  <c r="C118" i="57"/>
  <c r="T118" i="57"/>
  <c r="T130" i="57"/>
  <c r="AC130" i="57" s="1"/>
  <c r="AB130" i="57" s="1"/>
  <c r="C82" i="57"/>
  <c r="U82" i="57"/>
  <c r="AA82" i="57" s="1"/>
  <c r="P90" i="57"/>
  <c r="P95" i="57"/>
  <c r="V98" i="57"/>
  <c r="P107" i="57"/>
  <c r="V110" i="57"/>
  <c r="C130" i="57"/>
  <c r="H118" i="57"/>
  <c r="C90" i="57"/>
  <c r="L14" i="48"/>
  <c r="X28" i="46"/>
  <c r="N9" i="48"/>
  <c r="X16" i="46"/>
  <c r="AC20" i="46"/>
  <c r="P21" i="46"/>
  <c r="U21" i="46"/>
  <c r="AA20" i="46" s="1"/>
  <c r="AB20" i="46" s="1"/>
  <c r="C21" i="46"/>
  <c r="V28" i="46"/>
  <c r="AC68" i="46"/>
  <c r="AC73" i="46"/>
  <c r="L25" i="48"/>
  <c r="K6" i="46"/>
  <c r="AD20" i="46"/>
  <c r="AD42" i="46"/>
  <c r="AD50" i="46"/>
  <c r="AD61" i="46"/>
  <c r="X73" i="46"/>
  <c r="AD80" i="46"/>
  <c r="AD8" i="46"/>
  <c r="V24" i="46"/>
  <c r="AD36" i="46"/>
  <c r="K40" i="46"/>
  <c r="V40" i="46"/>
  <c r="AA40" i="46"/>
  <c r="L33" i="48"/>
  <c r="H11" i="48"/>
  <c r="AD40" i="46"/>
  <c r="AD48" i="46"/>
  <c r="AD78" i="46"/>
  <c r="AA6" i="46"/>
  <c r="AM135" i="46"/>
  <c r="AD6" i="46"/>
  <c r="K24" i="46"/>
  <c r="P28" i="46"/>
  <c r="U28" i="46"/>
  <c r="AA28" i="46" s="1"/>
  <c r="C28" i="46"/>
  <c r="N14" i="48" s="1"/>
  <c r="G14" i="48" s="1"/>
  <c r="J82" i="46"/>
  <c r="K82" i="46"/>
  <c r="AD26" i="46"/>
  <c r="T28" i="46"/>
  <c r="AC28" i="46" s="1"/>
  <c r="K37" i="46"/>
  <c r="J38" i="46"/>
  <c r="J49" i="46"/>
  <c r="K49" i="46"/>
  <c r="L19" i="48" s="1"/>
  <c r="V53" i="46"/>
  <c r="H53" i="46"/>
  <c r="X56" i="46"/>
  <c r="K78" i="46"/>
  <c r="J78" i="46"/>
  <c r="BA135" i="46"/>
  <c r="H12" i="48"/>
  <c r="X20" i="46"/>
  <c r="L15" i="48"/>
  <c r="AC32" i="46"/>
  <c r="AB32" i="46" s="1"/>
  <c r="X32" i="46"/>
  <c r="U52" i="46"/>
  <c r="AA52" i="46" s="1"/>
  <c r="C52" i="46"/>
  <c r="P52" i="46"/>
  <c r="X94" i="46"/>
  <c r="AA12" i="46"/>
  <c r="AD24" i="46"/>
  <c r="U37" i="46"/>
  <c r="AA36" i="46" s="1"/>
  <c r="V37" i="46"/>
  <c r="C37" i="46"/>
  <c r="N16" i="48" s="1"/>
  <c r="G16" i="48" s="1"/>
  <c r="T37" i="46"/>
  <c r="P37" i="46"/>
  <c r="J18" i="48"/>
  <c r="H18" i="48"/>
  <c r="T52" i="46"/>
  <c r="L22" i="48"/>
  <c r="Z135" i="46"/>
  <c r="T12" i="46"/>
  <c r="K13" i="46"/>
  <c r="AC13" i="46" s="1"/>
  <c r="T16" i="46"/>
  <c r="AC16" i="46" s="1"/>
  <c r="V36" i="46"/>
  <c r="S137" i="46"/>
  <c r="S136" i="46"/>
  <c r="T48" i="46"/>
  <c r="AC48" i="46" s="1"/>
  <c r="P56" i="46"/>
  <c r="J57" i="46"/>
  <c r="V60" i="46"/>
  <c r="AB60" i="46" s="1"/>
  <c r="C64" i="46"/>
  <c r="N23" i="48" s="1"/>
  <c r="G23" i="48" s="1"/>
  <c r="H69" i="46"/>
  <c r="J73" i="46"/>
  <c r="U73" i="46"/>
  <c r="AA73" i="46" s="1"/>
  <c r="C83" i="46"/>
  <c r="N27" i="48" s="1"/>
  <c r="G27" i="48" s="1"/>
  <c r="U83" i="46"/>
  <c r="AA82" i="46" s="1"/>
  <c r="C86" i="46"/>
  <c r="N28" i="48" s="1"/>
  <c r="G28" i="48" s="1"/>
  <c r="U86" i="46"/>
  <c r="AA86" i="46" s="1"/>
  <c r="P90" i="46"/>
  <c r="AD92" i="46"/>
  <c r="J95" i="46"/>
  <c r="H98" i="46"/>
  <c r="J98" i="46" s="1"/>
  <c r="H99" i="46"/>
  <c r="K99" i="46" s="1"/>
  <c r="AC99" i="46" s="1"/>
  <c r="K114" i="46"/>
  <c r="BB137" i="46"/>
  <c r="P6" i="46"/>
  <c r="C12" i="46"/>
  <c r="N10" i="48" s="1"/>
  <c r="G10" i="48" s="1"/>
  <c r="C16" i="46"/>
  <c r="N11" i="48" s="1"/>
  <c r="G11" i="48" s="1"/>
  <c r="T38" i="46"/>
  <c r="AC38" i="46" s="1"/>
  <c r="T56" i="46"/>
  <c r="AC56" i="46"/>
  <c r="C60" i="46"/>
  <c r="N22" i="48" s="1"/>
  <c r="G22" i="48" s="1"/>
  <c r="X60" i="46"/>
  <c r="V73" i="46"/>
  <c r="T78" i="46"/>
  <c r="H83" i="46"/>
  <c r="AD90" i="46"/>
  <c r="P94" i="46"/>
  <c r="AD95" i="46"/>
  <c r="AA102" i="46"/>
  <c r="AB102" i="46" s="1"/>
  <c r="AD130" i="46"/>
  <c r="BC137" i="46"/>
  <c r="R137" i="46"/>
  <c r="R136" i="46"/>
  <c r="V12" i="46"/>
  <c r="V16" i="46"/>
  <c r="T49" i="46"/>
  <c r="C49" i="46"/>
  <c r="N19" i="48" s="1"/>
  <c r="G19" i="48" s="1"/>
  <c r="K64" i="46"/>
  <c r="V90" i="46"/>
  <c r="V107" i="46"/>
  <c r="U107" i="46"/>
  <c r="AA106" i="46" s="1"/>
  <c r="AB106" i="46" s="1"/>
  <c r="AD108" i="46"/>
  <c r="AD111" i="46"/>
  <c r="Y137" i="46"/>
  <c r="BD137" i="46"/>
  <c r="AD71" i="46"/>
  <c r="V78" i="46"/>
  <c r="K86" i="46"/>
  <c r="C94" i="46"/>
  <c r="N30" i="48" s="1"/>
  <c r="G30" i="48" s="1"/>
  <c r="T98" i="46"/>
  <c r="C98" i="46"/>
  <c r="N31" i="48" s="1"/>
  <c r="G31" i="48" s="1"/>
  <c r="J102" i="46"/>
  <c r="X102" i="46"/>
  <c r="P107" i="46"/>
  <c r="AA110" i="46"/>
  <c r="AB110" i="46" s="1"/>
  <c r="U114" i="46"/>
  <c r="AA114" i="46" s="1"/>
  <c r="T114" i="46"/>
  <c r="C114" i="46"/>
  <c r="N35" i="48" s="1"/>
  <c r="G35" i="48" s="1"/>
  <c r="AD115" i="46"/>
  <c r="AD122" i="46"/>
  <c r="BE137" i="46"/>
  <c r="L21" i="48"/>
  <c r="T53" i="46"/>
  <c r="C53" i="46"/>
  <c r="T57" i="46"/>
  <c r="AC57" i="46" s="1"/>
  <c r="V68" i="46"/>
  <c r="P69" i="46"/>
  <c r="AD69" i="46"/>
  <c r="P73" i="46"/>
  <c r="AD87" i="46"/>
  <c r="V94" i="46"/>
  <c r="AD96" i="46"/>
  <c r="BF137" i="46"/>
  <c r="U57" i="46"/>
  <c r="AA56" i="46" s="1"/>
  <c r="AB56" i="46" s="1"/>
  <c r="X110" i="46"/>
  <c r="AD112" i="46"/>
  <c r="X114" i="46"/>
  <c r="C119" i="46"/>
  <c r="U119" i="46"/>
  <c r="AA118" i="46" s="1"/>
  <c r="T119" i="46"/>
  <c r="AC119" i="46" s="1"/>
  <c r="W135" i="46"/>
  <c r="AR135" i="46"/>
  <c r="V44" i="46"/>
  <c r="C57" i="46"/>
  <c r="T64" i="46"/>
  <c r="AD64" i="46"/>
  <c r="C73" i="46"/>
  <c r="N25" i="48" s="1"/>
  <c r="G25" i="48" s="1"/>
  <c r="J74" i="46"/>
  <c r="P86" i="46"/>
  <c r="J106" i="46"/>
  <c r="X130" i="46"/>
  <c r="K52" i="46"/>
  <c r="V52" i="46"/>
  <c r="C69" i="46"/>
  <c r="N24" i="48" s="1"/>
  <c r="G24" i="48" s="1"/>
  <c r="T69" i="46"/>
  <c r="T83" i="46"/>
  <c r="U90" i="46"/>
  <c r="AA90" i="46" s="1"/>
  <c r="C90" i="46"/>
  <c r="N29" i="48" s="1"/>
  <c r="G29" i="48" s="1"/>
  <c r="K98" i="46"/>
  <c r="X98" i="46" s="1"/>
  <c r="J99" i="46"/>
  <c r="AD107" i="46"/>
  <c r="J110" i="46"/>
  <c r="AD110" i="46"/>
  <c r="K118" i="46"/>
  <c r="J118" i="46"/>
  <c r="AD132" i="46"/>
  <c r="C123" i="46"/>
  <c r="T130" i="46"/>
  <c r="AC130" i="46" s="1"/>
  <c r="V123" i="46"/>
  <c r="C130" i="46"/>
  <c r="N39" i="48" s="1"/>
  <c r="G39" i="48" s="1"/>
  <c r="U130" i="46"/>
  <c r="AA130" i="46" s="1"/>
  <c r="V114" i="46"/>
  <c r="V119" i="46"/>
  <c r="P122" i="46"/>
  <c r="J123" i="46"/>
  <c r="P126" i="46"/>
  <c r="T122" i="46"/>
  <c r="AC122" i="46" s="1"/>
  <c r="T126" i="46"/>
  <c r="AC126" i="46" s="1"/>
  <c r="AB126" i="46" s="1"/>
  <c r="C110" i="46"/>
  <c r="N34" i="48" s="1"/>
  <c r="G34" i="48" s="1"/>
  <c r="P118" i="46"/>
  <c r="U122" i="46"/>
  <c r="AA122" i="46" s="1"/>
  <c r="C126" i="46"/>
  <c r="N38" i="48" s="1"/>
  <c r="G38" i="48" s="1"/>
  <c r="C118" i="46"/>
  <c r="N36" i="48" s="1"/>
  <c r="G36" i="48" s="1"/>
  <c r="C122" i="46"/>
  <c r="P31" i="45"/>
  <c r="P22" i="45"/>
  <c r="Q22" i="45" s="1"/>
  <c r="P26" i="45"/>
  <c r="P34" i="45"/>
  <c r="N10" i="45"/>
  <c r="G33" i="45"/>
  <c r="O27" i="45"/>
  <c r="P30" i="45"/>
  <c r="I46" i="11" s="1"/>
  <c r="O25" i="45"/>
  <c r="K27" i="45"/>
  <c r="O17" i="45"/>
  <c r="P35" i="45"/>
  <c r="Q35" i="45" s="1"/>
  <c r="F10" i="45"/>
  <c r="P9" i="45"/>
  <c r="I46" i="32" s="1"/>
  <c r="AF10" i="48" s="1"/>
  <c r="K33" i="45"/>
  <c r="F9" i="45"/>
  <c r="G27" i="45"/>
  <c r="K18" i="45"/>
  <c r="O33" i="45"/>
  <c r="K8" i="45"/>
  <c r="O12" i="45"/>
  <c r="K17" i="45"/>
  <c r="Q23" i="45"/>
  <c r="I46" i="18"/>
  <c r="I46" i="17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P11" i="45"/>
  <c r="F11" i="45"/>
  <c r="P15" i="45"/>
  <c r="F15" i="45"/>
  <c r="P19" i="45"/>
  <c r="I46" i="6"/>
  <c r="Q38" i="45"/>
  <c r="I46" i="43"/>
  <c r="P40" i="45"/>
  <c r="I46" i="19"/>
  <c r="I46" i="37"/>
  <c r="Q36" i="45"/>
  <c r="P12" i="45"/>
  <c r="F12" i="45"/>
  <c r="P16" i="45"/>
  <c r="F16" i="45"/>
  <c r="P20" i="45"/>
  <c r="F20" i="45"/>
  <c r="Q31" i="45"/>
  <c r="I46" i="10"/>
  <c r="Q34" i="45"/>
  <c r="I46" i="7"/>
  <c r="G8" i="45"/>
  <c r="O8" i="45"/>
  <c r="P10" i="45"/>
  <c r="G12" i="45"/>
  <c r="O18" i="45"/>
  <c r="I46" i="9"/>
  <c r="Q32" i="45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P8" i="45"/>
  <c r="F13" i="45"/>
  <c r="P13" i="45"/>
  <c r="F17" i="45"/>
  <c r="P17" i="45"/>
  <c r="R27" i="45"/>
  <c r="Q27" i="45"/>
  <c r="I46" i="14"/>
  <c r="K12" i="45"/>
  <c r="N20" i="45"/>
  <c r="I46" i="13"/>
  <c r="R28" i="45"/>
  <c r="Q28" i="45"/>
  <c r="Q9" i="45"/>
  <c r="P14" i="45"/>
  <c r="P18" i="45"/>
  <c r="F18" i="45"/>
  <c r="R26" i="45"/>
  <c r="Q26" i="45"/>
  <c r="I46" i="15"/>
  <c r="P21" i="45"/>
  <c r="F22" i="45"/>
  <c r="N22" i="45"/>
  <c r="P25" i="45"/>
  <c r="F26" i="45"/>
  <c r="N26" i="45"/>
  <c r="J28" i="45"/>
  <c r="P29" i="45"/>
  <c r="F30" i="45"/>
  <c r="N30" i="45"/>
  <c r="J32" i="45"/>
  <c r="P33" i="45"/>
  <c r="F34" i="45"/>
  <c r="N34" i="45"/>
  <c r="J36" i="45"/>
  <c r="P37" i="45"/>
  <c r="F38" i="45"/>
  <c r="N38" i="45"/>
  <c r="G26" i="45"/>
  <c r="J21" i="45"/>
  <c r="F23" i="45"/>
  <c r="F27" i="45"/>
  <c r="F31" i="45"/>
  <c r="F35" i="45"/>
  <c r="J22" i="45"/>
  <c r="J26" i="45"/>
  <c r="F28" i="45"/>
  <c r="N28" i="45"/>
  <c r="J30" i="45"/>
  <c r="F32" i="45"/>
  <c r="N32" i="45"/>
  <c r="J34" i="45"/>
  <c r="F36" i="45"/>
  <c r="N36" i="45"/>
  <c r="J38" i="45"/>
  <c r="G28" i="45"/>
  <c r="Q30" i="45" l="1"/>
  <c r="I48" i="32"/>
  <c r="J57" i="17"/>
  <c r="F24" i="45"/>
  <c r="R22" i="45"/>
  <c r="AA52" i="57"/>
  <c r="E40" i="27"/>
  <c r="D40" i="28"/>
  <c r="E44" i="28"/>
  <c r="D44" i="26"/>
  <c r="I51" i="25"/>
  <c r="R38" i="48"/>
  <c r="I45" i="4"/>
  <c r="X94" i="57"/>
  <c r="BA30" i="48"/>
  <c r="AE9" i="48"/>
  <c r="Y9" i="48"/>
  <c r="E10" i="2"/>
  <c r="IY9" i="1"/>
  <c r="IM9" i="1"/>
  <c r="IA9" i="1"/>
  <c r="HO9" i="1"/>
  <c r="HC9" i="1"/>
  <c r="GQ9" i="1"/>
  <c r="GE9" i="1"/>
  <c r="FS9" i="1"/>
  <c r="FG9" i="1"/>
  <c r="EU9" i="1"/>
  <c r="EI9" i="1"/>
  <c r="DW9" i="1"/>
  <c r="DK9" i="1"/>
  <c r="DH9" i="1"/>
  <c r="CV9" i="1"/>
  <c r="CJ9" i="1"/>
  <c r="BX9" i="1"/>
  <c r="BL9" i="1"/>
  <c r="AZ9" i="1"/>
  <c r="AN9" i="1"/>
  <c r="AB9" i="1"/>
  <c r="P9" i="1"/>
  <c r="JH9" i="1"/>
  <c r="IV9" i="1"/>
  <c r="IJ9" i="1"/>
  <c r="HX9" i="1"/>
  <c r="HL9" i="1"/>
  <c r="GZ9" i="1"/>
  <c r="GN9" i="1"/>
  <c r="GB9" i="1"/>
  <c r="FP9" i="1"/>
  <c r="FD9" i="1"/>
  <c r="ER9" i="1"/>
  <c r="EF9" i="1"/>
  <c r="DT9" i="1"/>
  <c r="DE9" i="1"/>
  <c r="CS9" i="1"/>
  <c r="CG9" i="1"/>
  <c r="BU9" i="1"/>
  <c r="BI9" i="1"/>
  <c r="AW9" i="1"/>
  <c r="AK9" i="1"/>
  <c r="Y9" i="1"/>
  <c r="M9" i="1"/>
  <c r="JE9" i="1"/>
  <c r="IS9" i="1"/>
  <c r="IG9" i="1"/>
  <c r="HU9" i="1"/>
  <c r="HI9" i="1"/>
  <c r="GW9" i="1"/>
  <c r="GK9" i="1"/>
  <c r="FY9" i="1"/>
  <c r="FM9" i="1"/>
  <c r="FA9" i="1"/>
  <c r="EO9" i="1"/>
  <c r="EC9" i="1"/>
  <c r="DQ9" i="1"/>
  <c r="DB9" i="1"/>
  <c r="CP9" i="1"/>
  <c r="CD9" i="1"/>
  <c r="BR9" i="1"/>
  <c r="BF9" i="1"/>
  <c r="AT9" i="1"/>
  <c r="AH9" i="1"/>
  <c r="V9" i="1"/>
  <c r="J9" i="1"/>
  <c r="CY9" i="1"/>
  <c r="CM9" i="1"/>
  <c r="CA9" i="1"/>
  <c r="BO9" i="1"/>
  <c r="BC9" i="1"/>
  <c r="AQ9" i="1"/>
  <c r="AE9" i="1"/>
  <c r="S9" i="1"/>
  <c r="G9" i="1"/>
  <c r="FV9" i="1"/>
  <c r="JB9" i="1"/>
  <c r="HF9" i="1"/>
  <c r="DN9" i="1"/>
  <c r="IP9" i="1"/>
  <c r="EX9" i="1"/>
  <c r="GH9" i="1"/>
  <c r="HR9" i="1"/>
  <c r="DZ9" i="1"/>
  <c r="GT9" i="1"/>
  <c r="ID9" i="1"/>
  <c r="EL9" i="1"/>
  <c r="FJ9" i="1"/>
  <c r="E42" i="28"/>
  <c r="D42" i="26"/>
  <c r="E50" i="28"/>
  <c r="D50" i="26"/>
  <c r="AC90" i="57"/>
  <c r="BA29" i="48"/>
  <c r="BC29" i="48" s="1"/>
  <c r="B40" i="45"/>
  <c r="F8" i="45"/>
  <c r="N8" i="45"/>
  <c r="AB16" i="46"/>
  <c r="N12" i="48"/>
  <c r="G12" i="48" s="1"/>
  <c r="AB40" i="57"/>
  <c r="BC14" i="48"/>
  <c r="I51" i="28"/>
  <c r="I45" i="28"/>
  <c r="R15" i="48"/>
  <c r="R14" i="48"/>
  <c r="I51" i="27"/>
  <c r="I51" i="17"/>
  <c r="I45" i="17"/>
  <c r="R25" i="48"/>
  <c r="R31" i="48"/>
  <c r="I51" i="12"/>
  <c r="I45" i="12"/>
  <c r="R30" i="48"/>
  <c r="J25" i="45"/>
  <c r="E24" i="2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P23" i="1"/>
  <c r="EX23" i="1"/>
  <c r="BF23" i="1"/>
  <c r="GH23" i="1"/>
  <c r="CP23" i="1"/>
  <c r="HR23" i="1"/>
  <c r="DZ23" i="1"/>
  <c r="AH23" i="1"/>
  <c r="JB23" i="1"/>
  <c r="FJ23" i="1"/>
  <c r="BR23" i="1"/>
  <c r="GT23" i="1"/>
  <c r="DB23" i="1"/>
  <c r="J23" i="1"/>
  <c r="ID23" i="1"/>
  <c r="EL23" i="1"/>
  <c r="AT23" i="1"/>
  <c r="HF23" i="1"/>
  <c r="DN23" i="1"/>
  <c r="V23" i="1"/>
  <c r="FV23" i="1"/>
  <c r="CD23" i="1"/>
  <c r="BQ19" i="2"/>
  <c r="J13" i="45"/>
  <c r="D10" i="2"/>
  <c r="D42" i="2" s="1"/>
  <c r="D41" i="1"/>
  <c r="E27" i="2"/>
  <c r="IY26" i="1"/>
  <c r="IM26" i="1"/>
  <c r="IA26" i="1"/>
  <c r="HO26" i="1"/>
  <c r="HC26" i="1"/>
  <c r="GQ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H26" i="1"/>
  <c r="IV26" i="1"/>
  <c r="IJ26" i="1"/>
  <c r="HX26" i="1"/>
  <c r="HL26" i="1"/>
  <c r="GZ26" i="1"/>
  <c r="GN26" i="1"/>
  <c r="GB26" i="1"/>
  <c r="FP26" i="1"/>
  <c r="FD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JE26" i="1"/>
  <c r="IS26" i="1"/>
  <c r="IG26" i="1"/>
  <c r="HU26" i="1"/>
  <c r="HI26" i="1"/>
  <c r="GW26" i="1"/>
  <c r="GK26" i="1"/>
  <c r="FY26" i="1"/>
  <c r="FM26" i="1"/>
  <c r="FA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JB26" i="1"/>
  <c r="IP26" i="1"/>
  <c r="ID26" i="1"/>
  <c r="HR26" i="1"/>
  <c r="HF26" i="1"/>
  <c r="GT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X90" i="57"/>
  <c r="R16" i="48"/>
  <c r="I51" i="26"/>
  <c r="E39" i="26"/>
  <c r="D39" i="25"/>
  <c r="I51" i="18"/>
  <c r="R24" i="48"/>
  <c r="I45" i="18"/>
  <c r="R33" i="48"/>
  <c r="R37" i="48"/>
  <c r="F25" i="45"/>
  <c r="AC107" i="57"/>
  <c r="AB106" i="57" s="1"/>
  <c r="BA33" i="48"/>
  <c r="K22" i="45"/>
  <c r="AC122" i="57"/>
  <c r="BA37" i="48"/>
  <c r="J14" i="45"/>
  <c r="F19" i="45"/>
  <c r="Q24" i="45"/>
  <c r="N21" i="48"/>
  <c r="G21" i="48" s="1"/>
  <c r="T135" i="46"/>
  <c r="AC37" i="46"/>
  <c r="V135" i="57"/>
  <c r="AA68" i="57"/>
  <c r="J40" i="32"/>
  <c r="I51" i="32"/>
  <c r="R10" i="48"/>
  <c r="S10" i="48" s="1"/>
  <c r="E38" i="29"/>
  <c r="E52" i="29" s="1"/>
  <c r="E53" i="29" s="1"/>
  <c r="D38" i="27"/>
  <c r="D52" i="29"/>
  <c r="D53" i="29" s="1"/>
  <c r="I45" i="26"/>
  <c r="D46" i="28"/>
  <c r="E46" i="27"/>
  <c r="I51" i="22"/>
  <c r="I45" i="22"/>
  <c r="R21" i="48"/>
  <c r="I51" i="9"/>
  <c r="O22" i="45"/>
  <c r="E20" i="2"/>
  <c r="IY19" i="1"/>
  <c r="IM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H19" i="1"/>
  <c r="IV19" i="1"/>
  <c r="IJ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HU19" i="1"/>
  <c r="HF19" i="1"/>
  <c r="FY19" i="1"/>
  <c r="FJ19" i="1"/>
  <c r="EC19" i="1"/>
  <c r="DN19" i="1"/>
  <c r="CG19" i="1"/>
  <c r="BR19" i="1"/>
  <c r="AK19" i="1"/>
  <c r="V19" i="1"/>
  <c r="IG19" i="1"/>
  <c r="HR19" i="1"/>
  <c r="GK19" i="1"/>
  <c r="FV19" i="1"/>
  <c r="EO19" i="1"/>
  <c r="DZ19" i="1"/>
  <c r="CS19" i="1"/>
  <c r="CD19" i="1"/>
  <c r="AW19" i="1"/>
  <c r="AH19" i="1"/>
  <c r="IS19" i="1"/>
  <c r="ID19" i="1"/>
  <c r="GW19" i="1"/>
  <c r="GH19" i="1"/>
  <c r="FA19" i="1"/>
  <c r="EL19" i="1"/>
  <c r="DE19" i="1"/>
  <c r="CP19" i="1"/>
  <c r="BI19" i="1"/>
  <c r="AT19" i="1"/>
  <c r="M19" i="1"/>
  <c r="JE19" i="1"/>
  <c r="IP19" i="1"/>
  <c r="HI19" i="1"/>
  <c r="GT19" i="1"/>
  <c r="FM19" i="1"/>
  <c r="EX19" i="1"/>
  <c r="DQ19" i="1"/>
  <c r="DB19" i="1"/>
  <c r="BU19" i="1"/>
  <c r="BF19" i="1"/>
  <c r="Y19" i="1"/>
  <c r="J19" i="1"/>
  <c r="Q11" i="48"/>
  <c r="AC10" i="48"/>
  <c r="W10" i="48"/>
  <c r="E30" i="2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E29" i="1"/>
  <c r="HX29" i="1"/>
  <c r="HI29" i="1"/>
  <c r="GB29" i="1"/>
  <c r="FM29" i="1"/>
  <c r="EF29" i="1"/>
  <c r="DQ29" i="1"/>
  <c r="CJ29" i="1"/>
  <c r="BU29" i="1"/>
  <c r="AN29" i="1"/>
  <c r="Y29" i="1"/>
  <c r="IJ29" i="1"/>
  <c r="HU29" i="1"/>
  <c r="GN29" i="1"/>
  <c r="FY29" i="1"/>
  <c r="ER29" i="1"/>
  <c r="EC29" i="1"/>
  <c r="CV29" i="1"/>
  <c r="CG29" i="1"/>
  <c r="AZ29" i="1"/>
  <c r="AK29" i="1"/>
  <c r="IV29" i="1"/>
  <c r="IG29" i="1"/>
  <c r="GZ29" i="1"/>
  <c r="GK29" i="1"/>
  <c r="FD29" i="1"/>
  <c r="EO29" i="1"/>
  <c r="DH29" i="1"/>
  <c r="CS29" i="1"/>
  <c r="BL29" i="1"/>
  <c r="AW29" i="1"/>
  <c r="P29" i="1"/>
  <c r="JH29" i="1"/>
  <c r="IS29" i="1"/>
  <c r="HL29" i="1"/>
  <c r="GW29" i="1"/>
  <c r="FP29" i="1"/>
  <c r="FA29" i="1"/>
  <c r="DT29" i="1"/>
  <c r="DE29" i="1"/>
  <c r="BX29" i="1"/>
  <c r="BI29" i="1"/>
  <c r="AB29" i="1"/>
  <c r="M29" i="1"/>
  <c r="BQ14" i="2"/>
  <c r="J39" i="25"/>
  <c r="J37" i="24"/>
  <c r="AB44" i="46"/>
  <c r="L30" i="48"/>
  <c r="T135" i="57"/>
  <c r="I51" i="30"/>
  <c r="I45" i="30"/>
  <c r="R12" i="48"/>
  <c r="J44" i="31"/>
  <c r="I45" i="32"/>
  <c r="E45" i="21"/>
  <c r="D45" i="22"/>
  <c r="D49" i="17"/>
  <c r="E49" i="18"/>
  <c r="D51" i="17"/>
  <c r="E51" i="18"/>
  <c r="I45" i="9"/>
  <c r="I51" i="43"/>
  <c r="I45" i="43"/>
  <c r="R39" i="48"/>
  <c r="I51" i="37"/>
  <c r="I51" i="10"/>
  <c r="I45" i="10"/>
  <c r="R32" i="48"/>
  <c r="BA31" i="48"/>
  <c r="BC31" i="48" s="1"/>
  <c r="AC57" i="57"/>
  <c r="AB94" i="46"/>
  <c r="J57" i="25"/>
  <c r="E28" i="2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JE27" i="1"/>
  <c r="IP27" i="1"/>
  <c r="HI27" i="1"/>
  <c r="GT27" i="1"/>
  <c r="FM27" i="1"/>
  <c r="EX27" i="1"/>
  <c r="DQ27" i="1"/>
  <c r="DB27" i="1"/>
  <c r="BI27" i="1"/>
  <c r="AH27" i="1"/>
  <c r="V27" i="1"/>
  <c r="J27" i="1"/>
  <c r="BU27" i="1"/>
  <c r="AT27" i="1"/>
  <c r="JB27" i="1"/>
  <c r="HU27" i="1"/>
  <c r="HF27" i="1"/>
  <c r="FY27" i="1"/>
  <c r="FJ27" i="1"/>
  <c r="EC27" i="1"/>
  <c r="DN27" i="1"/>
  <c r="CG27" i="1"/>
  <c r="BF27" i="1"/>
  <c r="AE27" i="1"/>
  <c r="S27" i="1"/>
  <c r="G27" i="1"/>
  <c r="BR27" i="1"/>
  <c r="IG27" i="1"/>
  <c r="HR27" i="1"/>
  <c r="GK27" i="1"/>
  <c r="FV27" i="1"/>
  <c r="EO27" i="1"/>
  <c r="DZ27" i="1"/>
  <c r="CS27" i="1"/>
  <c r="CD27" i="1"/>
  <c r="AN27" i="1"/>
  <c r="AB27" i="1"/>
  <c r="P27" i="1"/>
  <c r="AZ27" i="1"/>
  <c r="BX27" i="1"/>
  <c r="AW27" i="1"/>
  <c r="IS27" i="1"/>
  <c r="GH27" i="1"/>
  <c r="AK27" i="1"/>
  <c r="GW27" i="1"/>
  <c r="EL27" i="1"/>
  <c r="M27" i="1"/>
  <c r="FA27" i="1"/>
  <c r="CP27" i="1"/>
  <c r="BL27" i="1"/>
  <c r="ID27" i="1"/>
  <c r="Y27" i="1"/>
  <c r="DE27" i="1"/>
  <c r="E35" i="2"/>
  <c r="JB34" i="1"/>
  <c r="IP34" i="1"/>
  <c r="ID34" i="1"/>
  <c r="HR34" i="1"/>
  <c r="HF34" i="1"/>
  <c r="GT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Y34" i="1"/>
  <c r="IM34" i="1"/>
  <c r="IA34" i="1"/>
  <c r="HO34" i="1"/>
  <c r="HC34" i="1"/>
  <c r="GQ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JE34" i="1"/>
  <c r="IS34" i="1"/>
  <c r="IG34" i="1"/>
  <c r="HU34" i="1"/>
  <c r="HI34" i="1"/>
  <c r="GW34" i="1"/>
  <c r="GK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HL34" i="1"/>
  <c r="DT34" i="1"/>
  <c r="AB34" i="1"/>
  <c r="IV34" i="1"/>
  <c r="FD34" i="1"/>
  <c r="BL34" i="1"/>
  <c r="GN34" i="1"/>
  <c r="CV34" i="1"/>
  <c r="HX34" i="1"/>
  <c r="EF34" i="1"/>
  <c r="AN34" i="1"/>
  <c r="JH34" i="1"/>
  <c r="FP34" i="1"/>
  <c r="BX34" i="1"/>
  <c r="IJ34" i="1"/>
  <c r="ER34" i="1"/>
  <c r="AZ34" i="1"/>
  <c r="GZ34" i="1"/>
  <c r="GB34" i="1"/>
  <c r="DH34" i="1"/>
  <c r="CJ34" i="1"/>
  <c r="P34" i="1"/>
  <c r="J24" i="45"/>
  <c r="K25" i="45"/>
  <c r="AB36" i="46"/>
  <c r="P135" i="57"/>
  <c r="O135" i="57" s="1"/>
  <c r="AA56" i="57"/>
  <c r="BC15" i="48"/>
  <c r="J51" i="33"/>
  <c r="J50" i="33"/>
  <c r="J49" i="32"/>
  <c r="M7" i="31"/>
  <c r="M34" i="32"/>
  <c r="J43" i="30"/>
  <c r="I51" i="21"/>
  <c r="I45" i="21"/>
  <c r="R20" i="48"/>
  <c r="J44" i="32"/>
  <c r="J45" i="32"/>
  <c r="J56" i="19"/>
  <c r="I51" i="20"/>
  <c r="I45" i="20"/>
  <c r="R22" i="48"/>
  <c r="R35" i="48"/>
  <c r="I45" i="37"/>
  <c r="BC32" i="48"/>
  <c r="AB90" i="57"/>
  <c r="N14" i="45"/>
  <c r="E29" i="2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E48" i="28"/>
  <c r="D48" i="26"/>
  <c r="N33" i="48"/>
  <c r="G33" i="48" s="1"/>
  <c r="AB90" i="46"/>
  <c r="V135" i="46"/>
  <c r="BC22" i="48"/>
  <c r="BC12" i="48"/>
  <c r="J40" i="31"/>
  <c r="J45" i="31" s="1"/>
  <c r="R11" i="48"/>
  <c r="R17" i="48"/>
  <c r="BC17" i="48" s="1"/>
  <c r="J45" i="33"/>
  <c r="J44" i="33"/>
  <c r="D41" i="28"/>
  <c r="E41" i="27"/>
  <c r="I45" i="27"/>
  <c r="D47" i="17"/>
  <c r="E47" i="18"/>
  <c r="D43" i="16"/>
  <c r="E43" i="17"/>
  <c r="I45" i="6"/>
  <c r="R36" i="48"/>
  <c r="I51" i="4"/>
  <c r="X126" i="46"/>
  <c r="L38" i="48"/>
  <c r="AA122" i="57"/>
  <c r="AB122" i="57" s="1"/>
  <c r="V41" i="48"/>
  <c r="AB41" i="48"/>
  <c r="AB98" i="57"/>
  <c r="T10" i="56"/>
  <c r="T2" i="56"/>
  <c r="AC65" i="57"/>
  <c r="AB64" i="57" s="1"/>
  <c r="BA23" i="48"/>
  <c r="BC23" i="48" s="1"/>
  <c r="AC69" i="57"/>
  <c r="AB68" i="57" s="1"/>
  <c r="BA24" i="48"/>
  <c r="BC24" i="48" s="1"/>
  <c r="AC73" i="57"/>
  <c r="X73" i="57"/>
  <c r="BA25" i="48"/>
  <c r="BC25" i="48" s="1"/>
  <c r="AB32" i="57"/>
  <c r="BA10" i="48"/>
  <c r="AC12" i="57"/>
  <c r="AB12" i="57" s="1"/>
  <c r="AC56" i="57"/>
  <c r="BA21" i="48"/>
  <c r="BC21" i="48" s="1"/>
  <c r="J118" i="57"/>
  <c r="K118" i="57"/>
  <c r="AC82" i="57"/>
  <c r="AB82" i="57" s="1"/>
  <c r="BA27" i="48"/>
  <c r="BC27" i="48" s="1"/>
  <c r="AB60" i="57"/>
  <c r="AD6" i="57"/>
  <c r="AD135" i="57" s="1"/>
  <c r="AB56" i="57"/>
  <c r="AB24" i="57"/>
  <c r="U135" i="57"/>
  <c r="X138" i="57" s="1"/>
  <c r="AA6" i="57"/>
  <c r="AC74" i="57"/>
  <c r="AC110" i="57"/>
  <c r="AB110" i="57" s="1"/>
  <c r="BA34" i="48"/>
  <c r="BC34" i="48" s="1"/>
  <c r="K37" i="57"/>
  <c r="J37" i="57"/>
  <c r="AB20" i="57"/>
  <c r="X16" i="57"/>
  <c r="X68" i="57"/>
  <c r="AC44" i="57"/>
  <c r="AB44" i="57" s="1"/>
  <c r="BA18" i="48"/>
  <c r="BC18" i="48" s="1"/>
  <c r="AC52" i="57"/>
  <c r="AB52" i="57" s="1"/>
  <c r="BA20" i="48"/>
  <c r="BC20" i="48" s="1"/>
  <c r="X12" i="57"/>
  <c r="AB78" i="57"/>
  <c r="C135" i="57"/>
  <c r="X110" i="57"/>
  <c r="AC16" i="57"/>
  <c r="AB16" i="57" s="1"/>
  <c r="BA11" i="48"/>
  <c r="BC11" i="48" s="1"/>
  <c r="I10" i="56"/>
  <c r="AB122" i="46"/>
  <c r="N37" i="48"/>
  <c r="G37" i="48" s="1"/>
  <c r="AC64" i="46"/>
  <c r="L23" i="48"/>
  <c r="K83" i="46"/>
  <c r="AC83" i="46" s="1"/>
  <c r="J83" i="46"/>
  <c r="AB73" i="46"/>
  <c r="J22" i="48"/>
  <c r="H22" i="48"/>
  <c r="K53" i="46"/>
  <c r="AC53" i="46" s="1"/>
  <c r="J53" i="46"/>
  <c r="L13" i="48"/>
  <c r="AC24" i="46"/>
  <c r="X24" i="46"/>
  <c r="L17" i="48"/>
  <c r="AC40" i="46"/>
  <c r="X36" i="46"/>
  <c r="C135" i="46"/>
  <c r="J21" i="48"/>
  <c r="H21" i="48"/>
  <c r="X82" i="46"/>
  <c r="L27" i="48"/>
  <c r="AC82" i="46"/>
  <c r="L10" i="48"/>
  <c r="X12" i="46"/>
  <c r="AC86" i="46"/>
  <c r="X86" i="46"/>
  <c r="L28" i="48"/>
  <c r="P135" i="46"/>
  <c r="O135" i="46" s="1"/>
  <c r="K69" i="46"/>
  <c r="J69" i="46"/>
  <c r="N20" i="48"/>
  <c r="G20" i="48" s="1"/>
  <c r="J19" i="48"/>
  <c r="H19" i="48"/>
  <c r="AC12" i="46"/>
  <c r="AB12" i="46" s="1"/>
  <c r="J33" i="48"/>
  <c r="H33" i="48"/>
  <c r="K135" i="46"/>
  <c r="L9" i="48"/>
  <c r="AC6" i="46"/>
  <c r="X6" i="46"/>
  <c r="AB64" i="46"/>
  <c r="AD135" i="46"/>
  <c r="X48" i="46"/>
  <c r="X140" i="46"/>
  <c r="AB86" i="46"/>
  <c r="AB48" i="46"/>
  <c r="X64" i="46"/>
  <c r="J25" i="48"/>
  <c r="H25" i="48"/>
  <c r="J14" i="48"/>
  <c r="H14" i="48"/>
  <c r="AB130" i="46"/>
  <c r="AC98" i="46"/>
  <c r="L31" i="48"/>
  <c r="L20" i="48"/>
  <c r="AC52" i="46"/>
  <c r="AB52" i="46" s="1"/>
  <c r="AA135" i="46"/>
  <c r="AB6" i="46"/>
  <c r="L16" i="48"/>
  <c r="J30" i="48"/>
  <c r="H30" i="48"/>
  <c r="X40" i="46"/>
  <c r="AC114" i="46"/>
  <c r="AB114" i="46" s="1"/>
  <c r="L35" i="48"/>
  <c r="X78" i="46"/>
  <c r="AC78" i="46"/>
  <c r="AB78" i="46" s="1"/>
  <c r="L26" i="48"/>
  <c r="AB28" i="46"/>
  <c r="U135" i="46"/>
  <c r="X138" i="46" s="1"/>
  <c r="AB40" i="46"/>
  <c r="AH10" i="48"/>
  <c r="AC118" i="46"/>
  <c r="AB118" i="46" s="1"/>
  <c r="X118" i="46"/>
  <c r="L36" i="48"/>
  <c r="X52" i="46"/>
  <c r="I2" i="56"/>
  <c r="J15" i="48"/>
  <c r="H15" i="48"/>
  <c r="AB98" i="46"/>
  <c r="AB24" i="46"/>
  <c r="N41" i="48"/>
  <c r="G41" i="48" s="1"/>
  <c r="G9" i="48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I47" i="32"/>
  <c r="AJ10" i="48"/>
  <c r="R17" i="45"/>
  <c r="I46" i="24"/>
  <c r="Q17" i="45"/>
  <c r="I48" i="9"/>
  <c r="I47" i="9"/>
  <c r="AF33" i="48"/>
  <c r="I46" i="31"/>
  <c r="Q10" i="45"/>
  <c r="I46" i="30"/>
  <c r="Q11" i="45"/>
  <c r="I46" i="4"/>
  <c r="Q37" i="45"/>
  <c r="Q29" i="45"/>
  <c r="I46" i="12"/>
  <c r="Q21" i="45"/>
  <c r="I46" i="20"/>
  <c r="I46" i="28"/>
  <c r="Q14" i="45"/>
  <c r="I47" i="6"/>
  <c r="I48" i="6"/>
  <c r="AF36" i="48"/>
  <c r="I46" i="27"/>
  <c r="Q13" i="45"/>
  <c r="I47" i="15"/>
  <c r="I48" i="15"/>
  <c r="AF27" i="48"/>
  <c r="I48" i="11"/>
  <c r="I47" i="11"/>
  <c r="AF31" i="48"/>
  <c r="I48" i="7"/>
  <c r="I47" i="7"/>
  <c r="AF35" i="48"/>
  <c r="I46" i="22"/>
  <c r="Q20" i="45"/>
  <c r="I48" i="37"/>
  <c r="I47" i="37"/>
  <c r="AF37" i="48"/>
  <c r="Q40" i="45"/>
  <c r="I48" i="14"/>
  <c r="I47" i="14"/>
  <c r="AF28" i="48"/>
  <c r="I46" i="33"/>
  <c r="R8" i="45"/>
  <c r="Q8" i="45"/>
  <c r="I47" i="19"/>
  <c r="I48" i="19"/>
  <c r="AF23" i="48"/>
  <c r="I46" i="21"/>
  <c r="Q19" i="45"/>
  <c r="I46" i="8"/>
  <c r="R33" i="45"/>
  <c r="Q33" i="45"/>
  <c r="R25" i="45"/>
  <c r="Q25" i="45"/>
  <c r="I46" i="16"/>
  <c r="I46" i="25"/>
  <c r="Q16" i="45"/>
  <c r="I47" i="43"/>
  <c r="I48" i="43"/>
  <c r="AF39" i="48"/>
  <c r="I47" i="13"/>
  <c r="I48" i="13"/>
  <c r="AF29" i="48"/>
  <c r="I48" i="10"/>
  <c r="I47" i="10"/>
  <c r="AF32" i="48"/>
  <c r="I46" i="26"/>
  <c r="Q15" i="45"/>
  <c r="I48" i="17"/>
  <c r="I47" i="17"/>
  <c r="AF25" i="48"/>
  <c r="R18" i="45"/>
  <c r="I46" i="23"/>
  <c r="Q18" i="45"/>
  <c r="I46" i="29"/>
  <c r="R12" i="45"/>
  <c r="Q12" i="45"/>
  <c r="I48" i="18"/>
  <c r="I47" i="18"/>
  <c r="AF24" i="48"/>
  <c r="Y10" i="48" l="1"/>
  <c r="AE10" i="48"/>
  <c r="S11" i="48"/>
  <c r="D41" i="26"/>
  <c r="E41" i="28"/>
  <c r="J56" i="18"/>
  <c r="J44" i="30"/>
  <c r="J43" i="29"/>
  <c r="E39" i="1"/>
  <c r="X39" i="48"/>
  <c r="AD39" i="48"/>
  <c r="I39" i="48"/>
  <c r="C38" i="45"/>
  <c r="J39" i="48"/>
  <c r="BC39" i="48"/>
  <c r="D49" i="16"/>
  <c r="E49" i="17"/>
  <c r="J41" i="32"/>
  <c r="K56" i="32"/>
  <c r="K57" i="32"/>
  <c r="E37" i="1"/>
  <c r="C36" i="45"/>
  <c r="X37" i="48"/>
  <c r="J37" i="48"/>
  <c r="AD37" i="48"/>
  <c r="I37" i="48"/>
  <c r="BC37" i="48"/>
  <c r="E24" i="1"/>
  <c r="C23" i="45"/>
  <c r="X24" i="48"/>
  <c r="I24" i="48"/>
  <c r="AD24" i="48"/>
  <c r="BQ24" i="2"/>
  <c r="E25" i="1"/>
  <c r="C24" i="45"/>
  <c r="X25" i="48"/>
  <c r="I25" i="48"/>
  <c r="AD25" i="48"/>
  <c r="BQ10" i="2"/>
  <c r="F10" i="2"/>
  <c r="BR10" i="2" s="1"/>
  <c r="D45" i="20"/>
  <c r="E45" i="22"/>
  <c r="D46" i="26"/>
  <c r="E46" i="28"/>
  <c r="F40" i="45"/>
  <c r="N40" i="45"/>
  <c r="J40" i="45"/>
  <c r="X135" i="46"/>
  <c r="F41" i="55" s="1"/>
  <c r="G41" i="55" s="1"/>
  <c r="H41" i="55" s="1"/>
  <c r="J38" i="48"/>
  <c r="H38" i="48"/>
  <c r="BQ29" i="2"/>
  <c r="E35" i="1"/>
  <c r="C34" i="45"/>
  <c r="BC35" i="48"/>
  <c r="I35" i="48"/>
  <c r="X35" i="48"/>
  <c r="AD35" i="48"/>
  <c r="M34" i="31"/>
  <c r="M7" i="30"/>
  <c r="BQ30" i="2"/>
  <c r="E33" i="1"/>
  <c r="C32" i="45"/>
  <c r="X33" i="48"/>
  <c r="BC33" i="48"/>
  <c r="I33" i="48"/>
  <c r="AD33" i="48"/>
  <c r="BQ27" i="2"/>
  <c r="E30" i="1"/>
  <c r="C29" i="45"/>
  <c r="BC30" i="48"/>
  <c r="I30" i="48"/>
  <c r="X30" i="48"/>
  <c r="AD30" i="48"/>
  <c r="E44" i="26"/>
  <c r="D44" i="25"/>
  <c r="J57" i="16"/>
  <c r="D43" i="15"/>
  <c r="E43" i="16"/>
  <c r="E17" i="1"/>
  <c r="C16" i="45"/>
  <c r="I17" i="48"/>
  <c r="X17" i="48"/>
  <c r="AD17" i="48"/>
  <c r="J50" i="32"/>
  <c r="J51" i="32"/>
  <c r="J49" i="31"/>
  <c r="E32" i="1"/>
  <c r="C31" i="45"/>
  <c r="I32" i="48"/>
  <c r="X32" i="48"/>
  <c r="AD32" i="48"/>
  <c r="J32" i="48"/>
  <c r="E39" i="25"/>
  <c r="D39" i="24"/>
  <c r="O20" i="48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E22" i="1"/>
  <c r="C21" i="45"/>
  <c r="AD22" i="48"/>
  <c r="X22" i="48"/>
  <c r="I22" i="48"/>
  <c r="E20" i="1"/>
  <c r="C19" i="45"/>
  <c r="AD20" i="48"/>
  <c r="X20" i="48"/>
  <c r="I20" i="48"/>
  <c r="BQ35" i="2"/>
  <c r="E21" i="1"/>
  <c r="C20" i="45"/>
  <c r="AD21" i="48"/>
  <c r="X21" i="48"/>
  <c r="I21" i="48"/>
  <c r="E38" i="27"/>
  <c r="E52" i="27" s="1"/>
  <c r="E53" i="27" s="1"/>
  <c r="D38" i="28"/>
  <c r="D52" i="27"/>
  <c r="D53" i="27" s="1"/>
  <c r="E50" i="26"/>
  <c r="D50" i="25"/>
  <c r="D40" i="26"/>
  <c r="E40" i="28"/>
  <c r="E36" i="1"/>
  <c r="C35" i="45"/>
  <c r="X36" i="48"/>
  <c r="AD36" i="48"/>
  <c r="I36" i="48"/>
  <c r="D47" i="16"/>
  <c r="E47" i="17"/>
  <c r="C10" i="45"/>
  <c r="E11" i="1"/>
  <c r="X11" i="48"/>
  <c r="I11" i="48"/>
  <c r="AD11" i="48"/>
  <c r="J11" i="48"/>
  <c r="BQ28" i="2"/>
  <c r="Q12" i="48"/>
  <c r="AC11" i="48"/>
  <c r="W11" i="48"/>
  <c r="E14" i="1"/>
  <c r="X14" i="48"/>
  <c r="I14" i="48"/>
  <c r="AD14" i="48"/>
  <c r="C13" i="45"/>
  <c r="K56" i="31"/>
  <c r="J41" i="31"/>
  <c r="K57" i="31"/>
  <c r="E51" i="17"/>
  <c r="D51" i="16"/>
  <c r="E12" i="1"/>
  <c r="C11" i="45"/>
  <c r="AD12" i="48"/>
  <c r="X12" i="48"/>
  <c r="I12" i="48"/>
  <c r="J12" i="48"/>
  <c r="J39" i="24"/>
  <c r="J37" i="23"/>
  <c r="BQ20" i="2"/>
  <c r="E10" i="1"/>
  <c r="X10" i="48"/>
  <c r="I10" i="48"/>
  <c r="AD10" i="48"/>
  <c r="C9" i="45"/>
  <c r="R41" i="48"/>
  <c r="E31" i="1"/>
  <c r="C30" i="45"/>
  <c r="AD31" i="48"/>
  <c r="X31" i="48"/>
  <c r="I31" i="48"/>
  <c r="D42" i="25"/>
  <c r="E42" i="26"/>
  <c r="AB73" i="57"/>
  <c r="E48" i="26"/>
  <c r="D48" i="25"/>
  <c r="J40" i="30"/>
  <c r="E16" i="1"/>
  <c r="C15" i="45"/>
  <c r="AD16" i="48"/>
  <c r="X16" i="48"/>
  <c r="I16" i="48"/>
  <c r="E15" i="1"/>
  <c r="C14" i="45"/>
  <c r="I15" i="48"/>
  <c r="X15" i="48"/>
  <c r="AD15" i="48"/>
  <c r="E38" i="1"/>
  <c r="AD38" i="48"/>
  <c r="C37" i="45"/>
  <c r="X38" i="48"/>
  <c r="I38" i="48"/>
  <c r="BC38" i="48"/>
  <c r="N12" i="55"/>
  <c r="AC37" i="57"/>
  <c r="AB36" i="57" s="1"/>
  <c r="BA16" i="48"/>
  <c r="BC16" i="48" s="1"/>
  <c r="X36" i="57"/>
  <c r="K135" i="57"/>
  <c r="T9" i="56"/>
  <c r="BC10" i="48"/>
  <c r="BB10" i="48"/>
  <c r="AA135" i="57"/>
  <c r="AB6" i="57"/>
  <c r="AC118" i="57"/>
  <c r="BA36" i="48"/>
  <c r="BC36" i="48" s="1"/>
  <c r="AB118" i="57"/>
  <c r="X118" i="57"/>
  <c r="J26" i="48"/>
  <c r="H26" i="48"/>
  <c r="J16" i="48"/>
  <c r="H16" i="48"/>
  <c r="J13" i="48"/>
  <c r="H13" i="48"/>
  <c r="J23" i="48"/>
  <c r="H23" i="48"/>
  <c r="J36" i="48"/>
  <c r="H36" i="48"/>
  <c r="AA136" i="46"/>
  <c r="X146" i="46" s="1"/>
  <c r="I3" i="56"/>
  <c r="J35" i="48"/>
  <c r="H35" i="48"/>
  <c r="J20" i="48"/>
  <c r="H20" i="48"/>
  <c r="J9" i="48"/>
  <c r="H9" i="48"/>
  <c r="M9" i="48"/>
  <c r="J10" i="48"/>
  <c r="H10" i="48"/>
  <c r="J31" i="48"/>
  <c r="H31" i="48"/>
  <c r="I9" i="56"/>
  <c r="AP136" i="46"/>
  <c r="X157" i="46" s="1"/>
  <c r="AU136" i="46"/>
  <c r="X161" i="46" s="1"/>
  <c r="AS136" i="46"/>
  <c r="X159" i="46" s="1"/>
  <c r="AH136" i="46"/>
  <c r="X150" i="46" s="1"/>
  <c r="AJ136" i="46"/>
  <c r="X152" i="46" s="1"/>
  <c r="AT136" i="46"/>
  <c r="X160" i="46" s="1"/>
  <c r="AG136" i="46"/>
  <c r="X149" i="46" s="1"/>
  <c r="AH4" i="54"/>
  <c r="AH38" i="54"/>
  <c r="AH3" i="54"/>
  <c r="I8" i="56"/>
  <c r="Y136" i="46"/>
  <c r="X143" i="46" s="1"/>
  <c r="AC69" i="46"/>
  <c r="AC135" i="46" s="1"/>
  <c r="L24" i="48"/>
  <c r="L41" i="48" s="1"/>
  <c r="X68" i="46"/>
  <c r="AB68" i="46"/>
  <c r="J17" i="48"/>
  <c r="H17" i="48"/>
  <c r="V136" i="46"/>
  <c r="AM136" i="46" s="1"/>
  <c r="J2" i="56"/>
  <c r="E12" i="55"/>
  <c r="F12" i="55" s="1"/>
  <c r="G12" i="55" s="1"/>
  <c r="J27" i="48"/>
  <c r="H27" i="48"/>
  <c r="I11" i="56"/>
  <c r="Z136" i="46"/>
  <c r="X144" i="46" s="1"/>
  <c r="J28" i="48"/>
  <c r="H28" i="48"/>
  <c r="AB82" i="46"/>
  <c r="I48" i="29"/>
  <c r="I47" i="29"/>
  <c r="AF13" i="48"/>
  <c r="I47" i="16"/>
  <c r="I48" i="16"/>
  <c r="AF26" i="48"/>
  <c r="AJ23" i="48"/>
  <c r="AH23" i="48"/>
  <c r="I47" i="31"/>
  <c r="I48" i="31"/>
  <c r="AF11" i="48"/>
  <c r="AJ39" i="48"/>
  <c r="AH39" i="48"/>
  <c r="AJ31" i="48"/>
  <c r="AH31" i="48"/>
  <c r="I47" i="12"/>
  <c r="I48" i="12"/>
  <c r="AF30" i="48"/>
  <c r="AJ33" i="48"/>
  <c r="AH33" i="48"/>
  <c r="AJ24" i="48"/>
  <c r="AH24" i="48"/>
  <c r="I48" i="23"/>
  <c r="I47" i="23"/>
  <c r="AF19" i="48"/>
  <c r="AJ29" i="48"/>
  <c r="AH29" i="48"/>
  <c r="I47" i="26"/>
  <c r="I48" i="26"/>
  <c r="AF16" i="48"/>
  <c r="I48" i="22"/>
  <c r="I47" i="22"/>
  <c r="AF21" i="48"/>
  <c r="I47" i="27"/>
  <c r="I48" i="27"/>
  <c r="AF14" i="48"/>
  <c r="I47" i="30"/>
  <c r="I48" i="30"/>
  <c r="AF12" i="48"/>
  <c r="I48" i="8"/>
  <c r="I47" i="8"/>
  <c r="AF34" i="48"/>
  <c r="AJ35" i="48"/>
  <c r="AH35" i="48"/>
  <c r="AJ27" i="48"/>
  <c r="AH27" i="48"/>
  <c r="I47" i="28"/>
  <c r="I48" i="28"/>
  <c r="AF15" i="48"/>
  <c r="AJ32" i="48"/>
  <c r="AH32" i="48"/>
  <c r="I47" i="21"/>
  <c r="I48" i="21"/>
  <c r="AF20" i="48"/>
  <c r="I48" i="33"/>
  <c r="J46" i="33"/>
  <c r="I47" i="33"/>
  <c r="AF9" i="48"/>
  <c r="AJ37" i="48"/>
  <c r="AH37" i="48"/>
  <c r="I47" i="20"/>
  <c r="I48" i="20"/>
  <c r="AF22" i="48"/>
  <c r="I47" i="4"/>
  <c r="I48" i="4"/>
  <c r="AF38" i="48"/>
  <c r="I47" i="24"/>
  <c r="I48" i="24"/>
  <c r="AF18" i="48"/>
  <c r="AJ25" i="48"/>
  <c r="AH25" i="48"/>
  <c r="I47" i="25"/>
  <c r="I48" i="25"/>
  <c r="AF17" i="48"/>
  <c r="AJ28" i="48"/>
  <c r="AH28" i="48"/>
  <c r="AJ36" i="48"/>
  <c r="AH36" i="48"/>
  <c r="C40" i="45" l="1"/>
  <c r="K9" i="45"/>
  <c r="O9" i="45"/>
  <c r="G9" i="45"/>
  <c r="R9" i="45"/>
  <c r="E22" i="2"/>
  <c r="IY21" i="1"/>
  <c r="IM21" i="1"/>
  <c r="IA21" i="1"/>
  <c r="HO21" i="1"/>
  <c r="HC21" i="1"/>
  <c r="GQ21" i="1"/>
  <c r="GE21" i="1"/>
  <c r="FS21" i="1"/>
  <c r="FG21" i="1"/>
  <c r="EU21" i="1"/>
  <c r="EI21" i="1"/>
  <c r="DW21" i="1"/>
  <c r="DK21" i="1"/>
  <c r="CY21" i="1"/>
  <c r="CM21" i="1"/>
  <c r="CA21" i="1"/>
  <c r="BO21" i="1"/>
  <c r="BC21" i="1"/>
  <c r="AQ21" i="1"/>
  <c r="AE21" i="1"/>
  <c r="S21" i="1"/>
  <c r="G21" i="1"/>
  <c r="JH21" i="1"/>
  <c r="IV21" i="1"/>
  <c r="IJ21" i="1"/>
  <c r="HX21" i="1"/>
  <c r="HL21" i="1"/>
  <c r="GZ21" i="1"/>
  <c r="GN21" i="1"/>
  <c r="GB21" i="1"/>
  <c r="FP21" i="1"/>
  <c r="FD21" i="1"/>
  <c r="ER21" i="1"/>
  <c r="EF21" i="1"/>
  <c r="DT21" i="1"/>
  <c r="DH21" i="1"/>
  <c r="CV21" i="1"/>
  <c r="CJ21" i="1"/>
  <c r="BX21" i="1"/>
  <c r="BL21" i="1"/>
  <c r="AZ21" i="1"/>
  <c r="AN21" i="1"/>
  <c r="AB21" i="1"/>
  <c r="P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P21" i="1"/>
  <c r="EX21" i="1"/>
  <c r="BF21" i="1"/>
  <c r="GH21" i="1"/>
  <c r="CP21" i="1"/>
  <c r="HR21" i="1"/>
  <c r="DZ21" i="1"/>
  <c r="AH21" i="1"/>
  <c r="JB21" i="1"/>
  <c r="FJ21" i="1"/>
  <c r="BR21" i="1"/>
  <c r="GT21" i="1"/>
  <c r="DB21" i="1"/>
  <c r="J21" i="1"/>
  <c r="ID21" i="1"/>
  <c r="EL21" i="1"/>
  <c r="AT21" i="1"/>
  <c r="HF21" i="1"/>
  <c r="DN21" i="1"/>
  <c r="V21" i="1"/>
  <c r="FV21" i="1"/>
  <c r="CD21" i="1"/>
  <c r="E45" i="20"/>
  <c r="D45" i="19"/>
  <c r="O37" i="45"/>
  <c r="K37" i="45"/>
  <c r="G37" i="45"/>
  <c r="R37" i="45"/>
  <c r="X41" i="48"/>
  <c r="AD41" i="48"/>
  <c r="I41" i="48"/>
  <c r="J39" i="23"/>
  <c r="J37" i="21"/>
  <c r="E51" i="16"/>
  <c r="D51" i="15"/>
  <c r="E47" i="16"/>
  <c r="D47" i="15"/>
  <c r="E50" i="25"/>
  <c r="D50" i="24"/>
  <c r="O20" i="45"/>
  <c r="K20" i="45"/>
  <c r="G20" i="45"/>
  <c r="R20" i="45"/>
  <c r="E21" i="2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CS20" i="1"/>
  <c r="CG20" i="1"/>
  <c r="BU20" i="1"/>
  <c r="GT20" i="1"/>
  <c r="DB20" i="1"/>
  <c r="ID20" i="1"/>
  <c r="EL20" i="1"/>
  <c r="AW20" i="1"/>
  <c r="AH20" i="1"/>
  <c r="FV20" i="1"/>
  <c r="CD20" i="1"/>
  <c r="HF20" i="1"/>
  <c r="DN20" i="1"/>
  <c r="BI20" i="1"/>
  <c r="AT20" i="1"/>
  <c r="M20" i="1"/>
  <c r="IP20" i="1"/>
  <c r="EX20" i="1"/>
  <c r="GH20" i="1"/>
  <c r="CP20" i="1"/>
  <c r="BF20" i="1"/>
  <c r="Y20" i="1"/>
  <c r="J20" i="1"/>
  <c r="JB20" i="1"/>
  <c r="FJ20" i="1"/>
  <c r="BR20" i="1"/>
  <c r="AK20" i="1"/>
  <c r="V20" i="1"/>
  <c r="HR20" i="1"/>
  <c r="DZ20" i="1"/>
  <c r="E43" i="15"/>
  <c r="D43" i="14"/>
  <c r="R24" i="45"/>
  <c r="G24" i="45"/>
  <c r="K24" i="45"/>
  <c r="O24" i="45"/>
  <c r="E25" i="2"/>
  <c r="JH24" i="1"/>
  <c r="IV24" i="1"/>
  <c r="IJ24" i="1"/>
  <c r="HX24" i="1"/>
  <c r="HL24" i="1"/>
  <c r="GZ24" i="1"/>
  <c r="GN24" i="1"/>
  <c r="GB24" i="1"/>
  <c r="FP24" i="1"/>
  <c r="JB24" i="1"/>
  <c r="IP24" i="1"/>
  <c r="ID24" i="1"/>
  <c r="HR24" i="1"/>
  <c r="HF24" i="1"/>
  <c r="GT24" i="1"/>
  <c r="GH24" i="1"/>
  <c r="FV24" i="1"/>
  <c r="FJ24" i="1"/>
  <c r="IY24" i="1"/>
  <c r="IM24" i="1"/>
  <c r="JE24" i="1"/>
  <c r="HU24" i="1"/>
  <c r="FY24" i="1"/>
  <c r="HC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IG24" i="1"/>
  <c r="GK24" i="1"/>
  <c r="HO24" i="1"/>
  <c r="FS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GW24" i="1"/>
  <c r="IS24" i="1"/>
  <c r="IA24" i="1"/>
  <c r="GE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GQ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HI24" i="1"/>
  <c r="FM24" i="1"/>
  <c r="J56" i="17"/>
  <c r="G29" i="45"/>
  <c r="O29" i="45"/>
  <c r="K29" i="45"/>
  <c r="R29" i="45"/>
  <c r="AB135" i="46"/>
  <c r="E39" i="2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HO38" i="1"/>
  <c r="DW38" i="1"/>
  <c r="AE38" i="1"/>
  <c r="IY38" i="1"/>
  <c r="FG38" i="1"/>
  <c r="BO38" i="1"/>
  <c r="GQ38" i="1"/>
  <c r="CY38" i="1"/>
  <c r="G38" i="1"/>
  <c r="IA38" i="1"/>
  <c r="EI38" i="1"/>
  <c r="AQ38" i="1"/>
  <c r="FS38" i="1"/>
  <c r="CA38" i="1"/>
  <c r="GE38" i="1"/>
  <c r="CM38" i="1"/>
  <c r="S38" i="1"/>
  <c r="EU38" i="1"/>
  <c r="BC38" i="1"/>
  <c r="HC38" i="1"/>
  <c r="DK38" i="1"/>
  <c r="IM38" i="1"/>
  <c r="E42" i="25"/>
  <c r="D42" i="24"/>
  <c r="E15" i="2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IY14" i="1"/>
  <c r="IM14" i="1"/>
  <c r="IA14" i="1"/>
  <c r="HO14" i="1"/>
  <c r="HC14" i="1"/>
  <c r="GQ14" i="1"/>
  <c r="GE14" i="1"/>
  <c r="FS14" i="1"/>
  <c r="FG14" i="1"/>
  <c r="EU14" i="1"/>
  <c r="EI14" i="1"/>
  <c r="DW14" i="1"/>
  <c r="DK14" i="1"/>
  <c r="CY14" i="1"/>
  <c r="CM14" i="1"/>
  <c r="CA14" i="1"/>
  <c r="BO14" i="1"/>
  <c r="BC14" i="1"/>
  <c r="AQ14" i="1"/>
  <c r="AE14" i="1"/>
  <c r="S14" i="1"/>
  <c r="G14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57" i="15"/>
  <c r="E31" i="2"/>
  <c r="JH30" i="1"/>
  <c r="IV30" i="1"/>
  <c r="IJ30" i="1"/>
  <c r="HX30" i="1"/>
  <c r="HL30" i="1"/>
  <c r="GZ30" i="1"/>
  <c r="GN30" i="1"/>
  <c r="GB30" i="1"/>
  <c r="FP30" i="1"/>
  <c r="FD30" i="1"/>
  <c r="ER30" i="1"/>
  <c r="EF30" i="1"/>
  <c r="DT30" i="1"/>
  <c r="DH30" i="1"/>
  <c r="CV30" i="1"/>
  <c r="CJ30" i="1"/>
  <c r="JE30" i="1"/>
  <c r="IS30" i="1"/>
  <c r="IG30" i="1"/>
  <c r="HU30" i="1"/>
  <c r="HI30" i="1"/>
  <c r="GW30" i="1"/>
  <c r="GK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IY30" i="1"/>
  <c r="HR30" i="1"/>
  <c r="HC30" i="1"/>
  <c r="FV30" i="1"/>
  <c r="FG30" i="1"/>
  <c r="DZ30" i="1"/>
  <c r="DK30" i="1"/>
  <c r="CD30" i="1"/>
  <c r="BR30" i="1"/>
  <c r="BF30" i="1"/>
  <c r="AT30" i="1"/>
  <c r="AH30" i="1"/>
  <c r="V30" i="1"/>
  <c r="J30" i="1"/>
  <c r="ID30" i="1"/>
  <c r="HO30" i="1"/>
  <c r="GH30" i="1"/>
  <c r="FS30" i="1"/>
  <c r="EL30" i="1"/>
  <c r="DW30" i="1"/>
  <c r="CP30" i="1"/>
  <c r="CA30" i="1"/>
  <c r="BO30" i="1"/>
  <c r="BC30" i="1"/>
  <c r="AQ30" i="1"/>
  <c r="AE30" i="1"/>
  <c r="S30" i="1"/>
  <c r="G30" i="1"/>
  <c r="BX30" i="1"/>
  <c r="BL30" i="1"/>
  <c r="AZ30" i="1"/>
  <c r="AN30" i="1"/>
  <c r="AB30" i="1"/>
  <c r="P30" i="1"/>
  <c r="IM30" i="1"/>
  <c r="EU30" i="1"/>
  <c r="JB30" i="1"/>
  <c r="GE30" i="1"/>
  <c r="FJ30" i="1"/>
  <c r="CM30" i="1"/>
  <c r="GT30" i="1"/>
  <c r="DB30" i="1"/>
  <c r="GQ30" i="1"/>
  <c r="CY30" i="1"/>
  <c r="IP30" i="1"/>
  <c r="EX30" i="1"/>
  <c r="IA30" i="1"/>
  <c r="HF30" i="1"/>
  <c r="EI30" i="1"/>
  <c r="DN30" i="1"/>
  <c r="E34" i="2"/>
  <c r="JB33" i="1"/>
  <c r="IP33" i="1"/>
  <c r="ID33" i="1"/>
  <c r="HR33" i="1"/>
  <c r="HF33" i="1"/>
  <c r="GT33" i="1"/>
  <c r="GH33" i="1"/>
  <c r="FV33" i="1"/>
  <c r="FJ33" i="1"/>
  <c r="EX33" i="1"/>
  <c r="EL33" i="1"/>
  <c r="DZ33" i="1"/>
  <c r="DN33" i="1"/>
  <c r="DB33" i="1"/>
  <c r="CP33" i="1"/>
  <c r="CD33" i="1"/>
  <c r="BR33" i="1"/>
  <c r="BF33" i="1"/>
  <c r="AT33" i="1"/>
  <c r="AH33" i="1"/>
  <c r="V33" i="1"/>
  <c r="J33" i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BC33" i="1"/>
  <c r="AQ33" i="1"/>
  <c r="AE33" i="1"/>
  <c r="S33" i="1"/>
  <c r="G33" i="1"/>
  <c r="JH33" i="1"/>
  <c r="IV33" i="1"/>
  <c r="IJ33" i="1"/>
  <c r="HX33" i="1"/>
  <c r="HL33" i="1"/>
  <c r="GZ33" i="1"/>
  <c r="GN33" i="1"/>
  <c r="GB33" i="1"/>
  <c r="FP33" i="1"/>
  <c r="FD33" i="1"/>
  <c r="ER33" i="1"/>
  <c r="EF33" i="1"/>
  <c r="DT33" i="1"/>
  <c r="DH33" i="1"/>
  <c r="CV33" i="1"/>
  <c r="CJ33" i="1"/>
  <c r="BX33" i="1"/>
  <c r="BL33" i="1"/>
  <c r="AZ33" i="1"/>
  <c r="AN33" i="1"/>
  <c r="AB33" i="1"/>
  <c r="P33" i="1"/>
  <c r="HU33" i="1"/>
  <c r="EC33" i="1"/>
  <c r="AK33" i="1"/>
  <c r="JE33" i="1"/>
  <c r="FM33" i="1"/>
  <c r="BU33" i="1"/>
  <c r="GW33" i="1"/>
  <c r="DE33" i="1"/>
  <c r="M33" i="1"/>
  <c r="IG33" i="1"/>
  <c r="EO33" i="1"/>
  <c r="AW33" i="1"/>
  <c r="FY33" i="1"/>
  <c r="CG33" i="1"/>
  <c r="IS33" i="1"/>
  <c r="FA33" i="1"/>
  <c r="BI33" i="1"/>
  <c r="HI33" i="1"/>
  <c r="GK33" i="1"/>
  <c r="DQ33" i="1"/>
  <c r="CS33" i="1"/>
  <c r="Y33" i="1"/>
  <c r="E41" i="26"/>
  <c r="D41" i="25"/>
  <c r="AF136" i="46"/>
  <c r="X148" i="46" s="1"/>
  <c r="K15" i="45"/>
  <c r="G15" i="45"/>
  <c r="O15" i="45"/>
  <c r="R15" i="45"/>
  <c r="D52" i="28"/>
  <c r="D53" i="28" s="1"/>
  <c r="D38" i="26"/>
  <c r="E38" i="28"/>
  <c r="E52" i="28" s="1"/>
  <c r="E53" i="28" s="1"/>
  <c r="E44" i="25"/>
  <c r="D44" i="24"/>
  <c r="R34" i="45"/>
  <c r="O34" i="45"/>
  <c r="K34" i="45"/>
  <c r="G34" i="45"/>
  <c r="JE39" i="1"/>
  <c r="JB39" i="1"/>
  <c r="IV39" i="1"/>
  <c r="IJ39" i="1"/>
  <c r="HX39" i="1"/>
  <c r="HL39" i="1"/>
  <c r="GZ39" i="1"/>
  <c r="GN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E40" i="2"/>
  <c r="JH39" i="1"/>
  <c r="IS39" i="1"/>
  <c r="IG39" i="1"/>
  <c r="HU39" i="1"/>
  <c r="HI39" i="1"/>
  <c r="GW39" i="1"/>
  <c r="GK39" i="1"/>
  <c r="FY39" i="1"/>
  <c r="FM39" i="1"/>
  <c r="FA39" i="1"/>
  <c r="EO39" i="1"/>
  <c r="EC39" i="1"/>
  <c r="DQ39" i="1"/>
  <c r="DE39" i="1"/>
  <c r="CS39" i="1"/>
  <c r="CG39" i="1"/>
  <c r="BU39" i="1"/>
  <c r="BI39" i="1"/>
  <c r="AW39" i="1"/>
  <c r="AK39" i="1"/>
  <c r="Y39" i="1"/>
  <c r="M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FS39" i="1"/>
  <c r="CA39" i="1"/>
  <c r="HC39" i="1"/>
  <c r="DK39" i="1"/>
  <c r="S39" i="1"/>
  <c r="IM39" i="1"/>
  <c r="EU39" i="1"/>
  <c r="BC39" i="1"/>
  <c r="GE39" i="1"/>
  <c r="CM39" i="1"/>
  <c r="HO39" i="1"/>
  <c r="DW39" i="1"/>
  <c r="AE39" i="1"/>
  <c r="IA39" i="1"/>
  <c r="EI39" i="1"/>
  <c r="AQ39" i="1"/>
  <c r="G39" i="1"/>
  <c r="FG39" i="1"/>
  <c r="BO39" i="1"/>
  <c r="GQ39" i="1"/>
  <c r="CY39" i="1"/>
  <c r="IY39" i="1"/>
  <c r="Y11" i="48"/>
  <c r="AE11" i="48"/>
  <c r="S12" i="48"/>
  <c r="AC135" i="57"/>
  <c r="E17" i="2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R35" i="45"/>
  <c r="G35" i="45"/>
  <c r="K35" i="45"/>
  <c r="O35" i="45"/>
  <c r="G21" i="45"/>
  <c r="O21" i="45"/>
  <c r="K21" i="45"/>
  <c r="R21" i="45"/>
  <c r="E36" i="2"/>
  <c r="JH35" i="1"/>
  <c r="IV35" i="1"/>
  <c r="IJ35" i="1"/>
  <c r="HX35" i="1"/>
  <c r="HL35" i="1"/>
  <c r="GZ35" i="1"/>
  <c r="JE35" i="1"/>
  <c r="IM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IY35" i="1"/>
  <c r="HI35" i="1"/>
  <c r="HU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G35" i="1"/>
  <c r="HF35" i="1"/>
  <c r="IS35" i="1"/>
  <c r="HR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JB35" i="1"/>
  <c r="IA35" i="1"/>
  <c r="DH35" i="1"/>
  <c r="P35" i="1"/>
  <c r="ER35" i="1"/>
  <c r="AZ35" i="1"/>
  <c r="HO35" i="1"/>
  <c r="GB35" i="1"/>
  <c r="CJ35" i="1"/>
  <c r="DT35" i="1"/>
  <c r="AB35" i="1"/>
  <c r="ID35" i="1"/>
  <c r="FD35" i="1"/>
  <c r="BL35" i="1"/>
  <c r="EF35" i="1"/>
  <c r="AN35" i="1"/>
  <c r="IP35" i="1"/>
  <c r="GN35" i="1"/>
  <c r="FP35" i="1"/>
  <c r="BX35" i="1"/>
  <c r="CV35" i="1"/>
  <c r="HC35" i="1"/>
  <c r="E49" i="16"/>
  <c r="D49" i="15"/>
  <c r="J43" i="27"/>
  <c r="J44" i="29"/>
  <c r="R32" i="45"/>
  <c r="O32" i="45"/>
  <c r="G32" i="45"/>
  <c r="K32" i="45"/>
  <c r="K57" i="30"/>
  <c r="J40" i="29"/>
  <c r="J41" i="30"/>
  <c r="K56" i="30"/>
  <c r="E11" i="2"/>
  <c r="IY10" i="1"/>
  <c r="IM10" i="1"/>
  <c r="IA10" i="1"/>
  <c r="HO10" i="1"/>
  <c r="HC10" i="1"/>
  <c r="GQ10" i="1"/>
  <c r="GE10" i="1"/>
  <c r="JH10" i="1"/>
  <c r="IV10" i="1"/>
  <c r="IJ10" i="1"/>
  <c r="HX10" i="1"/>
  <c r="HL10" i="1"/>
  <c r="GZ10" i="1"/>
  <c r="GN10" i="1"/>
  <c r="GB10" i="1"/>
  <c r="CY10" i="1"/>
  <c r="CM10" i="1"/>
  <c r="CA10" i="1"/>
  <c r="BO10" i="1"/>
  <c r="BC10" i="1"/>
  <c r="AQ10" i="1"/>
  <c r="AE10" i="1"/>
  <c r="S10" i="1"/>
  <c r="G10" i="1"/>
  <c r="IS10" i="1"/>
  <c r="ID10" i="1"/>
  <c r="GW10" i="1"/>
  <c r="GH10" i="1"/>
  <c r="FS10" i="1"/>
  <c r="FG10" i="1"/>
  <c r="EU10" i="1"/>
  <c r="EI10" i="1"/>
  <c r="DW10" i="1"/>
  <c r="DK10" i="1"/>
  <c r="DH10" i="1"/>
  <c r="CV10" i="1"/>
  <c r="CJ10" i="1"/>
  <c r="BX10" i="1"/>
  <c r="BL10" i="1"/>
  <c r="AZ10" i="1"/>
  <c r="AN10" i="1"/>
  <c r="AB10" i="1"/>
  <c r="P10" i="1"/>
  <c r="JE10" i="1"/>
  <c r="IP10" i="1"/>
  <c r="HI10" i="1"/>
  <c r="GT10" i="1"/>
  <c r="FP10" i="1"/>
  <c r="FD10" i="1"/>
  <c r="ER10" i="1"/>
  <c r="EF10" i="1"/>
  <c r="DT10" i="1"/>
  <c r="DE10" i="1"/>
  <c r="CS10" i="1"/>
  <c r="CG10" i="1"/>
  <c r="BU10" i="1"/>
  <c r="BI10" i="1"/>
  <c r="AW10" i="1"/>
  <c r="AK10" i="1"/>
  <c r="Y10" i="1"/>
  <c r="M10" i="1"/>
  <c r="JB10" i="1"/>
  <c r="HU10" i="1"/>
  <c r="HF10" i="1"/>
  <c r="FY10" i="1"/>
  <c r="FM10" i="1"/>
  <c r="FA10" i="1"/>
  <c r="EO10" i="1"/>
  <c r="EC10" i="1"/>
  <c r="DQ10" i="1"/>
  <c r="IG10" i="1"/>
  <c r="HR10" i="1"/>
  <c r="GK10" i="1"/>
  <c r="FV10" i="1"/>
  <c r="FJ10" i="1"/>
  <c r="EX10" i="1"/>
  <c r="EL10" i="1"/>
  <c r="DZ10" i="1"/>
  <c r="DN10" i="1"/>
  <c r="AH10" i="1"/>
  <c r="BR10" i="1"/>
  <c r="DB10" i="1"/>
  <c r="J10" i="1"/>
  <c r="AT10" i="1"/>
  <c r="CD10" i="1"/>
  <c r="V10" i="1"/>
  <c r="BF10" i="1"/>
  <c r="CP10" i="1"/>
  <c r="E12" i="2"/>
  <c r="CY11" i="1"/>
  <c r="CM11" i="1"/>
  <c r="CA11" i="1"/>
  <c r="BO11" i="1"/>
  <c r="BC11" i="1"/>
  <c r="AQ11" i="1"/>
  <c r="AE11" i="1"/>
  <c r="S11" i="1"/>
  <c r="G11" i="1"/>
  <c r="DH11" i="1"/>
  <c r="CV11" i="1"/>
  <c r="CJ11" i="1"/>
  <c r="BX11" i="1"/>
  <c r="BL11" i="1"/>
  <c r="AZ11" i="1"/>
  <c r="AN11" i="1"/>
  <c r="AB11" i="1"/>
  <c r="P11" i="1"/>
  <c r="JE11" i="1"/>
  <c r="IS11" i="1"/>
  <c r="IG11" i="1"/>
  <c r="HU11" i="1"/>
  <c r="HI11" i="1"/>
  <c r="GW11" i="1"/>
  <c r="GK11" i="1"/>
  <c r="FY11" i="1"/>
  <c r="FM11" i="1"/>
  <c r="FA11" i="1"/>
  <c r="EO11" i="1"/>
  <c r="EC11" i="1"/>
  <c r="DQ11" i="1"/>
  <c r="DB11" i="1"/>
  <c r="BU11" i="1"/>
  <c r="BF11" i="1"/>
  <c r="Y11" i="1"/>
  <c r="J11" i="1"/>
  <c r="JB11" i="1"/>
  <c r="IP11" i="1"/>
  <c r="ID11" i="1"/>
  <c r="HR11" i="1"/>
  <c r="HF11" i="1"/>
  <c r="GT11" i="1"/>
  <c r="GH11" i="1"/>
  <c r="FV11" i="1"/>
  <c r="FJ11" i="1"/>
  <c r="EX11" i="1"/>
  <c r="EL11" i="1"/>
  <c r="DZ11" i="1"/>
  <c r="DN11" i="1"/>
  <c r="CG11" i="1"/>
  <c r="BR11" i="1"/>
  <c r="AK11" i="1"/>
  <c r="V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S11" i="1"/>
  <c r="CD11" i="1"/>
  <c r="AW11" i="1"/>
  <c r="AH11" i="1"/>
  <c r="IJ11" i="1"/>
  <c r="ER11" i="1"/>
  <c r="EF11" i="1"/>
  <c r="JH11" i="1"/>
  <c r="GB11" i="1"/>
  <c r="BI11" i="1"/>
  <c r="HL11" i="1"/>
  <c r="DT11" i="1"/>
  <c r="IV11" i="1"/>
  <c r="FD11" i="1"/>
  <c r="M11" i="1"/>
  <c r="FP11" i="1"/>
  <c r="GN11" i="1"/>
  <c r="HX11" i="1"/>
  <c r="CP11" i="1"/>
  <c r="GZ11" i="1"/>
  <c r="DE11" i="1"/>
  <c r="AT11" i="1"/>
  <c r="JH36" i="1"/>
  <c r="IV36" i="1"/>
  <c r="IJ36" i="1"/>
  <c r="HX36" i="1"/>
  <c r="HL36" i="1"/>
  <c r="GZ36" i="1"/>
  <c r="GN36" i="1"/>
  <c r="GB36" i="1"/>
  <c r="FP36" i="1"/>
  <c r="FD36" i="1"/>
  <c r="ER36" i="1"/>
  <c r="EF36" i="1"/>
  <c r="DT36" i="1"/>
  <c r="DH36" i="1"/>
  <c r="CV36" i="1"/>
  <c r="CJ36" i="1"/>
  <c r="BX36" i="1"/>
  <c r="BL36" i="1"/>
  <c r="AZ36" i="1"/>
  <c r="AN36" i="1"/>
  <c r="AB36" i="1"/>
  <c r="P36" i="1"/>
  <c r="JE36" i="1"/>
  <c r="IS36" i="1"/>
  <c r="IG36" i="1"/>
  <c r="HU36" i="1"/>
  <c r="HI36" i="1"/>
  <c r="GW36" i="1"/>
  <c r="GK36" i="1"/>
  <c r="FY36" i="1"/>
  <c r="FM36" i="1"/>
  <c r="FA36" i="1"/>
  <c r="EO36" i="1"/>
  <c r="EC36" i="1"/>
  <c r="DQ36" i="1"/>
  <c r="DE36" i="1"/>
  <c r="CS36" i="1"/>
  <c r="CG36" i="1"/>
  <c r="BU36" i="1"/>
  <c r="BI36" i="1"/>
  <c r="AW36" i="1"/>
  <c r="AK36" i="1"/>
  <c r="Y36" i="1"/>
  <c r="M36" i="1"/>
  <c r="JB36" i="1"/>
  <c r="IP36" i="1"/>
  <c r="ID36" i="1"/>
  <c r="IY36" i="1"/>
  <c r="HO36" i="1"/>
  <c r="GH36" i="1"/>
  <c r="FS36" i="1"/>
  <c r="EL36" i="1"/>
  <c r="DW36" i="1"/>
  <c r="CP36" i="1"/>
  <c r="CA36" i="1"/>
  <c r="AT36" i="1"/>
  <c r="AE36" i="1"/>
  <c r="IA36" i="1"/>
  <c r="GT36" i="1"/>
  <c r="GE36" i="1"/>
  <c r="EX36" i="1"/>
  <c r="EI36" i="1"/>
  <c r="DB36" i="1"/>
  <c r="CM36" i="1"/>
  <c r="BF36" i="1"/>
  <c r="AQ36" i="1"/>
  <c r="J36" i="1"/>
  <c r="HR36" i="1"/>
  <c r="HC36" i="1"/>
  <c r="FV36" i="1"/>
  <c r="FG36" i="1"/>
  <c r="DZ36" i="1"/>
  <c r="DK36" i="1"/>
  <c r="CD36" i="1"/>
  <c r="BO36" i="1"/>
  <c r="AH36" i="1"/>
  <c r="S36" i="1"/>
  <c r="GQ36" i="1"/>
  <c r="BR36" i="1"/>
  <c r="G36" i="1"/>
  <c r="HF36" i="1"/>
  <c r="EU36" i="1"/>
  <c r="V36" i="1"/>
  <c r="E37" i="2"/>
  <c r="CY36" i="1"/>
  <c r="FJ36" i="1"/>
  <c r="BC36" i="1"/>
  <c r="DN36" i="1"/>
  <c r="IM36" i="1"/>
  <c r="E23" i="2"/>
  <c r="IY22" i="1"/>
  <c r="IM22" i="1"/>
  <c r="IA22" i="1"/>
  <c r="HO22" i="1"/>
  <c r="HC22" i="1"/>
  <c r="GQ22" i="1"/>
  <c r="GE22" i="1"/>
  <c r="FS22" i="1"/>
  <c r="FG22" i="1"/>
  <c r="EU22" i="1"/>
  <c r="EI22" i="1"/>
  <c r="DW22" i="1"/>
  <c r="DK22" i="1"/>
  <c r="CY22" i="1"/>
  <c r="CM22" i="1"/>
  <c r="CA22" i="1"/>
  <c r="BO22" i="1"/>
  <c r="BC22" i="1"/>
  <c r="AQ22" i="1"/>
  <c r="AE22" i="1"/>
  <c r="S22" i="1"/>
  <c r="G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GT22" i="1"/>
  <c r="DB22" i="1"/>
  <c r="J22" i="1"/>
  <c r="ID22" i="1"/>
  <c r="EL22" i="1"/>
  <c r="AT22" i="1"/>
  <c r="FV22" i="1"/>
  <c r="CD22" i="1"/>
  <c r="HF22" i="1"/>
  <c r="DN22" i="1"/>
  <c r="V22" i="1"/>
  <c r="IP22" i="1"/>
  <c r="EX22" i="1"/>
  <c r="BF22" i="1"/>
  <c r="GH22" i="1"/>
  <c r="CP22" i="1"/>
  <c r="JB22" i="1"/>
  <c r="FJ22" i="1"/>
  <c r="BR22" i="1"/>
  <c r="HR22" i="1"/>
  <c r="DZ22" i="1"/>
  <c r="AH22" i="1"/>
  <c r="O31" i="45"/>
  <c r="G31" i="45"/>
  <c r="K31" i="45"/>
  <c r="R31" i="45"/>
  <c r="G16" i="45"/>
  <c r="K16" i="45"/>
  <c r="O16" i="45"/>
  <c r="R16" i="45"/>
  <c r="M34" i="30"/>
  <c r="M7" i="29"/>
  <c r="O14" i="45"/>
  <c r="K14" i="45"/>
  <c r="G14" i="45"/>
  <c r="R14" i="45"/>
  <c r="E48" i="25"/>
  <c r="D48" i="24"/>
  <c r="K30" i="45"/>
  <c r="G30" i="45"/>
  <c r="R30" i="45"/>
  <c r="O30" i="45"/>
  <c r="O11" i="45"/>
  <c r="G11" i="45"/>
  <c r="K11" i="45"/>
  <c r="R11" i="45"/>
  <c r="G13" i="45"/>
  <c r="O13" i="45"/>
  <c r="K13" i="45"/>
  <c r="R13" i="45"/>
  <c r="W12" i="48"/>
  <c r="AC12" i="48"/>
  <c r="Q13" i="48"/>
  <c r="G10" i="45"/>
  <c r="O10" i="45"/>
  <c r="K10" i="45"/>
  <c r="R10" i="45"/>
  <c r="IY32" i="1"/>
  <c r="IM32" i="1"/>
  <c r="IA32" i="1"/>
  <c r="HO32" i="1"/>
  <c r="HC32" i="1"/>
  <c r="GQ32" i="1"/>
  <c r="GE32" i="1"/>
  <c r="FS32" i="1"/>
  <c r="FG32" i="1"/>
  <c r="EU32" i="1"/>
  <c r="EI32" i="1"/>
  <c r="DW32" i="1"/>
  <c r="DK32" i="1"/>
  <c r="CY32" i="1"/>
  <c r="CM32" i="1"/>
  <c r="CA32" i="1"/>
  <c r="BO32" i="1"/>
  <c r="BC32" i="1"/>
  <c r="AQ32" i="1"/>
  <c r="AE32" i="1"/>
  <c r="S32" i="1"/>
  <c r="G32" i="1"/>
  <c r="JH32" i="1"/>
  <c r="IV32" i="1"/>
  <c r="IJ32" i="1"/>
  <c r="HX32" i="1"/>
  <c r="HL32" i="1"/>
  <c r="GZ32" i="1"/>
  <c r="GN32" i="1"/>
  <c r="GB32" i="1"/>
  <c r="FP32" i="1"/>
  <c r="FD32" i="1"/>
  <c r="ER32" i="1"/>
  <c r="EF32" i="1"/>
  <c r="DT32" i="1"/>
  <c r="DH32" i="1"/>
  <c r="CV32" i="1"/>
  <c r="CJ32" i="1"/>
  <c r="BX32" i="1"/>
  <c r="BL32" i="1"/>
  <c r="AZ32" i="1"/>
  <c r="AN32" i="1"/>
  <c r="AB32" i="1"/>
  <c r="P32" i="1"/>
  <c r="E33" i="2"/>
  <c r="JB32" i="1"/>
  <c r="IP32" i="1"/>
  <c r="ID32" i="1"/>
  <c r="HR32" i="1"/>
  <c r="HF32" i="1"/>
  <c r="GT32" i="1"/>
  <c r="FM32" i="1"/>
  <c r="EX32" i="1"/>
  <c r="DQ32" i="1"/>
  <c r="DB32" i="1"/>
  <c r="BU32" i="1"/>
  <c r="BF32" i="1"/>
  <c r="Y32" i="1"/>
  <c r="J32" i="1"/>
  <c r="HI32" i="1"/>
  <c r="IS32" i="1"/>
  <c r="FY32" i="1"/>
  <c r="FJ32" i="1"/>
  <c r="EC32" i="1"/>
  <c r="DN32" i="1"/>
  <c r="CG32" i="1"/>
  <c r="BR32" i="1"/>
  <c r="AK32" i="1"/>
  <c r="V32" i="1"/>
  <c r="HU32" i="1"/>
  <c r="GK32" i="1"/>
  <c r="FV32" i="1"/>
  <c r="EO32" i="1"/>
  <c r="DZ32" i="1"/>
  <c r="CS32" i="1"/>
  <c r="CD32" i="1"/>
  <c r="AW32" i="1"/>
  <c r="AH32" i="1"/>
  <c r="GW32" i="1"/>
  <c r="GH32" i="1"/>
  <c r="FA32" i="1"/>
  <c r="EL32" i="1"/>
  <c r="DE32" i="1"/>
  <c r="CP32" i="1"/>
  <c r="BI32" i="1"/>
  <c r="AT32" i="1"/>
  <c r="M32" i="1"/>
  <c r="JE32" i="1"/>
  <c r="IG32" i="1"/>
  <c r="E18" i="2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HX17" i="1"/>
  <c r="GW17" i="1"/>
  <c r="FV17" i="1"/>
  <c r="EF17" i="1"/>
  <c r="DE17" i="1"/>
  <c r="CD17" i="1"/>
  <c r="AN17" i="1"/>
  <c r="AB17" i="1"/>
  <c r="P17" i="1"/>
  <c r="IJ17" i="1"/>
  <c r="HI17" i="1"/>
  <c r="GH17" i="1"/>
  <c r="ER17" i="1"/>
  <c r="DQ17" i="1"/>
  <c r="CP17" i="1"/>
  <c r="AZ17" i="1"/>
  <c r="IV17" i="1"/>
  <c r="HU17" i="1"/>
  <c r="GT17" i="1"/>
  <c r="FD17" i="1"/>
  <c r="EC17" i="1"/>
  <c r="DB17" i="1"/>
  <c r="BL17" i="1"/>
  <c r="AK17" i="1"/>
  <c r="Y17" i="1"/>
  <c r="M17" i="1"/>
  <c r="JH17" i="1"/>
  <c r="IG17" i="1"/>
  <c r="HF17" i="1"/>
  <c r="FP17" i="1"/>
  <c r="EO17" i="1"/>
  <c r="DN17" i="1"/>
  <c r="BX17" i="1"/>
  <c r="AW17" i="1"/>
  <c r="IS17" i="1"/>
  <c r="HR17" i="1"/>
  <c r="GB17" i="1"/>
  <c r="FA17" i="1"/>
  <c r="DZ17" i="1"/>
  <c r="CJ17" i="1"/>
  <c r="BI17" i="1"/>
  <c r="AH17" i="1"/>
  <c r="V17" i="1"/>
  <c r="J17" i="1"/>
  <c r="JE17" i="1"/>
  <c r="ID17" i="1"/>
  <c r="GN17" i="1"/>
  <c r="FM17" i="1"/>
  <c r="EL17" i="1"/>
  <c r="CV17" i="1"/>
  <c r="BU17" i="1"/>
  <c r="AT17" i="1"/>
  <c r="JB17" i="1"/>
  <c r="HL17" i="1"/>
  <c r="GK17" i="1"/>
  <c r="FJ17" i="1"/>
  <c r="DT17" i="1"/>
  <c r="CS17" i="1"/>
  <c r="BR17" i="1"/>
  <c r="GZ17" i="1"/>
  <c r="IP17" i="1"/>
  <c r="AE17" i="1"/>
  <c r="FY17" i="1"/>
  <c r="DH17" i="1"/>
  <c r="G17" i="1"/>
  <c r="EX17" i="1"/>
  <c r="CG17" i="1"/>
  <c r="BF17" i="1"/>
  <c r="S17" i="1"/>
  <c r="K36" i="45"/>
  <c r="G36" i="45"/>
  <c r="O36" i="45"/>
  <c r="R36" i="45"/>
  <c r="J45" i="30"/>
  <c r="E26" i="2"/>
  <c r="JH25" i="1"/>
  <c r="IV25" i="1"/>
  <c r="IJ25" i="1"/>
  <c r="HX25" i="1"/>
  <c r="HL25" i="1"/>
  <c r="GZ25" i="1"/>
  <c r="GN25" i="1"/>
  <c r="GB25" i="1"/>
  <c r="FP25" i="1"/>
  <c r="FD25" i="1"/>
  <c r="ER25" i="1"/>
  <c r="EF25" i="1"/>
  <c r="DT25" i="1"/>
  <c r="DH25" i="1"/>
  <c r="CV25" i="1"/>
  <c r="CJ25" i="1"/>
  <c r="BX25" i="1"/>
  <c r="BL25" i="1"/>
  <c r="AZ25" i="1"/>
  <c r="AN25" i="1"/>
  <c r="AB25" i="1"/>
  <c r="P25" i="1"/>
  <c r="JE25" i="1"/>
  <c r="IS25" i="1"/>
  <c r="IG25" i="1"/>
  <c r="HU25" i="1"/>
  <c r="HI25" i="1"/>
  <c r="GW25" i="1"/>
  <c r="GK25" i="1"/>
  <c r="FY25" i="1"/>
  <c r="FM25" i="1"/>
  <c r="FA25" i="1"/>
  <c r="EO25" i="1"/>
  <c r="EC25" i="1"/>
  <c r="DQ25" i="1"/>
  <c r="DE25" i="1"/>
  <c r="CS25" i="1"/>
  <c r="CG25" i="1"/>
  <c r="BU25" i="1"/>
  <c r="BI25" i="1"/>
  <c r="AW25" i="1"/>
  <c r="AK25" i="1"/>
  <c r="Y25" i="1"/>
  <c r="M25" i="1"/>
  <c r="JB25" i="1"/>
  <c r="IP25" i="1"/>
  <c r="ID25" i="1"/>
  <c r="HR25" i="1"/>
  <c r="HF25" i="1"/>
  <c r="GT25" i="1"/>
  <c r="GH25" i="1"/>
  <c r="FV25" i="1"/>
  <c r="FJ25" i="1"/>
  <c r="EX25" i="1"/>
  <c r="EL25" i="1"/>
  <c r="DZ25" i="1"/>
  <c r="DN25" i="1"/>
  <c r="DB25" i="1"/>
  <c r="CP25" i="1"/>
  <c r="CD25" i="1"/>
  <c r="BR25" i="1"/>
  <c r="BF25" i="1"/>
  <c r="AT25" i="1"/>
  <c r="AH25" i="1"/>
  <c r="V25" i="1"/>
  <c r="J25" i="1"/>
  <c r="IY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BO25" i="1"/>
  <c r="BC25" i="1"/>
  <c r="AQ25" i="1"/>
  <c r="AE25" i="1"/>
  <c r="S25" i="1"/>
  <c r="G25" i="1"/>
  <c r="AL136" i="46"/>
  <c r="X154" i="46" s="1"/>
  <c r="E16" i="2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AH15" i="1"/>
  <c r="V15" i="1"/>
  <c r="J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GN15" i="1"/>
  <c r="CV15" i="1"/>
  <c r="GB15" i="1"/>
  <c r="AB15" i="1"/>
  <c r="HX15" i="1"/>
  <c r="EF15" i="1"/>
  <c r="AN15" i="1"/>
  <c r="JH15" i="1"/>
  <c r="FP15" i="1"/>
  <c r="BX15" i="1"/>
  <c r="GZ15" i="1"/>
  <c r="DH15" i="1"/>
  <c r="P15" i="1"/>
  <c r="CJ15" i="1"/>
  <c r="DT15" i="1"/>
  <c r="IJ15" i="1"/>
  <c r="ER15" i="1"/>
  <c r="AZ15" i="1"/>
  <c r="HL15" i="1"/>
  <c r="IV15" i="1"/>
  <c r="FD15" i="1"/>
  <c r="BL15" i="1"/>
  <c r="E32" i="2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IP31" i="1"/>
  <c r="EX31" i="1"/>
  <c r="BF31" i="1"/>
  <c r="GH31" i="1"/>
  <c r="CP31" i="1"/>
  <c r="HR31" i="1"/>
  <c r="DZ31" i="1"/>
  <c r="AH31" i="1"/>
  <c r="JB31" i="1"/>
  <c r="FJ31" i="1"/>
  <c r="BR31" i="1"/>
  <c r="GT31" i="1"/>
  <c r="DB31" i="1"/>
  <c r="J31" i="1"/>
  <c r="FV31" i="1"/>
  <c r="CD31" i="1"/>
  <c r="EL31" i="1"/>
  <c r="DN31" i="1"/>
  <c r="AT31" i="1"/>
  <c r="V31" i="1"/>
  <c r="HF31" i="1"/>
  <c r="ID31" i="1"/>
  <c r="E13" i="2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JB12" i="1"/>
  <c r="IP12" i="1"/>
  <c r="ID12" i="1"/>
  <c r="HR12" i="1"/>
  <c r="HF12" i="1"/>
  <c r="GT12" i="1"/>
  <c r="GH12" i="1"/>
  <c r="FV12" i="1"/>
  <c r="FJ12" i="1"/>
  <c r="EX12" i="1"/>
  <c r="EL12" i="1"/>
  <c r="DZ12" i="1"/>
  <c r="DN12" i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JE12" i="1"/>
  <c r="FM12" i="1"/>
  <c r="GW12" i="1"/>
  <c r="DE12" i="1"/>
  <c r="CS12" i="1"/>
  <c r="CG12" i="1"/>
  <c r="BU12" i="1"/>
  <c r="BI12" i="1"/>
  <c r="AW12" i="1"/>
  <c r="AK12" i="1"/>
  <c r="Y12" i="1"/>
  <c r="M12" i="1"/>
  <c r="IG12" i="1"/>
  <c r="EO12" i="1"/>
  <c r="FY12" i="1"/>
  <c r="DB12" i="1"/>
  <c r="CP12" i="1"/>
  <c r="CD12" i="1"/>
  <c r="BR12" i="1"/>
  <c r="BF12" i="1"/>
  <c r="AT12" i="1"/>
  <c r="AH12" i="1"/>
  <c r="V12" i="1"/>
  <c r="J12" i="1"/>
  <c r="HI12" i="1"/>
  <c r="DQ12" i="1"/>
  <c r="IS12" i="1"/>
  <c r="FA12" i="1"/>
  <c r="CY12" i="1"/>
  <c r="CM12" i="1"/>
  <c r="CA12" i="1"/>
  <c r="BO12" i="1"/>
  <c r="BC12" i="1"/>
  <c r="AQ12" i="1"/>
  <c r="AE12" i="1"/>
  <c r="S12" i="1"/>
  <c r="G12" i="1"/>
  <c r="HU12" i="1"/>
  <c r="EC12" i="1"/>
  <c r="DH12" i="1"/>
  <c r="CV12" i="1"/>
  <c r="CJ12" i="1"/>
  <c r="BX12" i="1"/>
  <c r="BL12" i="1"/>
  <c r="AZ12" i="1"/>
  <c r="AN12" i="1"/>
  <c r="AB12" i="1"/>
  <c r="P12" i="1"/>
  <c r="GK12" i="1"/>
  <c r="E40" i="26"/>
  <c r="D40" i="25"/>
  <c r="O19" i="45"/>
  <c r="G19" i="45"/>
  <c r="K19" i="45"/>
  <c r="R19" i="45"/>
  <c r="E39" i="24"/>
  <c r="D39" i="23"/>
  <c r="J50" i="31"/>
  <c r="J51" i="31"/>
  <c r="J49" i="30"/>
  <c r="E46" i="26"/>
  <c r="D46" i="25"/>
  <c r="K23" i="45"/>
  <c r="G23" i="45"/>
  <c r="O23" i="45"/>
  <c r="R23" i="45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E38" i="2"/>
  <c r="FS37" i="1"/>
  <c r="CA37" i="1"/>
  <c r="HC37" i="1"/>
  <c r="DK37" i="1"/>
  <c r="S37" i="1"/>
  <c r="IM37" i="1"/>
  <c r="EU37" i="1"/>
  <c r="BC37" i="1"/>
  <c r="GE37" i="1"/>
  <c r="CM37" i="1"/>
  <c r="HO37" i="1"/>
  <c r="DW37" i="1"/>
  <c r="AE37" i="1"/>
  <c r="IA37" i="1"/>
  <c r="EI37" i="1"/>
  <c r="AQ37" i="1"/>
  <c r="G37" i="1"/>
  <c r="FG37" i="1"/>
  <c r="BO37" i="1"/>
  <c r="GQ37" i="1"/>
  <c r="CY37" i="1"/>
  <c r="IY37" i="1"/>
  <c r="K38" i="45"/>
  <c r="G38" i="45"/>
  <c r="R38" i="45"/>
  <c r="O38" i="45"/>
  <c r="AC136" i="57"/>
  <c r="X145" i="57" s="1"/>
  <c r="T5" i="56"/>
  <c r="T8" i="56"/>
  <c r="X135" i="57"/>
  <c r="O41" i="55" s="1"/>
  <c r="P41" i="55" s="1"/>
  <c r="Q41" i="55" s="1"/>
  <c r="Y136" i="57"/>
  <c r="X143" i="57" s="1"/>
  <c r="V136" i="57"/>
  <c r="Z136" i="57"/>
  <c r="X144" i="57" s="1"/>
  <c r="AB135" i="57"/>
  <c r="T3" i="56"/>
  <c r="AA136" i="57"/>
  <c r="X146" i="57" s="1"/>
  <c r="BB11" i="48"/>
  <c r="BD10" i="48"/>
  <c r="BA41" i="48"/>
  <c r="BC41" i="48" s="1"/>
  <c r="N37" i="55"/>
  <c r="N6" i="55"/>
  <c r="N35" i="55"/>
  <c r="N24" i="55"/>
  <c r="N22" i="55"/>
  <c r="N20" i="55"/>
  <c r="N9" i="55"/>
  <c r="N33" i="55"/>
  <c r="N31" i="55"/>
  <c r="N29" i="55"/>
  <c r="N27" i="55"/>
  <c r="N25" i="55"/>
  <c r="N18" i="55"/>
  <c r="N7" i="55"/>
  <c r="N4" i="55"/>
  <c r="N38" i="55"/>
  <c r="N16" i="55"/>
  <c r="N10" i="55"/>
  <c r="N36" i="55"/>
  <c r="N34" i="55"/>
  <c r="N23" i="55"/>
  <c r="N21" i="55"/>
  <c r="N5" i="55"/>
  <c r="N39" i="55"/>
  <c r="N32" i="55"/>
  <c r="N19" i="55"/>
  <c r="N8" i="55"/>
  <c r="N30" i="55"/>
  <c r="N28" i="55"/>
  <c r="N26" i="55"/>
  <c r="N17" i="55"/>
  <c r="N11" i="55"/>
  <c r="J41" i="48"/>
  <c r="H41" i="48"/>
  <c r="AC136" i="46"/>
  <c r="X145" i="46" s="1"/>
  <c r="I5" i="56"/>
  <c r="AB136" i="46"/>
  <c r="X147" i="46" s="1"/>
  <c r="I4" i="56"/>
  <c r="J24" i="48"/>
  <c r="H24" i="48"/>
  <c r="M10" i="48"/>
  <c r="K9" i="48"/>
  <c r="J3" i="56"/>
  <c r="E13" i="55"/>
  <c r="F13" i="55" s="1"/>
  <c r="G13" i="55" s="1"/>
  <c r="H12" i="55" s="1"/>
  <c r="AW136" i="46"/>
  <c r="X162" i="46" s="1"/>
  <c r="AX136" i="46"/>
  <c r="AK136" i="46"/>
  <c r="X153" i="46" s="1"/>
  <c r="AI136" i="46"/>
  <c r="X151" i="46" s="1"/>
  <c r="F35" i="55"/>
  <c r="F29" i="55"/>
  <c r="F25" i="55"/>
  <c r="F23" i="55"/>
  <c r="F17" i="55"/>
  <c r="F16" i="55"/>
  <c r="G16" i="55" s="1"/>
  <c r="E35" i="55"/>
  <c r="E29" i="55"/>
  <c r="E25" i="55"/>
  <c r="E23" i="55"/>
  <c r="E17" i="55"/>
  <c r="E16" i="55"/>
  <c r="F39" i="55"/>
  <c r="F37" i="55"/>
  <c r="F36" i="55"/>
  <c r="F30" i="55"/>
  <c r="F26" i="55"/>
  <c r="F24" i="55"/>
  <c r="F20" i="55"/>
  <c r="F19" i="55"/>
  <c r="F18" i="55"/>
  <c r="G18" i="55" s="1"/>
  <c r="E39" i="55"/>
  <c r="E37" i="55"/>
  <c r="E36" i="55"/>
  <c r="E30" i="55"/>
  <c r="E26" i="55"/>
  <c r="E24" i="55"/>
  <c r="E20" i="55"/>
  <c r="E19" i="55"/>
  <c r="E18" i="55"/>
  <c r="F38" i="55"/>
  <c r="F32" i="55"/>
  <c r="F31" i="55"/>
  <c r="F27" i="55"/>
  <c r="F21" i="55"/>
  <c r="F11" i="55"/>
  <c r="G11" i="55" s="1"/>
  <c r="F10" i="55"/>
  <c r="G10" i="55" s="1"/>
  <c r="F9" i="55"/>
  <c r="G9" i="55" s="1"/>
  <c r="F8" i="55"/>
  <c r="G8" i="55" s="1"/>
  <c r="F7" i="55"/>
  <c r="G7" i="55" s="1"/>
  <c r="F6" i="55"/>
  <c r="G6" i="55" s="1"/>
  <c r="F5" i="55"/>
  <c r="G5" i="55" s="1"/>
  <c r="E38" i="55"/>
  <c r="E32" i="55"/>
  <c r="E31" i="55"/>
  <c r="E27" i="55"/>
  <c r="E21" i="55"/>
  <c r="E11" i="55"/>
  <c r="E10" i="55"/>
  <c r="E9" i="55"/>
  <c r="E8" i="55"/>
  <c r="E7" i="55"/>
  <c r="E6" i="55"/>
  <c r="E5" i="55"/>
  <c r="F34" i="55"/>
  <c r="F33" i="55"/>
  <c r="G33" i="55" s="1"/>
  <c r="F28" i="55"/>
  <c r="F22" i="55"/>
  <c r="F4" i="55"/>
  <c r="E34" i="55"/>
  <c r="E33" i="55"/>
  <c r="E28" i="55"/>
  <c r="E22" i="55"/>
  <c r="E4" i="55"/>
  <c r="AZ136" i="46"/>
  <c r="X165" i="46" s="1"/>
  <c r="AQ136" i="46"/>
  <c r="X158" i="46" s="1"/>
  <c r="BA136" i="46"/>
  <c r="AI3" i="54"/>
  <c r="AN136" i="46"/>
  <c r="X155" i="46" s="1"/>
  <c r="AY136" i="46"/>
  <c r="AV136" i="46"/>
  <c r="X163" i="46" s="1"/>
  <c r="AO136" i="46"/>
  <c r="X156" i="46" s="1"/>
  <c r="AR136" i="46"/>
  <c r="AJ13" i="48"/>
  <c r="AH13" i="48"/>
  <c r="AH14" i="48"/>
  <c r="AJ14" i="48"/>
  <c r="AH30" i="48"/>
  <c r="AJ30" i="48"/>
  <c r="AJ17" i="48"/>
  <c r="AH17" i="48"/>
  <c r="AJ9" i="48"/>
  <c r="AH9" i="48"/>
  <c r="AG9" i="48"/>
  <c r="AF41" i="48"/>
  <c r="AH18" i="48"/>
  <c r="AJ18" i="48"/>
  <c r="AH22" i="48"/>
  <c r="AJ22" i="48"/>
  <c r="AJ15" i="48"/>
  <c r="AH15" i="48"/>
  <c r="J48" i="33"/>
  <c r="J47" i="33"/>
  <c r="J46" i="32"/>
  <c r="AJ16" i="48"/>
  <c r="AH16" i="48"/>
  <c r="AH26" i="48"/>
  <c r="AJ26" i="48"/>
  <c r="AH34" i="48"/>
  <c r="AJ34" i="48"/>
  <c r="AJ12" i="48"/>
  <c r="AH12" i="48"/>
  <c r="AJ21" i="48"/>
  <c r="AH21" i="48"/>
  <c r="AJ11" i="48"/>
  <c r="AH11" i="48"/>
  <c r="AJ20" i="48"/>
  <c r="AH20" i="48"/>
  <c r="AH38" i="48"/>
  <c r="AJ38" i="48"/>
  <c r="AJ19" i="48"/>
  <c r="AH19" i="48"/>
  <c r="BQ32" i="2" l="1"/>
  <c r="M7" i="27"/>
  <c r="M34" i="29"/>
  <c r="BQ37" i="2"/>
  <c r="K56" i="29"/>
  <c r="J41" i="29"/>
  <c r="K57" i="29"/>
  <c r="J40" i="27"/>
  <c r="J45" i="29"/>
  <c r="Y12" i="48"/>
  <c r="S13" i="48"/>
  <c r="AE12" i="48"/>
  <c r="E44" i="24"/>
  <c r="D44" i="23"/>
  <c r="J57" i="14"/>
  <c r="E45" i="19"/>
  <c r="D45" i="18"/>
  <c r="G31" i="55"/>
  <c r="E46" i="25"/>
  <c r="D46" i="24"/>
  <c r="BQ23" i="2"/>
  <c r="BQ15" i="2"/>
  <c r="E43" i="14"/>
  <c r="D43" i="13"/>
  <c r="BQ22" i="2"/>
  <c r="D49" i="14"/>
  <c r="E49" i="15"/>
  <c r="BQ26" i="2"/>
  <c r="BQ36" i="2"/>
  <c r="E38" i="26"/>
  <c r="E52" i="26" s="1"/>
  <c r="E53" i="26" s="1"/>
  <c r="D52" i="26"/>
  <c r="D53" i="26" s="1"/>
  <c r="D38" i="25"/>
  <c r="E42" i="24"/>
  <c r="D42" i="23"/>
  <c r="E47" i="15"/>
  <c r="D47" i="14"/>
  <c r="BQ38" i="2"/>
  <c r="J51" i="30"/>
  <c r="J50" i="30"/>
  <c r="J49" i="29"/>
  <c r="BQ12" i="2"/>
  <c r="BQ17" i="2"/>
  <c r="BQ40" i="2"/>
  <c r="E41" i="25"/>
  <c r="D41" i="24"/>
  <c r="J56" i="16"/>
  <c r="BQ21" i="2"/>
  <c r="E40" i="25"/>
  <c r="D40" i="24"/>
  <c r="F11" i="2"/>
  <c r="BR11" i="2" s="1"/>
  <c r="BQ11" i="2"/>
  <c r="E42" i="2"/>
  <c r="BQ42" i="2" s="1"/>
  <c r="BQ39" i="2"/>
  <c r="BQ25" i="2"/>
  <c r="D51" i="14"/>
  <c r="E51" i="15"/>
  <c r="BQ16" i="2"/>
  <c r="BQ18" i="2"/>
  <c r="BQ33" i="2"/>
  <c r="E48" i="24"/>
  <c r="D48" i="23"/>
  <c r="BQ34" i="2"/>
  <c r="E50" i="24"/>
  <c r="D50" i="23"/>
  <c r="E39" i="23"/>
  <c r="D39" i="21"/>
  <c r="BQ13" i="2"/>
  <c r="W13" i="48"/>
  <c r="AC13" i="48"/>
  <c r="Q14" i="48"/>
  <c r="J45" i="27"/>
  <c r="J44" i="27"/>
  <c r="J43" i="28"/>
  <c r="BQ31" i="2"/>
  <c r="J37" i="22"/>
  <c r="J39" i="21"/>
  <c r="G40" i="45"/>
  <c r="O40" i="45"/>
  <c r="K40" i="45"/>
  <c r="R40" i="45"/>
  <c r="T4" i="56"/>
  <c r="AB136" i="57"/>
  <c r="X147" i="57" s="1"/>
  <c r="BA136" i="57"/>
  <c r="AS136" i="57"/>
  <c r="X159" i="57" s="1"/>
  <c r="AG136" i="57"/>
  <c r="X149" i="57" s="1"/>
  <c r="AQ136" i="57"/>
  <c r="X158" i="57" s="1"/>
  <c r="AJ136" i="57"/>
  <c r="X152" i="57" s="1"/>
  <c r="AO136" i="57"/>
  <c r="X156" i="57" s="1"/>
  <c r="AZ136" i="57"/>
  <c r="X165" i="57" s="1"/>
  <c r="AK136" i="57"/>
  <c r="X153" i="57" s="1"/>
  <c r="AP136" i="57"/>
  <c r="X157" i="57" s="1"/>
  <c r="AR136" i="57"/>
  <c r="AT136" i="57"/>
  <c r="X160" i="57" s="1"/>
  <c r="AH136" i="57"/>
  <c r="X150" i="57" s="1"/>
  <c r="AL136" i="57"/>
  <c r="X154" i="57" s="1"/>
  <c r="AU136" i="57"/>
  <c r="X161" i="57" s="1"/>
  <c r="AX136" i="57"/>
  <c r="AI136" i="57"/>
  <c r="X151" i="57" s="1"/>
  <c r="AN136" i="57"/>
  <c r="X155" i="57" s="1"/>
  <c r="AY136" i="57"/>
  <c r="AV136" i="57"/>
  <c r="X163" i="57" s="1"/>
  <c r="AW136" i="57"/>
  <c r="X162" i="57" s="1"/>
  <c r="AM136" i="57"/>
  <c r="AF136" i="57"/>
  <c r="X148" i="57" s="1"/>
  <c r="BB12" i="48"/>
  <c r="BD11" i="48"/>
  <c r="U2" i="56"/>
  <c r="O12" i="55" s="1"/>
  <c r="P12" i="55" s="1"/>
  <c r="T11" i="56"/>
  <c r="N15" i="55"/>
  <c r="U5" i="56"/>
  <c r="O15" i="55" s="1"/>
  <c r="P15" i="55" s="1"/>
  <c r="N13" i="55"/>
  <c r="U3" i="56"/>
  <c r="O13" i="55" s="1"/>
  <c r="P13" i="55" s="1"/>
  <c r="X164" i="46"/>
  <c r="X166" i="46" s="1"/>
  <c r="X169" i="46" s="1"/>
  <c r="G19" i="55"/>
  <c r="E14" i="55"/>
  <c r="F14" i="55" s="1"/>
  <c r="G14" i="55" s="1"/>
  <c r="J4" i="56"/>
  <c r="G4" i="55"/>
  <c r="G24" i="55"/>
  <c r="H24" i="55" s="1"/>
  <c r="E15" i="55"/>
  <c r="F15" i="55" s="1"/>
  <c r="G15" i="55" s="1"/>
  <c r="J5" i="56"/>
  <c r="G38" i="55"/>
  <c r="H38" i="55" s="1"/>
  <c r="G36" i="55"/>
  <c r="M11" i="48"/>
  <c r="K10" i="48"/>
  <c r="J48" i="32"/>
  <c r="J47" i="32"/>
  <c r="J46" i="31"/>
  <c r="AJ41" i="48"/>
  <c r="AH41" i="48"/>
  <c r="AI9" i="48"/>
  <c r="AK9" i="48"/>
  <c r="AG10" i="48"/>
  <c r="E50" i="23" l="1"/>
  <c r="D50" i="21"/>
  <c r="D39" i="22"/>
  <c r="E39" i="21"/>
  <c r="F40" i="55"/>
  <c r="F42" i="55" s="1"/>
  <c r="Q15" i="48"/>
  <c r="W14" i="48"/>
  <c r="AC14" i="48"/>
  <c r="E43" i="13"/>
  <c r="D43" i="12"/>
  <c r="AE13" i="48"/>
  <c r="S14" i="48"/>
  <c r="Y13" i="48"/>
  <c r="J44" i="28"/>
  <c r="J43" i="26"/>
  <c r="E49" i="14"/>
  <c r="D49" i="13"/>
  <c r="E47" i="14"/>
  <c r="D47" i="13"/>
  <c r="E45" i="18"/>
  <c r="D45" i="17"/>
  <c r="E44" i="23"/>
  <c r="D44" i="21"/>
  <c r="E40" i="24"/>
  <c r="D40" i="23"/>
  <c r="E46" i="24"/>
  <c r="D46" i="23"/>
  <c r="H14" i="55"/>
  <c r="Q12" i="55"/>
  <c r="J39" i="22"/>
  <c r="J37" i="20"/>
  <c r="J56" i="15"/>
  <c r="M34" i="27"/>
  <c r="M7" i="28"/>
  <c r="E48" i="23"/>
  <c r="D48" i="21"/>
  <c r="F12" i="2"/>
  <c r="D42" i="21"/>
  <c r="E42" i="23"/>
  <c r="J57" i="13"/>
  <c r="K56" i="27"/>
  <c r="J41" i="27"/>
  <c r="K57" i="27"/>
  <c r="J40" i="28"/>
  <c r="J45" i="28" s="1"/>
  <c r="E38" i="25"/>
  <c r="E52" i="25" s="1"/>
  <c r="E53" i="25" s="1"/>
  <c r="D38" i="24"/>
  <c r="D52" i="25"/>
  <c r="D53" i="25" s="1"/>
  <c r="E51" i="14"/>
  <c r="D51" i="13"/>
  <c r="E41" i="24"/>
  <c r="D41" i="23"/>
  <c r="J51" i="29"/>
  <c r="J49" i="27"/>
  <c r="J50" i="29"/>
  <c r="BB13" i="48"/>
  <c r="BD12" i="48"/>
  <c r="O22" i="55"/>
  <c r="O7" i="55"/>
  <c r="P7" i="55" s="1"/>
  <c r="O16" i="55"/>
  <c r="P16" i="55" s="1"/>
  <c r="O21" i="55"/>
  <c r="O28" i="55"/>
  <c r="O20" i="55"/>
  <c r="O4" i="55"/>
  <c r="O10" i="55"/>
  <c r="P10" i="55" s="1"/>
  <c r="O26" i="55"/>
  <c r="O9" i="55"/>
  <c r="P9" i="55" s="1"/>
  <c r="O38" i="55"/>
  <c r="P38" i="55" s="1"/>
  <c r="Q38" i="55" s="1"/>
  <c r="O19" i="55"/>
  <c r="P19" i="55" s="1"/>
  <c r="O31" i="55"/>
  <c r="O5" i="55"/>
  <c r="P5" i="55" s="1"/>
  <c r="O8" i="55"/>
  <c r="P8" i="55" s="1"/>
  <c r="O17" i="55"/>
  <c r="O29" i="55"/>
  <c r="O39" i="55"/>
  <c r="O11" i="55"/>
  <c r="P11" i="55" s="1"/>
  <c r="O6" i="55"/>
  <c r="P6" i="55" s="1"/>
  <c r="O33" i="55"/>
  <c r="O27" i="55"/>
  <c r="O36" i="55"/>
  <c r="O35" i="55"/>
  <c r="O25" i="55"/>
  <c r="O34" i="55"/>
  <c r="O37" i="55"/>
  <c r="O24" i="55"/>
  <c r="O18" i="55"/>
  <c r="P18" i="55" s="1"/>
  <c r="O23" i="55"/>
  <c r="O32" i="55"/>
  <c r="O30" i="55"/>
  <c r="X164" i="57"/>
  <c r="X166" i="57" s="1"/>
  <c r="X169" i="57" s="1"/>
  <c r="U4" i="56"/>
  <c r="O14" i="55" s="1"/>
  <c r="P14" i="55" s="1"/>
  <c r="N14" i="55"/>
  <c r="N40" i="55" s="1"/>
  <c r="E40" i="55"/>
  <c r="G40" i="55"/>
  <c r="G42" i="55" s="1"/>
  <c r="H4" i="55"/>
  <c r="H40" i="55" s="1"/>
  <c r="H42" i="55" s="1"/>
  <c r="G15" i="56" s="1"/>
  <c r="M12" i="48"/>
  <c r="K11" i="48"/>
  <c r="AK10" i="48"/>
  <c r="AI10" i="48"/>
  <c r="AG11" i="48"/>
  <c r="J47" i="31"/>
  <c r="J48" i="31"/>
  <c r="J46" i="30"/>
  <c r="D44" i="22" l="1"/>
  <c r="E44" i="21"/>
  <c r="P24" i="55"/>
  <c r="E41" i="23"/>
  <c r="D41" i="21"/>
  <c r="D48" i="22"/>
  <c r="E48" i="21"/>
  <c r="D45" i="16"/>
  <c r="E45" i="17"/>
  <c r="Q16" i="48"/>
  <c r="AC15" i="48"/>
  <c r="W15" i="48"/>
  <c r="E42" i="21"/>
  <c r="D42" i="22"/>
  <c r="Q14" i="55"/>
  <c r="E51" i="13"/>
  <c r="D51" i="12"/>
  <c r="M34" i="28"/>
  <c r="M7" i="26"/>
  <c r="E46" i="23"/>
  <c r="D46" i="21"/>
  <c r="E47" i="13"/>
  <c r="D47" i="12"/>
  <c r="AE14" i="48"/>
  <c r="S15" i="48"/>
  <c r="Y14" i="48"/>
  <c r="J44" i="26"/>
  <c r="J43" i="25"/>
  <c r="J41" i="28"/>
  <c r="K56" i="28"/>
  <c r="K57" i="28"/>
  <c r="J40" i="26"/>
  <c r="J45" i="26" s="1"/>
  <c r="J57" i="12"/>
  <c r="E39" i="22"/>
  <c r="D39" i="20"/>
  <c r="J51" i="27"/>
  <c r="J50" i="27"/>
  <c r="J49" i="28"/>
  <c r="D40" i="21"/>
  <c r="E40" i="23"/>
  <c r="E49" i="13"/>
  <c r="D49" i="12"/>
  <c r="E43" i="12"/>
  <c r="D43" i="11"/>
  <c r="D50" i="22"/>
  <c r="E50" i="21"/>
  <c r="J39" i="20"/>
  <c r="J37" i="19"/>
  <c r="BR12" i="2"/>
  <c r="F13" i="2"/>
  <c r="E38" i="24"/>
  <c r="E52" i="24" s="1"/>
  <c r="E53" i="24" s="1"/>
  <c r="D52" i="24"/>
  <c r="D53" i="24" s="1"/>
  <c r="D38" i="23"/>
  <c r="J56" i="14"/>
  <c r="P36" i="55"/>
  <c r="O40" i="55"/>
  <c r="O42" i="55" s="1"/>
  <c r="P4" i="55"/>
  <c r="BD13" i="48"/>
  <c r="BB14" i="48"/>
  <c r="P33" i="55"/>
  <c r="P31" i="55"/>
  <c r="Q24" i="55" s="1"/>
  <c r="K12" i="48"/>
  <c r="M13" i="48"/>
  <c r="J47" i="30"/>
  <c r="J48" i="30"/>
  <c r="J46" i="29"/>
  <c r="AK11" i="48"/>
  <c r="AI11" i="48"/>
  <c r="AG12" i="48"/>
  <c r="J56" i="13" l="1"/>
  <c r="J51" i="28"/>
  <c r="J50" i="28"/>
  <c r="J49" i="26"/>
  <c r="E45" i="16"/>
  <c r="D45" i="15"/>
  <c r="E38" i="23"/>
  <c r="E52" i="23" s="1"/>
  <c r="E53" i="23" s="1"/>
  <c r="D52" i="23"/>
  <c r="D53" i="23" s="1"/>
  <c r="D38" i="21"/>
  <c r="E47" i="12"/>
  <c r="D47" i="11"/>
  <c r="D43" i="10"/>
  <c r="E43" i="11"/>
  <c r="E42" i="22"/>
  <c r="D42" i="20"/>
  <c r="D48" i="20"/>
  <c r="E48" i="22"/>
  <c r="E39" i="20"/>
  <c r="D39" i="19"/>
  <c r="J44" i="25"/>
  <c r="J45" i="25"/>
  <c r="J43" i="24"/>
  <c r="E46" i="21"/>
  <c r="D46" i="22"/>
  <c r="E41" i="21"/>
  <c r="D41" i="22"/>
  <c r="BR13" i="2"/>
  <c r="F14" i="2"/>
  <c r="E49" i="12"/>
  <c r="D49" i="11"/>
  <c r="J57" i="11"/>
  <c r="M34" i="26"/>
  <c r="M7" i="25"/>
  <c r="D50" i="20"/>
  <c r="E50" i="22"/>
  <c r="J39" i="19"/>
  <c r="J37" i="18"/>
  <c r="AC16" i="48"/>
  <c r="Q17" i="48"/>
  <c r="W16" i="48"/>
  <c r="E40" i="21"/>
  <c r="D40" i="22"/>
  <c r="J41" i="26"/>
  <c r="K56" i="26"/>
  <c r="K57" i="26"/>
  <c r="J40" i="25"/>
  <c r="AE15" i="48"/>
  <c r="S16" i="48"/>
  <c r="Y15" i="48"/>
  <c r="E51" i="12"/>
  <c r="D51" i="11"/>
  <c r="D44" i="20"/>
  <c r="E44" i="22"/>
  <c r="BB15" i="48"/>
  <c r="BD14" i="48"/>
  <c r="P40" i="55"/>
  <c r="P42" i="55" s="1"/>
  <c r="Q4" i="55"/>
  <c r="Q40" i="55" s="1"/>
  <c r="Q42" i="55" s="1"/>
  <c r="R15" i="56" s="1"/>
  <c r="M14" i="48"/>
  <c r="K13" i="48"/>
  <c r="AK12" i="48"/>
  <c r="AI12" i="48"/>
  <c r="AG13" i="48"/>
  <c r="J47" i="29"/>
  <c r="J48" i="29"/>
  <c r="J46" i="27"/>
  <c r="J41" i="25" l="1"/>
  <c r="K56" i="25"/>
  <c r="J40" i="24"/>
  <c r="K57" i="25"/>
  <c r="D42" i="19"/>
  <c r="E42" i="20"/>
  <c r="D49" i="10"/>
  <c r="E49" i="11"/>
  <c r="E51" i="11"/>
  <c r="D51" i="10"/>
  <c r="BR14" i="2"/>
  <c r="F15" i="2"/>
  <c r="E43" i="10"/>
  <c r="D43" i="9"/>
  <c r="J50" i="26"/>
  <c r="J51" i="26"/>
  <c r="J49" i="25"/>
  <c r="J37" i="17"/>
  <c r="J39" i="18"/>
  <c r="D40" i="20"/>
  <c r="E40" i="22"/>
  <c r="E50" i="20"/>
  <c r="D50" i="19"/>
  <c r="E39" i="19"/>
  <c r="D39" i="18"/>
  <c r="E47" i="11"/>
  <c r="D47" i="10"/>
  <c r="E45" i="15"/>
  <c r="D45" i="14"/>
  <c r="M7" i="24"/>
  <c r="M34" i="25"/>
  <c r="D41" i="20"/>
  <c r="E41" i="22"/>
  <c r="AE16" i="48"/>
  <c r="S17" i="48"/>
  <c r="Y16" i="48"/>
  <c r="D38" i="22"/>
  <c r="E38" i="21"/>
  <c r="E52" i="21" s="1"/>
  <c r="E53" i="21" s="1"/>
  <c r="D52" i="21"/>
  <c r="D53" i="21" s="1"/>
  <c r="J56" i="12"/>
  <c r="J44" i="24"/>
  <c r="J45" i="24"/>
  <c r="J43" i="23"/>
  <c r="E44" i="20"/>
  <c r="D44" i="19"/>
  <c r="AC17" i="48"/>
  <c r="Q18" i="48"/>
  <c r="W17" i="48"/>
  <c r="J57" i="10"/>
  <c r="D46" i="20"/>
  <c r="E46" i="22"/>
  <c r="E48" i="20"/>
  <c r="D48" i="19"/>
  <c r="BB16" i="48"/>
  <c r="BD15" i="48"/>
  <c r="K14" i="48"/>
  <c r="M15" i="48"/>
  <c r="J47" i="27"/>
  <c r="J48" i="27"/>
  <c r="J46" i="28"/>
  <c r="AI13" i="48"/>
  <c r="AK13" i="48"/>
  <c r="AG14" i="48"/>
  <c r="E49" i="10" l="1"/>
  <c r="D49" i="9"/>
  <c r="E44" i="19"/>
  <c r="D44" i="18"/>
  <c r="Q19" i="48"/>
  <c r="W18" i="48"/>
  <c r="AC18" i="48"/>
  <c r="E41" i="20"/>
  <c r="D41" i="19"/>
  <c r="E48" i="19"/>
  <c r="D48" i="18"/>
  <c r="M34" i="24"/>
  <c r="M7" i="23"/>
  <c r="E38" i="22"/>
  <c r="E52" i="22" s="1"/>
  <c r="E53" i="22" s="1"/>
  <c r="D52" i="22"/>
  <c r="D53" i="22" s="1"/>
  <c r="D38" i="20"/>
  <c r="E45" i="14"/>
  <c r="D45" i="13"/>
  <c r="D42" i="18"/>
  <c r="E42" i="19"/>
  <c r="E43" i="9"/>
  <c r="D43" i="8"/>
  <c r="E46" i="20"/>
  <c r="D46" i="19"/>
  <c r="J43" i="21"/>
  <c r="J44" i="23"/>
  <c r="J45" i="23"/>
  <c r="E40" i="20"/>
  <c r="D40" i="19"/>
  <c r="BR15" i="2"/>
  <c r="F16" i="2"/>
  <c r="J57" i="9"/>
  <c r="S18" i="48"/>
  <c r="AE17" i="48"/>
  <c r="Y17" i="48"/>
  <c r="D47" i="9"/>
  <c r="E47" i="10"/>
  <c r="J41" i="24"/>
  <c r="K57" i="24"/>
  <c r="J40" i="23"/>
  <c r="K56" i="24"/>
  <c r="J39" i="17"/>
  <c r="J37" i="16"/>
  <c r="D51" i="9"/>
  <c r="E51" i="10"/>
  <c r="D50" i="18"/>
  <c r="E50" i="19"/>
  <c r="J56" i="11"/>
  <c r="D39" i="17"/>
  <c r="E39" i="18"/>
  <c r="J50" i="25"/>
  <c r="J51" i="25"/>
  <c r="J49" i="24"/>
  <c r="J49" i="23"/>
  <c r="BD16" i="48"/>
  <c r="BB17" i="48"/>
  <c r="M16" i="48"/>
  <c r="K15" i="48"/>
  <c r="AK14" i="48"/>
  <c r="AI14" i="48"/>
  <c r="AG15" i="48"/>
  <c r="J47" i="28"/>
  <c r="J48" i="28"/>
  <c r="J46" i="26"/>
  <c r="J49" i="21" l="1"/>
  <c r="J51" i="23"/>
  <c r="J50" i="23"/>
  <c r="D46" i="18"/>
  <c r="E46" i="19"/>
  <c r="E38" i="20"/>
  <c r="E52" i="20" s="1"/>
  <c r="E53" i="20" s="1"/>
  <c r="D52" i="20"/>
  <c r="D53" i="20" s="1"/>
  <c r="D38" i="19"/>
  <c r="J50" i="24"/>
  <c r="J51" i="24"/>
  <c r="E51" i="9"/>
  <c r="D51" i="8"/>
  <c r="E47" i="9"/>
  <c r="D47" i="8"/>
  <c r="E40" i="19"/>
  <c r="D40" i="18"/>
  <c r="M34" i="23"/>
  <c r="M7" i="21"/>
  <c r="Q20" i="48"/>
  <c r="W19" i="48"/>
  <c r="AC19" i="48"/>
  <c r="BR16" i="2"/>
  <c r="F17" i="2"/>
  <c r="D44" i="17"/>
  <c r="E44" i="18"/>
  <c r="E43" i="8"/>
  <c r="D43" i="7"/>
  <c r="D42" i="17"/>
  <c r="E42" i="18"/>
  <c r="E48" i="18"/>
  <c r="D48" i="17"/>
  <c r="E50" i="18"/>
  <c r="D50" i="17"/>
  <c r="J39" i="16"/>
  <c r="J37" i="15"/>
  <c r="S19" i="48"/>
  <c r="Y18" i="48"/>
  <c r="AE18" i="48"/>
  <c r="E45" i="13"/>
  <c r="D45" i="12"/>
  <c r="E49" i="9"/>
  <c r="D49" i="8"/>
  <c r="E39" i="17"/>
  <c r="D39" i="16"/>
  <c r="J56" i="10"/>
  <c r="J41" i="23"/>
  <c r="K56" i="23"/>
  <c r="K57" i="23"/>
  <c r="J40" i="21"/>
  <c r="J57" i="8"/>
  <c r="J44" i="21"/>
  <c r="J45" i="21"/>
  <c r="J43" i="22"/>
  <c r="D41" i="18"/>
  <c r="E41" i="19"/>
  <c r="BB18" i="48"/>
  <c r="BD17" i="48"/>
  <c r="M17" i="48"/>
  <c r="K16" i="48"/>
  <c r="J47" i="26"/>
  <c r="J48" i="26"/>
  <c r="J46" i="25"/>
  <c r="AK15" i="48"/>
  <c r="AI15" i="48"/>
  <c r="AG16" i="48"/>
  <c r="D41" i="17" l="1"/>
  <c r="E41" i="18"/>
  <c r="D45" i="11"/>
  <c r="E45" i="12"/>
  <c r="E44" i="17"/>
  <c r="D44" i="16"/>
  <c r="D40" i="17"/>
  <c r="E40" i="18"/>
  <c r="E38" i="19"/>
  <c r="E52" i="19" s="1"/>
  <c r="E53" i="19" s="1"/>
  <c r="D52" i="19"/>
  <c r="D53" i="19" s="1"/>
  <c r="D38" i="18"/>
  <c r="BR17" i="2"/>
  <c r="F18" i="2"/>
  <c r="J56" i="9"/>
  <c r="J57" i="7"/>
  <c r="E39" i="16"/>
  <c r="D39" i="15"/>
  <c r="S20" i="48"/>
  <c r="AE19" i="48"/>
  <c r="Y19" i="48"/>
  <c r="D42" i="16"/>
  <c r="E42" i="17"/>
  <c r="E51" i="8"/>
  <c r="D51" i="7"/>
  <c r="E46" i="18"/>
  <c r="D46" i="17"/>
  <c r="J39" i="15"/>
  <c r="J37" i="14"/>
  <c r="E43" i="7"/>
  <c r="D43" i="6"/>
  <c r="Q21" i="48"/>
  <c r="W20" i="48"/>
  <c r="AC20" i="48"/>
  <c r="E48" i="17"/>
  <c r="D48" i="16"/>
  <c r="J41" i="21"/>
  <c r="K57" i="21"/>
  <c r="K56" i="21"/>
  <c r="J40" i="22"/>
  <c r="E49" i="8"/>
  <c r="D49" i="7"/>
  <c r="M34" i="21"/>
  <c r="M7" i="22"/>
  <c r="J45" i="22"/>
  <c r="J44" i="22"/>
  <c r="J43" i="20"/>
  <c r="E47" i="8"/>
  <c r="D47" i="7"/>
  <c r="D50" i="16"/>
  <c r="E50" i="17"/>
  <c r="J50" i="21"/>
  <c r="J51" i="21"/>
  <c r="J49" i="22"/>
  <c r="BD18" i="48"/>
  <c r="BB19" i="48"/>
  <c r="M18" i="48"/>
  <c r="K17" i="48"/>
  <c r="J47" i="25"/>
  <c r="J48" i="25"/>
  <c r="J46" i="24"/>
  <c r="AK16" i="48"/>
  <c r="AI16" i="48"/>
  <c r="AG17" i="48"/>
  <c r="J44" i="20" l="1"/>
  <c r="J43" i="19"/>
  <c r="E43" i="6"/>
  <c r="D43" i="37"/>
  <c r="E40" i="17"/>
  <c r="D40" i="16"/>
  <c r="J39" i="14"/>
  <c r="J37" i="13"/>
  <c r="M34" i="22"/>
  <c r="M7" i="20"/>
  <c r="E48" i="16"/>
  <c r="D48" i="15"/>
  <c r="BR18" i="2"/>
  <c r="F19" i="2"/>
  <c r="D42" i="15"/>
  <c r="E42" i="16"/>
  <c r="E46" i="17"/>
  <c r="D46" i="16"/>
  <c r="S21" i="48"/>
  <c r="AE20" i="48"/>
  <c r="Y20" i="48"/>
  <c r="E49" i="7"/>
  <c r="D49" i="6"/>
  <c r="E39" i="15"/>
  <c r="D39" i="14"/>
  <c r="E38" i="18"/>
  <c r="E52" i="18" s="1"/>
  <c r="E53" i="18" s="1"/>
  <c r="D52" i="18"/>
  <c r="D53" i="18" s="1"/>
  <c r="D38" i="17"/>
  <c r="E45" i="11"/>
  <c r="D45" i="10"/>
  <c r="D51" i="6"/>
  <c r="E51" i="7"/>
  <c r="J51" i="22"/>
  <c r="J50" i="22"/>
  <c r="J49" i="20"/>
  <c r="J56" i="8"/>
  <c r="E44" i="16"/>
  <c r="D44" i="15"/>
  <c r="E50" i="16"/>
  <c r="D50" i="15"/>
  <c r="E47" i="7"/>
  <c r="D47" i="6"/>
  <c r="J41" i="22"/>
  <c r="K57" i="22"/>
  <c r="K56" i="22"/>
  <c r="J40" i="20"/>
  <c r="Q22" i="48"/>
  <c r="W21" i="48"/>
  <c r="AC21" i="48"/>
  <c r="J57" i="6"/>
  <c r="D41" i="16"/>
  <c r="E41" i="17"/>
  <c r="BB20" i="48"/>
  <c r="BD19" i="48"/>
  <c r="M19" i="48"/>
  <c r="K18" i="48"/>
  <c r="J47" i="24"/>
  <c r="J48" i="24"/>
  <c r="J46" i="23"/>
  <c r="AI17" i="48"/>
  <c r="AK17" i="48"/>
  <c r="AG18" i="48"/>
  <c r="E40" i="16" l="1"/>
  <c r="D40" i="15"/>
  <c r="J41" i="20"/>
  <c r="K57" i="20"/>
  <c r="J40" i="19"/>
  <c r="K56" i="20"/>
  <c r="E44" i="15"/>
  <c r="D44" i="14"/>
  <c r="E51" i="6"/>
  <c r="D51" i="37"/>
  <c r="E49" i="6"/>
  <c r="D49" i="37"/>
  <c r="E42" i="15"/>
  <c r="D42" i="14"/>
  <c r="D45" i="9"/>
  <c r="E45" i="10"/>
  <c r="J57" i="37"/>
  <c r="J56" i="7"/>
  <c r="E38" i="17"/>
  <c r="E52" i="17" s="1"/>
  <c r="E53" i="17" s="1"/>
  <c r="D38" i="16"/>
  <c r="D52" i="17"/>
  <c r="D53" i="17" s="1"/>
  <c r="E48" i="15"/>
  <c r="D48" i="14"/>
  <c r="E43" i="37"/>
  <c r="D43" i="4"/>
  <c r="BR19" i="2"/>
  <c r="F20" i="2"/>
  <c r="E47" i="6"/>
  <c r="D47" i="37"/>
  <c r="S22" i="48"/>
  <c r="Y21" i="48"/>
  <c r="AE21" i="48"/>
  <c r="D46" i="15"/>
  <c r="E46" i="16"/>
  <c r="M34" i="20"/>
  <c r="M7" i="19"/>
  <c r="J45" i="19"/>
  <c r="J44" i="19"/>
  <c r="J43" i="18"/>
  <c r="J50" i="20"/>
  <c r="J51" i="20"/>
  <c r="J49" i="19"/>
  <c r="J45" i="20"/>
  <c r="E41" i="16"/>
  <c r="D41" i="15"/>
  <c r="E50" i="15"/>
  <c r="D50" i="14"/>
  <c r="E39" i="14"/>
  <c r="D39" i="13"/>
  <c r="Q23" i="48"/>
  <c r="W22" i="48"/>
  <c r="AC22" i="48"/>
  <c r="J37" i="12"/>
  <c r="J39" i="13"/>
  <c r="BD20" i="48"/>
  <c r="BB21" i="48"/>
  <c r="M20" i="48"/>
  <c r="K19" i="48"/>
  <c r="J48" i="23"/>
  <c r="J47" i="23"/>
  <c r="J46" i="21"/>
  <c r="AK18" i="48"/>
  <c r="AI18" i="48"/>
  <c r="AG19" i="48"/>
  <c r="E47" i="37" l="1"/>
  <c r="D47" i="4"/>
  <c r="S23" i="48"/>
  <c r="Y22" i="48"/>
  <c r="AE22" i="48"/>
  <c r="D44" i="13"/>
  <c r="E44" i="14"/>
  <c r="M34" i="19"/>
  <c r="M7" i="18"/>
  <c r="BR20" i="2"/>
  <c r="F21" i="2"/>
  <c r="J41" i="19"/>
  <c r="K57" i="19"/>
  <c r="J40" i="18"/>
  <c r="K56" i="19"/>
  <c r="E41" i="15"/>
  <c r="D41" i="14"/>
  <c r="J51" i="19"/>
  <c r="J50" i="19"/>
  <c r="J49" i="18"/>
  <c r="J56" i="6"/>
  <c r="E49" i="37"/>
  <c r="D49" i="4"/>
  <c r="E45" i="9"/>
  <c r="D45" i="8"/>
  <c r="D52" i="16"/>
  <c r="D53" i="16" s="1"/>
  <c r="E38" i="16"/>
  <c r="E52" i="16" s="1"/>
  <c r="E53" i="16" s="1"/>
  <c r="D38" i="15"/>
  <c r="D46" i="14"/>
  <c r="E46" i="15"/>
  <c r="E43" i="4"/>
  <c r="D43" i="43"/>
  <c r="E43" i="43" s="1"/>
  <c r="J39" i="12"/>
  <c r="J37" i="11"/>
  <c r="E51" i="37"/>
  <c r="D51" i="4"/>
  <c r="E40" i="15"/>
  <c r="D40" i="14"/>
  <c r="D42" i="13"/>
  <c r="E42" i="14"/>
  <c r="Q24" i="48"/>
  <c r="W23" i="48"/>
  <c r="AC23" i="48"/>
  <c r="E39" i="13"/>
  <c r="D39" i="12"/>
  <c r="D50" i="13"/>
  <c r="E50" i="14"/>
  <c r="J43" i="17"/>
  <c r="J44" i="18"/>
  <c r="D48" i="13"/>
  <c r="E48" i="14"/>
  <c r="J57" i="4"/>
  <c r="BB22" i="48"/>
  <c r="BD21" i="48"/>
  <c r="M21" i="48"/>
  <c r="K20" i="48"/>
  <c r="J48" i="21"/>
  <c r="J47" i="21"/>
  <c r="J46" i="22"/>
  <c r="AK19" i="48"/>
  <c r="AI19" i="48"/>
  <c r="AG20" i="48"/>
  <c r="D42" i="12" l="1"/>
  <c r="E42" i="13"/>
  <c r="E49" i="4"/>
  <c r="D49" i="43"/>
  <c r="E49" i="43" s="1"/>
  <c r="E51" i="4"/>
  <c r="D51" i="43"/>
  <c r="E51" i="43" s="1"/>
  <c r="D52" i="15"/>
  <c r="D53" i="15" s="1"/>
  <c r="E38" i="15"/>
  <c r="E52" i="15" s="1"/>
  <c r="E53" i="15" s="1"/>
  <c r="D38" i="14"/>
  <c r="J56" i="37"/>
  <c r="J57" i="43"/>
  <c r="E48" i="13"/>
  <c r="D48" i="12"/>
  <c r="J50" i="18"/>
  <c r="J51" i="18"/>
  <c r="J49" i="17"/>
  <c r="E50" i="13"/>
  <c r="D50" i="12"/>
  <c r="E39" i="12"/>
  <c r="D39" i="11"/>
  <c r="J41" i="18"/>
  <c r="K57" i="18"/>
  <c r="J40" i="17"/>
  <c r="K56" i="18"/>
  <c r="J39" i="11"/>
  <c r="J37" i="10"/>
  <c r="BR21" i="2"/>
  <c r="F22" i="2"/>
  <c r="S24" i="48"/>
  <c r="Y23" i="48"/>
  <c r="AE23" i="48"/>
  <c r="E46" i="14"/>
  <c r="D46" i="13"/>
  <c r="Q25" i="48"/>
  <c r="W24" i="48"/>
  <c r="AC24" i="48"/>
  <c r="E45" i="8"/>
  <c r="D45" i="7"/>
  <c r="E47" i="4"/>
  <c r="D47" i="43"/>
  <c r="E47" i="43" s="1"/>
  <c r="E40" i="14"/>
  <c r="D40" i="13"/>
  <c r="E44" i="13"/>
  <c r="D44" i="12"/>
  <c r="J44" i="17"/>
  <c r="J45" i="17"/>
  <c r="J43" i="16"/>
  <c r="J45" i="18"/>
  <c r="E41" i="14"/>
  <c r="D41" i="13"/>
  <c r="M7" i="17"/>
  <c r="M34" i="18"/>
  <c r="BD22" i="48"/>
  <c r="BB23" i="48"/>
  <c r="M22" i="48"/>
  <c r="K21" i="48"/>
  <c r="J48" i="22"/>
  <c r="J47" i="22"/>
  <c r="J46" i="20"/>
  <c r="AK20" i="48"/>
  <c r="AI20" i="48"/>
  <c r="AG21" i="48"/>
  <c r="D45" i="6" l="1"/>
  <c r="E45" i="7"/>
  <c r="S25" i="48"/>
  <c r="Y24" i="48"/>
  <c r="AE24" i="48"/>
  <c r="BR22" i="2"/>
  <c r="F23" i="2"/>
  <c r="J39" i="10"/>
  <c r="J37" i="9"/>
  <c r="E50" i="12"/>
  <c r="D50" i="11"/>
  <c r="E48" i="12"/>
  <c r="D48" i="11"/>
  <c r="E39" i="11"/>
  <c r="D39" i="10"/>
  <c r="D41" i="12"/>
  <c r="E41" i="13"/>
  <c r="E46" i="13"/>
  <c r="D46" i="12"/>
  <c r="J59" i="37"/>
  <c r="J56" i="4"/>
  <c r="E44" i="12"/>
  <c r="D44" i="11"/>
  <c r="Q26" i="48"/>
  <c r="W25" i="48"/>
  <c r="AC25" i="48"/>
  <c r="J50" i="17"/>
  <c r="J51" i="17"/>
  <c r="J49" i="16"/>
  <c r="M34" i="17"/>
  <c r="M7" i="16"/>
  <c r="E40" i="13"/>
  <c r="D40" i="12"/>
  <c r="J44" i="16"/>
  <c r="J43" i="15"/>
  <c r="J41" i="17"/>
  <c r="J40" i="16"/>
  <c r="K57" i="17"/>
  <c r="K56" i="17"/>
  <c r="E38" i="14"/>
  <c r="E52" i="14" s="1"/>
  <c r="E53" i="14" s="1"/>
  <c r="D38" i="13"/>
  <c r="D52" i="14"/>
  <c r="D53" i="14" s="1"/>
  <c r="D42" i="11"/>
  <c r="E42" i="12"/>
  <c r="BB24" i="48"/>
  <c r="BD23" i="48"/>
  <c r="M23" i="48"/>
  <c r="K22" i="48"/>
  <c r="AI21" i="48"/>
  <c r="AK21" i="48"/>
  <c r="AG22" i="48"/>
  <c r="J47" i="20"/>
  <c r="J48" i="20"/>
  <c r="J46" i="19"/>
  <c r="E39" i="10" l="1"/>
  <c r="D39" i="9"/>
  <c r="BR23" i="2"/>
  <c r="F24" i="2"/>
  <c r="J41" i="16"/>
  <c r="J40" i="15"/>
  <c r="K57" i="16"/>
  <c r="K56" i="16"/>
  <c r="E42" i="11"/>
  <c r="D42" i="10"/>
  <c r="J56" i="43"/>
  <c r="E48" i="11"/>
  <c r="D48" i="10"/>
  <c r="J45" i="16"/>
  <c r="E38" i="13"/>
  <c r="E52" i="13" s="1"/>
  <c r="E53" i="13" s="1"/>
  <c r="D52" i="13"/>
  <c r="D53" i="13" s="1"/>
  <c r="D38" i="12"/>
  <c r="E46" i="12"/>
  <c r="D46" i="11"/>
  <c r="E50" i="11"/>
  <c r="D50" i="10"/>
  <c r="E40" i="12"/>
  <c r="D40" i="11"/>
  <c r="AE25" i="48"/>
  <c r="Y25" i="48"/>
  <c r="S26" i="48"/>
  <c r="J51" i="16"/>
  <c r="J50" i="16"/>
  <c r="J49" i="15"/>
  <c r="W26" i="48"/>
  <c r="AC26" i="48"/>
  <c r="Q27" i="48"/>
  <c r="J39" i="9"/>
  <c r="J37" i="8"/>
  <c r="J44" i="15"/>
  <c r="J43" i="14"/>
  <c r="M34" i="16"/>
  <c r="M7" i="15"/>
  <c r="D44" i="10"/>
  <c r="E44" i="11"/>
  <c r="D41" i="11"/>
  <c r="E41" i="12"/>
  <c r="E45" i="6"/>
  <c r="D45" i="37"/>
  <c r="BD24" i="48"/>
  <c r="BB25" i="48"/>
  <c r="M24" i="48"/>
  <c r="K23" i="48"/>
  <c r="AK22" i="48"/>
  <c r="AI22" i="48"/>
  <c r="AG23" i="48"/>
  <c r="J47" i="19"/>
  <c r="J48" i="19"/>
  <c r="J46" i="18"/>
  <c r="M7" i="14" l="1"/>
  <c r="M34" i="15"/>
  <c r="D40" i="10"/>
  <c r="E40" i="11"/>
  <c r="J44" i="14"/>
  <c r="J45" i="14"/>
  <c r="J43" i="13"/>
  <c r="J41" i="15"/>
  <c r="J40" i="14"/>
  <c r="K57" i="15"/>
  <c r="K56" i="15"/>
  <c r="E45" i="37"/>
  <c r="D45" i="4"/>
  <c r="D46" i="10"/>
  <c r="E46" i="11"/>
  <c r="BR24" i="2"/>
  <c r="F25" i="2"/>
  <c r="E48" i="10"/>
  <c r="D48" i="9"/>
  <c r="J37" i="7"/>
  <c r="J39" i="8"/>
  <c r="Y26" i="48"/>
  <c r="S27" i="48"/>
  <c r="AE26" i="48"/>
  <c r="J51" i="15"/>
  <c r="J50" i="15"/>
  <c r="J49" i="14"/>
  <c r="E38" i="12"/>
  <c r="E52" i="12" s="1"/>
  <c r="E53" i="12" s="1"/>
  <c r="D38" i="11"/>
  <c r="D52" i="12"/>
  <c r="D53" i="12" s="1"/>
  <c r="D42" i="9"/>
  <c r="E42" i="10"/>
  <c r="E39" i="9"/>
  <c r="D39" i="8"/>
  <c r="E50" i="10"/>
  <c r="D50" i="9"/>
  <c r="J45" i="15"/>
  <c r="E41" i="11"/>
  <c r="D41" i="10"/>
  <c r="E44" i="10"/>
  <c r="D44" i="9"/>
  <c r="W27" i="48"/>
  <c r="AC27" i="48"/>
  <c r="Q28" i="48"/>
  <c r="BB26" i="48"/>
  <c r="BD25" i="48"/>
  <c r="M25" i="48"/>
  <c r="K24" i="48"/>
  <c r="AK23" i="48"/>
  <c r="AI23" i="48"/>
  <c r="AG24" i="48"/>
  <c r="J48" i="18"/>
  <c r="J47" i="18"/>
  <c r="J46" i="17"/>
  <c r="E41" i="10" l="1"/>
  <c r="D41" i="9"/>
  <c r="D42" i="8"/>
  <c r="E42" i="9"/>
  <c r="AE27" i="48"/>
  <c r="S28" i="48"/>
  <c r="Y27" i="48"/>
  <c r="J43" i="12"/>
  <c r="J44" i="13"/>
  <c r="E38" i="11"/>
  <c r="E52" i="11" s="1"/>
  <c r="E53" i="11" s="1"/>
  <c r="D38" i="10"/>
  <c r="D52" i="11"/>
  <c r="D53" i="11" s="1"/>
  <c r="E46" i="10"/>
  <c r="D46" i="9"/>
  <c r="J39" i="7"/>
  <c r="J37" i="6"/>
  <c r="E45" i="4"/>
  <c r="D45" i="43"/>
  <c r="E45" i="43" s="1"/>
  <c r="J50" i="14"/>
  <c r="J51" i="14"/>
  <c r="J49" i="13"/>
  <c r="D48" i="8"/>
  <c r="E48" i="9"/>
  <c r="E39" i="8"/>
  <c r="D39" i="7"/>
  <c r="D40" i="9"/>
  <c r="E40" i="10"/>
  <c r="W28" i="48"/>
  <c r="Q29" i="48"/>
  <c r="AC28" i="48"/>
  <c r="D44" i="8"/>
  <c r="E44" i="9"/>
  <c r="BR25" i="2"/>
  <c r="F26" i="2"/>
  <c r="D50" i="8"/>
  <c r="E50" i="9"/>
  <c r="J41" i="14"/>
  <c r="J40" i="13"/>
  <c r="J45" i="13" s="1"/>
  <c r="K57" i="14"/>
  <c r="K56" i="14"/>
  <c r="M7" i="13"/>
  <c r="M34" i="14"/>
  <c r="BB27" i="48"/>
  <c r="BD26" i="48"/>
  <c r="M26" i="48"/>
  <c r="K25" i="48"/>
  <c r="J48" i="17"/>
  <c r="J47" i="17"/>
  <c r="J46" i="16"/>
  <c r="AK24" i="48"/>
  <c r="AI24" i="48"/>
  <c r="AG25" i="48"/>
  <c r="E44" i="8" l="1"/>
  <c r="D44" i="7"/>
  <c r="E48" i="8"/>
  <c r="D48" i="7"/>
  <c r="E50" i="8"/>
  <c r="D50" i="7"/>
  <c r="D52" i="10"/>
  <c r="D53" i="10" s="1"/>
  <c r="D38" i="9"/>
  <c r="E38" i="10"/>
  <c r="E52" i="10" s="1"/>
  <c r="E53" i="10" s="1"/>
  <c r="W29" i="48"/>
  <c r="AC29" i="48"/>
  <c r="Q30" i="48"/>
  <c r="E42" i="8"/>
  <c r="D42" i="7"/>
  <c r="E46" i="9"/>
  <c r="D46" i="8"/>
  <c r="S29" i="48"/>
  <c r="AE28" i="48"/>
  <c r="Y28" i="48"/>
  <c r="M7" i="12"/>
  <c r="M34" i="13"/>
  <c r="E39" i="7"/>
  <c r="D39" i="6"/>
  <c r="E41" i="9"/>
  <c r="D41" i="8"/>
  <c r="J41" i="13"/>
  <c r="J40" i="12"/>
  <c r="K57" i="13"/>
  <c r="K56" i="13"/>
  <c r="J51" i="13"/>
  <c r="J50" i="13"/>
  <c r="J49" i="12"/>
  <c r="BR26" i="2"/>
  <c r="F27" i="2"/>
  <c r="E40" i="9"/>
  <c r="D40" i="8"/>
  <c r="J39" i="6"/>
  <c r="J37" i="37"/>
  <c r="J45" i="12"/>
  <c r="J44" i="12"/>
  <c r="J43" i="11"/>
  <c r="BB28" i="48"/>
  <c r="BD27" i="48"/>
  <c r="M27" i="48"/>
  <c r="K26" i="48"/>
  <c r="J47" i="16"/>
  <c r="J48" i="16"/>
  <c r="J46" i="15"/>
  <c r="AI25" i="48"/>
  <c r="AK25" i="48"/>
  <c r="AG26" i="48"/>
  <c r="E39" i="6" l="1"/>
  <c r="D39" i="37"/>
  <c r="J51" i="12"/>
  <c r="J50" i="12"/>
  <c r="J49" i="11"/>
  <c r="D46" i="7"/>
  <c r="E46" i="8"/>
  <c r="E38" i="9"/>
  <c r="E52" i="9" s="1"/>
  <c r="E53" i="9" s="1"/>
  <c r="D52" i="9"/>
  <c r="D53" i="9" s="1"/>
  <c r="D38" i="8"/>
  <c r="E42" i="7"/>
  <c r="D42" i="6"/>
  <c r="E40" i="8"/>
  <c r="D40" i="7"/>
  <c r="M34" i="12"/>
  <c r="M7" i="11"/>
  <c r="AC30" i="48"/>
  <c r="Q31" i="48"/>
  <c r="W30" i="48"/>
  <c r="D48" i="6"/>
  <c r="E48" i="7"/>
  <c r="J39" i="37"/>
  <c r="J37" i="4"/>
  <c r="J41" i="12"/>
  <c r="J40" i="11"/>
  <c r="K57" i="12"/>
  <c r="K56" i="12"/>
  <c r="D50" i="6"/>
  <c r="E50" i="7"/>
  <c r="E44" i="7"/>
  <c r="D44" i="6"/>
  <c r="BR27" i="2"/>
  <c r="F28" i="2"/>
  <c r="J45" i="11"/>
  <c r="J44" i="11"/>
  <c r="J43" i="10"/>
  <c r="D41" i="7"/>
  <c r="E41" i="8"/>
  <c r="S30" i="48"/>
  <c r="Y29" i="48"/>
  <c r="AE29" i="48"/>
  <c r="BB29" i="48"/>
  <c r="BD28" i="48"/>
  <c r="M28" i="48"/>
  <c r="K27" i="48"/>
  <c r="J47" i="15"/>
  <c r="J48" i="15"/>
  <c r="J46" i="14"/>
  <c r="AK26" i="48"/>
  <c r="AI26" i="48"/>
  <c r="AG27" i="48"/>
  <c r="M7" i="10" l="1"/>
  <c r="M34" i="11"/>
  <c r="J39" i="4"/>
  <c r="J37" i="43"/>
  <c r="J39" i="43" s="1"/>
  <c r="E46" i="7"/>
  <c r="D46" i="6"/>
  <c r="D41" i="6"/>
  <c r="E41" i="7"/>
  <c r="J50" i="11"/>
  <c r="J49" i="10"/>
  <c r="J51" i="11"/>
  <c r="E50" i="6"/>
  <c r="D50" i="37"/>
  <c r="E48" i="6"/>
  <c r="D48" i="37"/>
  <c r="E42" i="6"/>
  <c r="D42" i="37"/>
  <c r="E44" i="6"/>
  <c r="D44" i="37"/>
  <c r="D40" i="6"/>
  <c r="E40" i="7"/>
  <c r="Q32" i="48"/>
  <c r="W31" i="48"/>
  <c r="AC31" i="48"/>
  <c r="D38" i="7"/>
  <c r="D52" i="8"/>
  <c r="D53" i="8" s="1"/>
  <c r="E38" i="8"/>
  <c r="E52" i="8" s="1"/>
  <c r="E53" i="8" s="1"/>
  <c r="E39" i="37"/>
  <c r="D39" i="4"/>
  <c r="AE30" i="48"/>
  <c r="Y30" i="48"/>
  <c r="S31" i="48"/>
  <c r="J44" i="10"/>
  <c r="J43" i="9"/>
  <c r="BR28" i="2"/>
  <c r="F29" i="2"/>
  <c r="J41" i="11"/>
  <c r="J40" i="10"/>
  <c r="K57" i="11"/>
  <c r="K56" i="11"/>
  <c r="BD29" i="48"/>
  <c r="BB30" i="48"/>
  <c r="M29" i="48"/>
  <c r="K28" i="48"/>
  <c r="J48" i="14"/>
  <c r="J47" i="14"/>
  <c r="J46" i="13"/>
  <c r="AK27" i="48"/>
  <c r="AI27" i="48"/>
  <c r="AG28" i="48"/>
  <c r="S32" i="48" l="1"/>
  <c r="Y31" i="48"/>
  <c r="AE31" i="48"/>
  <c r="E48" i="37"/>
  <c r="D48" i="4"/>
  <c r="E46" i="6"/>
  <c r="D46" i="37"/>
  <c r="BR29" i="2"/>
  <c r="F30" i="2"/>
  <c r="E39" i="4"/>
  <c r="D39" i="43"/>
  <c r="E39" i="43" s="1"/>
  <c r="E50" i="37"/>
  <c r="D50" i="4"/>
  <c r="E41" i="6"/>
  <c r="D41" i="37"/>
  <c r="D40" i="37"/>
  <c r="E40" i="6"/>
  <c r="Q33" i="48"/>
  <c r="AC32" i="48"/>
  <c r="W32" i="48"/>
  <c r="E44" i="37"/>
  <c r="D44" i="4"/>
  <c r="J41" i="10"/>
  <c r="J40" i="9"/>
  <c r="K57" i="10"/>
  <c r="K56" i="10"/>
  <c r="J45" i="10"/>
  <c r="J50" i="10"/>
  <c r="J51" i="10"/>
  <c r="J49" i="9"/>
  <c r="J44" i="9"/>
  <c r="J45" i="9"/>
  <c r="J43" i="8"/>
  <c r="D38" i="6"/>
  <c r="D52" i="7"/>
  <c r="D53" i="7" s="1"/>
  <c r="E38" i="7"/>
  <c r="E52" i="7" s="1"/>
  <c r="E53" i="7" s="1"/>
  <c r="D42" i="4"/>
  <c r="E42" i="37"/>
  <c r="M34" i="10"/>
  <c r="M7" i="9"/>
  <c r="BB31" i="48"/>
  <c r="BD30" i="48"/>
  <c r="M30" i="48"/>
  <c r="K29" i="48"/>
  <c r="J47" i="13"/>
  <c r="J48" i="13"/>
  <c r="J46" i="12"/>
  <c r="AK28" i="48"/>
  <c r="AI28" i="48"/>
  <c r="AG29" i="48"/>
  <c r="M34" i="9" l="1"/>
  <c r="M7" i="8"/>
  <c r="J41" i="9"/>
  <c r="J40" i="8"/>
  <c r="K57" i="9"/>
  <c r="K56" i="9"/>
  <c r="E40" i="37"/>
  <c r="D40" i="4"/>
  <c r="J50" i="9"/>
  <c r="J51" i="9"/>
  <c r="J49" i="8"/>
  <c r="E44" i="4"/>
  <c r="D44" i="43"/>
  <c r="E44" i="43" s="1"/>
  <c r="E41" i="37"/>
  <c r="D41" i="4"/>
  <c r="E50" i="4"/>
  <c r="D50" i="43"/>
  <c r="E50" i="43" s="1"/>
  <c r="E48" i="4"/>
  <c r="D48" i="43"/>
  <c r="E48" i="43" s="1"/>
  <c r="E46" i="37"/>
  <c r="D46" i="4"/>
  <c r="E42" i="4"/>
  <c r="D42" i="43"/>
  <c r="E42" i="43" s="1"/>
  <c r="D38" i="37"/>
  <c r="D52" i="6"/>
  <c r="D53" i="6" s="1"/>
  <c r="E38" i="6"/>
  <c r="E52" i="6" s="1"/>
  <c r="E53" i="6" s="1"/>
  <c r="W33" i="48"/>
  <c r="Q34" i="48"/>
  <c r="AC33" i="48"/>
  <c r="J45" i="8"/>
  <c r="J44" i="8"/>
  <c r="J43" i="7"/>
  <c r="BR30" i="2"/>
  <c r="F31" i="2"/>
  <c r="S33" i="48"/>
  <c r="Y32" i="48"/>
  <c r="AE32" i="48"/>
  <c r="BD31" i="48"/>
  <c r="BB32" i="48"/>
  <c r="M31" i="48"/>
  <c r="K30" i="48"/>
  <c r="AI29" i="48"/>
  <c r="AK29" i="48"/>
  <c r="AG30" i="48"/>
  <c r="J47" i="12"/>
  <c r="J48" i="12"/>
  <c r="J46" i="11"/>
  <c r="J44" i="7" l="1"/>
  <c r="J43" i="6"/>
  <c r="E38" i="37"/>
  <c r="E52" i="37" s="1"/>
  <c r="E53" i="37" s="1"/>
  <c r="D38" i="4"/>
  <c r="D52" i="37"/>
  <c r="D53" i="37" s="1"/>
  <c r="E40" i="4"/>
  <c r="D40" i="43"/>
  <c r="E40" i="43" s="1"/>
  <c r="E46" i="4"/>
  <c r="D46" i="43"/>
  <c r="E46" i="43" s="1"/>
  <c r="E41" i="4"/>
  <c r="D41" i="43"/>
  <c r="E41" i="43" s="1"/>
  <c r="AC34" i="48"/>
  <c r="W34" i="48"/>
  <c r="Q35" i="48"/>
  <c r="J41" i="8"/>
  <c r="J40" i="7"/>
  <c r="J45" i="7" s="1"/>
  <c r="K57" i="8"/>
  <c r="K56" i="8"/>
  <c r="Y33" i="48"/>
  <c r="S34" i="48"/>
  <c r="AE33" i="48"/>
  <c r="J51" i="8"/>
  <c r="J50" i="8"/>
  <c r="J49" i="7"/>
  <c r="BR31" i="2"/>
  <c r="F32" i="2"/>
  <c r="M34" i="8"/>
  <c r="M7" i="7"/>
  <c r="BB33" i="48"/>
  <c r="BD32" i="48"/>
  <c r="M32" i="48"/>
  <c r="K31" i="48"/>
  <c r="J47" i="11"/>
  <c r="J48" i="11"/>
  <c r="J46" i="10"/>
  <c r="AK30" i="48"/>
  <c r="AI30" i="48"/>
  <c r="AG31" i="48"/>
  <c r="M34" i="7" l="1"/>
  <c r="M7" i="6"/>
  <c r="S35" i="48"/>
  <c r="AE34" i="48"/>
  <c r="Y34" i="48"/>
  <c r="E38" i="4"/>
  <c r="E52" i="4" s="1"/>
  <c r="E53" i="4" s="1"/>
  <c r="D38" i="43"/>
  <c r="D52" i="4"/>
  <c r="D53" i="4" s="1"/>
  <c r="J44" i="6"/>
  <c r="J43" i="37"/>
  <c r="AC35" i="48"/>
  <c r="Q36" i="48"/>
  <c r="W35" i="48"/>
  <c r="BR32" i="2"/>
  <c r="F33" i="2"/>
  <c r="J51" i="7"/>
  <c r="J50" i="7"/>
  <c r="J49" i="6"/>
  <c r="J41" i="7"/>
  <c r="J40" i="6"/>
  <c r="K57" i="7"/>
  <c r="K56" i="7"/>
  <c r="BD33" i="48"/>
  <c r="BB34" i="48"/>
  <c r="K32" i="48"/>
  <c r="M33" i="48"/>
  <c r="AK31" i="48"/>
  <c r="AI31" i="48"/>
  <c r="AG32" i="48"/>
  <c r="J47" i="10"/>
  <c r="J48" i="10"/>
  <c r="J46" i="9"/>
  <c r="E38" i="43" l="1"/>
  <c r="E52" i="43" s="1"/>
  <c r="E53" i="43" s="1"/>
  <c r="D52" i="43"/>
  <c r="D53" i="43" s="1"/>
  <c r="J41" i="6"/>
  <c r="J40" i="37"/>
  <c r="K57" i="6"/>
  <c r="K56" i="6"/>
  <c r="W36" i="48"/>
  <c r="AC36" i="48"/>
  <c r="Q37" i="48"/>
  <c r="J50" i="6"/>
  <c r="J51" i="6"/>
  <c r="J49" i="37"/>
  <c r="J44" i="37"/>
  <c r="J45" i="37"/>
  <c r="J43" i="4"/>
  <c r="AE35" i="48"/>
  <c r="Y35" i="48"/>
  <c r="S36" i="48"/>
  <c r="J45" i="6"/>
  <c r="M34" i="6"/>
  <c r="M7" i="37"/>
  <c r="BR33" i="2"/>
  <c r="F34" i="2"/>
  <c r="BB35" i="48"/>
  <c r="BD34" i="48"/>
  <c r="M34" i="48"/>
  <c r="K33" i="48"/>
  <c r="AK32" i="48"/>
  <c r="AI32" i="48"/>
  <c r="AG33" i="48"/>
  <c r="J47" i="9"/>
  <c r="J48" i="9"/>
  <c r="J46" i="8"/>
  <c r="BR34" i="2" l="1"/>
  <c r="F35" i="2"/>
  <c r="J50" i="37"/>
  <c r="J51" i="37"/>
  <c r="J49" i="4"/>
  <c r="J41" i="37"/>
  <c r="J40" i="4"/>
  <c r="K57" i="37"/>
  <c r="K56" i="37"/>
  <c r="J44" i="4"/>
  <c r="J43" i="43"/>
  <c r="M34" i="37"/>
  <c r="M37" i="37" s="1"/>
  <c r="M7" i="4"/>
  <c r="Y36" i="48"/>
  <c r="AE36" i="48"/>
  <c r="S37" i="48"/>
  <c r="Q38" i="48"/>
  <c r="W37" i="48"/>
  <c r="AC37" i="48"/>
  <c r="BB36" i="48"/>
  <c r="BD35" i="48"/>
  <c r="M35" i="48"/>
  <c r="K34" i="48"/>
  <c r="J47" i="8"/>
  <c r="J48" i="8"/>
  <c r="J46" i="7"/>
  <c r="AI33" i="48"/>
  <c r="AK33" i="48"/>
  <c r="AG34" i="48"/>
  <c r="M7" i="43" l="1"/>
  <c r="M34" i="43" s="1"/>
  <c r="M34" i="4"/>
  <c r="J50" i="4"/>
  <c r="J49" i="43"/>
  <c r="J51" i="4"/>
  <c r="J41" i="4"/>
  <c r="J40" i="43"/>
  <c r="J45" i="43" s="1"/>
  <c r="K57" i="4"/>
  <c r="K56" i="4"/>
  <c r="J45" i="4"/>
  <c r="J44" i="43"/>
  <c r="Q39" i="48"/>
  <c r="AC38" i="48"/>
  <c r="W38" i="48"/>
  <c r="BR35" i="2"/>
  <c r="F36" i="2"/>
  <c r="AE37" i="48"/>
  <c r="S38" i="48"/>
  <c r="Y37" i="48"/>
  <c r="BD36" i="48"/>
  <c r="BB37" i="48"/>
  <c r="M36" i="48"/>
  <c r="K35" i="48"/>
  <c r="J48" i="7"/>
  <c r="J47" i="7"/>
  <c r="J46" i="6"/>
  <c r="AK34" i="48"/>
  <c r="AI34" i="48"/>
  <c r="AG35" i="48"/>
  <c r="W39" i="48" l="1"/>
  <c r="AC39" i="48"/>
  <c r="J50" i="43"/>
  <c r="J51" i="43"/>
  <c r="S39" i="48"/>
  <c r="AE38" i="48"/>
  <c r="Y38" i="48"/>
  <c r="J41" i="43"/>
  <c r="K57" i="43"/>
  <c r="K56" i="43"/>
  <c r="BR36" i="2"/>
  <c r="F37" i="2"/>
  <c r="BB38" i="48"/>
  <c r="BD37" i="48"/>
  <c r="M37" i="48"/>
  <c r="K36" i="48"/>
  <c r="J47" i="6"/>
  <c r="J48" i="6"/>
  <c r="J46" i="37"/>
  <c r="AK35" i="48"/>
  <c r="AI35" i="48"/>
  <c r="AG36" i="48"/>
  <c r="BR37" i="2" l="1"/>
  <c r="F38" i="2"/>
  <c r="Y39" i="48"/>
  <c r="AE39" i="48"/>
  <c r="BB39" i="48"/>
  <c r="BD39" i="48" s="1"/>
  <c r="BD38" i="48"/>
  <c r="M38" i="48"/>
  <c r="K37" i="48"/>
  <c r="J48" i="37"/>
  <c r="J47" i="37"/>
  <c r="J46" i="4"/>
  <c r="AK36" i="48"/>
  <c r="AI36" i="48"/>
  <c r="AG37" i="48"/>
  <c r="BR38" i="2" l="1"/>
  <c r="F39" i="2"/>
  <c r="M39" i="48"/>
  <c r="K39" i="48" s="1"/>
  <c r="K38" i="48"/>
  <c r="AI37" i="48"/>
  <c r="AK37" i="48"/>
  <c r="AG38" i="48"/>
  <c r="J47" i="4"/>
  <c r="J48" i="4"/>
  <c r="J46" i="43"/>
  <c r="BR39" i="2" l="1"/>
  <c r="F40" i="2"/>
  <c r="BR40" i="2" s="1"/>
  <c r="AK38" i="48"/>
  <c r="AI38" i="48"/>
  <c r="AG39" i="48"/>
  <c r="J47" i="43"/>
  <c r="J48" i="43"/>
  <c r="AK39" i="48" l="1"/>
  <c r="AI39" i="48"/>
</calcChain>
</file>

<file path=xl/comments1.xml><?xml version="1.0" encoding="utf-8"?>
<comments xmlns="http://schemas.openxmlformats.org/spreadsheetml/2006/main">
  <authors>
    <author>win10</author>
  </authors>
  <commentList>
    <comment ref="H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2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3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0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1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4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8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32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3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G84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86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90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94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95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98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99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02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0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07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10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14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  <comment ref="G118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H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2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3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1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0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1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4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28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32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H36" authorId="0">
      <text>
        <r>
          <rPr>
            <b/>
            <sz val="9"/>
            <color indexed="81"/>
            <rFont val="Tahoma"/>
            <charset val="1"/>
          </rPr>
          <t>win10:</t>
        </r>
        <r>
          <rPr>
            <sz val="9"/>
            <color indexed="81"/>
            <rFont val="Tahoma"/>
            <charset val="1"/>
          </rPr>
          <t xml:space="preserve">
Spek Khusus
</t>
        </r>
      </text>
    </comment>
    <comment ref="G84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86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90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  <comment ref="G94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
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<sst xmlns="http://schemas.openxmlformats.org/spreadsheetml/2006/main" count="5972" uniqueCount="716">
  <si>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</si>
  <si>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</si>
  <si>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</si>
  <si>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</si>
  <si>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</si>
  <si>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</si>
  <si>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</si>
  <si>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</si>
  <si>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</si>
  <si>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</si>
  <si>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</si>
  <si>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</si>
  <si>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</si>
  <si>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</si>
  <si>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</si>
  <si>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</si>
  <si>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</si>
  <si>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</si>
  <si>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</si>
  <si>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</si>
  <si>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</si>
  <si>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</si>
  <si>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</si>
  <si>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</si>
  <si>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</si>
  <si>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</si>
  <si>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</si>
  <si>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</si>
  <si>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</si>
  <si>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</si>
  <si>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</si>
  <si>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</si>
  <si>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</si>
  <si>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</si>
  <si>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</si>
  <si>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</si>
  <si>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</si>
  <si>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</si>
  <si>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</si>
  <si>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</si>
  <si>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</si>
  <si>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</si>
  <si>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</si>
  <si>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</si>
  <si>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</si>
  <si>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</si>
  <si>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</si>
  <si>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</si>
  <si>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</si>
  <si>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</si>
  <si>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</si>
  <si>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</si>
  <si>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</si>
  <si>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</si>
  <si>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</si>
  <si>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</si>
  <si>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</si>
  <si>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</si>
  <si>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</si>
  <si>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</si>
  <si>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</si>
  <si>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</si>
  <si>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</si>
  <si>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</si>
  <si>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</si>
  <si>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</si>
  <si>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</si>
  <si>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</si>
  <si>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</si>
  <si>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</si>
  <si>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</si>
  <si>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</si>
  <si>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</si>
  <si>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</si>
  <si>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</si>
  <si>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</si>
  <si>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</si>
  <si>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</si>
  <si>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</si>
  <si>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</si>
  <si>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</si>
  <si>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</si>
  <si>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</si>
  <si>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</si>
  <si>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</si>
  <si>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</si>
  <si>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</si>
  <si>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</si>
  <si>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</si>
  <si>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</si>
  <si>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</si>
  <si>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</si>
  <si>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</si>
  <si>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</si>
  <si>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</si>
  <si>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</si>
  <si>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</si>
  <si>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</si>
  <si>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</si>
  <si>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</si>
  <si>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</si>
  <si>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</si>
  <si>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</si>
  <si>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</si>
  <si>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</si>
  <si>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</si>
  <si>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</si>
  <si>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</si>
  <si>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</si>
  <si>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</si>
  <si>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</si>
  <si>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</si>
  <si>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</si>
  <si>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</si>
  <si>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</si>
  <si>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</si>
  <si>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</si>
  <si>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</si>
  <si>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</si>
  <si>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</si>
  <si>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</si>
  <si>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</si>
  <si>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</si>
  <si>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</si>
  <si>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</si>
  <si>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</si>
  <si>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</si>
  <si>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</si>
  <si>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</si>
  <si>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</si>
  <si>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</si>
  <si>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</si>
  <si>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</si>
  <si>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</si>
  <si>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</si>
  <si>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</si>
  <si>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</si>
  <si>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</si>
  <si>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</si>
  <si>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</si>
  <si>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</si>
  <si>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</si>
  <si>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</si>
  <si>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</si>
  <si>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</si>
  <si>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</si>
  <si>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NBKP BOTNIA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</si>
  <si>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</si>
  <si>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</si>
  <si>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</si>
  <si>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</si>
  <si>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</si>
  <si>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</si>
  <si>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</si>
  <si>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</si>
  <si>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</si>
  <si>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</si>
  <si>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</si>
  <si>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</si>
  <si>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</si>
  <si>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</si>
  <si>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</si>
  <si>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</si>
  <si>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</si>
  <si>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</si>
  <si>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</si>
  <si>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</si>
  <si>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</si>
  <si>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</si>
  <si>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</si>
  <si>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</si>
  <si>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</si>
  <si>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</si>
  <si>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</si>
  <si>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</si>
  <si>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</si>
  <si>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</si>
  <si>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</si>
  <si>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</si>
  <si>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</si>
  <si>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</si>
  <si>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</si>
  <si>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</si>
  <si>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</si>
  <si>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</si>
  <si>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</si>
  <si>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</si>
  <si>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</si>
  <si>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</si>
  <si>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</si>
  <si>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</si>
  <si>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</si>
  <si>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</si>
  <si>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</si>
  <si>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</si>
  <si>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</si>
  <si>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</si>
  <si>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</si>
  <si>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</si>
  <si>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</si>
  <si>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</si>
  <si>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</si>
  <si>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</si>
  <si>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</si>
  <si>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</si>
  <si>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</si>
  <si>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</si>
  <si>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</si>
  <si>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</si>
  <si>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</si>
  <si>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</si>
  <si>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</si>
  <si>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</si>
  <si>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</si>
  <si>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</si>
  <si>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</si>
  <si>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</si>
  <si>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</si>
  <si>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</si>
  <si>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</si>
  <si>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</si>
  <si>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</si>
  <si>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</si>
  <si>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</si>
  <si>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</si>
  <si>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</si>
  <si>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</si>
  <si>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</si>
  <si>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</si>
  <si>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</si>
  <si>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</si>
  <si>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</si>
  <si>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</si>
  <si>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</si>
  <si>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</si>
  <si>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</si>
  <si>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</si>
  <si>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</si>
  <si>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</si>
  <si>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</si>
  <si>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</si>
  <si>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</si>
  <si>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</si>
  <si>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</si>
  <si>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</si>
  <si>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</si>
  <si>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</si>
  <si>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</si>
  <si>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</si>
  <si>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</si>
  <si>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</si>
  <si>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</si>
  <si>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</si>
  <si>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</si>
  <si>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</si>
  <si>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</si>
  <si>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</si>
  <si>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</si>
  <si>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</si>
  <si>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</si>
  <si>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</si>
  <si>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</si>
  <si>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</si>
  <si>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</si>
  <si>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</si>
  <si>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</si>
  <si>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</si>
  <si>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</si>
  <si>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</si>
  <si>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</si>
  <si>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</si>
  <si>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</si>
  <si>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</si>
  <si>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</si>
  <si>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</si>
  <si>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</si>
  <si>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</si>
  <si>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</si>
  <si>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</si>
  <si>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</si>
  <si>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</si>
  <si>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</si>
  <si>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</si>
  <si>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</si>
  <si>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- Change Blade (0x)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</si>
  <si>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</si>
  <si>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</si>
  <si>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</si>
  <si>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</si>
  <si>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</si>
  <si>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</si>
  <si>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</si>
  <si>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</si>
  <si>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</si>
  <si>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</si>
  <si>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</si>
  <si>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</si>
  <si>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</si>
  <si>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</si>
  <si>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</si>
  <si>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</si>
  <si>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</si>
  <si>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</si>
  <si>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</si>
  <si>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</si>
  <si>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</si>
  <si>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</si>
  <si>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</si>
  <si>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</si>
  <si>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</si>
  <si>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</si>
  <si>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</si>
  <si>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</si>
  <si>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</si>
  <si>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</si>
  <si>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</si>
  <si>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</si>
  <si>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</si>
  <si>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</si>
  <si>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</si>
  <si>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</si>
  <si>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</si>
  <si>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</si>
  <si>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</si>
  <si>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</si>
  <si>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</si>
  <si>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</si>
  <si>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</si>
  <si>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</si>
  <si>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</si>
  <si>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</si>
  <si>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</si>
  <si>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</si>
  <si>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</si>
  <si>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</si>
  <si>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</si>
  <si>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</si>
  <si>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</si>
  <si>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</si>
  <si>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</si>
  <si>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</si>
  <si>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</si>
  <si>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</si>
  <si>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</si>
  <si>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</si>
  <si>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</si>
  <si>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</si>
  <si>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</si>
  <si>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</si>
  <si>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</si>
  <si>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</si>
  <si>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</si>
  <si>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</si>
  <si>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</si>
  <si>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</si>
  <si>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</si>
  <si>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</si>
  <si>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</si>
  <si>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</si>
  <si>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</si>
  <si>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</si>
  <si>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</si>
  <si>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</si>
  <si>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</si>
  <si>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</si>
  <si>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</si>
  <si>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</si>
  <si>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</si>
  <si>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</si>
  <si>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</si>
  <si>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</si>
  <si>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</si>
  <si>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</si>
  <si>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</si>
  <si>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</si>
  <si>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</si>
  <si>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</si>
  <si>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</si>
  <si>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</si>
  <si>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</si>
  <si>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</si>
  <si>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</si>
  <si>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</si>
  <si>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</si>
  <si>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</si>
  <si>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- Change Spool (10x)</t>
  </si>
  <si>
    <t>- Change Blade (5x)</t>
  </si>
  <si>
    <t>Ariko P</t>
  </si>
  <si>
    <t>Hadi F</t>
  </si>
  <si>
    <t>Erwin R</t>
  </si>
  <si>
    <t>SUZANO</t>
  </si>
  <si>
    <t>SS</t>
  </si>
  <si>
    <t>PHP PM</t>
  </si>
  <si>
    <t xml:space="preserve">PM14 Efficiency Running Report </t>
  </si>
  <si>
    <t>Steam, &amp; gangguan sinergy (X)</t>
  </si>
  <si>
    <t>Freq, Trip PLN (X)</t>
  </si>
  <si>
    <t>Cleaning Holes (X)</t>
  </si>
  <si>
    <t>Per hari</t>
  </si>
  <si>
    <t>.12.25</t>
  </si>
  <si>
    <t>- awal shift pm onreel speed 1050 mpm
- speed up bertahap, speed akhir 1100 mpm</t>
  </si>
  <si>
    <t>Awal shift PM stop perbaikan pilow gauge roll felt 
- cleaning area pm 
- drain couch pit 
- basahi felt 1jam sekali 
- 20.45 mekanik selesai perbaikan pilow gauge felt 
- 21.00 persiapan jalan 
- 21.36 pm trip gagal on rell ( compresor hunting ) 
- 22.00 pm persiapan Jalan ( nunggu hood masih belum menyala)
- 22.37 hood sudah menyala ( pm persiapan jalan 
- 23.00 pm onreel</t>
  </si>
  <si>
    <t>13:35 pm stop tim ME&amp;EID perbaikan pillow guaide roll felt bocor</t>
  </si>
  <si>
    <t xml:space="preserve">- Awal Shift PM Produksi  F 14
Speed 1230 mpm </t>
  </si>
  <si>
    <t>F 14</t>
  </si>
  <si>
    <t>STOP</t>
  </si>
  <si>
    <t>1264,46/973,63</t>
  </si>
  <si>
    <t>- Change Spool (9x)</t>
  </si>
  <si>
    <t>- Change Blade (4x)</t>
  </si>
  <si>
    <t>- Change Spool (0x)</t>
  </si>
  <si>
    <t>F 14 VP OW</t>
  </si>
  <si>
    <t>14</t>
  </si>
  <si>
    <t>- 13:35 pm stop tim ME&amp;EID perbaikan pillow guaide roll felt bocor</t>
  </si>
  <si>
    <t>- Change Blade (9x)</t>
  </si>
  <si>
    <t>- Change Spool (19x)</t>
  </si>
  <si>
    <t xml:space="preserve">- 21.36 pm trip gagal on rell ( compresor hunting ) </t>
  </si>
  <si>
    <t>120+140</t>
  </si>
  <si>
    <t>EBKP SUZANO</t>
  </si>
  <si>
    <t>EBKP CAKRAWALA/GHN</t>
  </si>
  <si>
    <t>Detac DC779F</t>
  </si>
  <si>
    <t>7:15 pm coba naik speed 50mpm
8:35 jumbo turun kertas handfeel kurang, pm turun speed 30mpm
11:30 change grade F15, pm turun speed 40mpm</t>
  </si>
  <si>
    <t>F 15</t>
  </si>
  <si>
    <t>1100/847</t>
  </si>
  <si>
    <t>1111,67/855,98</t>
  </si>
  <si>
    <t>- Sheet Breaks (3x)</t>
  </si>
  <si>
    <t>- Change Blade (8x)</t>
  </si>
  <si>
    <t>- Sheet Breaks (2x)</t>
  </si>
  <si>
    <t>14/15</t>
  </si>
  <si>
    <t>- Sheet Breaks (5x)</t>
  </si>
  <si>
    <t>- Change Spool (28x)</t>
  </si>
  <si>
    <t>128*2</t>
  </si>
  <si>
    <t>F 15 VP OW</t>
  </si>
  <si>
    <t>Awal shift kertas ada gripis Ds, pm turun speed 10mpm, kertas oke
Pompa feed water sering trip cek Eid
8:50 pompa feed water oke
10:00 flow fresh water error, cek Eid
11:05 flow fresh water oke</t>
  </si>
  <si>
    <t>1090/839,3</t>
  </si>
  <si>
    <t>15</t>
  </si>
  <si>
    <t>- Change Spool (8x)</t>
  </si>
  <si>
    <t>- Change Blade (10x)</t>
  </si>
  <si>
    <t>- Sheet Breaks (9x)</t>
  </si>
  <si>
    <t>- Change Spool (26x)</t>
  </si>
  <si>
    <t>Agus K</t>
  </si>
  <si>
    <t>23:28 jumbo roll turun , jumbo terkontaminasi OBA
- drain dan ganti air ww dan cw tank
- Drain kick krofta
- buburan utm dan broke dump transfer ke broke dump pm 15
- machine chest dan dump chest levelnya di buat minim dan di ganti buburan baru
01:20 jumbo roll turun sudan acc , OBA sudah minim
04:14 jumbo roll turun ada pinhole bagian center speed turun 1100mpm
05:28 jumbo roll turun pinhole mulai mengecil</t>
  </si>
  <si>
    <t>15/14</t>
  </si>
  <si>
    <t>1100,21/847,16</t>
  </si>
  <si>
    <t>- Sheet Breaks (6x)</t>
  </si>
  <si>
    <t>- Change Spool (27x)</t>
  </si>
  <si>
    <t>10:20 oscilasi hpp felt di lapangan off, di dcs on. Cek eid
10:30 oscilasi oke
13.15 rew mulai gulung F 14 favour</t>
  </si>
  <si>
    <t>126+130</t>
  </si>
  <si>
    <t>SOFTENER PURIFEC</t>
  </si>
  <si>
    <t>15.05 kertas garis (hole) + lembab sebelah ts. Cek hpp seting temperatur hood
15.33  pm turun speed 1030 mpm  
15.40 jumbo turun kertas sudah ok 
16.00 pm naik speed bertahap sampai 1050mpm</t>
  </si>
  <si>
    <t>awal shift rew A stop rantai coupling hidrolic putus ( info MEID )
08:20 rew jalan 
08:37 purifec habis ganti amisoft 
14:13 rew A stop rantai coupling hidrolic putus lagi</t>
  </si>
  <si>
    <t>05:24 Crane 8ton ada suara kasar bagian Ds, cek MED bearing roda rusak, sementara pakai crane 15ton</t>
  </si>
  <si>
    <t>03:38 Speed up 1070mpm</t>
  </si>
  <si>
    <t>1071,03/824,69</t>
  </si>
  <si>
    <t>- Awal Shift PM Produksi  T12
Speed aktual 1150mpm/-18%</t>
  </si>
  <si>
    <t>01:32 Change grade T13
           Speed 1150mpm/-24%</t>
  </si>
  <si>
    <t>- Awal Shift PM Produksi T12
Speed :1150mpm/-18%
Deckle : 2.57cm</t>
  </si>
  <si>
    <t>masalah: 
09:48 tambor turun hole blade bagian center 
- seset sampai hole blade hilang 
09:50 change gride T12,speed up 1140 /20%
10:10 muncul marking bagian DS ( blade jelek ) 
- ganti blade no 2</t>
  </si>
  <si>
    <t>T 12</t>
  </si>
  <si>
    <t>T 13</t>
  </si>
  <si>
    <t>1150/895,85</t>
  </si>
  <si>
    <t>1150/943</t>
  </si>
  <si>
    <t>1156,53/920,57</t>
  </si>
  <si>
    <t>- Change Spool (7x)</t>
  </si>
  <si>
    <t>Facial/Toilet</t>
  </si>
  <si>
    <t>14/12/13</t>
  </si>
  <si>
    <t>Toilet</t>
  </si>
  <si>
    <t>EBKP GUAIBA</t>
  </si>
  <si>
    <t>133*2</t>
  </si>
  <si>
    <t>257*1</t>
  </si>
  <si>
    <t>129*2</t>
  </si>
  <si>
    <t>T 12 VP OW</t>
  </si>
  <si>
    <t>T 13 VP OW</t>
  </si>
  <si>
    <t>SODIUM HYPOCHLORID</t>
  </si>
  <si>
    <t>- Awal Shift PM Produksi T13
Speed 1100mpm/-23% 
Deckle 2,58cm</t>
  </si>
  <si>
    <t xml:space="preserve">Counter length sering error, kertas putus counter length tetap baca. Cek eid </t>
  </si>
  <si>
    <t>- Awal Shift PM Produksi   T13
Speed :1100mpm/-24%</t>
  </si>
  <si>
    <t>18.30 steam drop sampai 13bar. speed pm turun 1050 mpm
18.50 speed pm naik bertahap (menyesuaikan )</t>
  </si>
  <si>
    <t>- Awal Shift PM Produksi T 13
Speed 1120 /-24%</t>
  </si>
  <si>
    <t>12:54 jr turun marking bagian tengah
- ganti blade no 2 masih marking bagian TS + Center 
- seting temperatur hud 
12:59 kertas masih marking 
- tambah dosis release + presure coating release di buat 3 bar 
- speed turun 1100
- hpp felt turun jadi 5 bar 
13:10 kertas aman marking hilang 
- pm mulai lancar</t>
  </si>
  <si>
    <t>1100/836</t>
  </si>
  <si>
    <t>1137,4/855,32</t>
  </si>
  <si>
    <t>1112,47/846,11</t>
  </si>
  <si>
    <t>- Change Blade (3x)</t>
  </si>
  <si>
    <t>13</t>
  </si>
  <si>
    <t>- Change Spool (22x)</t>
  </si>
  <si>
    <t xml:space="preserve">Compressor hunting </t>
  </si>
  <si>
    <t>Perbaikan pillow guide</t>
  </si>
  <si>
    <t xml:space="preserve">- Awal Shift PM Produksi  T13
Speed 1100mpm/-24% </t>
  </si>
  <si>
    <t>- Awal Shift PM Produksi T13
Speed :1110mpm/-24%</t>
  </si>
  <si>
    <t>1110/843,6</t>
  </si>
  <si>
    <t>1103,33/845,87</t>
  </si>
  <si>
    <t>Awal shift jumbo turun tickness minim, unload rifainer , jumbo berikutnya tickness mulai naik
6,05 change grade T15 speed 1020/-24%</t>
  </si>
  <si>
    <t>- Awal Shift PM Produksi T13
Speed aktual 1111mpm/-24%</t>
  </si>
  <si>
    <t>- Awal Shift PM Produksi  T 13
Speed 1100 /24%</t>
  </si>
  <si>
    <t>T 15</t>
  </si>
  <si>
    <t>1111/844,36</t>
  </si>
  <si>
    <t>1090,83/829,033</t>
  </si>
  <si>
    <t>13/15</t>
  </si>
  <si>
    <t>1100,61/836,46</t>
  </si>
  <si>
    <t>- Change Spool (24x)</t>
  </si>
  <si>
    <t xml:space="preserve">- Awal Shift PM Produksi  T12 hb
Speed 1210mpm/-24% </t>
  </si>
  <si>
    <t xml:space="preserve">- Awal Shift PM Produksi  T15
Speed 1000mpm/-24.5% </t>
  </si>
  <si>
    <t>20:50 change grade T12 speed 1200/-24%
21.05 Jr turun thickness minim
21.15 speed turun 1160 mpm</t>
  </si>
  <si>
    <t>- Awal Shift PM Produksi T15
Speed aktual 1000mpm/-24%</t>
  </si>
  <si>
    <t>1210/919,6</t>
  </si>
  <si>
    <t>1045,42/790,87</t>
  </si>
  <si>
    <t>1000/760</t>
  </si>
  <si>
    <t>1085,14/823,49</t>
  </si>
  <si>
    <t>15/12</t>
  </si>
  <si>
    <t>126*2+16</t>
  </si>
  <si>
    <t>130*2</t>
  </si>
  <si>
    <t>T 15 VP OW</t>
  </si>
  <si>
    <t>Marking</t>
  </si>
  <si>
    <t>- Awal Shift PM Produksi  F12
Speed 1230mpm/-24% 
Actuall speed 1190mpm</t>
  </si>
  <si>
    <t xml:space="preserve">4:56 pm coba turun speed 30, supaya thickness naik dan blade bisa bertahan lebih lama.
Akhir shift speed 1160 mpm </t>
  </si>
  <si>
    <t>- Awal Shift PM Produksi  F12
Speed aktual 1210mpm/-27,5%
Speed target 1230mpm/-24%
Lost Speed 20mpm(1,6%)</t>
  </si>
  <si>
    <t xml:space="preserve">Nb : - turun speed sampai 1180mpm(kertas lembab)
       - MED ganti selang Hpp wire yang sobek </t>
  </si>
  <si>
    <t>- Awal Shift PM Produksi  F12
Speed :1230mpm/-24% 
Speed actual: 1210/-27%</t>
  </si>
  <si>
    <t>08.56 jumbo turun mdt rendah 
11.07 ganti Blade jumbo thicknes rendah 
12.13 jumbo turun masih thicknes rendah</t>
  </si>
  <si>
    <t xml:space="preserve">- Awal Shift PM Produksi  F12
Speed 1230mpm/-24% </t>
  </si>
  <si>
    <t>- Awal Shift PM Produksi  F12
Speed aktual 1220mpm/-25%
Speed target 1230mpm/-24%
Lost Speed 10mpm(0,8%)</t>
  </si>
  <si>
    <t>- 09.35 ganti grade Facial 12</t>
  </si>
  <si>
    <t>- Awal Shift PM Produksi  T12
Speed :1210mpm/-24%</t>
  </si>
  <si>
    <t>F 12</t>
  </si>
  <si>
    <r>
      <t xml:space="preserve">Awal shift jumbo on reel muncul hole bangian 13 cm dr ds dan center 
Ganti blade hole hilang 
</t>
    </r>
    <r>
      <rPr>
        <b/>
        <sz val="10"/>
        <color rgb="FFFF0000"/>
        <rFont val="Arial"/>
        <family val="2"/>
      </rPr>
      <t>0:10 coba naik speed 20 mpm. Kertas lembab bagian fs
Turun speed lagi 20 mpm</t>
    </r>
    <r>
      <rPr>
        <b/>
        <sz val="10"/>
        <color indexed="8"/>
        <rFont val="Arial"/>
        <family val="2"/>
      </rPr>
      <t xml:space="preserve">
0:40 kertas muncul hole blade bagi fs dan ds, ganti blade 
0:52 kertas muncul hole bagian  Ds
</t>
    </r>
    <r>
      <rPr>
        <b/>
        <sz val="10"/>
        <color rgb="FFFF0000"/>
        <rFont val="Arial"/>
        <family val="2"/>
      </rPr>
      <t>1:01 kertas Brosot bagian fs, ganti blade kertas langsung brosot
Pm turun speed 40mpm</t>
    </r>
    <r>
      <rPr>
        <b/>
        <sz val="10"/>
        <color indexed="8"/>
        <rFont val="Arial"/>
        <family val="2"/>
      </rPr>
      <t xml:space="preserve">
1:50 kertas brosot bagian fs dan ds, siram wire dengan soda dan naikan hpp felt jadi 15bar
</t>
    </r>
    <r>
      <rPr>
        <b/>
        <sz val="10"/>
        <color rgb="FFFF0000"/>
        <rFont val="Arial"/>
        <family val="2"/>
      </rPr>
      <t>2:01 pm turun speed 60mpm</t>
    </r>
    <r>
      <rPr>
        <b/>
        <sz val="10"/>
        <color indexed="8"/>
        <rFont val="Arial"/>
        <family val="2"/>
      </rPr>
      <t xml:space="preserve">
2:15 kertas mulai membaik
</t>
    </r>
    <r>
      <rPr>
        <b/>
        <sz val="10"/>
        <color rgb="FFFF0000"/>
        <rFont val="Arial"/>
        <family val="2"/>
      </rPr>
      <t>2:27 pm naik speed 50mpm</t>
    </r>
    <r>
      <rPr>
        <b/>
        <sz val="10"/>
        <color indexed="8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3:45 pm naik speed 20mpm</t>
    </r>
    <r>
      <rPr>
        <b/>
        <sz val="10"/>
        <color indexed="8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4:30 kertas brosot lagi bagian Ds. Pm turun speed 10mpm</t>
    </r>
    <r>
      <rPr>
        <b/>
        <sz val="10"/>
        <color indexed="8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5:14 coba pakai blade s
Alloy blade kertas oke 
Pm naik speed perlahan, akhir shift pm speed 1210mpm</t>
    </r>
  </si>
  <si>
    <t>1187,/902,8</t>
  </si>
  <si>
    <t>1220/915</t>
  </si>
  <si>
    <t>1205,97/912,47</t>
  </si>
  <si>
    <t>- Sheet Breaks (10x)</t>
  </si>
  <si>
    <t>1182,25/898,51</t>
  </si>
  <si>
    <t>1195/866,38</t>
  </si>
  <si>
    <t>1210/883,3</t>
  </si>
  <si>
    <t>1195,75/882,73</t>
  </si>
  <si>
    <t>- Change Blade (1x)</t>
  </si>
  <si>
    <t>Toilet/Facial</t>
  </si>
  <si>
    <t>12/12</t>
  </si>
  <si>
    <t>12</t>
  </si>
  <si>
    <t>- Sheet Breaks (16x)</t>
  </si>
  <si>
    <t>F 12 VP OW</t>
  </si>
  <si>
    <t>180+77,5</t>
  </si>
  <si>
    <t>- Awal Shift PM Produksi F 13
Speed target 1230/24%
Speed aktual 1120/24%
Actuall speed 1190mpm</t>
  </si>
  <si>
    <t>awal shift kertas marking tipis 
- cek sower hpp banyak yang pecah 
- stop hpp felt ganti nozzel ( ganti semua )
00:34 pasang sower hpp yang selsai ganti nozzel 
00:37 marking mulai hilang 
01:18 jumbo turun marking hilang 
pm mulai lancar</t>
  </si>
  <si>
    <t>- Awal Shift PM Produksi  F12
Speed aktual 1170mpm/-25%
Speed target 1230mpm/-24%
Lost Speed 60mpm(4,8%)</t>
  </si>
  <si>
    <t>16:20 Change grade F13
           Speed 1150mpm/-24%
          Lost speed 80mpm(6,5%)
17:38 Speed down 1140mpm, kertas lembab bagian Ts</t>
  </si>
  <si>
    <t>- Awal Shift PM Produksi   F12
Speed :1230mpm/-24% 
Speed actual: 1160/-26%</t>
  </si>
  <si>
    <t>F 13</t>
  </si>
  <si>
    <t>1160/858,4</t>
  </si>
  <si>
    <t>1146,63/869,485</t>
  </si>
  <si>
    <t>1190/904,4</t>
  </si>
  <si>
    <t>1165,54/877,43</t>
  </si>
  <si>
    <t>- Change Blade (6x)</t>
  </si>
  <si>
    <t>12/13</t>
  </si>
  <si>
    <t>- Change Blade (12x)</t>
  </si>
  <si>
    <t>F 13 VP OW</t>
  </si>
  <si>
    <t>- Awal Shift PM Produksi F 12
Speed 1230 /24%
Speed aktual 1190/24%</t>
  </si>
  <si>
    <t>- Awal Shift PM Produksi F12*hb
Speed aktual 1200mpm/-25%
Speed target 1230mpm/-24%
Lost Speed 30mpm(2,4%)</t>
  </si>
  <si>
    <t>17:43 pm trip , komunikasi profibus error , cek EID ( hood, sealing water off, press kompresor hunting)
- ganti socket profibus
19:02 Profibus oke , pm masih belum bisa start up , burner belum on , cek EID
19:27 Burner oke , pm start up
19:39 onreel
20:29 jumbo roll turun ada dirt , 
- drain kick krofta
- Habiskan buburan lama ganti buburan baru
21:04 Speed up 1180mpm
21:32 jumbo roll turun dirt hilang</t>
  </si>
  <si>
    <t>- Change grade F12 jam 14.15</t>
  </si>
  <si>
    <t>- Awal Shift PM Produksi F13
Speed :1230mpm/-24% 
Speed actual: 1120/-24%</t>
  </si>
  <si>
    <t>188,96/891,72</t>
  </si>
  <si>
    <t>1120/851,2</t>
  </si>
  <si>
    <t>1164,34/881,63</t>
  </si>
  <si>
    <t>13/12</t>
  </si>
  <si>
    <t>- 17:43 pm trip , komunikasi profibus error , cek EID ( hood, sealing water off, press kompresor hunting)</t>
  </si>
  <si>
    <t>129,5*2</t>
  </si>
  <si>
    <t>130+126</t>
  </si>
  <si>
    <t>03:01 kertas putus2 indikasi MDT terlalu rendah
- load reviner 
- seting temperatur hud dry + wed
03:06 hdc bocor ( info MEID ) 
03:28 kertas jarang putus pm mulai lancar MDT sudah normal
04:00 coba hdc ternyata masih bocor 
06:00 coba hdc masih bocor parah 
- valve reject hdc sementara dibuat manual tunggu diperbaiki mekanik</t>
  </si>
  <si>
    <t>- Awal Shift PM Produksi F12
Speed 1230mpm/-24% 
Actuall speed 1160mpm</t>
  </si>
  <si>
    <t>Awal shift pm start up
15:05 pm on reel F12 speed 1100/-24%
Pm naik speed perlahan, akhir shift pm speed 1190mpm</t>
  </si>
  <si>
    <t>- Awal Shift PM Produksi F12
Speed :1230mpm/-24% 
Speed actual: 1170/-25%</t>
  </si>
  <si>
    <t>- 07.14 jumbo turun ada nerawang jalur, cek shower2 wire dan karcer wire
- 08.16 nerawang jalur hilang 
- 14.25  pm 14 stop (trip) motor vacum di DCS on dilapangan trip</t>
  </si>
  <si>
    <t>- change F11,5 jam 23.30</t>
  </si>
  <si>
    <t>- Awal Shift PM Produksi F12 speed 1100/-24%</t>
  </si>
  <si>
    <t>F 11,5</t>
  </si>
  <si>
    <t>12/11,5</t>
  </si>
  <si>
    <t>1225,63/931,48</t>
  </si>
  <si>
    <t>1160/881,6</t>
  </si>
  <si>
    <t>1170/877,5</t>
  </si>
  <si>
    <t>1185,68/897,4</t>
  </si>
  <si>
    <t>- 14.25  pm 14 stop (trip) motor vacum di DCS on dilapangan trip</t>
  </si>
  <si>
    <t>140+128</t>
  </si>
  <si>
    <t>- 10.20-10.56 kertas sering putus dan soping, indikasi mdt rendah
- speed pm naik perlahan akhir shift 1210</t>
  </si>
  <si>
    <t>- Awal Shift PM Produksi F11,5
Speed 1230mpm/-24% 
Actuall speed 1210mpm</t>
  </si>
  <si>
    <t>20:36 Tail cutter otomatis macet cek eid, ganti tail cutter manual 
Tail cutter manual tidak bisa sambungan selang pecah repair med
Kertas putus sambung manual, tanpa tail cutter 
21:25 kertas putus-putus Ds, yankee ngerak, turunkan temperatur hood
21:47 tail cutter manual oke
22:10 tail cutter otomatis oke</t>
  </si>
  <si>
    <t>- Awal Shift PM Produksi F 11,5
Speed 1230/24%</t>
  </si>
  <si>
    <t>03:33 pm mulai tidak lancar kertas sering soping bagain center ( indikasi kertas kepanasan )
03:48 kertas mulai sering putus bagian DS 
- coba turun kan temperatur steam jadi 6,8 bar
03:53 kertas putus2 bagain TS + susah sambung 
- temperatur di panasi lagi 
04:00 kertas mulai jarang putus 
04:44 muncul gripis bagian DS  geser wire 1 cm ke TS 
- pm mulai lancar</t>
  </si>
  <si>
    <t>1230/934,8</t>
  </si>
  <si>
    <t>1200,17/912,13</t>
  </si>
  <si>
    <t>1213,39/922,18</t>
  </si>
  <si>
    <t>- Awal Shift PM Produksi F11.5
Speed :1230mpm/-24% 
Speed actual: 1190/-23%</t>
  </si>
  <si>
    <t>11,5</t>
  </si>
  <si>
    <t>- Change Blade (13x)</t>
  </si>
  <si>
    <t>F 11,5 VP OW</t>
  </si>
  <si>
    <t>- Awal Shift PM Produksi F14
Speed 1230mpm/-24% 
Actuall speed 1150mpm</t>
  </si>
  <si>
    <t>- Awal Shift PM Produksi  F11,5
Speed aktual 1230mpm/-24%</t>
  </si>
  <si>
    <t>12:15 Wsr off/PAC on
12:19 Change grade F14
           Speed 1120mpm/-24%</t>
  </si>
  <si>
    <t>1150/874</t>
  </si>
  <si>
    <t>1193,1/906,76</t>
  </si>
  <si>
    <t>1163,74/884,44</t>
  </si>
  <si>
    <t>- Change Spool (11x)</t>
  </si>
  <si>
    <t>- Change Spool (29x)</t>
  </si>
  <si>
    <t>- Awal Shift PM Produksi T13
Speed 1230mpm/-24% 
Actuall speed 1150mpm</t>
  </si>
  <si>
    <t>11,5/14/13</t>
  </si>
  <si>
    <t>- Sheet Breaks (4x)</t>
  </si>
  <si>
    <t>- Change Blade (7x)</t>
  </si>
  <si>
    <t xml:space="preserve">20:00 change grade T15 hb speed 1050/-23% </t>
  </si>
  <si>
    <t>- Awal Shift PM Produksi T15 
Speed actual: 1050/-23%</t>
  </si>
  <si>
    <t>1050/808,5</t>
  </si>
  <si>
    <t>1104,17/843,98</t>
  </si>
  <si>
    <t>262,5*1</t>
  </si>
  <si>
    <t>128,5*2</t>
  </si>
  <si>
    <t>- Awal Shift PM Produksi T15
Speed aktual 1050mpm/-23%</t>
  </si>
  <si>
    <t>09:28 amisoft on 200ml/menit untuk trial T.15 FG astro
13:20 amisoft off</t>
  </si>
  <si>
    <t>- 02.55 change grade T 14 speed 1070 mpm 23%</t>
  </si>
  <si>
    <t>- Awal Shift PM Produksi T 15
Speed 1050 /23%</t>
  </si>
  <si>
    <t>T 14</t>
  </si>
  <si>
    <t>1060,21/816,36</t>
  </si>
  <si>
    <t>1053,4/811,12</t>
  </si>
  <si>
    <t>T 14 VP OW</t>
  </si>
  <si>
    <t>Motor vacum trip</t>
  </si>
  <si>
    <t>- Awal Shift PM Produksi T13 
Speed actual: 1170/-23%</t>
  </si>
  <si>
    <t>- Awal Shift PM Produksi  T 13
Speed 1170 /23% (aktual)</t>
  </si>
  <si>
    <t>- Awal Shift PM Produksi T 14
Speed aktual 1100/23%</t>
  </si>
  <si>
    <t>- Awal Shift PM Produksi T14*Hb
Speed aktual 1070mpm/-23%</t>
  </si>
  <si>
    <t>- 10:00 Speed up 1100mpm</t>
  </si>
  <si>
    <t>- Awal Shift PM Produksi T14
Speed actual: 1100/-23%</t>
  </si>
  <si>
    <t>1088,75/838,34</t>
  </si>
  <si>
    <t>1096,25/844,11</t>
  </si>
  <si>
    <t>- Awal Shift PM Produksi T14
Speed 1230mpm/-23% 
Actuall speed 1100mpm</t>
  </si>
  <si>
    <t>10:40 pressure stem drop
11:10 pressure stem ok 
13:00 change grade T13, speed 1160/-23% 
14:33 pressure compressor drop, cek eid
14:40 pressure compressor ok</t>
  </si>
  <si>
    <t>1212,5/933,625</t>
  </si>
  <si>
    <t>1170/900,9</t>
  </si>
  <si>
    <t>1184,17/911,81</t>
  </si>
  <si>
    <t>14/13</t>
  </si>
  <si>
    <t>- Sheet Breaks (7x)</t>
  </si>
  <si>
    <t>- Awal Shift PM Produksi T 13
Speed 1190 /23%</t>
  </si>
  <si>
    <t>- Awal Shift PM Produksi  T13
Actuall speed 1170mpm</t>
  </si>
  <si>
    <t>- 14:10 pm naik speed 20mpm</t>
  </si>
  <si>
    <t>1190/916,3</t>
  </si>
  <si>
    <t>1172,08/902,5</t>
  </si>
  <si>
    <t>1177,36/906,57</t>
  </si>
  <si>
    <t>EBKP MONDI</t>
  </si>
  <si>
    <t>- Awal Shift PM Produksi T12,5
Speed 1190mpm/-22%</t>
  </si>
  <si>
    <t>- Awal Shift PM Produksi T 12,5
Speed aktual 1190 /23%</t>
  </si>
  <si>
    <t>- Awal Shift PM Produksi T13
Speed 1230mpm/-23% 
Actuall speed 1190mpm</t>
  </si>
  <si>
    <t>10:10 change grade T12,5 speed 1190/-23%</t>
  </si>
  <si>
    <t>- Awal Shift PM Produksi T13
Speed 1190mpm/-23%</t>
  </si>
  <si>
    <t>- Awal Shift PM Produksi  T13
Speed 1230mpm/-23% 
Actuall speed 1190mpm</t>
  </si>
  <si>
    <t>Awal shift kertas ada pin hole bagian Fs, cleaning roll-roll felt wire dan head box
Nyalakan amiclean wire
selang hpp felt pecah, info med
8:45 pin hole membaik 
8:25 hpp felt off, med ganti selang hpp felt 
8:55 hpp felt on</t>
  </si>
  <si>
    <t>1183,33/911,17</t>
  </si>
  <si>
    <t>T 12,5</t>
  </si>
  <si>
    <t>1190/928,2</t>
  </si>
  <si>
    <t>1190/920,27</t>
  </si>
  <si>
    <t>13/12,5</t>
  </si>
  <si>
    <t>256*1</t>
  </si>
  <si>
    <t>T 12,5 VP OW</t>
  </si>
  <si>
    <t>- Awal Shift PM Produksi T12,5
Speed 1230mpm/-22% 
Actuall speed 1190mpm</t>
  </si>
  <si>
    <t xml:space="preserve">- counter length error, kertas putus tp baca terus, cek eid </t>
  </si>
  <si>
    <t>- Awal Shift PM Produksi T12.5 
Speed actual: 1190/-22%</t>
  </si>
  <si>
    <t>05:27 Change grade T13
            Speed 1200mpm/-24%</t>
  </si>
  <si>
    <t>- Change Blade (2x)</t>
  </si>
  <si>
    <t>12,5/13</t>
  </si>
  <si>
    <t>- Change Spool (30x)</t>
  </si>
  <si>
    <t>258*1</t>
  </si>
  <si>
    <t>- Awal Shift PM Produksi T13 hb
Speed 1230mpm/-24% 
Actuall speed 1180mpm</t>
  </si>
  <si>
    <t>- Awal Shift PM Produksi T13
Speed 1180mpm/-24%</t>
  </si>
  <si>
    <t>- Awal Shift PM Produksi T13 
Speed actual: 1180/-24%</t>
  </si>
  <si>
    <t>1180/896,8</t>
  </si>
  <si>
    <t>- Change Spool (31x)</t>
  </si>
  <si>
    <t>1075/817</t>
  </si>
  <si>
    <t xml:space="preserve">- Awal Shift PM Produksi F14 Speed 1160mpm/-24% </t>
  </si>
  <si>
    <t>- Awal Shift PM Produksi  F14
Speed :1230mpm/-24%</t>
  </si>
  <si>
    <t>1155/877,8</t>
  </si>
  <si>
    <t>1080/820,8</t>
  </si>
  <si>
    <t>- Awal Shift PM Produksi   F14
Speed 1230mpm/-23% (actuall speed 1100/-24%)</t>
  </si>
  <si>
    <t>- Awal Shift PM Produksi  F 15
Speed target 1230/23%
Speed aktual 1080/24%</t>
  </si>
  <si>
    <t>- Awal Shift PM Produksi   F15
Speed :1230mpm/-24%
Speed actual : 1100 mpm</t>
  </si>
  <si>
    <t>1090/828,4</t>
  </si>
  <si>
    <t>- Awal Shift PM Produksi   F15
Speed 1230mpm/-23% (actuall speed 1090/-24%)</t>
  </si>
  <si>
    <t>- Awal Shift PM Produksi  F 15
Speed 1230 /23%
Speed 1090 /24%(aktual)</t>
  </si>
  <si>
    <t>- Awal Shift PM Produksi  F15
Speed aktual 1090mpm/-24%</t>
  </si>
  <si>
    <t>1110,63/844,08</t>
  </si>
  <si>
    <t>- Awal Shift PM Produksi  F 15
Speed 1090/24%</t>
  </si>
  <si>
    <t>- Awal Shift PM Produksi  F15
Speed 1090mpm/-24% 
Deckle 2,56cm</t>
  </si>
  <si>
    <t>17:30 Change grade F14, speed 1120/-24%</t>
  </si>
  <si>
    <t>- Awal Shift PM Produksi F14
Speed aktual 1100 mpm/-24%</t>
  </si>
  <si>
    <t xml:space="preserve">- Awal Shift PM Produksi F14 indomaret/favour
Speed 1100mpm/-24% </t>
  </si>
  <si>
    <t>- Awal Shift PM Produksi  F14
Speed :1100mpm/-24%</t>
  </si>
  <si>
    <t>- Awal Shift PM Produksi F14 favour
Speed aktual 1100mpm/-24%</t>
  </si>
  <si>
    <t xml:space="preserve">- Awal Shift PM Produksi F14
Speed 1100mpm/-24% </t>
  </si>
  <si>
    <t>- Awal Shift PM Produksi F14
Speed aktual 1100mpm/-24%</t>
  </si>
  <si>
    <t>1048,88/797,15</t>
  </si>
  <si>
    <t>1064,21/808,8</t>
  </si>
  <si>
    <t>- Awal Shift PM Produksi F 14
Speed 1100/24%</t>
  </si>
  <si>
    <t>- Awal Shift PM Produksi  F14
Speed :1050mpm/-24%</t>
  </si>
  <si>
    <t>- Awal Shift PM Produksi  F14*idm
Speed aktual 1060mpm/-24%</t>
  </si>
  <si>
    <t>1169,58/919,08</t>
  </si>
  <si>
    <t>- Awal Shift PM Produksi   F 14 &amp; T12
Speed 1070 /24%</t>
  </si>
  <si>
    <t>1148,13/861,79</t>
  </si>
  <si>
    <t>1150/862,5</t>
  </si>
  <si>
    <r>
      <rPr>
        <b/>
        <sz val="10"/>
        <color rgb="FFFF0000"/>
        <rFont val="Arial"/>
        <family val="2"/>
      </rPr>
      <t>15:30 change grade T13 speed 1150/-25%</t>
    </r>
    <r>
      <rPr>
        <b/>
        <sz val="10"/>
        <color indexed="8"/>
        <rFont val="Arial"/>
        <family val="2"/>
      </rPr>
      <t xml:space="preserve">
18:35 refiner mati sendiri, cek eid
18:40 refiner jalan 
20:30 kertas muncul marking, ganti blade marking hilang</t>
    </r>
  </si>
  <si>
    <t>- Awal Shift PM Produksi T 13
Speed 1150/25%</t>
  </si>
  <si>
    <t>- Awal Shift PM Produksi  T13
Speed aktual 1150mpm/-25%
speed target 1230mpm/-24%
Lost Speed 80mpm(6, 5%)</t>
  </si>
  <si>
    <t>- Awal Shift PM Produksi T13
Speed 1230mpm/-25% 
Actuall speed 1150mpm</t>
  </si>
  <si>
    <t>- Awal Shift PM Produksi T 13
Speed target 1230/24%
Speed aktual 1150/25%</t>
  </si>
  <si>
    <t>- Awal Shift PM Produksi T13
Speed aktual 1150mpm/-25%
Speed target 1230mpm/-24%</t>
  </si>
  <si>
    <t>- Awal Shift PM Produksi T 13
Speed :1230mpm/-24% 
Speed actual: 1150/-25%</t>
  </si>
  <si>
    <t>- Awal Shift PM Produksi T13 HB
Speed 1230mpm/-25% 
Actuall speed 1150mpm</t>
  </si>
  <si>
    <t>1150/865,5</t>
  </si>
  <si>
    <t>11125,5/842,25</t>
  </si>
  <si>
    <t>1190/923,59</t>
  </si>
  <si>
    <t>- Awal Shift PM Produksi  T13 
Speed actual: 1180/-24%</t>
  </si>
  <si>
    <t>16.05 hood dry hunting 
16.42 pm turun speed 1100
17.08 hood dry sudah ok setpoin 
17.15 pm naik bertahap menyesuaikan panas 
18.55 akhir pm naik speed 1180</t>
  </si>
  <si>
    <t>- Awal Shift PM Produksi T 13
Speed aktual 1180 /24%</t>
  </si>
  <si>
    <t>1172,61/891,18</t>
  </si>
  <si>
    <t>1157,83/879,95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</si>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</sst>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-0.249977111117893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66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0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0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4" applyNumberFormat="1" applyFont="1" applyBorder="1" applyAlignment="1">
      <alignment horizontal="center"/>
    </xf>
    <xf numFmtId="0" fontId="40" fillId="0" borderId="11" xfId="44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0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6" applyNumberFormat="1" applyFont="1" applyBorder="1"/>
    <xf numFmtId="178" fontId="44" fillId="0" borderId="11" xfId="29" applyNumberFormat="1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7" applyFont="1" applyBorder="1"/>
    <xf numFmtId="10" fontId="44" fillId="25" borderId="11" xfId="50" applyNumberFormat="1" applyFont="1" applyFill="1" applyBorder="1" applyAlignment="1">
      <alignment vertical="center"/>
    </xf>
    <xf numFmtId="166" fontId="44" fillId="25" borderId="11" xfId="50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0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0" applyNumberFormat="1" applyFont="1" applyFill="1" applyBorder="1" applyAlignment="1" applyProtection="1">
      <alignment horizontal="center" vertical="center"/>
    </xf>
    <xf numFmtId="166" fontId="28" fillId="24" borderId="29" xfId="50" applyNumberFormat="1" applyFont="1" applyFill="1" applyBorder="1" applyAlignment="1" applyProtection="1">
      <alignment horizontal="center" vertical="center"/>
    </xf>
    <xf numFmtId="166" fontId="28" fillId="24" borderId="37" xfId="50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0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0" applyNumberFormat="1" applyFont="1" applyFill="1" applyBorder="1" applyAlignment="1" applyProtection="1">
      <alignment horizontal="center" vertical="center"/>
    </xf>
    <xf numFmtId="166" fontId="28" fillId="24" borderId="15" xfId="50" applyNumberFormat="1" applyFont="1" applyFill="1" applyBorder="1" applyAlignment="1" applyProtection="1">
      <alignment horizontal="center" vertical="center"/>
    </xf>
    <xf numFmtId="166" fontId="28" fillId="24" borderId="34" xfId="50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0" applyNumberFormat="1" applyFont="1" applyFill="1" applyBorder="1" applyProtection="1"/>
    <xf numFmtId="166" fontId="28" fillId="24" borderId="24" xfId="50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0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0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55" xfId="50" applyNumberFormat="1" applyFont="1" applyFill="1" applyBorder="1" applyAlignment="1" applyProtection="1">
      <alignment horizontal="center" vertical="center"/>
      <protection locked="0"/>
    </xf>
    <xf numFmtId="165" fontId="28" fillId="24" borderId="54" xfId="50" applyNumberFormat="1" applyFont="1" applyFill="1" applyBorder="1" applyAlignment="1" applyProtection="1">
      <alignment horizontal="center" vertical="center"/>
      <protection locked="0"/>
    </xf>
    <xf numFmtId="165" fontId="28" fillId="24" borderId="64" xfId="50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4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73" fontId="49" fillId="0" borderId="67" xfId="0" applyNumberFormat="1" applyFont="1" applyBorder="1"/>
    <xf numFmtId="0" fontId="0" fillId="0" borderId="45" xfId="0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0" applyNumberFormat="1" applyFont="1" applyFill="1" applyBorder="1"/>
    <xf numFmtId="10" fontId="44" fillId="0" borderId="11" xfId="50" applyNumberFormat="1" applyFont="1" applyFill="1" applyBorder="1"/>
    <xf numFmtId="10" fontId="43" fillId="0" borderId="0" xfId="50" applyNumberFormat="1" applyFont="1" applyFill="1" applyBorder="1" applyAlignment="1">
      <alignment vertical="center"/>
    </xf>
    <xf numFmtId="10" fontId="44" fillId="27" borderId="0" xfId="50" applyNumberFormat="1" applyFont="1" applyFill="1" applyBorder="1"/>
    <xf numFmtId="10" fontId="44" fillId="0" borderId="11" xfId="50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0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0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46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1" fontId="49" fillId="0" borderId="67" xfId="0" applyNumberFormat="1" applyFont="1" applyBorder="1" applyAlignment="1">
      <alignment horizontal="center" vertical="center"/>
    </xf>
    <xf numFmtId="0" fontId="0" fillId="0" borderId="68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173" fontId="46" fillId="0" borderId="55" xfId="0" applyNumberFormat="1" applyFont="1" applyBorder="1" applyAlignment="1">
      <alignment horizontal="center" vertical="center"/>
    </xf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55" xfId="0" applyFont="1" applyBorder="1"/>
    <xf numFmtId="0" fontId="46" fillId="0" borderId="36" xfId="0" applyFont="1" applyBorder="1"/>
    <xf numFmtId="2" fontId="0" fillId="0" borderId="64" xfId="0" applyNumberFormat="1" applyBorder="1" applyAlignment="1">
      <alignment vertical="center"/>
    </xf>
    <xf numFmtId="2" fontId="0" fillId="0" borderId="40" xfId="0" applyNumberFormat="1" applyBorder="1" applyAlignment="1">
      <alignment vertical="center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9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0" applyNumberFormat="1" applyFont="1" applyFill="1" applyBorder="1" applyAlignment="1" applyProtection="1">
      <alignment horizontal="center" vertical="center"/>
      <protection locked="0"/>
    </xf>
    <xf numFmtId="10" fontId="46" fillId="27" borderId="11" xfId="50" applyNumberFormat="1" applyFont="1" applyFill="1" applyBorder="1" applyAlignment="1" applyProtection="1">
      <alignment horizontal="center" vertical="center"/>
      <protection locked="0"/>
    </xf>
    <xf numFmtId="2" fontId="40" fillId="0" borderId="11" xfId="44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0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0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0" applyNumberFormat="1" applyFont="1" applyFill="1" applyBorder="1" applyAlignment="1">
      <alignment vertical="center"/>
    </xf>
    <xf numFmtId="10" fontId="43" fillId="0" borderId="30" xfId="50" applyNumberFormat="1" applyFont="1" applyFill="1" applyBorder="1" applyAlignment="1">
      <alignment vertical="center"/>
    </xf>
    <xf numFmtId="0" fontId="24" fillId="24" borderId="69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6" applyFont="1" applyBorder="1" applyAlignment="1">
      <alignment horizontal="left"/>
    </xf>
    <xf numFmtId="0" fontId="46" fillId="0" borderId="11" xfId="0" applyFont="1" applyBorder="1"/>
    <xf numFmtId="0" fontId="40" fillId="0" borderId="19" xfId="56" applyFont="1" applyBorder="1" applyAlignment="1">
      <alignment horizontal="left"/>
    </xf>
    <xf numFmtId="0" fontId="32" fillId="0" borderId="11" xfId="56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0" applyFont="1" applyFill="1" applyBorder="1" applyAlignment="1">
      <alignment horizontal="center" vertical="center" wrapText="1"/>
    </xf>
    <xf numFmtId="10" fontId="0" fillId="0" borderId="11" xfId="50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6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6" applyFont="1" applyBorder="1" applyAlignment="1">
      <alignment horizontal="left"/>
    </xf>
    <xf numFmtId="10" fontId="58" fillId="27" borderId="11" xfId="50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0" applyNumberFormat="1" applyFont="1" applyFill="1" applyBorder="1" applyAlignment="1">
      <alignment vertical="center"/>
    </xf>
    <xf numFmtId="10" fontId="44" fillId="4" borderId="11" xfId="50" applyNumberFormat="1" applyFont="1" applyFill="1" applyBorder="1" applyAlignment="1">
      <alignment vertical="center"/>
    </xf>
    <xf numFmtId="10" fontId="44" fillId="25" borderId="11" xfId="50" applyNumberFormat="1" applyFont="1" applyFill="1" applyBorder="1"/>
    <xf numFmtId="166" fontId="44" fillId="0" borderId="0" xfId="51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5" applyNumberFormat="1" applyFont="1" applyBorder="1" applyAlignment="1">
      <alignment horizontal="center"/>
    </xf>
    <xf numFmtId="10" fontId="43" fillId="0" borderId="11" xfId="50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6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0" applyNumberFormat="1" applyFont="1" applyFill="1" applyBorder="1" applyAlignment="1">
      <alignment horizontal="center" vertical="center" wrapText="1"/>
    </xf>
    <xf numFmtId="178" fontId="44" fillId="26" borderId="14" xfId="60" applyNumberFormat="1" applyFont="1" applyFill="1" applyBorder="1" applyAlignment="1">
      <alignment horizontal="center" vertical="center" wrapText="1"/>
    </xf>
    <xf numFmtId="178" fontId="44" fillId="26" borderId="11" xfId="60" applyNumberFormat="1" applyFont="1" applyFill="1" applyBorder="1" applyAlignment="1">
      <alignment horizontal="center" vertical="center" wrapText="1"/>
    </xf>
    <xf numFmtId="178" fontId="44" fillId="40" borderId="14" xfId="60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1" fontId="44" fillId="0" borderId="0" xfId="50" applyNumberFormat="1" applyFont="1" applyFill="1" applyBorder="1" applyAlignment="1">
      <alignment vertical="center"/>
    </xf>
    <xf numFmtId="2" fontId="29" fillId="0" borderId="86" xfId="28" applyNumberFormat="1" applyFont="1" applyBorder="1" applyAlignment="1">
      <alignment horizontal="center" vertical="center"/>
    </xf>
    <xf numFmtId="2" fontId="29" fillId="0" borderId="86" xfId="28" applyNumberFormat="1" applyFont="1" applyFill="1" applyBorder="1" applyAlignment="1" applyProtection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0" fontId="46" fillId="27" borderId="0" xfId="0" applyFont="1" applyFill="1" applyAlignment="1">
      <alignment horizontal="center"/>
    </xf>
    <xf numFmtId="173" fontId="49" fillId="0" borderId="87" xfId="0" applyNumberFormat="1" applyFont="1" applyBorder="1"/>
    <xf numFmtId="0" fontId="46" fillId="0" borderId="69" xfId="0" applyFont="1" applyBorder="1"/>
    <xf numFmtId="0" fontId="0" fillId="0" borderId="0" xfId="0" applyBorder="1"/>
    <xf numFmtId="0" fontId="46" fillId="0" borderId="0" xfId="0" applyFont="1" applyBorder="1"/>
    <xf numFmtId="0" fontId="46" fillId="0" borderId="0" xfId="0" applyFont="1" applyFill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73" fontId="46" fillId="0" borderId="67" xfId="0" applyNumberFormat="1" applyFont="1" applyBorder="1"/>
    <xf numFmtId="165" fontId="0" fillId="0" borderId="70" xfId="0" applyNumberFormat="1" applyBorder="1" applyAlignment="1">
      <alignment vertical="center"/>
    </xf>
    <xf numFmtId="173" fontId="46" fillId="0" borderId="87" xfId="0" applyNumberFormat="1" applyFont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0" fillId="0" borderId="0" xfId="0" applyFill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28" fillId="24" borderId="86" xfId="0" applyFont="1" applyFill="1" applyBorder="1" applyAlignment="1" applyProtection="1">
      <alignment horizontal="center"/>
      <protection locked="0"/>
    </xf>
    <xf numFmtId="0" fontId="46" fillId="41" borderId="0" xfId="0" applyFont="1" applyFill="1" applyAlignment="1">
      <alignment horizontal="center"/>
    </xf>
    <xf numFmtId="43" fontId="0" fillId="0" borderId="11" xfId="28" applyNumberFormat="1" applyFont="1" applyBorder="1"/>
    <xf numFmtId="43" fontId="24" fillId="24" borderId="0" xfId="0" applyNumberFormat="1" applyFont="1" applyFill="1"/>
    <xf numFmtId="0" fontId="28" fillId="24" borderId="11" xfId="28" applyNumberFormat="1" applyFont="1" applyFill="1" applyBorder="1" applyAlignment="1" applyProtection="1">
      <alignment horizontal="right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68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169" fontId="36" fillId="0" borderId="0" xfId="0" applyNumberFormat="1" applyFont="1" applyAlignment="1">
      <alignment horizontal="center" vertical="center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40" borderId="86" xfId="60" applyNumberFormat="1" applyFont="1" applyFill="1" applyBorder="1" applyAlignment="1">
      <alignment horizontal="center" vertical="center" wrapText="1"/>
    </xf>
    <xf numFmtId="178" fontId="44" fillId="40" borderId="62" xfId="60" applyNumberFormat="1" applyFont="1" applyFill="1" applyBorder="1" applyAlignment="1">
      <alignment horizontal="center" vertical="center" wrapText="1"/>
    </xf>
    <xf numFmtId="178" fontId="44" fillId="40" borderId="17" xfId="60" applyNumberFormat="1" applyFont="1" applyFill="1" applyBorder="1" applyAlignment="1">
      <alignment horizontal="center" vertical="center" wrapText="1"/>
    </xf>
    <xf numFmtId="178" fontId="44" fillId="26" borderId="86" xfId="60" applyNumberFormat="1" applyFont="1" applyFill="1" applyBorder="1" applyAlignment="1">
      <alignment horizontal="center" vertical="center" wrapText="1"/>
    </xf>
    <xf numFmtId="178" fontId="44" fillId="26" borderId="62" xfId="60" applyNumberFormat="1" applyFont="1" applyFill="1" applyBorder="1" applyAlignment="1">
      <alignment horizontal="center" vertical="center" wrapText="1"/>
    </xf>
    <xf numFmtId="178" fontId="44" fillId="26" borderId="17" xfId="60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6" xfId="0" applyFont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25" borderId="62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0" applyNumberFormat="1" applyFont="1" applyFill="1" applyBorder="1" applyAlignment="1">
      <alignment horizontal="center" vertical="center" wrapText="1"/>
    </xf>
    <xf numFmtId="166" fontId="44" fillId="25" borderId="62" xfId="50" applyNumberFormat="1" applyFont="1" applyFill="1" applyBorder="1" applyAlignment="1">
      <alignment horizontal="center" vertical="center" wrapText="1"/>
    </xf>
    <xf numFmtId="166" fontId="44" fillId="25" borderId="17" xfId="50" applyNumberFormat="1" applyFont="1" applyFill="1" applyBorder="1" applyAlignment="1">
      <alignment horizontal="center" vertical="center" wrapText="1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78" fontId="44" fillId="40" borderId="58" xfId="60" applyNumberFormat="1" applyFont="1" applyFill="1" applyBorder="1" applyAlignment="1">
      <alignment horizontal="center" vertical="center" wrapText="1"/>
    </xf>
    <xf numFmtId="178" fontId="44" fillId="40" borderId="31" xfId="60" applyNumberFormat="1" applyFont="1" applyFill="1" applyBorder="1" applyAlignment="1">
      <alignment horizontal="center" vertical="center" wrapText="1"/>
    </xf>
    <xf numFmtId="178" fontId="44" fillId="26" borderId="13" xfId="60" applyNumberFormat="1" applyFont="1" applyFill="1" applyBorder="1" applyAlignment="1">
      <alignment horizontal="center" vertical="center" wrapText="1"/>
    </xf>
    <xf numFmtId="178" fontId="44" fillId="26" borderId="19" xfId="60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5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7" xfId="41" applyFont="1" applyBorder="1" applyAlignment="1">
      <alignment horizontal="center"/>
    </xf>
    <xf numFmtId="0" fontId="29" fillId="0" borderId="78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6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0" borderId="86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6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86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10" fontId="54" fillId="0" borderId="86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5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5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8" fillId="24" borderId="69" xfId="0" applyFont="1" applyFill="1" applyBorder="1" applyAlignment="1">
      <alignment horizontal="center"/>
    </xf>
    <xf numFmtId="0" fontId="28" fillId="24" borderId="70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76" xfId="0" applyFont="1" applyFill="1" applyBorder="1" applyAlignment="1">
      <alignment horizontal="center"/>
    </xf>
    <xf numFmtId="0" fontId="28" fillId="24" borderId="74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7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4" fillId="24" borderId="77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47" fillId="24" borderId="27" xfId="0" applyFont="1" applyFill="1" applyBorder="1" applyAlignment="1">
      <alignment horizontal="center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0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5"/>
    <cellStyle name="Normal 5" xfId="57"/>
    <cellStyle name="Normal_April_3" xfId="43"/>
    <cellStyle name="Normal_DES 11_1" xfId="56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59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25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23.289000000000001</c:v>
                </c:pt>
                <c:pt idx="1">
                  <c:v>42.353000000000002</c:v>
                </c:pt>
                <c:pt idx="2">
                  <c:v>41.976999999999997</c:v>
                </c:pt>
                <c:pt idx="3">
                  <c:v>40.161999999999999</c:v>
                </c:pt>
                <c:pt idx="4">
                  <c:v>45.195999999999998</c:v>
                </c:pt>
                <c:pt idx="5">
                  <c:v>40.381999999999998</c:v>
                </c:pt>
                <c:pt idx="6">
                  <c:v>41.706000000000003</c:v>
                </c:pt>
                <c:pt idx="7">
                  <c:v>37.368000000000002</c:v>
                </c:pt>
                <c:pt idx="8">
                  <c:v>37.177999999999997</c:v>
                </c:pt>
                <c:pt idx="9">
                  <c:v>37.624000000000002</c:v>
                </c:pt>
                <c:pt idx="10">
                  <c:v>36.598999999999997</c:v>
                </c:pt>
                <c:pt idx="11">
                  <c:v>41.506999999999998</c:v>
                </c:pt>
                <c:pt idx="12">
                  <c:v>34.055999999999997</c:v>
                </c:pt>
                <c:pt idx="13">
                  <c:v>33.35</c:v>
                </c:pt>
                <c:pt idx="14">
                  <c:v>37.173000000000002</c:v>
                </c:pt>
                <c:pt idx="15">
                  <c:v>30.58</c:v>
                </c:pt>
                <c:pt idx="16">
                  <c:v>34.347000000000001</c:v>
                </c:pt>
                <c:pt idx="17">
                  <c:v>35.722000000000001</c:v>
                </c:pt>
                <c:pt idx="18">
                  <c:v>37.222000000000001</c:v>
                </c:pt>
                <c:pt idx="19">
                  <c:v>39.682000000000002</c:v>
                </c:pt>
                <c:pt idx="20">
                  <c:v>37.963999999999999</c:v>
                </c:pt>
                <c:pt idx="21">
                  <c:v>40.158000000000001</c:v>
                </c:pt>
                <c:pt idx="22">
                  <c:v>41.517000000000003</c:v>
                </c:pt>
                <c:pt idx="23">
                  <c:v>40.146000000000001</c:v>
                </c:pt>
                <c:pt idx="24">
                  <c:v>40.588999999999999</c:v>
                </c:pt>
                <c:pt idx="25">
                  <c:v>38.847999999999999</c:v>
                </c:pt>
                <c:pt idx="26">
                  <c:v>42.837000000000003</c:v>
                </c:pt>
                <c:pt idx="27">
                  <c:v>39.213999999999999</c:v>
                </c:pt>
                <c:pt idx="28">
                  <c:v>40.776000000000003</c:v>
                </c:pt>
                <c:pt idx="29">
                  <c:v>39.149000000000001</c:v>
                </c:pt>
                <c:pt idx="30">
                  <c:v>40.225999999999999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305472"/>
        <c:axId val="307307264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0.51059754619271491</c:v>
                </c:pt>
                <c:pt idx="1">
                  <c:v>0.91595943603145025</c:v>
                </c:pt>
                <c:pt idx="2">
                  <c:v>0.91638419582819142</c:v>
                </c:pt>
                <c:pt idx="3">
                  <c:v>0.89503757401699091</c:v>
                </c:pt>
                <c:pt idx="4">
                  <c:v>1.0347328102074764</c:v>
                </c:pt>
                <c:pt idx="5">
                  <c:v>0.92907022116205784</c:v>
                </c:pt>
                <c:pt idx="6">
                  <c:v>0.97750803558200139</c:v>
                </c:pt>
                <c:pt idx="7">
                  <c:v>0.85490801596503918</c:v>
                </c:pt>
                <c:pt idx="8">
                  <c:v>0.90977724576767383</c:v>
                </c:pt>
                <c:pt idx="9">
                  <c:v>0.92095307955743766</c:v>
                </c:pt>
                <c:pt idx="10">
                  <c:v>0.89961008897425399</c:v>
                </c:pt>
                <c:pt idx="11">
                  <c:v>0.96351061102185942</c:v>
                </c:pt>
                <c:pt idx="12">
                  <c:v>0.81833416852695751</c:v>
                </c:pt>
                <c:pt idx="13">
                  <c:v>0.80178174319073592</c:v>
                </c:pt>
                <c:pt idx="14">
                  <c:v>0.83392234525081543</c:v>
                </c:pt>
                <c:pt idx="15">
                  <c:v>0.71544699401876755</c:v>
                </c:pt>
                <c:pt idx="16">
                  <c:v>0.8328829355437859</c:v>
                </c:pt>
                <c:pt idx="17">
                  <c:v>0.86103724153012806</c:v>
                </c:pt>
                <c:pt idx="18">
                  <c:v>0.87083435591564096</c:v>
                </c:pt>
                <c:pt idx="19">
                  <c:v>0.95259631828556668</c:v>
                </c:pt>
                <c:pt idx="20">
                  <c:v>0.91135443343060463</c:v>
                </c:pt>
                <c:pt idx="21">
                  <c:v>0.92596175841528305</c:v>
                </c:pt>
                <c:pt idx="22">
                  <c:v>0.9327958207639484</c:v>
                </c:pt>
                <c:pt idx="23">
                  <c:v>0.91794846007087327</c:v>
                </c:pt>
                <c:pt idx="24">
                  <c:v>0.93150628866277796</c:v>
                </c:pt>
                <c:pt idx="25">
                  <c:v>0.88724324755610506</c:v>
                </c:pt>
                <c:pt idx="26">
                  <c:v>0.97340971071727711</c:v>
                </c:pt>
                <c:pt idx="27">
                  <c:v>0.88688930805291077</c:v>
                </c:pt>
                <c:pt idx="28">
                  <c:v>0.92305602365425232</c:v>
                </c:pt>
                <c:pt idx="29">
                  <c:v>0.90385657836075861</c:v>
                </c:pt>
                <c:pt idx="30">
                  <c:v>0.93457401478332747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0.51059754619271491</c:v>
                </c:pt>
                <c:pt idx="1">
                  <c:v>0.71466356375873541</c:v>
                </c:pt>
                <c:pt idx="2">
                  <c:v>0.78178859574544624</c:v>
                </c:pt>
                <c:pt idx="3">
                  <c:v>0.80962901821424338</c:v>
                </c:pt>
                <c:pt idx="4">
                  <c:v>0.85309467761000357</c:v>
                </c:pt>
                <c:pt idx="5">
                  <c:v>0.86534014588667063</c:v>
                </c:pt>
                <c:pt idx="6">
                  <c:v>0.88066233582324027</c:v>
                </c:pt>
                <c:pt idx="7">
                  <c:v>0.87750063269069101</c:v>
                </c:pt>
                <c:pt idx="8">
                  <c:v>0.88082372821397759</c:v>
                </c:pt>
                <c:pt idx="9">
                  <c:v>0.88456868281122991</c:v>
                </c:pt>
                <c:pt idx="10">
                  <c:v>0.88584767118144381</c:v>
                </c:pt>
                <c:pt idx="11">
                  <c:v>0.89226272197643275</c:v>
                </c:pt>
                <c:pt idx="12">
                  <c:v>0.88679942717942883</c:v>
                </c:pt>
                <c:pt idx="13">
                  <c:v>0.88095179460081008</c:v>
                </c:pt>
                <c:pt idx="14">
                  <c:v>0.87772318475468825</c:v>
                </c:pt>
                <c:pt idx="15">
                  <c:v>0.86770078317840027</c:v>
                </c:pt>
                <c:pt idx="16">
                  <c:v>0.86574272070870828</c:v>
                </c:pt>
                <c:pt idx="17">
                  <c:v>0.86549075777960993</c:v>
                </c:pt>
                <c:pt idx="18">
                  <c:v>0.86577013790386059</c:v>
                </c:pt>
                <c:pt idx="19">
                  <c:v>0.86997981726285112</c:v>
                </c:pt>
                <c:pt idx="20">
                  <c:v>0.87189306186957694</c:v>
                </c:pt>
                <c:pt idx="21">
                  <c:v>0.87437651721669352</c:v>
                </c:pt>
                <c:pt idx="22">
                  <c:v>0.87700632056768146</c:v>
                </c:pt>
                <c:pt idx="23">
                  <c:v>0.87874062132154951</c:v>
                </c:pt>
                <c:pt idx="24">
                  <c:v>0.88087735897547703</c:v>
                </c:pt>
                <c:pt idx="25">
                  <c:v>0.88112626775556913</c:v>
                </c:pt>
                <c:pt idx="26">
                  <c:v>0.88461575796637981</c:v>
                </c:pt>
                <c:pt idx="27">
                  <c:v>0.88469897213370752</c:v>
                </c:pt>
                <c:pt idx="28">
                  <c:v>0.88605211959328889</c:v>
                </c:pt>
                <c:pt idx="29">
                  <c:v>0.88664737754182976</c:v>
                </c:pt>
                <c:pt idx="30">
                  <c:v>0.88818847821278912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314688"/>
        <c:axId val="307308800"/>
      </c:lineChart>
      <c:catAx>
        <c:axId val="30730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7307264"/>
        <c:crosses val="autoZero"/>
        <c:auto val="1"/>
        <c:lblAlgn val="ctr"/>
        <c:lblOffset val="100"/>
        <c:noMultiLvlLbl val="0"/>
      </c:catAx>
      <c:valAx>
        <c:axId val="30730726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07305472"/>
        <c:crosses val="autoZero"/>
        <c:crossBetween val="between"/>
      </c:valAx>
      <c:valAx>
        <c:axId val="3073088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07314688"/>
        <c:crosses val="max"/>
        <c:crossBetween val="between"/>
      </c:valAx>
      <c:catAx>
        <c:axId val="307314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07308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Ga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Documents%20Network%20Produksi%20-%20PM\2025\5.%20MEI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ug"/>
      <sheetName val="Sept"/>
      <sheetName val="Okt"/>
      <sheetName val="Nov"/>
      <sheetName val="Des"/>
      <sheetName val="%error"/>
      <sheetName val="P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N4">
            <v>11510</v>
          </cell>
        </row>
        <row r="5">
          <cell r="N5">
            <v>13439</v>
          </cell>
        </row>
        <row r="6">
          <cell r="N6">
            <v>13715</v>
          </cell>
        </row>
        <row r="7">
          <cell r="N7">
            <v>13512</v>
          </cell>
        </row>
        <row r="8">
          <cell r="N8">
            <v>11901</v>
          </cell>
        </row>
        <row r="9">
          <cell r="N9">
            <v>13499</v>
          </cell>
        </row>
        <row r="10">
          <cell r="N10">
            <v>13363</v>
          </cell>
        </row>
        <row r="11">
          <cell r="N11">
            <v>13940</v>
          </cell>
        </row>
        <row r="12">
          <cell r="N12">
            <v>13680</v>
          </cell>
        </row>
        <row r="13">
          <cell r="N13">
            <v>14042</v>
          </cell>
        </row>
        <row r="14">
          <cell r="N14">
            <v>13299</v>
          </cell>
        </row>
        <row r="15">
          <cell r="N15">
            <v>14135</v>
          </cell>
        </row>
        <row r="16">
          <cell r="N16">
            <v>13140</v>
          </cell>
        </row>
        <row r="17">
          <cell r="N17">
            <v>14022</v>
          </cell>
        </row>
        <row r="18">
          <cell r="N18">
            <v>13962</v>
          </cell>
        </row>
        <row r="19">
          <cell r="M19">
            <v>11224</v>
          </cell>
        </row>
        <row r="20">
          <cell r="N20">
            <v>13592</v>
          </cell>
        </row>
        <row r="21">
          <cell r="N21">
            <v>13537</v>
          </cell>
        </row>
        <row r="22">
          <cell r="N22">
            <v>14436</v>
          </cell>
        </row>
        <row r="23">
          <cell r="N23">
            <v>14197</v>
          </cell>
        </row>
        <row r="24">
          <cell r="N24">
            <v>14604</v>
          </cell>
        </row>
        <row r="25">
          <cell r="N25">
            <v>14061</v>
          </cell>
        </row>
        <row r="26">
          <cell r="N26">
            <v>14065</v>
          </cell>
        </row>
        <row r="27">
          <cell r="N27">
            <v>14165</v>
          </cell>
        </row>
        <row r="28">
          <cell r="N28">
            <v>14335</v>
          </cell>
        </row>
        <row r="29">
          <cell r="N29">
            <v>14443</v>
          </cell>
        </row>
        <row r="30">
          <cell r="N30">
            <v>14323</v>
          </cell>
        </row>
        <row r="31">
          <cell r="N31">
            <v>15290</v>
          </cell>
        </row>
        <row r="32">
          <cell r="N32">
            <v>14619</v>
          </cell>
        </row>
        <row r="33">
          <cell r="N33">
            <v>14588</v>
          </cell>
        </row>
        <row r="34">
          <cell r="N34">
            <v>14620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D7">
            <v>0</v>
          </cell>
          <cell r="AH7">
            <v>4899.9999999996362</v>
          </cell>
          <cell r="AI7">
            <v>7643.33</v>
          </cell>
          <cell r="AJ7">
            <v>24803.33</v>
          </cell>
        </row>
        <row r="8">
          <cell r="AH8">
            <v>4799.9999999992724</v>
          </cell>
          <cell r="AI8">
            <v>5877.95</v>
          </cell>
          <cell r="AJ8">
            <v>23037.95</v>
          </cell>
        </row>
        <row r="9">
          <cell r="AH9">
            <v>4899.9999999996362</v>
          </cell>
          <cell r="AI9">
            <v>8774.42</v>
          </cell>
          <cell r="AJ9">
            <v>26934.42</v>
          </cell>
        </row>
        <row r="10">
          <cell r="AH10">
            <v>4900.0000000014552</v>
          </cell>
          <cell r="AI10">
            <v>4735.76</v>
          </cell>
          <cell r="AJ10">
            <v>22895.759999999998</v>
          </cell>
        </row>
        <row r="11">
          <cell r="AH11">
            <v>4599.9999999985448</v>
          </cell>
          <cell r="AI11">
            <v>5781.91</v>
          </cell>
          <cell r="AJ11">
            <v>23941.91</v>
          </cell>
        </row>
        <row r="12">
          <cell r="AH12">
            <v>4700.0000000007276</v>
          </cell>
          <cell r="AI12">
            <v>6566.99</v>
          </cell>
          <cell r="AJ12">
            <v>22726.99</v>
          </cell>
        </row>
        <row r="13">
          <cell r="AH13">
            <v>4899.9999999996362</v>
          </cell>
          <cell r="AI13">
            <v>7211.79</v>
          </cell>
          <cell r="AJ13">
            <v>26371.79</v>
          </cell>
        </row>
        <row r="14">
          <cell r="AH14">
            <v>4600.0000000003638</v>
          </cell>
          <cell r="AI14">
            <v>5915.19</v>
          </cell>
          <cell r="AJ14">
            <v>26075.19</v>
          </cell>
        </row>
        <row r="15">
          <cell r="AH15">
            <v>4600.0000000003638</v>
          </cell>
          <cell r="AI15">
            <v>7499.16</v>
          </cell>
          <cell r="AJ15">
            <v>27659.16</v>
          </cell>
        </row>
        <row r="16">
          <cell r="AH16">
            <v>4699.9999999989086</v>
          </cell>
          <cell r="AI16">
            <v>6576.3</v>
          </cell>
          <cell r="AJ16">
            <v>27736.3</v>
          </cell>
        </row>
        <row r="17">
          <cell r="AH17">
            <v>4700.0000000007276</v>
          </cell>
          <cell r="AI17">
            <v>5502.62</v>
          </cell>
          <cell r="AJ17">
            <v>24662.62</v>
          </cell>
        </row>
        <row r="18">
          <cell r="AH18">
            <v>4600.0000000003638</v>
          </cell>
          <cell r="AI18">
            <v>9089.24</v>
          </cell>
          <cell r="AJ18">
            <v>28249.24</v>
          </cell>
        </row>
        <row r="19">
          <cell r="AH19">
            <v>5199.9999999989086</v>
          </cell>
          <cell r="AI19">
            <v>7805.41</v>
          </cell>
          <cell r="AJ19">
            <v>27965.41</v>
          </cell>
        </row>
        <row r="20">
          <cell r="AH20">
            <v>4600.0000000003638</v>
          </cell>
          <cell r="AI20">
            <v>6553.41</v>
          </cell>
          <cell r="AJ20">
            <v>23713.41</v>
          </cell>
        </row>
        <row r="21">
          <cell r="AH21">
            <v>4500</v>
          </cell>
          <cell r="AI21">
            <v>7780.55</v>
          </cell>
          <cell r="AJ21">
            <v>24940.55</v>
          </cell>
        </row>
        <row r="22">
          <cell r="AH22">
            <v>4800.0000000010914</v>
          </cell>
          <cell r="AI22">
            <v>7046.77</v>
          </cell>
          <cell r="AJ22">
            <v>25206.77</v>
          </cell>
        </row>
        <row r="23">
          <cell r="AH23">
            <v>4500</v>
          </cell>
          <cell r="AI23">
            <v>7742.5599999999995</v>
          </cell>
          <cell r="AJ23">
            <v>26902.560000000001</v>
          </cell>
        </row>
        <row r="24">
          <cell r="AH24">
            <v>4899.9999999996362</v>
          </cell>
          <cell r="AI24">
            <v>7295.9</v>
          </cell>
          <cell r="AJ24">
            <v>26455.9</v>
          </cell>
        </row>
        <row r="25">
          <cell r="AH25">
            <v>4799.9999999992724</v>
          </cell>
          <cell r="AI25">
            <v>7452.73</v>
          </cell>
          <cell r="AJ25">
            <v>27612.73</v>
          </cell>
        </row>
        <row r="26">
          <cell r="AH26">
            <v>4800.0000000010914</v>
          </cell>
          <cell r="AI26">
            <v>6966.86</v>
          </cell>
          <cell r="AJ26">
            <v>26126.86</v>
          </cell>
        </row>
        <row r="27">
          <cell r="AH27">
            <v>4899.9999999996362</v>
          </cell>
          <cell r="AI27">
            <v>6239.59</v>
          </cell>
          <cell r="AJ27">
            <v>27399.59</v>
          </cell>
        </row>
        <row r="28">
          <cell r="AH28">
            <v>4600.0000000003638</v>
          </cell>
          <cell r="AI28">
            <v>5880.39</v>
          </cell>
          <cell r="AJ28">
            <v>25040.39</v>
          </cell>
        </row>
        <row r="29">
          <cell r="AH29">
            <v>4799.9999999992724</v>
          </cell>
          <cell r="AI29">
            <v>7691.2</v>
          </cell>
          <cell r="AJ29">
            <v>25851.200000000001</v>
          </cell>
        </row>
        <row r="30">
          <cell r="AH30">
            <v>4700.0000000007276</v>
          </cell>
          <cell r="AI30">
            <v>7239.69</v>
          </cell>
          <cell r="AJ30">
            <v>27399.69</v>
          </cell>
        </row>
        <row r="31">
          <cell r="AH31">
            <v>4799.9999999992724</v>
          </cell>
          <cell r="AI31">
            <v>5757.93</v>
          </cell>
          <cell r="AJ31">
            <v>27917.93</v>
          </cell>
        </row>
        <row r="32">
          <cell r="AH32">
            <v>4700.0000000007276</v>
          </cell>
          <cell r="AI32">
            <v>7821.68</v>
          </cell>
          <cell r="AJ32">
            <v>27981.68</v>
          </cell>
        </row>
        <row r="33">
          <cell r="AH33">
            <v>5000</v>
          </cell>
          <cell r="AI33">
            <v>7347.53</v>
          </cell>
          <cell r="AJ33">
            <v>28507.53</v>
          </cell>
        </row>
        <row r="34">
          <cell r="AH34">
            <v>4799.9999999992724</v>
          </cell>
          <cell r="AI34">
            <v>7754.83</v>
          </cell>
          <cell r="AJ34">
            <v>26914.83</v>
          </cell>
        </row>
        <row r="35">
          <cell r="AH35">
            <v>4899.9999999996362</v>
          </cell>
          <cell r="AI35">
            <v>7135.5</v>
          </cell>
          <cell r="AJ35">
            <v>27295.5</v>
          </cell>
        </row>
        <row r="36">
          <cell r="AH36">
            <v>4800.0000000010914</v>
          </cell>
          <cell r="AI36">
            <v>7014.5</v>
          </cell>
          <cell r="AJ36">
            <v>26174.5</v>
          </cell>
        </row>
        <row r="37">
          <cell r="AH37">
            <v>4699.9999999989086</v>
          </cell>
          <cell r="AI37">
            <v>7199.36</v>
          </cell>
          <cell r="AJ37">
            <v>27359.360000000001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D65536"/>
  <sheetViews>
    <sheetView zoomScale="86" zoomScaleNormal="86" workbookViewId="0">
      <pane xSplit="3" ySplit="8" topLeftCell="P13" activePane="bottomRight" state="frozen"/>
      <selection pane="topRight" activeCell="E1" sqref="E1"/>
      <selection pane="bottomLeft" activeCell="A9" sqref="A9"/>
      <selection pane="bottomRight" activeCell="AT42" sqref="AT42"/>
    </sheetView>
  </sheetViews>
  <sheetFormatPr defaultColWidth="9.140625" defaultRowHeight="12.75"/>
  <cols>
    <col min="1" max="1" width="7.5703125" style="275" customWidth="1"/>
    <col min="2" max="2" width="12" style="274" customWidth="1"/>
    <col min="3" max="3" width="12.28515625" style="274" bestFit="1" customWidth="1"/>
    <col min="4" max="4" width="8.28515625" style="274" customWidth="1"/>
    <col min="5" max="5" width="8" style="274" customWidth="1"/>
    <col min="6" max="6" width="6.85546875" style="274" customWidth="1"/>
    <col min="7" max="11" width="8.7109375" style="274" customWidth="1"/>
    <col min="12" max="12" width="8.7109375" style="276" customWidth="1"/>
    <col min="13" max="15" width="8.7109375" style="277" customWidth="1"/>
    <col min="16" max="16" width="8.7109375" style="276" customWidth="1"/>
    <col min="17" max="17" width="8.7109375" style="277" customWidth="1"/>
    <col min="18" max="18" width="8.7109375" style="276" customWidth="1"/>
    <col min="19" max="19" width="8.7109375" style="278" customWidth="1"/>
    <col min="20" max="20" width="10.7109375" style="278" bestFit="1" customWidth="1"/>
    <col min="21" max="21" width="10.140625" style="278" bestFit="1" customWidth="1"/>
    <col min="22" max="25" width="8.7109375" style="278" customWidth="1"/>
    <col min="26" max="27" width="7.7109375" style="278" customWidth="1"/>
    <col min="28" max="29" width="7.7109375" style="279" customWidth="1"/>
    <col min="30" max="30" width="7.7109375" style="278" customWidth="1"/>
    <col min="31" max="31" width="7.7109375" style="279" customWidth="1"/>
    <col min="32" max="32" width="8.85546875" style="278" customWidth="1"/>
    <col min="33" max="33" width="11.140625" style="278" customWidth="1"/>
    <col min="34" max="37" width="7.5703125" style="279" customWidth="1"/>
    <col min="38" max="38" width="10.140625" bestFit="1" customWidth="1"/>
    <col min="42" max="42" width="10.28515625" style="448" bestFit="1" customWidth="1"/>
    <col min="43" max="43" width="9.7109375" style="472" bestFit="1" customWidth="1"/>
    <col min="50" max="52" width="9.5703125" bestFit="1" customWidth="1"/>
    <col min="53" max="53" width="8.7109375" style="276" customWidth="1"/>
    <col min="54" max="54" width="8.7109375" style="277" customWidth="1"/>
    <col min="55" max="56" width="8.7109375" style="274" customWidth="1"/>
  </cols>
  <sheetData>
    <row r="1" spans="1:56" ht="12.75" customHeight="1">
      <c r="A1" s="273"/>
    </row>
    <row r="2" spans="1:56">
      <c r="A2" s="273"/>
    </row>
    <row r="3" spans="1:56" ht="12.75" customHeight="1">
      <c r="A3" s="607" t="s">
        <v>184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BA3"/>
      <c r="BB3"/>
      <c r="BC3"/>
      <c r="BD3"/>
    </row>
    <row r="4" spans="1:56" ht="12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607"/>
      <c r="R4" s="607"/>
      <c r="S4" s="607"/>
      <c r="T4" s="607"/>
      <c r="U4" s="607"/>
      <c r="V4" s="607"/>
      <c r="W4" s="607"/>
      <c r="X4" s="607"/>
      <c r="Y4" s="607"/>
      <c r="Z4" s="607"/>
      <c r="AA4" s="607"/>
      <c r="AB4" s="607"/>
      <c r="AC4" s="607"/>
      <c r="AD4" s="607"/>
      <c r="AE4" s="607"/>
      <c r="AF4" s="607"/>
      <c r="AG4" s="607"/>
      <c r="AH4" s="607"/>
      <c r="AI4" s="607"/>
      <c r="AJ4" s="607"/>
      <c r="AK4" s="607"/>
      <c r="AL4" s="446"/>
      <c r="AM4" s="447"/>
      <c r="AN4" s="447"/>
      <c r="BA4"/>
      <c r="BB4"/>
      <c r="BC4"/>
      <c r="BD4"/>
    </row>
    <row r="5" spans="1:56">
      <c r="H5" s="276"/>
      <c r="I5" s="277"/>
      <c r="J5" s="277"/>
      <c r="K5" s="277"/>
      <c r="BC5" s="277"/>
      <c r="BD5" s="277"/>
    </row>
    <row r="6" spans="1:56" ht="22.7" customHeight="1">
      <c r="A6" s="608" t="s">
        <v>8</v>
      </c>
      <c r="B6" s="593" t="s">
        <v>9</v>
      </c>
      <c r="C6" s="593" t="s">
        <v>5</v>
      </c>
      <c r="D6" s="593" t="s">
        <v>177</v>
      </c>
      <c r="E6" s="593" t="s">
        <v>178</v>
      </c>
      <c r="F6" s="593" t="s">
        <v>174</v>
      </c>
      <c r="G6" s="593" t="s">
        <v>173</v>
      </c>
      <c r="H6" s="593" t="s">
        <v>175</v>
      </c>
      <c r="I6" s="593" t="s">
        <v>176</v>
      </c>
      <c r="J6" s="595" t="s">
        <v>180</v>
      </c>
      <c r="K6" s="596"/>
      <c r="L6" s="594" t="s">
        <v>179</v>
      </c>
      <c r="M6" s="594"/>
      <c r="N6" s="594" t="s">
        <v>181</v>
      </c>
      <c r="O6" s="594"/>
      <c r="P6" s="601" t="s">
        <v>30</v>
      </c>
      <c r="Q6" s="601"/>
      <c r="R6" s="599" t="s">
        <v>23</v>
      </c>
      <c r="S6" s="599"/>
      <c r="T6" s="599" t="s">
        <v>31</v>
      </c>
      <c r="U6" s="599"/>
      <c r="V6" s="599"/>
      <c r="W6" s="599"/>
      <c r="X6" s="599"/>
      <c r="Y6" s="599"/>
      <c r="Z6" s="599" t="s">
        <v>32</v>
      </c>
      <c r="AA6" s="599"/>
      <c r="AB6" s="599"/>
      <c r="AC6" s="599"/>
      <c r="AD6" s="599"/>
      <c r="AE6" s="599"/>
      <c r="AF6" s="599" t="s">
        <v>33</v>
      </c>
      <c r="AG6" s="599"/>
      <c r="AH6" s="599"/>
      <c r="AI6" s="599"/>
      <c r="AJ6" s="599"/>
      <c r="AK6" s="599"/>
      <c r="BA6" s="594" t="s">
        <v>375</v>
      </c>
      <c r="BB6" s="594"/>
      <c r="BC6" s="595" t="s">
        <v>376</v>
      </c>
      <c r="BD6" s="596"/>
    </row>
    <row r="7" spans="1:56" ht="22.7" customHeight="1">
      <c r="A7" s="609"/>
      <c r="B7" s="593"/>
      <c r="C7" s="593"/>
      <c r="D7" s="593"/>
      <c r="E7" s="593"/>
      <c r="F7" s="593"/>
      <c r="G7" s="593"/>
      <c r="H7" s="593"/>
      <c r="I7" s="593"/>
      <c r="J7" s="597"/>
      <c r="K7" s="598"/>
      <c r="L7" s="594"/>
      <c r="M7" s="594"/>
      <c r="N7" s="594"/>
      <c r="O7" s="594"/>
      <c r="P7" s="601"/>
      <c r="Q7" s="601"/>
      <c r="R7" s="599"/>
      <c r="S7" s="599"/>
      <c r="T7" s="599" t="s">
        <v>36</v>
      </c>
      <c r="U7" s="599"/>
      <c r="V7" s="599" t="s">
        <v>34</v>
      </c>
      <c r="W7" s="599"/>
      <c r="X7" s="599" t="s">
        <v>35</v>
      </c>
      <c r="Y7" s="599"/>
      <c r="Z7" s="599" t="s">
        <v>36</v>
      </c>
      <c r="AA7" s="599"/>
      <c r="AB7" s="600" t="s">
        <v>34</v>
      </c>
      <c r="AC7" s="600"/>
      <c r="AD7" s="599" t="s">
        <v>35</v>
      </c>
      <c r="AE7" s="599"/>
      <c r="AF7" s="599" t="s">
        <v>36</v>
      </c>
      <c r="AG7" s="599"/>
      <c r="AH7" s="599" t="s">
        <v>26</v>
      </c>
      <c r="AI7" s="599"/>
      <c r="AJ7" s="599" t="s">
        <v>27</v>
      </c>
      <c r="AK7" s="599"/>
      <c r="AL7" s="590" t="s">
        <v>270</v>
      </c>
      <c r="AM7" s="591"/>
      <c r="AN7" s="591"/>
      <c r="AO7" s="592" t="s">
        <v>225</v>
      </c>
      <c r="AP7" s="473" t="s">
        <v>271</v>
      </c>
      <c r="AQ7" s="474" t="s">
        <v>135</v>
      </c>
      <c r="AR7" s="602" t="s">
        <v>272</v>
      </c>
      <c r="AS7" s="603"/>
      <c r="AT7" s="603"/>
      <c r="AU7" s="604" t="s">
        <v>273</v>
      </c>
      <c r="AV7" s="605"/>
      <c r="AW7" s="605"/>
      <c r="AX7" s="606" t="s">
        <v>287</v>
      </c>
      <c r="AY7" s="606"/>
      <c r="AZ7" s="606"/>
      <c r="BA7" s="594"/>
      <c r="BB7" s="594"/>
      <c r="BC7" s="597"/>
      <c r="BD7" s="598"/>
    </row>
    <row r="8" spans="1:56" s="1" customFormat="1">
      <c r="A8" s="610"/>
      <c r="B8" s="593"/>
      <c r="C8" s="593"/>
      <c r="D8" s="593"/>
      <c r="E8" s="593"/>
      <c r="F8" s="593"/>
      <c r="G8" s="593"/>
      <c r="H8" s="593"/>
      <c r="I8" s="593"/>
      <c r="J8" s="419" t="s">
        <v>37</v>
      </c>
      <c r="K8" s="417" t="s">
        <v>38</v>
      </c>
      <c r="L8" s="280" t="s">
        <v>37</v>
      </c>
      <c r="M8" s="281" t="s">
        <v>38</v>
      </c>
      <c r="N8" s="280" t="s">
        <v>37</v>
      </c>
      <c r="O8" s="281" t="s">
        <v>38</v>
      </c>
      <c r="P8" s="280" t="s">
        <v>37</v>
      </c>
      <c r="Q8" s="281" t="s">
        <v>38</v>
      </c>
      <c r="R8" s="280" t="s">
        <v>37</v>
      </c>
      <c r="S8" s="282" t="s">
        <v>38</v>
      </c>
      <c r="T8" s="285" t="s">
        <v>37</v>
      </c>
      <c r="U8" s="281" t="s">
        <v>38</v>
      </c>
      <c r="V8" s="286" t="s">
        <v>37</v>
      </c>
      <c r="W8" s="281" t="s">
        <v>38</v>
      </c>
      <c r="X8" s="286" t="s">
        <v>37</v>
      </c>
      <c r="Y8" s="281" t="s">
        <v>38</v>
      </c>
      <c r="Z8" s="283" t="s">
        <v>37</v>
      </c>
      <c r="AA8" s="282" t="s">
        <v>38</v>
      </c>
      <c r="AB8" s="284" t="s">
        <v>37</v>
      </c>
      <c r="AC8" s="287" t="s">
        <v>38</v>
      </c>
      <c r="AD8" s="283" t="s">
        <v>37</v>
      </c>
      <c r="AE8" s="287" t="s">
        <v>38</v>
      </c>
      <c r="AF8" s="283" t="s">
        <v>37</v>
      </c>
      <c r="AG8" s="282" t="s">
        <v>38</v>
      </c>
      <c r="AH8" s="284" t="s">
        <v>37</v>
      </c>
      <c r="AI8" s="287" t="s">
        <v>38</v>
      </c>
      <c r="AJ8" s="284" t="s">
        <v>37</v>
      </c>
      <c r="AK8" s="287" t="s">
        <v>38</v>
      </c>
      <c r="AL8" s="1">
        <v>14</v>
      </c>
      <c r="AM8" s="1">
        <v>15</v>
      </c>
      <c r="AN8" s="1">
        <v>17</v>
      </c>
      <c r="AO8" s="592"/>
      <c r="AP8" s="475" t="s">
        <v>274</v>
      </c>
      <c r="AQ8" s="476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80" t="s">
        <v>37</v>
      </c>
      <c r="BB8" s="281" t="s">
        <v>38</v>
      </c>
      <c r="BC8" s="419" t="s">
        <v>37</v>
      </c>
      <c r="BD8" s="417" t="s">
        <v>38</v>
      </c>
    </row>
    <row r="9" spans="1:56" s="392" customFormat="1" ht="12.75" customHeight="1">
      <c r="A9" s="406">
        <v>45992</v>
      </c>
      <c r="B9" s="415" t="s">
        <v>7</v>
      </c>
      <c r="C9" s="393" t="s">
        <v>410</v>
      </c>
      <c r="D9" s="385">
        <f>+'1'!F42</f>
        <v>1144.9714285714285</v>
      </c>
      <c r="E9" s="385">
        <f>+'1'!G42</f>
        <v>870.17828571428572</v>
      </c>
      <c r="F9" s="45">
        <f t="shared" ref="F9:F39" si="0">1-(E9/D9)</f>
        <v>0.24</v>
      </c>
      <c r="G9" s="411">
        <f>+P9/N9</f>
        <v>0.54265103120854841</v>
      </c>
      <c r="H9" s="407">
        <f>+P9/L9</f>
        <v>0.54265103120854841</v>
      </c>
      <c r="I9" s="407">
        <f>+R9/P9</f>
        <v>0.94093167952809997</v>
      </c>
      <c r="J9" s="412">
        <f>+R9/L9</f>
        <v>0.51059754619271491</v>
      </c>
      <c r="K9" s="412">
        <f>+S9/M9</f>
        <v>0.51059754619271491</v>
      </c>
      <c r="L9" s="386">
        <f>+Efficiency1!K6</f>
        <v>45.611265023999998</v>
      </c>
      <c r="M9" s="387">
        <f>L9</f>
        <v>45.611265023999998</v>
      </c>
      <c r="N9" s="386">
        <f>+Efficiency1!C6</f>
        <v>45.611265023999998</v>
      </c>
      <c r="O9" s="387">
        <f>N9</f>
        <v>45.611265023999998</v>
      </c>
      <c r="P9" s="387">
        <f>'1'!I38</f>
        <v>24.750999999999998</v>
      </c>
      <c r="Q9" s="387">
        <f>P9</f>
        <v>24.750999999999998</v>
      </c>
      <c r="R9" s="387">
        <f>'1'!I40</f>
        <v>23.289000000000001</v>
      </c>
      <c r="S9" s="387">
        <f>R9</f>
        <v>23.289000000000001</v>
      </c>
      <c r="T9" s="94">
        <f t="shared" ref="T9:T39" si="1">+AX9</f>
        <v>2979.9448656711115</v>
      </c>
      <c r="U9" s="288">
        <f>T9</f>
        <v>2979.9448656711115</v>
      </c>
      <c r="V9" s="288">
        <f>T9/P9</f>
        <v>120.3969482312275</v>
      </c>
      <c r="W9" s="288">
        <f>U9/Q9</f>
        <v>120.3969482312275</v>
      </c>
      <c r="X9" s="289">
        <f>IF(AND(R9&gt;0,T9&gt;0),(T9/(R9*1000))*1000,0)</f>
        <v>127.95503738550867</v>
      </c>
      <c r="Y9" s="288">
        <f>IF(AND(S9&gt;0,U9&gt;0),U9/S9,0)</f>
        <v>127.95503738550866</v>
      </c>
      <c r="Z9" s="389">
        <v>35.700000000000003</v>
      </c>
      <c r="AA9" s="390">
        <f>Z9</f>
        <v>35.700000000000003</v>
      </c>
      <c r="AB9" s="391">
        <f t="shared" ref="AB9:AB39" si="2">Z9/(P9)</f>
        <v>1.442365965011515</v>
      </c>
      <c r="AC9" s="391">
        <f t="shared" ref="AC9:AC39" si="3">AA9/(Q9)</f>
        <v>1.442365965011515</v>
      </c>
      <c r="AD9" s="386">
        <f t="shared" ref="AD9:AD39" si="4">IF(AND(R9&gt;0,Z9&gt;0),Z9/(R9),0)</f>
        <v>1.5329125338142471</v>
      </c>
      <c r="AE9" s="391">
        <f t="shared" ref="AE9:AE39" si="5">IF(AND(S9&gt;0,AA9&gt;0),AA9/(S9),0)</f>
        <v>1.5329125338142471</v>
      </c>
      <c r="AF9" s="390">
        <f>'1'!I46</f>
        <v>37346.65999999964</v>
      </c>
      <c r="AG9" s="390">
        <f>AF9</f>
        <v>37346.65999999964</v>
      </c>
      <c r="AH9" s="391">
        <f t="shared" ref="AH9:AH39" si="6">IF(AND(L9&gt;0,AF9&gt;0),(AF9/(P9*1000)*1000),0)</f>
        <v>1508.8949941416365</v>
      </c>
      <c r="AI9" s="391">
        <f t="shared" ref="AI9:AI39" si="7">IF(AND(M9&gt;0,AG9&gt;0),(AG9/(Q9*1000)*1000),0)</f>
        <v>1508.8949941416365</v>
      </c>
      <c r="AJ9" s="391">
        <f t="shared" ref="AJ9:AJ39" si="8">IF(AND(R9&gt;0,AF9&gt;0),(AF9/(R9*1000)*1000),0)</f>
        <v>1603.6180170895977</v>
      </c>
      <c r="AK9" s="391">
        <f t="shared" ref="AK9:AK39" si="9">IF(AND(S9&gt;0,AG9&gt;0),(AG9/(S9*1000)*1000),0)</f>
        <v>1603.6180170895977</v>
      </c>
      <c r="AL9" s="477">
        <v>2916.1</v>
      </c>
      <c r="AM9" s="478">
        <v>4471.7</v>
      </c>
      <c r="AN9" s="447">
        <v>3875.6</v>
      </c>
      <c r="AO9" s="447">
        <f>SUM(AL9:AN9)</f>
        <v>11263.4</v>
      </c>
      <c r="AP9" s="534">
        <f>+[1]Des!N4</f>
        <v>11510</v>
      </c>
      <c r="AQ9" s="479">
        <f t="shared" ref="AQ9:AQ39" si="10">+AP9-AO9</f>
        <v>246.60000000000036</v>
      </c>
      <c r="AR9" s="450">
        <f t="shared" ref="AR9:AR37" si="11">+AL9/AO9</f>
        <v>0.25890050961521388</v>
      </c>
      <c r="AS9" s="450">
        <f t="shared" ref="AS9:AS37" si="12">+AM9/AO9</f>
        <v>0.39701155956460749</v>
      </c>
      <c r="AT9" s="450">
        <f>1-AR9-AS9</f>
        <v>0.34408793082017858</v>
      </c>
      <c r="AU9" s="450">
        <f>+AR9*AQ9</f>
        <v>63.84486567111184</v>
      </c>
      <c r="AV9" s="450">
        <f>+AS9*AQ9</f>
        <v>97.903050588632354</v>
      </c>
      <c r="AW9" s="450">
        <f>+AT9*AQ9</f>
        <v>84.852083740256163</v>
      </c>
      <c r="AX9" s="392">
        <f t="shared" ref="AX9:AX37" si="13">+AL9+AU9</f>
        <v>2979.9448656711115</v>
      </c>
      <c r="AY9" s="392">
        <f t="shared" ref="AY9:AY37" si="14">+AM9+AV9</f>
        <v>4569.603050588632</v>
      </c>
      <c r="AZ9" s="392">
        <f t="shared" ref="AZ9:AZ37" si="15">+AN9+AW9</f>
        <v>3960.4520837402561</v>
      </c>
      <c r="BA9" s="386">
        <f>+Efficiency2!K6</f>
        <v>45.611265023999998</v>
      </c>
      <c r="BB9" s="387">
        <f>BA9</f>
        <v>45.611265023999998</v>
      </c>
      <c r="BC9" s="412">
        <f>+R9/BA9</f>
        <v>0.51059754619271491</v>
      </c>
      <c r="BD9" s="412">
        <f>+S9/BB9</f>
        <v>0.51059754619271491</v>
      </c>
    </row>
    <row r="10" spans="1:56" s="392" customFormat="1" ht="12.75" customHeight="1">
      <c r="A10" s="406">
        <f t="shared" ref="A10:A38" si="16">A9+1</f>
        <v>45993</v>
      </c>
      <c r="B10" s="415" t="s">
        <v>7</v>
      </c>
      <c r="C10" s="393" t="s">
        <v>426</v>
      </c>
      <c r="D10" s="385">
        <f>+'2'!F42</f>
        <v>1111.6666666666667</v>
      </c>
      <c r="E10" s="385">
        <f>+'2'!G42</f>
        <v>844.86666666666667</v>
      </c>
      <c r="F10" s="45">
        <f t="shared" si="0"/>
        <v>0.24</v>
      </c>
      <c r="G10" s="411">
        <f t="shared" ref="G10:G41" si="17">+P10/N10</f>
        <v>0.95800191575296068</v>
      </c>
      <c r="H10" s="407">
        <f t="shared" ref="H10:H41" si="18">+P10/L10</f>
        <v>0.95800191575296068</v>
      </c>
      <c r="I10" s="407">
        <f t="shared" ref="I10:I41" si="19">+R10/P10</f>
        <v>0.95611440955369453</v>
      </c>
      <c r="J10" s="412">
        <f t="shared" ref="J10:J41" si="20">+R10/L10</f>
        <v>0.91595943603145025</v>
      </c>
      <c r="K10" s="412">
        <f t="shared" ref="K10:K39" si="21">+S10/M10</f>
        <v>0.71466356375873541</v>
      </c>
      <c r="L10" s="386">
        <f>+SUM(Efficiency1!K12:K13)</f>
        <v>46.238947199999998</v>
      </c>
      <c r="M10" s="387">
        <f t="shared" ref="M10:O38" si="22">M9+L10</f>
        <v>91.850212223999989</v>
      </c>
      <c r="N10" s="386">
        <f>+SUM(Efficiency1!C12:C13)</f>
        <v>46.238947199999998</v>
      </c>
      <c r="O10" s="387">
        <f t="shared" si="22"/>
        <v>91.850212223999989</v>
      </c>
      <c r="P10" s="387">
        <f>'2'!I38</f>
        <v>44.296999999999997</v>
      </c>
      <c r="Q10" s="387">
        <f t="shared" ref="Q10:Q38" si="23">Q9+P10</f>
        <v>69.048000000000002</v>
      </c>
      <c r="R10" s="387">
        <f>'2'!I40</f>
        <v>42.353000000000002</v>
      </c>
      <c r="S10" s="387">
        <f t="shared" ref="S10:S38" si="24">S9+R10</f>
        <v>65.641999999999996</v>
      </c>
      <c r="T10" s="94">
        <f t="shared" si="1"/>
        <v>4610.0129446203309</v>
      </c>
      <c r="U10" s="12">
        <f t="shared" ref="U10:U38" si="25">T10+U9</f>
        <v>7589.957810291442</v>
      </c>
      <c r="V10" s="288">
        <f t="shared" ref="V10:V39" si="26">T10/P10</f>
        <v>104.07054528795022</v>
      </c>
      <c r="W10" s="288">
        <f t="shared" ref="W10:W39" si="27">U10/Q10</f>
        <v>109.92292043638399</v>
      </c>
      <c r="X10" s="289">
        <f t="shared" ref="X10:X39" si="28">IF(AND(R10&gt;0,T10&gt;0),(T10/(R10*1000))*1000,0)</f>
        <v>108.84737668217909</v>
      </c>
      <c r="Y10" s="288">
        <f t="shared" ref="Y10:Y39" si="29">IF(AND(S10&gt;0,U10&gt;0),U10/S10,0)</f>
        <v>115.62654718459892</v>
      </c>
      <c r="Z10" s="389">
        <v>54.4</v>
      </c>
      <c r="AA10" s="388">
        <f t="shared" ref="AA10:AA38" si="30">Z10+AA9</f>
        <v>90.1</v>
      </c>
      <c r="AB10" s="391">
        <f t="shared" si="2"/>
        <v>1.228074135946001</v>
      </c>
      <c r="AC10" s="391">
        <f t="shared" si="3"/>
        <v>1.3048893523346077</v>
      </c>
      <c r="AD10" s="386">
        <f t="shared" si="4"/>
        <v>1.2844426604963048</v>
      </c>
      <c r="AE10" s="391">
        <f t="shared" si="5"/>
        <v>1.3725968130160568</v>
      </c>
      <c r="AF10" s="390">
        <f>'2'!I46</f>
        <v>33715.899999999274</v>
      </c>
      <c r="AG10" s="388">
        <f t="shared" ref="AG10:AG38" si="31">AF10+AG9</f>
        <v>71062.559999998921</v>
      </c>
      <c r="AH10" s="391">
        <f t="shared" si="6"/>
        <v>761.13280809082494</v>
      </c>
      <c r="AI10" s="391">
        <f t="shared" si="7"/>
        <v>1029.1762252346036</v>
      </c>
      <c r="AJ10" s="391">
        <f t="shared" si="8"/>
        <v>796.06875546004471</v>
      </c>
      <c r="AK10" s="391">
        <f t="shared" si="9"/>
        <v>1082.5776179884665</v>
      </c>
      <c r="AL10" s="446">
        <v>4886.6000000000004</v>
      </c>
      <c r="AM10" s="447">
        <v>5539.8</v>
      </c>
      <c r="AN10" s="447">
        <v>3818.9</v>
      </c>
      <c r="AO10" s="447">
        <f>SUM(AL10:AN10)</f>
        <v>14245.300000000001</v>
      </c>
      <c r="AP10" s="564">
        <f>+[1]Des!N5</f>
        <v>13439</v>
      </c>
      <c r="AQ10" s="479">
        <f t="shared" si="10"/>
        <v>-806.30000000000109</v>
      </c>
      <c r="AR10" s="450">
        <f t="shared" si="11"/>
        <v>0.3430324387692783</v>
      </c>
      <c r="AS10" s="450">
        <f t="shared" si="12"/>
        <v>0.38888615894365158</v>
      </c>
      <c r="AT10" s="450">
        <f t="shared" ref="AT10:AT37" si="32">1-AR10-AS10</f>
        <v>0.26808140228707017</v>
      </c>
      <c r="AU10" s="450">
        <f t="shared" ref="AU10:AU37" si="33">+AR10*AQ10</f>
        <v>-276.58705537966949</v>
      </c>
      <c r="AV10" s="450">
        <f t="shared" ref="AV10:AV37" si="34">+AS10*AQ10</f>
        <v>-313.55890995626669</v>
      </c>
      <c r="AW10" s="450">
        <f>+AT10*AQ10</f>
        <v>-216.15403466406497</v>
      </c>
      <c r="AX10" s="392">
        <f t="shared" si="13"/>
        <v>4610.0129446203309</v>
      </c>
      <c r="AY10" s="392">
        <f t="shared" si="14"/>
        <v>5226.2410900437335</v>
      </c>
      <c r="AZ10" s="392">
        <f t="shared" si="15"/>
        <v>3602.7459653359351</v>
      </c>
      <c r="BA10" s="386">
        <f>+SUM(Efficiency2!K12:K13)</f>
        <v>46.238947199999998</v>
      </c>
      <c r="BB10" s="387">
        <f t="shared" ref="BB10:BB38" si="35">BB9+BA10</f>
        <v>91.850212223999989</v>
      </c>
      <c r="BC10" s="412">
        <f t="shared" ref="BC10:BC41" si="36">+R10/BA10</f>
        <v>0.91595943603145025</v>
      </c>
      <c r="BD10" s="412">
        <f t="shared" ref="BD10:BD39" si="37">+S10/BB10</f>
        <v>0.71466356375873541</v>
      </c>
    </row>
    <row r="11" spans="1:56" s="392" customFormat="1" ht="12.75" customHeight="1">
      <c r="A11" s="406">
        <f t="shared" si="16"/>
        <v>45994</v>
      </c>
      <c r="B11" s="415" t="s">
        <v>7</v>
      </c>
      <c r="C11" s="393" t="s">
        <v>433</v>
      </c>
      <c r="D11" s="385">
        <f>+'3'!F42</f>
        <v>1090</v>
      </c>
      <c r="E11" s="385">
        <f>+'3'!G42</f>
        <v>828.4000000000002</v>
      </c>
      <c r="F11" s="45">
        <f t="shared" si="0"/>
        <v>0.23999999999999977</v>
      </c>
      <c r="G11" s="411">
        <f t="shared" si="17"/>
        <v>0.95794970810531654</v>
      </c>
      <c r="H11" s="407">
        <f>+P11/L11</f>
        <v>0.95794970810531654</v>
      </c>
      <c r="I11" s="407">
        <f t="shared" si="19"/>
        <v>0.95660992228982922</v>
      </c>
      <c r="J11" s="412">
        <f t="shared" si="20"/>
        <v>0.91638419582819142</v>
      </c>
      <c r="K11" s="412">
        <f t="shared" si="21"/>
        <v>0.78178859574544624</v>
      </c>
      <c r="L11" s="386">
        <f>+Efficiency1!K16</f>
        <v>45.807206400000013</v>
      </c>
      <c r="M11" s="387">
        <f t="shared" si="22"/>
        <v>137.657418624</v>
      </c>
      <c r="N11" s="386">
        <f>+Efficiency1!C16</f>
        <v>45.807206400000013</v>
      </c>
      <c r="O11" s="387">
        <f t="shared" si="22"/>
        <v>137.657418624</v>
      </c>
      <c r="P11" s="387">
        <f>'3'!I38</f>
        <v>43.881</v>
      </c>
      <c r="Q11" s="387">
        <f t="shared" si="23"/>
        <v>112.929</v>
      </c>
      <c r="R11" s="387">
        <f>'3'!I40</f>
        <v>41.976999999999997</v>
      </c>
      <c r="S11" s="387">
        <f t="shared" si="24"/>
        <v>107.619</v>
      </c>
      <c r="T11" s="94">
        <f t="shared" si="1"/>
        <v>4861.9606999228736</v>
      </c>
      <c r="U11" s="12">
        <f t="shared" si="25"/>
        <v>12451.918510214316</v>
      </c>
      <c r="V11" s="288">
        <f t="shared" si="26"/>
        <v>110.79876711840828</v>
      </c>
      <c r="W11" s="288">
        <f t="shared" si="27"/>
        <v>110.26324956578307</v>
      </c>
      <c r="X11" s="289">
        <f t="shared" si="28"/>
        <v>115.82439669159001</v>
      </c>
      <c r="Y11" s="288">
        <f t="shared" si="29"/>
        <v>115.70371876912364</v>
      </c>
      <c r="Z11" s="389">
        <v>52.6</v>
      </c>
      <c r="AA11" s="388">
        <f t="shared" si="30"/>
        <v>142.69999999999999</v>
      </c>
      <c r="AB11" s="391">
        <f t="shared" si="2"/>
        <v>1.1986964745561861</v>
      </c>
      <c r="AC11" s="391">
        <f t="shared" si="3"/>
        <v>1.2636258179918354</v>
      </c>
      <c r="AD11" s="386">
        <f t="shared" si="4"/>
        <v>1.2530671558234272</v>
      </c>
      <c r="AE11" s="391">
        <f t="shared" si="5"/>
        <v>1.3259740380416096</v>
      </c>
      <c r="AF11" s="390">
        <f>'3'!I46</f>
        <v>40608.839999999633</v>
      </c>
      <c r="AG11" s="388">
        <f t="shared" si="31"/>
        <v>111671.39999999855</v>
      </c>
      <c r="AH11" s="391">
        <f t="shared" si="6"/>
        <v>925.43105216379831</v>
      </c>
      <c r="AI11" s="391">
        <f t="shared" si="7"/>
        <v>988.86379937835761</v>
      </c>
      <c r="AJ11" s="391">
        <f t="shared" si="8"/>
        <v>967.40691330966081</v>
      </c>
      <c r="AK11" s="391">
        <f t="shared" si="9"/>
        <v>1037.6550609093056</v>
      </c>
      <c r="AL11" s="446">
        <v>5147.8999999999996</v>
      </c>
      <c r="AM11" s="447">
        <v>5599.4</v>
      </c>
      <c r="AN11" s="447">
        <v>3774.3</v>
      </c>
      <c r="AO11" s="447">
        <f>SUM(AL11:AN11)</f>
        <v>14521.599999999999</v>
      </c>
      <c r="AP11" s="570">
        <f>+[1]Des!N6</f>
        <v>13715</v>
      </c>
      <c r="AQ11" s="479">
        <f t="shared" si="10"/>
        <v>-806.59999999999854</v>
      </c>
      <c r="AR11" s="450">
        <f t="shared" si="11"/>
        <v>0.35449950418686649</v>
      </c>
      <c r="AS11" s="450">
        <f t="shared" si="12"/>
        <v>0.38559111943587487</v>
      </c>
      <c r="AT11" s="450">
        <f t="shared" si="32"/>
        <v>0.25990937637725864</v>
      </c>
      <c r="AU11" s="450">
        <f t="shared" si="33"/>
        <v>-285.93930007712601</v>
      </c>
      <c r="AV11" s="450">
        <f t="shared" si="34"/>
        <v>-311.01779693697614</v>
      </c>
      <c r="AW11" s="450">
        <f t="shared" ref="AW11:AW37" si="38">+AT11*AQ11</f>
        <v>-209.64290298589643</v>
      </c>
      <c r="AX11" s="392">
        <f t="shared" si="13"/>
        <v>4861.9606999228736</v>
      </c>
      <c r="AY11" s="392">
        <f t="shared" si="14"/>
        <v>5288.3822030630236</v>
      </c>
      <c r="AZ11" s="392">
        <f t="shared" si="15"/>
        <v>3564.6570970141038</v>
      </c>
      <c r="BA11" s="386">
        <f>+Efficiency2!K16</f>
        <v>45.807206400000013</v>
      </c>
      <c r="BB11" s="387">
        <f t="shared" si="35"/>
        <v>137.657418624</v>
      </c>
      <c r="BC11" s="412">
        <f t="shared" si="36"/>
        <v>0.91638419582819142</v>
      </c>
      <c r="BD11" s="412">
        <f t="shared" si="37"/>
        <v>0.78178859574544624</v>
      </c>
    </row>
    <row r="12" spans="1:56" s="392" customFormat="1" ht="12.75" customHeight="1">
      <c r="A12" s="406">
        <f t="shared" si="16"/>
        <v>45995</v>
      </c>
      <c r="B12" s="415" t="s">
        <v>7</v>
      </c>
      <c r="C12" s="393" t="s">
        <v>440</v>
      </c>
      <c r="D12" s="385">
        <f>+'4'!F42</f>
        <v>1100.2083333333333</v>
      </c>
      <c r="E12" s="385">
        <f>+'4'!G42</f>
        <v>836.1583333333333</v>
      </c>
      <c r="F12" s="45">
        <f t="shared" si="0"/>
        <v>0.24</v>
      </c>
      <c r="G12" s="411">
        <f t="shared" si="17"/>
        <v>0.9838460181297769</v>
      </c>
      <c r="H12" s="407">
        <f t="shared" si="18"/>
        <v>0.9838460181297769</v>
      </c>
      <c r="I12" s="407">
        <f t="shared" si="19"/>
        <v>0.90973339071737602</v>
      </c>
      <c r="J12" s="412">
        <f t="shared" si="20"/>
        <v>0.89503757401699091</v>
      </c>
      <c r="K12" s="412">
        <f t="shared" si="21"/>
        <v>0.80962901821424338</v>
      </c>
      <c r="L12" s="386">
        <f>+SUM(Efficiency1!K20:K21)</f>
        <v>44.871859200000003</v>
      </c>
      <c r="M12" s="387">
        <f t="shared" si="22"/>
        <v>182.52927782400002</v>
      </c>
      <c r="N12" s="386">
        <f>+SUM(Efficiency1!C20:C21)</f>
        <v>44.871859200000003</v>
      </c>
      <c r="O12" s="387">
        <f t="shared" si="22"/>
        <v>182.52927782400002</v>
      </c>
      <c r="P12" s="387">
        <f>'4'!I38</f>
        <v>44.146999999999998</v>
      </c>
      <c r="Q12" s="387">
        <f t="shared" si="23"/>
        <v>157.07599999999999</v>
      </c>
      <c r="R12" s="387">
        <f>'4'!I40</f>
        <v>40.161999999999999</v>
      </c>
      <c r="S12" s="387">
        <f t="shared" si="24"/>
        <v>147.78100000000001</v>
      </c>
      <c r="T12" s="94">
        <f t="shared" si="1"/>
        <v>4821.1627413773858</v>
      </c>
      <c r="U12" s="12">
        <f t="shared" si="25"/>
        <v>17273.081251591702</v>
      </c>
      <c r="V12" s="288">
        <f t="shared" si="26"/>
        <v>109.20702972744209</v>
      </c>
      <c r="W12" s="288">
        <f t="shared" si="27"/>
        <v>109.96639366670722</v>
      </c>
      <c r="X12" s="289">
        <f t="shared" si="28"/>
        <v>120.04289481045231</v>
      </c>
      <c r="Y12" s="288">
        <f t="shared" si="29"/>
        <v>116.88296365291683</v>
      </c>
      <c r="Z12" s="389">
        <v>51.8</v>
      </c>
      <c r="AA12" s="388">
        <f t="shared" si="30"/>
        <v>194.5</v>
      </c>
      <c r="AB12" s="391">
        <f t="shared" si="2"/>
        <v>1.1733526626950868</v>
      </c>
      <c r="AC12" s="391">
        <f t="shared" si="3"/>
        <v>1.2382540935598054</v>
      </c>
      <c r="AD12" s="386">
        <f t="shared" si="4"/>
        <v>1.2897764055574921</v>
      </c>
      <c r="AE12" s="391">
        <f t="shared" si="5"/>
        <v>1.3161367158159709</v>
      </c>
      <c r="AF12" s="390">
        <f>'4'!I46</f>
        <v>32531.520000001452</v>
      </c>
      <c r="AG12" s="388">
        <f t="shared" si="31"/>
        <v>144202.92000000001</v>
      </c>
      <c r="AH12" s="391">
        <f t="shared" si="6"/>
        <v>736.89084195984901</v>
      </c>
      <c r="AI12" s="391">
        <f t="shared" si="7"/>
        <v>918.04553209911137</v>
      </c>
      <c r="AJ12" s="391">
        <f t="shared" si="8"/>
        <v>810.00746974755862</v>
      </c>
      <c r="AK12" s="391">
        <f t="shared" si="9"/>
        <v>975.78795650320421</v>
      </c>
      <c r="AL12" s="446">
        <v>5114.6000000000004</v>
      </c>
      <c r="AM12" s="447">
        <v>5480.3</v>
      </c>
      <c r="AN12" s="447">
        <v>3739.5</v>
      </c>
      <c r="AO12" s="447">
        <f>SUM(AL12:AN12)</f>
        <v>14334.400000000001</v>
      </c>
      <c r="AP12" s="571">
        <f>+[1]Des!N7</f>
        <v>13512</v>
      </c>
      <c r="AQ12" s="479">
        <f t="shared" si="10"/>
        <v>-822.40000000000146</v>
      </c>
      <c r="AR12" s="450">
        <f t="shared" si="11"/>
        <v>0.35680600513450161</v>
      </c>
      <c r="AS12" s="450">
        <f t="shared" si="12"/>
        <v>0.382318060051345</v>
      </c>
      <c r="AT12" s="450">
        <f t="shared" si="32"/>
        <v>0.26087593481415333</v>
      </c>
      <c r="AU12" s="450">
        <f t="shared" si="33"/>
        <v>-293.43725862261465</v>
      </c>
      <c r="AV12" s="450">
        <f t="shared" si="34"/>
        <v>-314.41837258622667</v>
      </c>
      <c r="AW12" s="450">
        <f t="shared" si="38"/>
        <v>-214.54436879116008</v>
      </c>
      <c r="AX12" s="392">
        <f t="shared" si="13"/>
        <v>4821.1627413773858</v>
      </c>
      <c r="AY12" s="392">
        <f t="shared" si="14"/>
        <v>5165.8816274137735</v>
      </c>
      <c r="AZ12" s="392">
        <f t="shared" si="15"/>
        <v>3524.9556312088398</v>
      </c>
      <c r="BA12" s="386">
        <f>+SUM(Efficiency2!K20:K21)</f>
        <v>44.871859200000003</v>
      </c>
      <c r="BB12" s="387">
        <f t="shared" si="35"/>
        <v>182.52927782400002</v>
      </c>
      <c r="BC12" s="412">
        <f t="shared" si="36"/>
        <v>0.89503757401699091</v>
      </c>
      <c r="BD12" s="412">
        <f t="shared" si="37"/>
        <v>0.80962901821424338</v>
      </c>
    </row>
    <row r="13" spans="1:56" s="392" customFormat="1" ht="12.75" customHeight="1">
      <c r="A13" s="406">
        <f t="shared" si="16"/>
        <v>45996</v>
      </c>
      <c r="B13" s="415" t="s">
        <v>7</v>
      </c>
      <c r="C13" s="393" t="s">
        <v>410</v>
      </c>
      <c r="D13" s="385">
        <f>+'5'!F42</f>
        <v>1100</v>
      </c>
      <c r="E13" s="385">
        <f>+'5'!G42</f>
        <v>836</v>
      </c>
      <c r="F13" s="45">
        <f t="shared" si="0"/>
        <v>0.24</v>
      </c>
      <c r="G13" s="411">
        <f t="shared" si="17"/>
        <v>0.97655827992300004</v>
      </c>
      <c r="H13" s="407">
        <f t="shared" si="18"/>
        <v>0.97655827992300004</v>
      </c>
      <c r="I13" s="407">
        <f t="shared" si="19"/>
        <v>1.0595709764388699</v>
      </c>
      <c r="J13" s="412">
        <f t="shared" si="20"/>
        <v>1.0347328102074764</v>
      </c>
      <c r="K13" s="412">
        <f t="shared" si="21"/>
        <v>0.85309467761000357</v>
      </c>
      <c r="L13" s="386">
        <f>+Efficiency1!K24</f>
        <v>43.678908752238804</v>
      </c>
      <c r="M13" s="387">
        <f t="shared" si="22"/>
        <v>226.20818657623883</v>
      </c>
      <c r="N13" s="386">
        <f>+Efficiency1!C24</f>
        <v>43.678908752238804</v>
      </c>
      <c r="O13" s="387">
        <f t="shared" si="22"/>
        <v>226.20818657623883</v>
      </c>
      <c r="P13" s="387">
        <f>'5'!I38</f>
        <v>42.655000000000001</v>
      </c>
      <c r="Q13" s="387">
        <f t="shared" si="23"/>
        <v>199.73099999999999</v>
      </c>
      <c r="R13" s="387">
        <f>'5'!I40</f>
        <v>45.195999999999998</v>
      </c>
      <c r="S13" s="387">
        <f t="shared" si="24"/>
        <v>192.977</v>
      </c>
      <c r="T13" s="94">
        <f t="shared" si="1"/>
        <v>4780.3967624277702</v>
      </c>
      <c r="U13" s="12">
        <f t="shared" si="25"/>
        <v>22053.478014019471</v>
      </c>
      <c r="V13" s="288">
        <f t="shared" si="26"/>
        <v>112.07119358639714</v>
      </c>
      <c r="W13" s="288">
        <f t="shared" si="27"/>
        <v>110.41589945486415</v>
      </c>
      <c r="X13" s="289">
        <f t="shared" si="28"/>
        <v>105.77035052720971</v>
      </c>
      <c r="Y13" s="288">
        <f t="shared" si="29"/>
        <v>114.28034436238241</v>
      </c>
      <c r="Z13" s="389">
        <v>54.4</v>
      </c>
      <c r="AA13" s="388">
        <f t="shared" si="30"/>
        <v>248.9</v>
      </c>
      <c r="AB13" s="391">
        <f t="shared" si="2"/>
        <v>1.2753487281678584</v>
      </c>
      <c r="AC13" s="391">
        <f t="shared" si="3"/>
        <v>1.2461761068637318</v>
      </c>
      <c r="AD13" s="386">
        <f t="shared" si="4"/>
        <v>1.2036463403841049</v>
      </c>
      <c r="AE13" s="391">
        <f t="shared" si="5"/>
        <v>1.2897910113640485</v>
      </c>
      <c r="AF13" s="390">
        <f>'5'!I46</f>
        <v>34323.819999998545</v>
      </c>
      <c r="AG13" s="388">
        <f t="shared" si="31"/>
        <v>178526.73999999856</v>
      </c>
      <c r="AH13" s="391">
        <f t="shared" si="6"/>
        <v>804.68456218493839</v>
      </c>
      <c r="AI13" s="391">
        <f t="shared" si="7"/>
        <v>893.83590929799857</v>
      </c>
      <c r="AJ13" s="391">
        <f t="shared" si="8"/>
        <v>759.44375608457699</v>
      </c>
      <c r="AK13" s="391">
        <f t="shared" si="9"/>
        <v>925.11926291733505</v>
      </c>
      <c r="AL13" s="446">
        <v>4900.7</v>
      </c>
      <c r="AM13" s="447">
        <v>5554.9</v>
      </c>
      <c r="AN13" s="447">
        <v>1744.9</v>
      </c>
      <c r="AO13" s="447">
        <f t="shared" ref="AO13:AO39" si="39">SUM(AL13:AN13)</f>
        <v>12200.499999999998</v>
      </c>
      <c r="AP13" s="572">
        <f>+[1]Des!N8</f>
        <v>11901</v>
      </c>
      <c r="AQ13" s="479">
        <f t="shared" si="10"/>
        <v>-299.49999999999818</v>
      </c>
      <c r="AR13" s="450">
        <f t="shared" si="11"/>
        <v>0.40168025900577847</v>
      </c>
      <c r="AS13" s="450">
        <f t="shared" si="12"/>
        <v>0.4553010122535962</v>
      </c>
      <c r="AT13" s="450">
        <f t="shared" si="32"/>
        <v>0.14301872874062538</v>
      </c>
      <c r="AU13" s="450">
        <f t="shared" si="33"/>
        <v>-120.30323757222992</v>
      </c>
      <c r="AV13" s="450">
        <f t="shared" si="34"/>
        <v>-136.36265316995124</v>
      </c>
      <c r="AW13" s="450">
        <f t="shared" si="38"/>
        <v>-42.83410925781704</v>
      </c>
      <c r="AX13" s="392">
        <f t="shared" si="13"/>
        <v>4780.3967624277702</v>
      </c>
      <c r="AY13" s="392">
        <f t="shared" si="14"/>
        <v>5418.5373468300486</v>
      </c>
      <c r="AZ13" s="392">
        <f t="shared" si="15"/>
        <v>1702.065890742183</v>
      </c>
      <c r="BA13" s="386">
        <f>+Efficiency2!K24</f>
        <v>43.678908752238804</v>
      </c>
      <c r="BB13" s="387">
        <f t="shared" si="35"/>
        <v>226.20818657623883</v>
      </c>
      <c r="BC13" s="412">
        <f t="shared" si="36"/>
        <v>1.0347328102074764</v>
      </c>
      <c r="BD13" s="412">
        <f t="shared" si="37"/>
        <v>0.85309467761000357</v>
      </c>
    </row>
    <row r="14" spans="1:56" s="392" customFormat="1" ht="12.75" customHeight="1">
      <c r="A14" s="406">
        <f t="shared" si="16"/>
        <v>45997</v>
      </c>
      <c r="B14" s="415" t="s">
        <v>7</v>
      </c>
      <c r="C14" s="393" t="s">
        <v>410</v>
      </c>
      <c r="D14" s="385">
        <f>+'6'!F42</f>
        <v>1100</v>
      </c>
      <c r="E14" s="385">
        <f>+'6'!G42</f>
        <v>836</v>
      </c>
      <c r="F14" s="45">
        <f t="shared" si="0"/>
        <v>0.24</v>
      </c>
      <c r="G14" s="411">
        <f t="shared" si="17"/>
        <v>0.96226937744794894</v>
      </c>
      <c r="H14" s="407">
        <f t="shared" si="18"/>
        <v>0.96226937744794894</v>
      </c>
      <c r="I14" s="407">
        <f t="shared" si="19"/>
        <v>0.96549910340705303</v>
      </c>
      <c r="J14" s="412">
        <f t="shared" si="20"/>
        <v>0.92907022116205784</v>
      </c>
      <c r="K14" s="412">
        <f t="shared" si="21"/>
        <v>0.86534014588667063</v>
      </c>
      <c r="L14" s="386">
        <f>+Efficiency1!K28</f>
        <v>43.464959999999998</v>
      </c>
      <c r="M14" s="387">
        <f t="shared" si="22"/>
        <v>269.67314657623882</v>
      </c>
      <c r="N14" s="386">
        <f>+Efficiency1!C28</f>
        <v>43.464959999999998</v>
      </c>
      <c r="O14" s="387">
        <f t="shared" si="22"/>
        <v>269.67314657623882</v>
      </c>
      <c r="P14" s="387">
        <f>'6'!I38</f>
        <v>41.825000000000003</v>
      </c>
      <c r="Q14" s="387">
        <f t="shared" si="23"/>
        <v>241.55599999999998</v>
      </c>
      <c r="R14" s="387">
        <f>'6'!I40</f>
        <v>40.381999999999998</v>
      </c>
      <c r="S14" s="387">
        <f t="shared" si="24"/>
        <v>233.35900000000001</v>
      </c>
      <c r="T14" s="94">
        <f t="shared" si="1"/>
        <v>4624.4871880827168</v>
      </c>
      <c r="U14" s="12">
        <f t="shared" si="25"/>
        <v>26677.965202102187</v>
      </c>
      <c r="V14" s="288">
        <f t="shared" si="26"/>
        <v>110.56753587765013</v>
      </c>
      <c r="W14" s="288">
        <f t="shared" si="27"/>
        <v>110.44215503693631</v>
      </c>
      <c r="X14" s="289">
        <f t="shared" si="28"/>
        <v>114.51852776194139</v>
      </c>
      <c r="Y14" s="288">
        <f t="shared" si="29"/>
        <v>114.32156120870498</v>
      </c>
      <c r="Z14" s="389">
        <v>55.6</v>
      </c>
      <c r="AA14" s="388">
        <f t="shared" si="30"/>
        <v>304.5</v>
      </c>
      <c r="AB14" s="391">
        <f t="shared" si="2"/>
        <v>1.3293484757919904</v>
      </c>
      <c r="AC14" s="391">
        <f t="shared" si="3"/>
        <v>1.2605772574475484</v>
      </c>
      <c r="AD14" s="386">
        <f t="shared" si="4"/>
        <v>1.3768510722599179</v>
      </c>
      <c r="AE14" s="391">
        <f t="shared" si="5"/>
        <v>1.3048564657887631</v>
      </c>
      <c r="AF14" s="390">
        <f>'6'!I46</f>
        <v>33993.980000000731</v>
      </c>
      <c r="AG14" s="388">
        <f t="shared" si="31"/>
        <v>212520.7199999993</v>
      </c>
      <c r="AH14" s="391">
        <f t="shared" si="6"/>
        <v>812.76700537957515</v>
      </c>
      <c r="AI14" s="391">
        <f t="shared" si="7"/>
        <v>879.79897001109202</v>
      </c>
      <c r="AJ14" s="391">
        <f t="shared" si="8"/>
        <v>841.81021247092099</v>
      </c>
      <c r="AK14" s="391">
        <f t="shared" si="9"/>
        <v>910.70290839435927</v>
      </c>
      <c r="AL14" s="446">
        <v>4905.3</v>
      </c>
      <c r="AM14" s="447">
        <v>5494.7</v>
      </c>
      <c r="AN14" s="447">
        <v>3918.7</v>
      </c>
      <c r="AO14" s="447">
        <f t="shared" si="39"/>
        <v>14318.7</v>
      </c>
      <c r="AP14" s="576">
        <f>+[1]Des!N9</f>
        <v>13499</v>
      </c>
      <c r="AQ14" s="479">
        <f t="shared" si="10"/>
        <v>-819.70000000000073</v>
      </c>
      <c r="AR14" s="450">
        <f t="shared" si="11"/>
        <v>0.34257998281966939</v>
      </c>
      <c r="AS14" s="450">
        <f t="shared" si="12"/>
        <v>0.38374293755718042</v>
      </c>
      <c r="AT14" s="450">
        <f>1-AR14-AS14</f>
        <v>0.27367707962315019</v>
      </c>
      <c r="AU14" s="450">
        <f t="shared" si="33"/>
        <v>-280.81281191728323</v>
      </c>
      <c r="AV14" s="450">
        <f t="shared" si="34"/>
        <v>-314.55408591562104</v>
      </c>
      <c r="AW14" s="450">
        <f t="shared" si="38"/>
        <v>-224.3331021670964</v>
      </c>
      <c r="AX14" s="392">
        <f t="shared" si="13"/>
        <v>4624.4871880827168</v>
      </c>
      <c r="AY14" s="392">
        <f t="shared" si="14"/>
        <v>5180.145914084379</v>
      </c>
      <c r="AZ14" s="392">
        <f t="shared" si="15"/>
        <v>3694.3668978329033</v>
      </c>
      <c r="BA14" s="386">
        <f>+Efficiency2!K28</f>
        <v>43.464959999999998</v>
      </c>
      <c r="BB14" s="387">
        <f t="shared" si="35"/>
        <v>269.67314657623882</v>
      </c>
      <c r="BC14" s="412">
        <f t="shared" si="36"/>
        <v>0.92907022116205784</v>
      </c>
      <c r="BD14" s="412">
        <f t="shared" si="37"/>
        <v>0.86534014588667063</v>
      </c>
    </row>
    <row r="15" spans="1:56" s="392" customFormat="1" ht="12.75" customHeight="1">
      <c r="A15" s="406">
        <f t="shared" si="16"/>
        <v>45998</v>
      </c>
      <c r="B15" s="415" t="s">
        <v>7</v>
      </c>
      <c r="C15" s="393" t="s">
        <v>410</v>
      </c>
      <c r="D15" s="385">
        <f>+'7'!F42</f>
        <v>1071.0277777777778</v>
      </c>
      <c r="E15" s="385">
        <f>+'7'!G42</f>
        <v>813.98111111111109</v>
      </c>
      <c r="F15" s="45">
        <f t="shared" si="0"/>
        <v>0.2400000000000001</v>
      </c>
      <c r="G15" s="411">
        <f t="shared" si="17"/>
        <v>0.97807054919764347</v>
      </c>
      <c r="H15" s="407">
        <f t="shared" si="18"/>
        <v>0.97807054919764347</v>
      </c>
      <c r="I15" s="407">
        <f t="shared" si="19"/>
        <v>0.99942487419122927</v>
      </c>
      <c r="J15" s="412">
        <f t="shared" si="20"/>
        <v>0.97750803558200139</v>
      </c>
      <c r="K15" s="412">
        <f t="shared" si="21"/>
        <v>0.88066233582324027</v>
      </c>
      <c r="L15" s="386">
        <f>+Efficiency1!K32</f>
        <v>42.665633919999998</v>
      </c>
      <c r="M15" s="387">
        <f t="shared" si="22"/>
        <v>312.33878049623883</v>
      </c>
      <c r="N15" s="386">
        <f>+Efficiency1!C32</f>
        <v>42.665633919999998</v>
      </c>
      <c r="O15" s="387">
        <f t="shared" si="22"/>
        <v>312.33878049623883</v>
      </c>
      <c r="P15" s="387">
        <f>'7'!I38</f>
        <v>41.730000000000004</v>
      </c>
      <c r="Q15" s="387">
        <f t="shared" si="23"/>
        <v>283.286</v>
      </c>
      <c r="R15" s="387">
        <f>'7'!I40</f>
        <v>41.706000000000003</v>
      </c>
      <c r="S15" s="387">
        <f t="shared" si="24"/>
        <v>275.065</v>
      </c>
      <c r="T15" s="94">
        <f t="shared" si="1"/>
        <v>4795.9416811217116</v>
      </c>
      <c r="U15" s="12">
        <f t="shared" si="25"/>
        <v>31473.906883223899</v>
      </c>
      <c r="V15" s="288">
        <f t="shared" si="26"/>
        <v>114.92790992383684</v>
      </c>
      <c r="W15" s="288">
        <f t="shared" si="27"/>
        <v>111.10293796101431</v>
      </c>
      <c r="X15" s="289">
        <f t="shared" si="28"/>
        <v>114.99404596752773</v>
      </c>
      <c r="Y15" s="288">
        <f t="shared" si="29"/>
        <v>114.42352492401396</v>
      </c>
      <c r="Z15" s="389">
        <v>54.6</v>
      </c>
      <c r="AA15" s="388">
        <f t="shared" si="30"/>
        <v>359.1</v>
      </c>
      <c r="AB15" s="391">
        <f t="shared" si="2"/>
        <v>1.308411214953271</v>
      </c>
      <c r="AC15" s="391">
        <f t="shared" si="3"/>
        <v>1.2676235324018836</v>
      </c>
      <c r="AD15" s="386">
        <f t="shared" si="4"/>
        <v>1.309164149043303</v>
      </c>
      <c r="AE15" s="391">
        <f t="shared" si="5"/>
        <v>1.3055096068202063</v>
      </c>
      <c r="AF15" s="390">
        <f>'7'!I46</f>
        <v>38483.579999999638</v>
      </c>
      <c r="AG15" s="388">
        <f t="shared" si="31"/>
        <v>251004.29999999894</v>
      </c>
      <c r="AH15" s="391">
        <f t="shared" si="6"/>
        <v>922.20416966210473</v>
      </c>
      <c r="AI15" s="391">
        <f t="shared" si="7"/>
        <v>886.04555113912772</v>
      </c>
      <c r="AJ15" s="391">
        <f t="shared" si="8"/>
        <v>922.73485829376204</v>
      </c>
      <c r="AK15" s="391">
        <f t="shared" si="9"/>
        <v>912.52722083870697</v>
      </c>
      <c r="AL15" s="446">
        <v>4965.7</v>
      </c>
      <c r="AM15" s="447">
        <v>4865.2</v>
      </c>
      <c r="AN15" s="447">
        <v>4005.1</v>
      </c>
      <c r="AO15" s="447">
        <f t="shared" si="39"/>
        <v>13836</v>
      </c>
      <c r="AP15" s="576">
        <f>+[1]Des!N10</f>
        <v>13363</v>
      </c>
      <c r="AQ15" s="479">
        <f t="shared" si="10"/>
        <v>-473</v>
      </c>
      <c r="AR15" s="450">
        <f t="shared" si="11"/>
        <v>0.35889708008094823</v>
      </c>
      <c r="AS15" s="450">
        <f t="shared" si="12"/>
        <v>0.35163342006360221</v>
      </c>
      <c r="AT15" s="450">
        <f>1-AR15-AS15</f>
        <v>0.28946949985544956</v>
      </c>
      <c r="AU15" s="450">
        <f t="shared" si="33"/>
        <v>-169.75831887828852</v>
      </c>
      <c r="AV15" s="450">
        <f t="shared" si="34"/>
        <v>-166.32260769008386</v>
      </c>
      <c r="AW15" s="450">
        <f t="shared" si="38"/>
        <v>-136.91907343162765</v>
      </c>
      <c r="AX15" s="392">
        <f t="shared" si="13"/>
        <v>4795.9416811217116</v>
      </c>
      <c r="AY15" s="392">
        <f t="shared" si="14"/>
        <v>4698.8773923099161</v>
      </c>
      <c r="AZ15" s="392">
        <f t="shared" si="15"/>
        <v>3868.1809265683723</v>
      </c>
      <c r="BA15" s="386">
        <f>+Efficiency2!K32</f>
        <v>42.665633919999998</v>
      </c>
      <c r="BB15" s="387">
        <f t="shared" si="35"/>
        <v>312.33878049623883</v>
      </c>
      <c r="BC15" s="412">
        <f t="shared" si="36"/>
        <v>0.97750803558200139</v>
      </c>
      <c r="BD15" s="412">
        <f t="shared" si="37"/>
        <v>0.88066233582324027</v>
      </c>
    </row>
    <row r="16" spans="1:56" s="392" customFormat="1" ht="12.75" customHeight="1">
      <c r="A16" s="406">
        <f t="shared" si="16"/>
        <v>45999</v>
      </c>
      <c r="B16" s="415" t="s">
        <v>462</v>
      </c>
      <c r="C16" s="393" t="s">
        <v>463</v>
      </c>
      <c r="D16" s="385">
        <f>+'8'!F42</f>
        <v>1156.5277777777778</v>
      </c>
      <c r="E16" s="385">
        <f>+'8'!G42</f>
        <v>919.31111111111113</v>
      </c>
      <c r="F16" s="45">
        <f t="shared" si="0"/>
        <v>0.20511108442416237</v>
      </c>
      <c r="G16" s="411">
        <f t="shared" si="17"/>
        <v>0.91549300259321664</v>
      </c>
      <c r="H16" s="407">
        <f t="shared" si="18"/>
        <v>0.8880125947249784</v>
      </c>
      <c r="I16" s="407">
        <f t="shared" si="19"/>
        <v>0.96272059770707208</v>
      </c>
      <c r="J16" s="412">
        <f t="shared" si="20"/>
        <v>0.85490801596503918</v>
      </c>
      <c r="K16" s="412">
        <f t="shared" si="21"/>
        <v>0.87750063269069101</v>
      </c>
      <c r="L16" s="386">
        <f>+SUM(Efficiency1!K36:K38)</f>
        <v>43.709965636265757</v>
      </c>
      <c r="M16" s="387">
        <f t="shared" si="22"/>
        <v>356.04874613250456</v>
      </c>
      <c r="N16" s="386">
        <f>+SUM(Efficiency1!C36:C38)</f>
        <v>42.397921000000004</v>
      </c>
      <c r="O16" s="387">
        <f t="shared" si="22"/>
        <v>354.73670149623882</v>
      </c>
      <c r="P16" s="387">
        <f>'8'!I38</f>
        <v>38.814999999999998</v>
      </c>
      <c r="Q16" s="387">
        <f t="shared" si="23"/>
        <v>322.101</v>
      </c>
      <c r="R16" s="387">
        <f>'8'!I40</f>
        <v>37.368000000000002</v>
      </c>
      <c r="S16" s="387">
        <f t="shared" si="24"/>
        <v>312.43299999999999</v>
      </c>
      <c r="T16" s="94">
        <f t="shared" si="1"/>
        <v>5056.3638347048845</v>
      </c>
      <c r="U16" s="12">
        <f t="shared" si="25"/>
        <v>36530.270717928783</v>
      </c>
      <c r="V16" s="288">
        <f t="shared" si="26"/>
        <v>130.26829407973426</v>
      </c>
      <c r="W16" s="288">
        <f t="shared" si="27"/>
        <v>113.41247223053881</v>
      </c>
      <c r="X16" s="289">
        <f t="shared" si="28"/>
        <v>135.31266952218166</v>
      </c>
      <c r="Y16" s="288">
        <f t="shared" si="29"/>
        <v>116.92193436009892</v>
      </c>
      <c r="Z16" s="389">
        <v>57</v>
      </c>
      <c r="AA16" s="388">
        <f t="shared" si="30"/>
        <v>416.1</v>
      </c>
      <c r="AB16" s="391">
        <f t="shared" si="2"/>
        <v>1.4685044441581863</v>
      </c>
      <c r="AC16" s="391">
        <f t="shared" si="3"/>
        <v>1.2918308232510922</v>
      </c>
      <c r="AD16" s="386">
        <f t="shared" si="4"/>
        <v>1.5253692999357737</v>
      </c>
      <c r="AE16" s="391">
        <f t="shared" si="5"/>
        <v>1.3318055391075847</v>
      </c>
      <c r="AF16" s="390">
        <f>'8'!I46</f>
        <v>36590.380000000361</v>
      </c>
      <c r="AG16" s="388">
        <f t="shared" si="31"/>
        <v>287594.67999999929</v>
      </c>
      <c r="AH16" s="391">
        <f t="shared" si="6"/>
        <v>942.68659023574287</v>
      </c>
      <c r="AI16" s="391">
        <f t="shared" si="7"/>
        <v>892.87111806544931</v>
      </c>
      <c r="AJ16" s="391">
        <f t="shared" si="8"/>
        <v>979.19021622779815</v>
      </c>
      <c r="AK16" s="391">
        <f t="shared" si="9"/>
        <v>920.50033127102222</v>
      </c>
      <c r="AL16" s="446">
        <v>5320.1</v>
      </c>
      <c r="AM16" s="447">
        <v>5397.7</v>
      </c>
      <c r="AN16" s="447">
        <v>3949.3</v>
      </c>
      <c r="AO16" s="447">
        <f t="shared" si="39"/>
        <v>14667.099999999999</v>
      </c>
      <c r="AP16" s="577">
        <f>+[1]Des!N11</f>
        <v>13940</v>
      </c>
      <c r="AQ16" s="479">
        <f t="shared" si="10"/>
        <v>-727.09999999999854</v>
      </c>
      <c r="AR16" s="450">
        <f t="shared" si="11"/>
        <v>0.36272337408212946</v>
      </c>
      <c r="AS16" s="450">
        <f t="shared" si="12"/>
        <v>0.36801412685534296</v>
      </c>
      <c r="AT16" s="450">
        <f>1-AR16-AS16</f>
        <v>0.26926249906252764</v>
      </c>
      <c r="AU16" s="450">
        <f>+AR16*AQ16</f>
        <v>-263.73616529511582</v>
      </c>
      <c r="AV16" s="450">
        <f t="shared" si="34"/>
        <v>-267.58307163651932</v>
      </c>
      <c r="AW16" s="450">
        <f t="shared" si="38"/>
        <v>-195.78076306836346</v>
      </c>
      <c r="AX16" s="392">
        <f t="shared" si="13"/>
        <v>5056.3638347048845</v>
      </c>
      <c r="AY16" s="392">
        <f t="shared" si="14"/>
        <v>5130.1169283634808</v>
      </c>
      <c r="AZ16" s="392">
        <f t="shared" si="15"/>
        <v>3753.5192369316369</v>
      </c>
      <c r="BA16" s="386">
        <f>+SUM(Efficiency2!K36:K38)</f>
        <v>43.709965636265757</v>
      </c>
      <c r="BB16" s="387">
        <f t="shared" si="35"/>
        <v>356.04874613250456</v>
      </c>
      <c r="BC16" s="412">
        <f t="shared" si="36"/>
        <v>0.85490801596503918</v>
      </c>
      <c r="BD16" s="412">
        <f t="shared" si="37"/>
        <v>0.87750063269069101</v>
      </c>
    </row>
    <row r="17" spans="1:56" s="392" customFormat="1" ht="12.75" customHeight="1">
      <c r="A17" s="406">
        <f t="shared" si="16"/>
        <v>46000</v>
      </c>
      <c r="B17" s="415" t="s">
        <v>464</v>
      </c>
      <c r="C17" s="393" t="s">
        <v>482</v>
      </c>
      <c r="D17" s="385">
        <f>+'9'!F42</f>
        <v>1112.4652777777778</v>
      </c>
      <c r="E17" s="385">
        <f>+'9'!G42</f>
        <v>846.10722222222216</v>
      </c>
      <c r="F17" s="45">
        <f t="shared" si="0"/>
        <v>0.23943044414619696</v>
      </c>
      <c r="G17" s="411">
        <f t="shared" si="17"/>
        <v>0.93351396986242474</v>
      </c>
      <c r="H17" s="407">
        <f t="shared" si="18"/>
        <v>0.93351396986242474</v>
      </c>
      <c r="I17" s="407">
        <f t="shared" si="19"/>
        <v>0.97457271678724955</v>
      </c>
      <c r="J17" s="412">
        <f t="shared" si="20"/>
        <v>0.90977724576767383</v>
      </c>
      <c r="K17" s="412">
        <f t="shared" si="21"/>
        <v>0.88082372821397759</v>
      </c>
      <c r="L17" s="386">
        <f>+Efficiency1!K40</f>
        <v>40.864948175999992</v>
      </c>
      <c r="M17" s="387">
        <f t="shared" si="22"/>
        <v>396.91369430850455</v>
      </c>
      <c r="N17" s="386">
        <f>+Efficiency1!C40</f>
        <v>40.864948175999992</v>
      </c>
      <c r="O17" s="387">
        <f t="shared" si="22"/>
        <v>395.60164967223881</v>
      </c>
      <c r="P17" s="387">
        <f>'9'!I38</f>
        <v>38.148000000000003</v>
      </c>
      <c r="Q17" s="387">
        <f t="shared" si="23"/>
        <v>360.24900000000002</v>
      </c>
      <c r="R17" s="387">
        <f>'9'!I40</f>
        <v>37.177999999999997</v>
      </c>
      <c r="S17" s="387">
        <f t="shared" si="24"/>
        <v>349.61099999999999</v>
      </c>
      <c r="T17" s="94">
        <f t="shared" si="1"/>
        <v>5276.7245846777323</v>
      </c>
      <c r="U17" s="12">
        <f t="shared" si="25"/>
        <v>41806.995302606512</v>
      </c>
      <c r="V17" s="288">
        <f t="shared" si="26"/>
        <v>138.32244376317846</v>
      </c>
      <c r="W17" s="288">
        <f t="shared" si="27"/>
        <v>116.05027440077977</v>
      </c>
      <c r="X17" s="289">
        <f t="shared" si="28"/>
        <v>141.9313729807341</v>
      </c>
      <c r="Y17" s="288">
        <f t="shared" si="29"/>
        <v>119.58146426344284</v>
      </c>
      <c r="Z17" s="389">
        <v>54.1</v>
      </c>
      <c r="AA17" s="388">
        <f t="shared" si="30"/>
        <v>470.20000000000005</v>
      </c>
      <c r="AB17" s="391">
        <f t="shared" si="2"/>
        <v>1.4181608472265912</v>
      </c>
      <c r="AC17" s="391">
        <f t="shared" si="3"/>
        <v>1.305208342007889</v>
      </c>
      <c r="AD17" s="386">
        <f t="shared" si="4"/>
        <v>1.4551616547420518</v>
      </c>
      <c r="AE17" s="391">
        <f t="shared" si="5"/>
        <v>1.3449233576746729</v>
      </c>
      <c r="AF17" s="390">
        <f>'9'!I46</f>
        <v>39758.320000000364</v>
      </c>
      <c r="AG17" s="388">
        <f t="shared" si="31"/>
        <v>327352.99999999965</v>
      </c>
      <c r="AH17" s="391">
        <f t="shared" si="6"/>
        <v>1042.212435776459</v>
      </c>
      <c r="AI17" s="391">
        <f t="shared" si="7"/>
        <v>908.68538150001712</v>
      </c>
      <c r="AJ17" s="391">
        <f t="shared" si="8"/>
        <v>1069.4044865242984</v>
      </c>
      <c r="AK17" s="391">
        <f t="shared" si="9"/>
        <v>936.33495513585001</v>
      </c>
      <c r="AL17" s="446">
        <v>5463.3</v>
      </c>
      <c r="AM17" s="447">
        <v>4762.8999999999996</v>
      </c>
      <c r="AN17" s="447">
        <v>3937.5</v>
      </c>
      <c r="AO17" s="447">
        <f t="shared" si="39"/>
        <v>14163.7</v>
      </c>
      <c r="AP17" s="579">
        <f>+[1]Des!N12</f>
        <v>13680</v>
      </c>
      <c r="AQ17" s="479">
        <f t="shared" si="10"/>
        <v>-483.70000000000073</v>
      </c>
      <c r="AR17" s="450">
        <f t="shared" si="11"/>
        <v>0.38572548133609152</v>
      </c>
      <c r="AS17" s="450">
        <f t="shared" si="12"/>
        <v>0.33627512584988384</v>
      </c>
      <c r="AT17" s="450">
        <f>1-AR17-AS17</f>
        <v>0.27799939281402464</v>
      </c>
      <c r="AU17" s="450">
        <f>+AR17*AQ17</f>
        <v>-186.57541532226776</v>
      </c>
      <c r="AV17" s="450">
        <f>+AS17*AQ17</f>
        <v>-162.65627837358906</v>
      </c>
      <c r="AW17" s="450">
        <f t="shared" si="38"/>
        <v>-134.46830630414391</v>
      </c>
      <c r="AX17" s="392">
        <f t="shared" si="13"/>
        <v>5276.7245846777323</v>
      </c>
      <c r="AY17" s="392">
        <f t="shared" si="14"/>
        <v>4600.2437216264107</v>
      </c>
      <c r="AZ17" s="392">
        <f t="shared" si="15"/>
        <v>3803.0316936958561</v>
      </c>
      <c r="BA17" s="386">
        <f>+Efficiency2!K40</f>
        <v>40.864948175999992</v>
      </c>
      <c r="BB17" s="387">
        <f t="shared" si="35"/>
        <v>396.91369430850455</v>
      </c>
      <c r="BC17" s="412">
        <f t="shared" si="36"/>
        <v>0.90977724576767383</v>
      </c>
      <c r="BD17" s="412">
        <f t="shared" si="37"/>
        <v>0.88082372821397759</v>
      </c>
    </row>
    <row r="18" spans="1:56" s="392" customFormat="1" ht="12.75" customHeight="1">
      <c r="A18" s="406">
        <f t="shared" si="16"/>
        <v>46001</v>
      </c>
      <c r="B18" s="415" t="s">
        <v>464</v>
      </c>
      <c r="C18" s="393" t="s">
        <v>482</v>
      </c>
      <c r="D18" s="385">
        <f>+'10'!F42</f>
        <v>1103.3333333333333</v>
      </c>
      <c r="E18" s="385">
        <f>+'10'!G42</f>
        <v>845.86666666666667</v>
      </c>
      <c r="F18" s="45">
        <f t="shared" si="0"/>
        <v>0.23335347432024167</v>
      </c>
      <c r="G18" s="411">
        <f t="shared" si="17"/>
        <v>0.94949420465747936</v>
      </c>
      <c r="H18" s="407">
        <f t="shared" si="18"/>
        <v>0.94949420465747936</v>
      </c>
      <c r="I18" s="407">
        <f>+R18/P18</f>
        <v>0.96994070636762064</v>
      </c>
      <c r="J18" s="412">
        <f t="shared" si="20"/>
        <v>0.92095307955743766</v>
      </c>
      <c r="K18" s="412">
        <f t="shared" si="21"/>
        <v>0.88456868281122991</v>
      </c>
      <c r="L18" s="386">
        <f>+Efficiency1!K44</f>
        <v>40.853329919999993</v>
      </c>
      <c r="M18" s="387">
        <f t="shared" si="22"/>
        <v>437.76702422850451</v>
      </c>
      <c r="N18" s="386">
        <f>+Efficiency1!C44</f>
        <v>40.853329919999993</v>
      </c>
      <c r="O18" s="387">
        <f t="shared" si="22"/>
        <v>436.45497959223883</v>
      </c>
      <c r="P18" s="387">
        <f>'10'!I38</f>
        <v>38.79</v>
      </c>
      <c r="Q18" s="387">
        <f t="shared" si="23"/>
        <v>399.03900000000004</v>
      </c>
      <c r="R18" s="387">
        <f>'10'!I40</f>
        <v>37.624000000000002</v>
      </c>
      <c r="S18" s="387">
        <f t="shared" si="24"/>
        <v>387.23500000000001</v>
      </c>
      <c r="T18" s="94">
        <f t="shared" si="1"/>
        <v>5137.1496952336993</v>
      </c>
      <c r="U18" s="12">
        <f t="shared" si="25"/>
        <v>46944.144997840209</v>
      </c>
      <c r="V18" s="288">
        <f t="shared" si="26"/>
        <v>132.43489804675687</v>
      </c>
      <c r="W18" s="288">
        <f t="shared" si="27"/>
        <v>117.64299980162392</v>
      </c>
      <c r="X18" s="289">
        <f t="shared" si="28"/>
        <v>136.5391690206703</v>
      </c>
      <c r="Y18" s="288">
        <f t="shared" si="29"/>
        <v>121.22908569173811</v>
      </c>
      <c r="Z18" s="389">
        <v>53.8</v>
      </c>
      <c r="AA18" s="388">
        <f t="shared" si="30"/>
        <v>524</v>
      </c>
      <c r="AB18" s="391">
        <f t="shared" si="2"/>
        <v>1.3869554008765146</v>
      </c>
      <c r="AC18" s="391">
        <f t="shared" si="3"/>
        <v>1.3131548545380274</v>
      </c>
      <c r="AD18" s="386">
        <f t="shared" si="4"/>
        <v>1.4299383372315542</v>
      </c>
      <c r="AE18" s="391">
        <f t="shared" si="5"/>
        <v>1.3531834674035146</v>
      </c>
      <c r="AF18" s="390">
        <f>'10'!I46</f>
        <v>39012.599999998907</v>
      </c>
      <c r="AG18" s="388">
        <f t="shared" si="31"/>
        <v>366365.59999999858</v>
      </c>
      <c r="AH18" s="391">
        <f t="shared" si="6"/>
        <v>1005.7385924206988</v>
      </c>
      <c r="AI18" s="391">
        <f t="shared" si="7"/>
        <v>918.11978277812079</v>
      </c>
      <c r="AJ18" s="391">
        <f t="shared" si="8"/>
        <v>1036.9072932170664</v>
      </c>
      <c r="AK18" s="391">
        <f t="shared" si="9"/>
        <v>946.1066277583343</v>
      </c>
      <c r="AL18" s="446">
        <v>5389.8</v>
      </c>
      <c r="AM18" s="447">
        <v>5098.8</v>
      </c>
      <c r="AN18" s="447">
        <v>4244</v>
      </c>
      <c r="AO18" s="447">
        <f t="shared" si="39"/>
        <v>14732.6</v>
      </c>
      <c r="AP18" s="580">
        <f>+[1]Des!N13</f>
        <v>14042</v>
      </c>
      <c r="AQ18" s="479">
        <f t="shared" si="10"/>
        <v>-690.60000000000036</v>
      </c>
      <c r="AR18" s="450">
        <f t="shared" si="11"/>
        <v>0.36584173872907699</v>
      </c>
      <c r="AS18" s="450">
        <f t="shared" si="12"/>
        <v>0.34608962437044377</v>
      </c>
      <c r="AT18" s="450">
        <f t="shared" si="32"/>
        <v>0.28806863690047924</v>
      </c>
      <c r="AU18" s="450">
        <f t="shared" si="33"/>
        <v>-252.65030476630071</v>
      </c>
      <c r="AV18" s="450">
        <f t="shared" si="34"/>
        <v>-239.0094945902286</v>
      </c>
      <c r="AW18" s="450">
        <f t="shared" si="38"/>
        <v>-198.94020064347106</v>
      </c>
      <c r="AX18" s="450">
        <f>+AL18+AU18</f>
        <v>5137.1496952336993</v>
      </c>
      <c r="AY18" s="392">
        <f t="shared" si="14"/>
        <v>4859.7905054097719</v>
      </c>
      <c r="AZ18" s="392">
        <f t="shared" si="15"/>
        <v>4045.0597993565289</v>
      </c>
      <c r="BA18" s="386">
        <f>+Efficiency2!K44</f>
        <v>40.853329919999993</v>
      </c>
      <c r="BB18" s="387">
        <f t="shared" si="35"/>
        <v>437.76702422850451</v>
      </c>
      <c r="BC18" s="412">
        <f t="shared" si="36"/>
        <v>0.92095307955743766</v>
      </c>
      <c r="BD18" s="412">
        <f t="shared" si="37"/>
        <v>0.88456868281122991</v>
      </c>
    </row>
    <row r="19" spans="1:56" s="392" customFormat="1" ht="12.75" customHeight="1">
      <c r="A19" s="406">
        <f t="shared" si="16"/>
        <v>46002</v>
      </c>
      <c r="B19" s="415" t="s">
        <v>464</v>
      </c>
      <c r="C19" s="393" t="s">
        <v>496</v>
      </c>
      <c r="D19" s="385">
        <f>+'11'!F42</f>
        <v>1100.6111111111111</v>
      </c>
      <c r="E19" s="385">
        <f>+'11'!G42</f>
        <v>836.46444444444444</v>
      </c>
      <c r="F19" s="45">
        <f t="shared" si="0"/>
        <v>0.24</v>
      </c>
      <c r="G19" s="411">
        <f t="shared" si="17"/>
        <v>0.90882765730577542</v>
      </c>
      <c r="H19" s="407">
        <f t="shared" si="18"/>
        <v>0.90882765730577542</v>
      </c>
      <c r="I19" s="407">
        <f t="shared" si="19"/>
        <v>0.98985773786985431</v>
      </c>
      <c r="J19" s="412">
        <f t="shared" si="20"/>
        <v>0.89961008897425399</v>
      </c>
      <c r="K19" s="412">
        <f t="shared" si="21"/>
        <v>0.88584767118144381</v>
      </c>
      <c r="L19" s="386">
        <f>+SUM(Efficiency1!K48:K49)</f>
        <v>40.683180912000005</v>
      </c>
      <c r="M19" s="387">
        <f t="shared" si="22"/>
        <v>478.45020514050452</v>
      </c>
      <c r="N19" s="386">
        <f>+SUM(Efficiency1!C48:C49)</f>
        <v>40.683180912000005</v>
      </c>
      <c r="O19" s="387">
        <f t="shared" si="22"/>
        <v>477.13816050423884</v>
      </c>
      <c r="P19" s="387">
        <f>'11'!I38</f>
        <v>36.974000000000004</v>
      </c>
      <c r="Q19" s="387">
        <f t="shared" si="23"/>
        <v>436.01300000000003</v>
      </c>
      <c r="R19" s="387">
        <f>'11'!I40</f>
        <v>36.598999999999997</v>
      </c>
      <c r="S19" s="387">
        <f t="shared" si="24"/>
        <v>423.834</v>
      </c>
      <c r="T19" s="94">
        <f t="shared" si="1"/>
        <v>5162.7171657788513</v>
      </c>
      <c r="U19" s="12">
        <f t="shared" si="25"/>
        <v>52106.862163619058</v>
      </c>
      <c r="V19" s="288">
        <f t="shared" si="26"/>
        <v>139.6310154643493</v>
      </c>
      <c r="W19" s="288">
        <f t="shared" si="27"/>
        <v>119.50758845176418</v>
      </c>
      <c r="X19" s="289">
        <f t="shared" si="28"/>
        <v>141.06170020434578</v>
      </c>
      <c r="Y19" s="288">
        <f t="shared" si="29"/>
        <v>122.94167566457401</v>
      </c>
      <c r="Z19" s="389">
        <v>52.8</v>
      </c>
      <c r="AA19" s="388">
        <f t="shared" si="30"/>
        <v>576.79999999999995</v>
      </c>
      <c r="AB19" s="391">
        <f t="shared" si="2"/>
        <v>1.4280305079244873</v>
      </c>
      <c r="AC19" s="391">
        <f t="shared" si="3"/>
        <v>1.3228963356597163</v>
      </c>
      <c r="AD19" s="386">
        <f t="shared" si="4"/>
        <v>1.4426623678242576</v>
      </c>
      <c r="AE19" s="391">
        <f t="shared" si="5"/>
        <v>1.36091016765998</v>
      </c>
      <c r="AF19" s="390">
        <f>'11'!I46</f>
        <v>34865.240000000726</v>
      </c>
      <c r="AG19" s="388">
        <f t="shared" si="31"/>
        <v>401230.83999999933</v>
      </c>
      <c r="AH19" s="391">
        <f t="shared" si="6"/>
        <v>942.96640882784448</v>
      </c>
      <c r="AI19" s="391">
        <f t="shared" si="7"/>
        <v>920.22678222896855</v>
      </c>
      <c r="AJ19" s="391">
        <f t="shared" si="8"/>
        <v>952.6282138856451</v>
      </c>
      <c r="AK19" s="391">
        <f t="shared" si="9"/>
        <v>946.66978109353977</v>
      </c>
      <c r="AL19" s="446">
        <v>5414.7</v>
      </c>
      <c r="AM19" s="447">
        <v>4329</v>
      </c>
      <c r="AN19" s="447">
        <v>4204.3999999999996</v>
      </c>
      <c r="AO19" s="447">
        <f t="shared" si="39"/>
        <v>13948.1</v>
      </c>
      <c r="AP19" s="581">
        <f>+[1]Des!N14</f>
        <v>13299</v>
      </c>
      <c r="AQ19" s="479">
        <f t="shared" si="10"/>
        <v>-649.10000000000036</v>
      </c>
      <c r="AR19" s="450">
        <f t="shared" si="11"/>
        <v>0.3882034112172984</v>
      </c>
      <c r="AS19" s="450">
        <f t="shared" si="12"/>
        <v>0.31036485256056379</v>
      </c>
      <c r="AT19" s="450">
        <f>1-AR19-AS19</f>
        <v>0.30143173622213781</v>
      </c>
      <c r="AU19" s="450">
        <f t="shared" si="33"/>
        <v>-251.98283422114852</v>
      </c>
      <c r="AV19" s="450">
        <f t="shared" si="34"/>
        <v>-201.45782579706207</v>
      </c>
      <c r="AW19" s="450">
        <f>+AT19*AQ19</f>
        <v>-195.65933998178977</v>
      </c>
      <c r="AX19" s="392">
        <f t="shared" si="13"/>
        <v>5162.7171657788513</v>
      </c>
      <c r="AY19" s="392">
        <f t="shared" si="14"/>
        <v>4127.5421742029375</v>
      </c>
      <c r="AZ19" s="392">
        <f t="shared" si="15"/>
        <v>4008.7406600182098</v>
      </c>
      <c r="BA19" s="386">
        <f>+SUM(Efficiency2!K48:K49)</f>
        <v>40.683180912000005</v>
      </c>
      <c r="BB19" s="387">
        <f t="shared" si="35"/>
        <v>478.45020514050452</v>
      </c>
      <c r="BC19" s="412">
        <f t="shared" si="36"/>
        <v>0.89961008897425399</v>
      </c>
      <c r="BD19" s="412">
        <f t="shared" si="37"/>
        <v>0.88584767118144381</v>
      </c>
    </row>
    <row r="20" spans="1:56" s="392" customFormat="1" ht="12.75" customHeight="1">
      <c r="A20" s="406">
        <f t="shared" si="16"/>
        <v>46003</v>
      </c>
      <c r="B20" s="415" t="s">
        <v>464</v>
      </c>
      <c r="C20" s="393" t="s">
        <v>507</v>
      </c>
      <c r="D20" s="385">
        <f>+'12'!F42</f>
        <v>1085.1388888888889</v>
      </c>
      <c r="E20" s="385">
        <f>+'12'!G42</f>
        <v>823.49027777777781</v>
      </c>
      <c r="F20" s="45">
        <f t="shared" si="0"/>
        <v>0.24111992832458717</v>
      </c>
      <c r="G20" s="411">
        <f t="shared" si="17"/>
        <v>0.99600974431291289</v>
      </c>
      <c r="H20" s="407">
        <f t="shared" si="18"/>
        <v>0.98630598096002564</v>
      </c>
      <c r="I20" s="407">
        <f t="shared" si="19"/>
        <v>0.9768881357527831</v>
      </c>
      <c r="J20" s="412">
        <f t="shared" si="20"/>
        <v>0.96351061102185942</v>
      </c>
      <c r="K20" s="412">
        <f t="shared" si="21"/>
        <v>0.89226272197643275</v>
      </c>
      <c r="L20" s="386">
        <f>+SUM(Efficiency1!K52:K53)</f>
        <v>43.078923599999996</v>
      </c>
      <c r="M20" s="387">
        <f t="shared" si="22"/>
        <v>521.52912874050458</v>
      </c>
      <c r="N20" s="386">
        <f>+SUM(Efficiency1!C52:C53)</f>
        <v>42.659221200000005</v>
      </c>
      <c r="O20" s="387">
        <f t="shared" si="22"/>
        <v>519.79738170423889</v>
      </c>
      <c r="P20" s="387">
        <f>'12'!I38</f>
        <v>42.488999999999997</v>
      </c>
      <c r="Q20" s="387">
        <f t="shared" si="23"/>
        <v>478.50200000000001</v>
      </c>
      <c r="R20" s="387">
        <f>'12'!I40</f>
        <v>41.506999999999998</v>
      </c>
      <c r="S20" s="387">
        <f t="shared" si="24"/>
        <v>465.34100000000001</v>
      </c>
      <c r="T20" s="94">
        <f t="shared" si="1"/>
        <v>5272.542759445827</v>
      </c>
      <c r="U20" s="12">
        <f t="shared" si="25"/>
        <v>57379.404923064882</v>
      </c>
      <c r="V20" s="288">
        <f t="shared" si="26"/>
        <v>124.0919475498559</v>
      </c>
      <c r="W20" s="288">
        <f t="shared" si="27"/>
        <v>119.91466059298578</v>
      </c>
      <c r="X20" s="289">
        <f t="shared" si="28"/>
        <v>127.02779674382217</v>
      </c>
      <c r="Y20" s="288">
        <f t="shared" si="29"/>
        <v>123.30614522052619</v>
      </c>
      <c r="Z20" s="389">
        <v>52</v>
      </c>
      <c r="AA20" s="388">
        <f t="shared" si="30"/>
        <v>628.79999999999995</v>
      </c>
      <c r="AB20" s="391">
        <f t="shared" si="2"/>
        <v>1.2238461719503873</v>
      </c>
      <c r="AC20" s="391">
        <f t="shared" si="3"/>
        <v>1.31410109048656</v>
      </c>
      <c r="AD20" s="386">
        <f t="shared" si="4"/>
        <v>1.2528007324065822</v>
      </c>
      <c r="AE20" s="391">
        <f t="shared" si="5"/>
        <v>1.3512671352835877</v>
      </c>
      <c r="AF20" s="390">
        <f>'12'!I46</f>
        <v>41938.480000000367</v>
      </c>
      <c r="AG20" s="388">
        <f t="shared" si="31"/>
        <v>443169.31999999972</v>
      </c>
      <c r="AH20" s="391">
        <f t="shared" si="6"/>
        <v>987.0432347195831</v>
      </c>
      <c r="AI20" s="391">
        <f t="shared" si="7"/>
        <v>926.15980706454673</v>
      </c>
      <c r="AJ20" s="391">
        <f t="shared" si="8"/>
        <v>1010.3953550003702</v>
      </c>
      <c r="AK20" s="391">
        <f t="shared" si="9"/>
        <v>952.35390820924817</v>
      </c>
      <c r="AL20" s="446">
        <v>5487.1</v>
      </c>
      <c r="AM20" s="447">
        <v>5093.5</v>
      </c>
      <c r="AN20" s="447">
        <v>4129.6000000000004</v>
      </c>
      <c r="AO20" s="447">
        <f t="shared" si="39"/>
        <v>14710.2</v>
      </c>
      <c r="AP20" s="582">
        <f>+[1]Des!N15</f>
        <v>14135</v>
      </c>
      <c r="AQ20" s="479">
        <f t="shared" si="10"/>
        <v>-575.20000000000073</v>
      </c>
      <c r="AR20" s="450">
        <f t="shared" si="11"/>
        <v>0.37301328330002315</v>
      </c>
      <c r="AS20" s="450">
        <f t="shared" si="12"/>
        <v>0.34625633913882881</v>
      </c>
      <c r="AT20" s="450">
        <f t="shared" si="32"/>
        <v>0.28073037756114805</v>
      </c>
      <c r="AU20" s="450">
        <f t="shared" si="33"/>
        <v>-214.55724055417357</v>
      </c>
      <c r="AV20" s="450">
        <f t="shared" si="34"/>
        <v>-199.16664627265459</v>
      </c>
      <c r="AW20" s="450">
        <f t="shared" si="38"/>
        <v>-161.47611317317256</v>
      </c>
      <c r="AX20" s="392">
        <f t="shared" si="13"/>
        <v>5272.542759445827</v>
      </c>
      <c r="AY20" s="392">
        <f t="shared" si="14"/>
        <v>4894.3333537273456</v>
      </c>
      <c r="AZ20" s="392">
        <f t="shared" si="15"/>
        <v>3968.1238868268279</v>
      </c>
      <c r="BA20" s="386">
        <f>+SUM(Efficiency2!K52:K53)</f>
        <v>43.078923599999996</v>
      </c>
      <c r="BB20" s="387">
        <f t="shared" si="35"/>
        <v>521.52912874050458</v>
      </c>
      <c r="BC20" s="412">
        <f t="shared" si="36"/>
        <v>0.96351061102185942</v>
      </c>
      <c r="BD20" s="412">
        <f t="shared" si="37"/>
        <v>0.89226272197643275</v>
      </c>
    </row>
    <row r="21" spans="1:56" s="392" customFormat="1" ht="12.75" customHeight="1">
      <c r="A21" s="406">
        <f t="shared" si="16"/>
        <v>46004</v>
      </c>
      <c r="B21" s="415" t="s">
        <v>533</v>
      </c>
      <c r="C21" s="393" t="s">
        <v>534</v>
      </c>
      <c r="D21" s="385">
        <f>+'13'!F42</f>
        <v>1205.9652777777778</v>
      </c>
      <c r="E21" s="385">
        <f>+'13'!G42</f>
        <v>912.46694444444438</v>
      </c>
      <c r="F21" s="45">
        <f t="shared" si="0"/>
        <v>0.24337212583281032</v>
      </c>
      <c r="G21" s="411">
        <f t="shared" si="17"/>
        <v>0.87767619791069795</v>
      </c>
      <c r="H21" s="407">
        <f t="shared" si="18"/>
        <v>0.86052922372819485</v>
      </c>
      <c r="I21" s="407">
        <f t="shared" si="19"/>
        <v>0.9509661565955545</v>
      </c>
      <c r="J21" s="412">
        <f t="shared" si="20"/>
        <v>0.81833416852695751</v>
      </c>
      <c r="K21" s="412">
        <f t="shared" si="21"/>
        <v>0.88679942717942883</v>
      </c>
      <c r="L21" s="386">
        <f>+SUM(Efficiency1!K56:K57)</f>
        <v>41.616250805343377</v>
      </c>
      <c r="M21" s="387">
        <f t="shared" si="22"/>
        <v>563.14537954584796</v>
      </c>
      <c r="N21" s="386">
        <f>+SUM(Efficiency1!C56:C57)</f>
        <v>40.80320291839999</v>
      </c>
      <c r="O21" s="387">
        <f t="shared" si="22"/>
        <v>560.60058462263885</v>
      </c>
      <c r="P21" s="387">
        <f>'13'!I38</f>
        <v>35.811999999999998</v>
      </c>
      <c r="Q21" s="387">
        <f t="shared" si="23"/>
        <v>514.31399999999996</v>
      </c>
      <c r="R21" s="387">
        <f>'13'!I40</f>
        <v>34.055999999999997</v>
      </c>
      <c r="S21" s="387">
        <f t="shared" si="24"/>
        <v>499.39699999999999</v>
      </c>
      <c r="T21" s="94">
        <f t="shared" si="1"/>
        <v>4948.3810776543023</v>
      </c>
      <c r="U21" s="12">
        <f t="shared" si="25"/>
        <v>62327.786000719185</v>
      </c>
      <c r="V21" s="288">
        <f t="shared" si="26"/>
        <v>138.17661894488725</v>
      </c>
      <c r="W21" s="288">
        <f t="shared" si="27"/>
        <v>121.18625197976176</v>
      </c>
      <c r="X21" s="289">
        <f t="shared" si="28"/>
        <v>145.30130014253885</v>
      </c>
      <c r="Y21" s="288">
        <f t="shared" si="29"/>
        <v>124.80608814373973</v>
      </c>
      <c r="Z21" s="389">
        <v>51.3</v>
      </c>
      <c r="AA21" s="388">
        <f t="shared" si="30"/>
        <v>680.09999999999991</v>
      </c>
      <c r="AB21" s="391">
        <f t="shared" si="2"/>
        <v>1.4324807327152911</v>
      </c>
      <c r="AC21" s="391">
        <f t="shared" si="3"/>
        <v>1.3223439377500903</v>
      </c>
      <c r="AD21" s="386">
        <f t="shared" si="4"/>
        <v>1.5063424947145878</v>
      </c>
      <c r="AE21" s="391">
        <f t="shared" si="5"/>
        <v>1.3618423819125864</v>
      </c>
      <c r="AF21" s="390">
        <f>'13'!I46</f>
        <v>40970.819999998908</v>
      </c>
      <c r="AG21" s="388">
        <f t="shared" si="31"/>
        <v>484140.13999999862</v>
      </c>
      <c r="AH21" s="391">
        <f t="shared" si="6"/>
        <v>1144.0528314531139</v>
      </c>
      <c r="AI21" s="391">
        <f t="shared" si="7"/>
        <v>941.33183230477619</v>
      </c>
      <c r="AJ21" s="391">
        <f t="shared" si="8"/>
        <v>1203.0426356588825</v>
      </c>
      <c r="AK21" s="391">
        <f t="shared" si="9"/>
        <v>969.44943601983709</v>
      </c>
      <c r="AL21" s="446">
        <v>5554.2</v>
      </c>
      <c r="AM21" s="447">
        <v>5158.3999999999996</v>
      </c>
      <c r="AN21" s="447">
        <v>4036.1</v>
      </c>
      <c r="AO21" s="447">
        <f t="shared" si="39"/>
        <v>14748.699999999999</v>
      </c>
      <c r="AP21" s="583">
        <f>+[1]Des!N16</f>
        <v>13140</v>
      </c>
      <c r="AQ21" s="479">
        <f t="shared" si="10"/>
        <v>-1608.6999999999989</v>
      </c>
      <c r="AR21" s="450">
        <f t="shared" si="11"/>
        <v>0.37658912310915538</v>
      </c>
      <c r="AS21" s="450">
        <f t="shared" si="12"/>
        <v>0.34975285957406416</v>
      </c>
      <c r="AT21" s="450">
        <f t="shared" si="32"/>
        <v>0.27365801731678047</v>
      </c>
      <c r="AU21" s="450">
        <f t="shared" si="33"/>
        <v>-605.81892234569784</v>
      </c>
      <c r="AV21" s="450">
        <f t="shared" si="34"/>
        <v>-562.64742519679658</v>
      </c>
      <c r="AW21" s="450">
        <f t="shared" si="38"/>
        <v>-440.23365245750443</v>
      </c>
      <c r="AX21" s="392">
        <f t="shared" si="13"/>
        <v>4948.3810776543023</v>
      </c>
      <c r="AY21" s="392">
        <f t="shared" si="14"/>
        <v>4595.7525748032031</v>
      </c>
      <c r="AZ21" s="392">
        <f t="shared" si="15"/>
        <v>3595.8663475424955</v>
      </c>
      <c r="BA21" s="386">
        <f>+SUM(Efficiency2!K56:K57)</f>
        <v>41.616250805343377</v>
      </c>
      <c r="BB21" s="387">
        <f t="shared" si="35"/>
        <v>563.14537954584796</v>
      </c>
      <c r="BC21" s="412">
        <f t="shared" si="36"/>
        <v>0.81833416852695751</v>
      </c>
      <c r="BD21" s="412">
        <f t="shared" si="37"/>
        <v>0.88679942717942883</v>
      </c>
    </row>
    <row r="22" spans="1:56" s="392" customFormat="1" ht="12.75" customHeight="1">
      <c r="A22" s="406">
        <f t="shared" si="16"/>
        <v>46005</v>
      </c>
      <c r="B22" s="415" t="s">
        <v>7</v>
      </c>
      <c r="C22" s="393" t="s">
        <v>535</v>
      </c>
      <c r="D22" s="385">
        <f>+'14'!F42</f>
        <v>1195.75</v>
      </c>
      <c r="E22" s="385">
        <f>+'14'!G42</f>
        <v>882.72833333333335</v>
      </c>
      <c r="F22" s="45">
        <f t="shared" si="0"/>
        <v>0.26177852115129974</v>
      </c>
      <c r="G22" s="411">
        <f t="shared" si="17"/>
        <v>0.93714324894753642</v>
      </c>
      <c r="H22" s="407">
        <f t="shared" si="18"/>
        <v>0.88494105502572096</v>
      </c>
      <c r="I22" s="407">
        <f t="shared" si="19"/>
        <v>0.90602841696324277</v>
      </c>
      <c r="J22" s="412">
        <f t="shared" si="20"/>
        <v>0.80178174319073592</v>
      </c>
      <c r="K22" s="412">
        <f t="shared" si="21"/>
        <v>0.88095179460081008</v>
      </c>
      <c r="L22" s="386">
        <f>+Efficiency1!K60</f>
        <v>41.594860799999992</v>
      </c>
      <c r="M22" s="387">
        <f t="shared" si="22"/>
        <v>604.74024034584795</v>
      </c>
      <c r="N22" s="386">
        <f>+Efficiency1!C60</f>
        <v>39.277879919999997</v>
      </c>
      <c r="O22" s="387">
        <f t="shared" si="22"/>
        <v>599.87846454263888</v>
      </c>
      <c r="P22" s="387">
        <f>'14'!I38</f>
        <v>36.808999999999997</v>
      </c>
      <c r="Q22" s="387">
        <f t="shared" si="23"/>
        <v>551.12299999999993</v>
      </c>
      <c r="R22" s="387">
        <f>'14'!I40</f>
        <v>33.35</v>
      </c>
      <c r="S22" s="387">
        <f t="shared" si="24"/>
        <v>532.74699999999996</v>
      </c>
      <c r="T22" s="94">
        <f t="shared" si="1"/>
        <v>4993.6499833684438</v>
      </c>
      <c r="U22" s="12">
        <f t="shared" si="25"/>
        <v>67321.435984087628</v>
      </c>
      <c r="V22" s="288">
        <f t="shared" si="26"/>
        <v>135.66383176311348</v>
      </c>
      <c r="W22" s="288">
        <f t="shared" si="27"/>
        <v>122.15319626306221</v>
      </c>
      <c r="X22" s="289">
        <f t="shared" si="28"/>
        <v>149.73463218496084</v>
      </c>
      <c r="Y22" s="288">
        <f t="shared" si="29"/>
        <v>126.36661676947526</v>
      </c>
      <c r="Z22" s="389">
        <v>55.3</v>
      </c>
      <c r="AA22" s="388">
        <f t="shared" si="30"/>
        <v>735.39999999999986</v>
      </c>
      <c r="AB22" s="391">
        <f t="shared" si="2"/>
        <v>1.5023499687576409</v>
      </c>
      <c r="AC22" s="391">
        <f t="shared" si="3"/>
        <v>1.3343663755640753</v>
      </c>
      <c r="AD22" s="386">
        <f t="shared" si="4"/>
        <v>1.6581709145427286</v>
      </c>
      <c r="AE22" s="391">
        <f t="shared" si="5"/>
        <v>1.3803925690806329</v>
      </c>
      <c r="AF22" s="390">
        <f>'14'!I46</f>
        <v>34866.820000000364</v>
      </c>
      <c r="AG22" s="388">
        <f t="shared" si="31"/>
        <v>519006.95999999897</v>
      </c>
      <c r="AH22" s="391">
        <f t="shared" si="6"/>
        <v>947.23627373741101</v>
      </c>
      <c r="AI22" s="391">
        <f t="shared" si="7"/>
        <v>941.7261845359368</v>
      </c>
      <c r="AJ22" s="391">
        <f t="shared" si="8"/>
        <v>1045.4818590704758</v>
      </c>
      <c r="AK22" s="391">
        <f t="shared" si="9"/>
        <v>974.20907109753591</v>
      </c>
      <c r="AL22" s="446">
        <v>4817.8999999999996</v>
      </c>
      <c r="AM22" s="447">
        <v>4510.5</v>
      </c>
      <c r="AN22" s="447">
        <v>4200.1000000000004</v>
      </c>
      <c r="AO22" s="447">
        <f t="shared" si="39"/>
        <v>13528.5</v>
      </c>
      <c r="AP22" s="583">
        <f>+[1]Des!N17</f>
        <v>14022</v>
      </c>
      <c r="AQ22" s="479">
        <f t="shared" si="10"/>
        <v>493.5</v>
      </c>
      <c r="AR22" s="450">
        <f t="shared" si="11"/>
        <v>0.35612965221569276</v>
      </c>
      <c r="AS22" s="450">
        <f t="shared" si="12"/>
        <v>0.33340725135824373</v>
      </c>
      <c r="AT22" s="450">
        <f t="shared" si="32"/>
        <v>0.31046309642606357</v>
      </c>
      <c r="AU22" s="450">
        <f t="shared" si="33"/>
        <v>175.74998336844439</v>
      </c>
      <c r="AV22" s="450">
        <f t="shared" si="34"/>
        <v>164.53647854529328</v>
      </c>
      <c r="AW22" s="450">
        <f t="shared" si="38"/>
        <v>153.21353808626236</v>
      </c>
      <c r="AX22" s="392">
        <f t="shared" si="13"/>
        <v>4993.6499833684438</v>
      </c>
      <c r="AY22" s="392">
        <f t="shared" si="14"/>
        <v>4675.036478545293</v>
      </c>
      <c r="AZ22" s="392">
        <f t="shared" si="15"/>
        <v>4353.3135380862623</v>
      </c>
      <c r="BA22" s="386">
        <f>+Efficiency2!K60</f>
        <v>41.594860799999992</v>
      </c>
      <c r="BB22" s="387">
        <f t="shared" si="35"/>
        <v>604.74024034584795</v>
      </c>
      <c r="BC22" s="412">
        <f t="shared" si="36"/>
        <v>0.80178174319073592</v>
      </c>
      <c r="BD22" s="412">
        <f t="shared" si="37"/>
        <v>0.88095179460081008</v>
      </c>
    </row>
    <row r="23" spans="1:56" s="392" customFormat="1" ht="12.75" customHeight="1">
      <c r="A23" s="406">
        <f t="shared" si="16"/>
        <v>46006</v>
      </c>
      <c r="B23" s="415" t="s">
        <v>7</v>
      </c>
      <c r="C23" s="393" t="s">
        <v>550</v>
      </c>
      <c r="D23" s="385">
        <f>+'15'!F42</f>
        <v>1165.5416666666667</v>
      </c>
      <c r="E23" s="385">
        <f>+'15'!G42</f>
        <v>877.4283333333334</v>
      </c>
      <c r="F23" s="45">
        <f t="shared" si="0"/>
        <v>0.24719265005541058</v>
      </c>
      <c r="G23" s="411">
        <f t="shared" si="17"/>
        <v>0.92823355637010363</v>
      </c>
      <c r="H23" s="407">
        <f t="shared" si="18"/>
        <v>0.85754487314872807</v>
      </c>
      <c r="I23" s="407">
        <f t="shared" si="19"/>
        <v>0.97245330403390373</v>
      </c>
      <c r="J23" s="412">
        <f t="shared" si="20"/>
        <v>0.83392234525081543</v>
      </c>
      <c r="K23" s="412">
        <f t="shared" si="21"/>
        <v>0.87772318475468825</v>
      </c>
      <c r="L23" s="386">
        <f>+SUM(Efficiency1!K64:K65)</f>
        <v>44.576092979999991</v>
      </c>
      <c r="M23" s="387">
        <f t="shared" si="22"/>
        <v>649.31633332584795</v>
      </c>
      <c r="N23" s="386">
        <f>+SUM(Efficiency1!C64:C65)</f>
        <v>41.181445917000005</v>
      </c>
      <c r="O23" s="387">
        <f t="shared" si="22"/>
        <v>641.0599104596389</v>
      </c>
      <c r="P23" s="387">
        <f>'15'!I38</f>
        <v>38.225999999999999</v>
      </c>
      <c r="Q23" s="387">
        <f t="shared" si="23"/>
        <v>589.34899999999993</v>
      </c>
      <c r="R23" s="387">
        <f>'15'!I40</f>
        <v>37.173000000000002</v>
      </c>
      <c r="S23" s="387">
        <f t="shared" si="24"/>
        <v>569.91999999999996</v>
      </c>
      <c r="T23" s="94">
        <f t="shared" si="1"/>
        <v>5032.133280838807</v>
      </c>
      <c r="U23" s="12">
        <f t="shared" si="25"/>
        <v>72353.569264926438</v>
      </c>
      <c r="V23" s="288">
        <f t="shared" si="26"/>
        <v>131.64163869719059</v>
      </c>
      <c r="W23" s="288">
        <f t="shared" si="27"/>
        <v>122.76862990337889</v>
      </c>
      <c r="X23" s="289">
        <f t="shared" si="28"/>
        <v>135.37065291579393</v>
      </c>
      <c r="Y23" s="288">
        <f t="shared" si="29"/>
        <v>126.95390452155819</v>
      </c>
      <c r="Z23" s="389">
        <v>51</v>
      </c>
      <c r="AA23" s="388">
        <f t="shared" si="30"/>
        <v>786.39999999999986</v>
      </c>
      <c r="AB23" s="391">
        <f t="shared" si="2"/>
        <v>1.3341704598964057</v>
      </c>
      <c r="AC23" s="391">
        <f t="shared" si="3"/>
        <v>1.3343536681999968</v>
      </c>
      <c r="AD23" s="386">
        <f t="shared" si="4"/>
        <v>1.3719635219110644</v>
      </c>
      <c r="AE23" s="391">
        <f t="shared" si="5"/>
        <v>1.3798427849522739</v>
      </c>
      <c r="AF23" s="390">
        <f>'15'!I46</f>
        <v>37221.1</v>
      </c>
      <c r="AG23" s="388">
        <f t="shared" si="31"/>
        <v>556228.05999999901</v>
      </c>
      <c r="AH23" s="391">
        <f t="shared" si="6"/>
        <v>973.7116098990216</v>
      </c>
      <c r="AI23" s="391">
        <f t="shared" si="7"/>
        <v>943.80080393790286</v>
      </c>
      <c r="AJ23" s="391">
        <f t="shared" si="8"/>
        <v>1001.2939499098808</v>
      </c>
      <c r="AK23" s="391">
        <f t="shared" si="9"/>
        <v>975.97568079730308</v>
      </c>
      <c r="AL23" s="446">
        <v>5218</v>
      </c>
      <c r="AM23" s="447">
        <v>5086.6000000000004</v>
      </c>
      <c r="AN23" s="447">
        <v>4173.1000000000004</v>
      </c>
      <c r="AO23" s="447">
        <f t="shared" si="39"/>
        <v>14477.7</v>
      </c>
      <c r="AP23" s="584">
        <f>+[1]Des!N18</f>
        <v>13962</v>
      </c>
      <c r="AQ23" s="479">
        <f t="shared" si="10"/>
        <v>-515.70000000000073</v>
      </c>
      <c r="AR23" s="450">
        <f t="shared" si="11"/>
        <v>0.36041636447778308</v>
      </c>
      <c r="AS23" s="450">
        <f t="shared" si="12"/>
        <v>0.35134033720825825</v>
      </c>
      <c r="AT23" s="450">
        <f t="shared" si="32"/>
        <v>0.28824329831395862</v>
      </c>
      <c r="AU23" s="450">
        <f t="shared" si="33"/>
        <v>-185.866719161193</v>
      </c>
      <c r="AV23" s="450">
        <f t="shared" si="34"/>
        <v>-181.18621189829904</v>
      </c>
      <c r="AW23" s="450">
        <f t="shared" si="38"/>
        <v>-148.64706894050866</v>
      </c>
      <c r="AX23" s="392">
        <f t="shared" si="13"/>
        <v>5032.133280838807</v>
      </c>
      <c r="AY23" s="392">
        <f t="shared" si="14"/>
        <v>4905.4137881017014</v>
      </c>
      <c r="AZ23" s="392">
        <f t="shared" si="15"/>
        <v>4024.4529310594917</v>
      </c>
      <c r="BA23" s="386">
        <f>+SUM(Efficiency2!K64:K65)</f>
        <v>44.576092979999991</v>
      </c>
      <c r="BB23" s="387">
        <f t="shared" si="35"/>
        <v>649.31633332584795</v>
      </c>
      <c r="BC23" s="412">
        <f t="shared" si="36"/>
        <v>0.83392234525081543</v>
      </c>
      <c r="BD23" s="412">
        <f t="shared" si="37"/>
        <v>0.87772318475468825</v>
      </c>
    </row>
    <row r="24" spans="1:56" s="392" customFormat="1" ht="12.75" customHeight="1">
      <c r="A24" s="406">
        <f t="shared" si="16"/>
        <v>46007</v>
      </c>
      <c r="B24" s="415" t="s">
        <v>7</v>
      </c>
      <c r="C24" s="393" t="s">
        <v>561</v>
      </c>
      <c r="D24" s="385">
        <f>+'16'!F42</f>
        <v>1164.3353474320243</v>
      </c>
      <c r="E24" s="385">
        <f>+'16'!G42</f>
        <v>881.62613293051356</v>
      </c>
      <c r="F24" s="45">
        <f t="shared" si="0"/>
        <v>0.24280737944187136</v>
      </c>
      <c r="G24" s="411">
        <f t="shared" si="17"/>
        <v>0.86683853153812251</v>
      </c>
      <c r="H24" s="407">
        <f t="shared" si="18"/>
        <v>0.81392038832305125</v>
      </c>
      <c r="I24" s="407">
        <f t="shared" si="19"/>
        <v>0.87901348127281609</v>
      </c>
      <c r="J24" s="412">
        <f t="shared" si="20"/>
        <v>0.71544699401876755</v>
      </c>
      <c r="K24" s="412">
        <f t="shared" si="21"/>
        <v>0.86770078317840027</v>
      </c>
      <c r="L24" s="386">
        <f>+SUM(Efficiency1!K68:K69)</f>
        <v>42.742509585829396</v>
      </c>
      <c r="M24" s="387">
        <f t="shared" si="22"/>
        <v>692.0588429116774</v>
      </c>
      <c r="N24" s="386">
        <f>+SUM(Efficiency1!C68:C69)</f>
        <v>40.133195207959005</v>
      </c>
      <c r="O24" s="387">
        <f t="shared" si="22"/>
        <v>681.19310566759793</v>
      </c>
      <c r="P24" s="387">
        <f>'16'!I38</f>
        <v>34.789000000000001</v>
      </c>
      <c r="Q24" s="387">
        <f t="shared" si="23"/>
        <v>624.13799999999992</v>
      </c>
      <c r="R24" s="387">
        <f>'16'!I40</f>
        <v>30.58</v>
      </c>
      <c r="S24" s="387">
        <f t="shared" si="24"/>
        <v>600.5</v>
      </c>
      <c r="T24" s="94">
        <f t="shared" si="1"/>
        <v>4078.4179024696796</v>
      </c>
      <c r="U24" s="12">
        <f t="shared" si="25"/>
        <v>76431.987167396117</v>
      </c>
      <c r="V24" s="288">
        <f t="shared" si="26"/>
        <v>117.23297313718932</v>
      </c>
      <c r="W24" s="288">
        <f t="shared" si="27"/>
        <v>122.46007640521186</v>
      </c>
      <c r="X24" s="289">
        <f t="shared" si="28"/>
        <v>133.36879994995681</v>
      </c>
      <c r="Y24" s="288">
        <f t="shared" si="29"/>
        <v>127.2805781305514</v>
      </c>
      <c r="Z24" s="389">
        <v>45.1</v>
      </c>
      <c r="AA24" s="388">
        <f t="shared" si="30"/>
        <v>831.49999999999989</v>
      </c>
      <c r="AB24" s="391">
        <f t="shared" si="2"/>
        <v>1.2963867889275345</v>
      </c>
      <c r="AC24" s="391">
        <f t="shared" si="3"/>
        <v>1.3322374218522186</v>
      </c>
      <c r="AD24" s="386">
        <f t="shared" si="4"/>
        <v>1.4748201438848922</v>
      </c>
      <c r="AE24" s="391">
        <f t="shared" si="5"/>
        <v>1.3846794338051622</v>
      </c>
      <c r="AF24" s="390">
        <f>'16'!I46</f>
        <v>37053.540000001092</v>
      </c>
      <c r="AG24" s="388">
        <f t="shared" si="31"/>
        <v>593281.60000000009</v>
      </c>
      <c r="AH24" s="391">
        <f t="shared" si="6"/>
        <v>1065.0935640576358</v>
      </c>
      <c r="AI24" s="391">
        <f t="shared" si="7"/>
        <v>950.5615745235832</v>
      </c>
      <c r="AJ24" s="391">
        <f t="shared" si="8"/>
        <v>1211.6919555265235</v>
      </c>
      <c r="AK24" s="391">
        <f t="shared" si="9"/>
        <v>987.97935054121581</v>
      </c>
      <c r="AL24" s="446">
        <v>5030.3999999999996</v>
      </c>
      <c r="AM24" s="447">
        <v>4725.3999999999996</v>
      </c>
      <c r="AN24" s="447">
        <v>4088.1</v>
      </c>
      <c r="AO24" s="447">
        <f t="shared" si="39"/>
        <v>13843.9</v>
      </c>
      <c r="AP24" s="586">
        <f>+[1]Des!$M$19</f>
        <v>11224</v>
      </c>
      <c r="AQ24" s="479">
        <f t="shared" si="10"/>
        <v>-2619.8999999999996</v>
      </c>
      <c r="AR24" s="450">
        <f t="shared" si="11"/>
        <v>0.36336581454647893</v>
      </c>
      <c r="AS24" s="450">
        <f t="shared" si="12"/>
        <v>0.34133445055222877</v>
      </c>
      <c r="AT24" s="450">
        <f t="shared" si="32"/>
        <v>0.29529973490129235</v>
      </c>
      <c r="AU24" s="450">
        <f t="shared" si="33"/>
        <v>-951.98209753032006</v>
      </c>
      <c r="AV24" s="450">
        <f t="shared" si="34"/>
        <v>-894.26212700178405</v>
      </c>
      <c r="AW24" s="450">
        <f t="shared" si="38"/>
        <v>-773.65577546789575</v>
      </c>
      <c r="AX24" s="392">
        <f t="shared" si="13"/>
        <v>4078.4179024696796</v>
      </c>
      <c r="AY24" s="392">
        <f t="shared" si="14"/>
        <v>3831.1378729982157</v>
      </c>
      <c r="AZ24" s="392">
        <f t="shared" si="15"/>
        <v>3314.4442245321043</v>
      </c>
      <c r="BA24" s="386">
        <f>+SUM(Efficiency2!K68:K69)</f>
        <v>42.742509585829396</v>
      </c>
      <c r="BB24" s="387">
        <f t="shared" si="35"/>
        <v>692.0588429116774</v>
      </c>
      <c r="BC24" s="412">
        <f t="shared" si="36"/>
        <v>0.71544699401876755</v>
      </c>
      <c r="BD24" s="412">
        <f t="shared" si="37"/>
        <v>0.86770078317840027</v>
      </c>
    </row>
    <row r="25" spans="1:56" s="392" customFormat="1" ht="12.75" customHeight="1">
      <c r="A25" s="406">
        <f t="shared" si="16"/>
        <v>46008</v>
      </c>
      <c r="B25" s="415" t="s">
        <v>7</v>
      </c>
      <c r="C25" s="393" t="s">
        <v>573</v>
      </c>
      <c r="D25" s="385">
        <f>+'17'!F42</f>
        <v>1185.6785714285713</v>
      </c>
      <c r="E25" s="385">
        <f>+'17'!G42</f>
        <v>897.39678571428567</v>
      </c>
      <c r="F25" s="45">
        <f t="shared" si="0"/>
        <v>0.24313654025723663</v>
      </c>
      <c r="G25" s="411">
        <f t="shared" si="17"/>
        <v>0.92957370153433494</v>
      </c>
      <c r="H25" s="407">
        <f t="shared" si="18"/>
        <v>0.89634276150582293</v>
      </c>
      <c r="I25" s="407">
        <f t="shared" si="19"/>
        <v>0.92920138513147932</v>
      </c>
      <c r="J25" s="412">
        <f t="shared" si="20"/>
        <v>0.8328829355437859</v>
      </c>
      <c r="K25" s="412">
        <f t="shared" si="21"/>
        <v>0.86574272070870828</v>
      </c>
      <c r="L25" s="386">
        <f>+SUM(Efficiency1!K73:K74)</f>
        <v>41.238688577014706</v>
      </c>
      <c r="M25" s="387">
        <f t="shared" si="22"/>
        <v>733.29753148869213</v>
      </c>
      <c r="N25" s="386">
        <f>+SUM(Efficiency1!C73:C74)</f>
        <v>39.764464010748142</v>
      </c>
      <c r="O25" s="387">
        <f t="shared" si="22"/>
        <v>720.95756967834609</v>
      </c>
      <c r="P25" s="387">
        <f>'17'!I38</f>
        <v>36.963999999999999</v>
      </c>
      <c r="Q25" s="387">
        <f t="shared" si="23"/>
        <v>661.10199999999986</v>
      </c>
      <c r="R25" s="387">
        <f>'17'!I40</f>
        <v>34.347000000000001</v>
      </c>
      <c r="S25" s="387">
        <f t="shared" si="24"/>
        <v>634.84699999999998</v>
      </c>
      <c r="T25" s="94">
        <f t="shared" si="1"/>
        <v>5011.8453069905809</v>
      </c>
      <c r="U25" s="12">
        <f t="shared" si="25"/>
        <v>81443.832474386698</v>
      </c>
      <c r="V25" s="288">
        <f t="shared" si="26"/>
        <v>135.58720124960993</v>
      </c>
      <c r="W25" s="288">
        <f t="shared" si="27"/>
        <v>123.19404944227475</v>
      </c>
      <c r="X25" s="289">
        <f t="shared" si="28"/>
        <v>145.91799304133056</v>
      </c>
      <c r="Y25" s="288">
        <f t="shared" si="29"/>
        <v>128.28891445401285</v>
      </c>
      <c r="Z25" s="389">
        <v>46.3</v>
      </c>
      <c r="AA25" s="388">
        <f t="shared" si="30"/>
        <v>877.79999999999984</v>
      </c>
      <c r="AB25" s="391">
        <f t="shared" si="2"/>
        <v>1.2525700681744401</v>
      </c>
      <c r="AC25" s="391">
        <f t="shared" si="3"/>
        <v>1.3277830047405697</v>
      </c>
      <c r="AD25" s="386">
        <f t="shared" si="4"/>
        <v>1.3480071039683232</v>
      </c>
      <c r="AE25" s="391">
        <f t="shared" si="5"/>
        <v>1.3826953580941548</v>
      </c>
      <c r="AF25" s="390">
        <f>'17'!I46</f>
        <v>39145.120000000003</v>
      </c>
      <c r="AG25" s="388">
        <f t="shared" si="31"/>
        <v>632426.72000000009</v>
      </c>
      <c r="AH25" s="391">
        <f t="shared" si="6"/>
        <v>1059.0066010172059</v>
      </c>
      <c r="AI25" s="391">
        <f t="shared" si="7"/>
        <v>956.6250291180487</v>
      </c>
      <c r="AJ25" s="391">
        <f t="shared" si="8"/>
        <v>1139.6954610300756</v>
      </c>
      <c r="AK25" s="391">
        <f t="shared" si="9"/>
        <v>996.18761685886534</v>
      </c>
      <c r="AL25" s="446">
        <v>5218.3</v>
      </c>
      <c r="AM25" s="447">
        <v>4924</v>
      </c>
      <c r="AN25" s="447">
        <v>4009.6</v>
      </c>
      <c r="AO25" s="447">
        <f t="shared" si="39"/>
        <v>14151.9</v>
      </c>
      <c r="AP25" s="586">
        <f>+[1]Des!N20</f>
        <v>13592</v>
      </c>
      <c r="AQ25" s="479">
        <f t="shared" si="10"/>
        <v>-559.89999999999964</v>
      </c>
      <c r="AR25" s="450">
        <f t="shared" si="11"/>
        <v>0.3687349401847102</v>
      </c>
      <c r="AS25" s="450">
        <f t="shared" si="12"/>
        <v>0.34793914598039838</v>
      </c>
      <c r="AT25" s="450">
        <f t="shared" si="32"/>
        <v>0.28332591383489142</v>
      </c>
      <c r="AU25" s="450">
        <f t="shared" si="33"/>
        <v>-206.45469300941912</v>
      </c>
      <c r="AV25" s="450">
        <f>+AS25*AQ25</f>
        <v>-194.81112783442492</v>
      </c>
      <c r="AW25" s="450">
        <f t="shared" si="38"/>
        <v>-158.6341791561556</v>
      </c>
      <c r="AX25" s="392">
        <f t="shared" si="13"/>
        <v>5011.8453069905809</v>
      </c>
      <c r="AY25" s="392">
        <f t="shared" si="14"/>
        <v>4729.188872165575</v>
      </c>
      <c r="AZ25" s="392">
        <f t="shared" si="15"/>
        <v>3850.9658208438441</v>
      </c>
      <c r="BA25" s="386">
        <f>+SUM(Efficiency2!K73:K74)</f>
        <v>41.238688577014706</v>
      </c>
      <c r="BB25" s="387">
        <f t="shared" si="35"/>
        <v>733.29753148869213</v>
      </c>
      <c r="BC25" s="412">
        <f t="shared" si="36"/>
        <v>0.8328829355437859</v>
      </c>
      <c r="BD25" s="412">
        <f t="shared" si="37"/>
        <v>0.86574272070870828</v>
      </c>
    </row>
    <row r="26" spans="1:56" s="392" customFormat="1" ht="12.75" customHeight="1">
      <c r="A26" s="406">
        <f t="shared" si="16"/>
        <v>46009</v>
      </c>
      <c r="B26" s="415" t="s">
        <v>7</v>
      </c>
      <c r="C26" s="393" t="s">
        <v>589</v>
      </c>
      <c r="D26" s="385">
        <f>+'18'!F42</f>
        <v>1213.3888888888889</v>
      </c>
      <c r="E26" s="385">
        <f>+'18'!G42</f>
        <v>922.17555555555555</v>
      </c>
      <c r="F26" s="45">
        <f t="shared" si="0"/>
        <v>0.24</v>
      </c>
      <c r="G26" s="411">
        <f t="shared" si="17"/>
        <v>0.8560142474798289</v>
      </c>
      <c r="H26" s="407">
        <f t="shared" si="18"/>
        <v>0.84445380213220156</v>
      </c>
      <c r="I26" s="407">
        <f t="shared" si="19"/>
        <v>1.0196380658788606</v>
      </c>
      <c r="J26" s="412">
        <f t="shared" si="20"/>
        <v>0.86103724153012806</v>
      </c>
      <c r="K26" s="412">
        <f t="shared" si="21"/>
        <v>0.86549075777960993</v>
      </c>
      <c r="L26" s="386">
        <f>+Efficiency1!K78</f>
        <v>41.487171839999995</v>
      </c>
      <c r="M26" s="387">
        <f t="shared" si="22"/>
        <v>774.7847033286921</v>
      </c>
      <c r="N26" s="386">
        <f>+Efficiency1!C78</f>
        <v>40.926888895999994</v>
      </c>
      <c r="O26" s="387">
        <f t="shared" si="22"/>
        <v>761.88445857434613</v>
      </c>
      <c r="P26" s="387">
        <f>'18'!I38</f>
        <v>35.033999999999999</v>
      </c>
      <c r="Q26" s="387">
        <f t="shared" si="23"/>
        <v>696.13599999999985</v>
      </c>
      <c r="R26" s="387">
        <f>'18'!I40</f>
        <v>35.722000000000001</v>
      </c>
      <c r="S26" s="387">
        <f t="shared" si="24"/>
        <v>670.56899999999996</v>
      </c>
      <c r="T26" s="94">
        <f t="shared" si="1"/>
        <v>5048.4638324648786</v>
      </c>
      <c r="U26" s="12">
        <f t="shared" si="25"/>
        <v>86492.296306851582</v>
      </c>
      <c r="V26" s="288">
        <f t="shared" si="26"/>
        <v>144.10183914097388</v>
      </c>
      <c r="W26" s="288">
        <f t="shared" si="27"/>
        <v>124.24626266541537</v>
      </c>
      <c r="X26" s="289">
        <f t="shared" si="28"/>
        <v>141.32646079348521</v>
      </c>
      <c r="Y26" s="288">
        <f t="shared" si="29"/>
        <v>128.98343989485286</v>
      </c>
      <c r="Z26" s="389">
        <v>47.3</v>
      </c>
      <c r="AA26" s="388">
        <f t="shared" si="30"/>
        <v>925.0999999999998</v>
      </c>
      <c r="AB26" s="391">
        <f t="shared" si="2"/>
        <v>1.3501170291716618</v>
      </c>
      <c r="AC26" s="391">
        <f t="shared" si="3"/>
        <v>1.3289069951848489</v>
      </c>
      <c r="AD26" s="386">
        <f t="shared" si="4"/>
        <v>1.3241139913778623</v>
      </c>
      <c r="AE26" s="391">
        <f t="shared" si="5"/>
        <v>1.3795746597292744</v>
      </c>
      <c r="AF26" s="390">
        <f>'18'!I46</f>
        <v>38651.799999999639</v>
      </c>
      <c r="AG26" s="388">
        <f t="shared" si="31"/>
        <v>671078.51999999979</v>
      </c>
      <c r="AH26" s="391">
        <f t="shared" si="6"/>
        <v>1103.2653993263584</v>
      </c>
      <c r="AI26" s="391">
        <f t="shared" si="7"/>
        <v>964.00490708712073</v>
      </c>
      <c r="AJ26" s="391">
        <f t="shared" si="8"/>
        <v>1082.0166843961604</v>
      </c>
      <c r="AK26" s="391">
        <f t="shared" si="9"/>
        <v>1000.7598323215057</v>
      </c>
      <c r="AL26" s="446">
        <v>5274.8</v>
      </c>
      <c r="AM26" s="447">
        <v>4625.6000000000004</v>
      </c>
      <c r="AN26" s="447">
        <v>4243.5</v>
      </c>
      <c r="AO26" s="447">
        <f t="shared" si="39"/>
        <v>14143.900000000001</v>
      </c>
      <c r="AP26" s="586">
        <f>+[1]Des!N21</f>
        <v>13537</v>
      </c>
      <c r="AQ26" s="479">
        <f t="shared" si="10"/>
        <v>-606.90000000000146</v>
      </c>
      <c r="AR26" s="450">
        <f t="shared" si="11"/>
        <v>0.37293815708538663</v>
      </c>
      <c r="AS26" s="450">
        <f t="shared" si="12"/>
        <v>0.32703851130169187</v>
      </c>
      <c r="AT26" s="450">
        <f t="shared" si="32"/>
        <v>0.30002333161292144</v>
      </c>
      <c r="AU26" s="450">
        <f t="shared" si="33"/>
        <v>-226.33616753512169</v>
      </c>
      <c r="AV26" s="450">
        <f t="shared" si="34"/>
        <v>-198.47967250899728</v>
      </c>
      <c r="AW26" s="450">
        <f t="shared" si="38"/>
        <v>-182.08415995588246</v>
      </c>
      <c r="AX26" s="392">
        <f t="shared" si="13"/>
        <v>5048.4638324648786</v>
      </c>
      <c r="AY26" s="392">
        <f t="shared" si="14"/>
        <v>4427.1203274910031</v>
      </c>
      <c r="AZ26" s="392">
        <f t="shared" si="15"/>
        <v>4061.4158400441174</v>
      </c>
      <c r="BA26" s="386">
        <f>+Efficiency2!K78</f>
        <v>41.487171839999995</v>
      </c>
      <c r="BB26" s="387">
        <f t="shared" si="35"/>
        <v>774.7847033286921</v>
      </c>
      <c r="BC26" s="412">
        <f t="shared" si="36"/>
        <v>0.86103724153012806</v>
      </c>
      <c r="BD26" s="412">
        <f t="shared" si="37"/>
        <v>0.86549075777960993</v>
      </c>
    </row>
    <row r="27" spans="1:56" s="392" customFormat="1" ht="12.75" customHeight="1">
      <c r="A27" s="406">
        <f t="shared" si="16"/>
        <v>46010</v>
      </c>
      <c r="B27" s="415" t="s">
        <v>462</v>
      </c>
      <c r="C27" s="393" t="s">
        <v>601</v>
      </c>
      <c r="D27" s="385">
        <f>+'19'!F42</f>
        <v>1163.7430555555557</v>
      </c>
      <c r="E27" s="385">
        <f>+'19'!G42</f>
        <v>877.01763888888877</v>
      </c>
      <c r="F27" s="45">
        <f t="shared" si="0"/>
        <v>0.24638206457849743</v>
      </c>
      <c r="G27" s="411">
        <f t="shared" si="17"/>
        <v>0.94535286531359086</v>
      </c>
      <c r="H27" s="407">
        <f t="shared" si="18"/>
        <v>0.93220124956903749</v>
      </c>
      <c r="I27" s="407">
        <f t="shared" si="19"/>
        <v>0.93416990839503078</v>
      </c>
      <c r="J27" s="412">
        <f t="shared" si="20"/>
        <v>0.87083435591564096</v>
      </c>
      <c r="K27" s="412">
        <f t="shared" si="21"/>
        <v>0.86577013790386059</v>
      </c>
      <c r="L27" s="386">
        <f>+SUM(Efficiency1!K82:K84)</f>
        <v>42.742916315999999</v>
      </c>
      <c r="M27" s="387">
        <f t="shared" si="22"/>
        <v>817.52761964469209</v>
      </c>
      <c r="N27" s="386">
        <f>+SUM(Efficiency1!C82:C84)</f>
        <v>42.148282891999997</v>
      </c>
      <c r="O27" s="387">
        <f t="shared" si="22"/>
        <v>804.03274146634612</v>
      </c>
      <c r="P27" s="387">
        <f>'19'!I38</f>
        <v>39.844999999999999</v>
      </c>
      <c r="Q27" s="387">
        <f t="shared" si="23"/>
        <v>735.98099999999988</v>
      </c>
      <c r="R27" s="387">
        <f>'19'!I40</f>
        <v>37.222000000000001</v>
      </c>
      <c r="S27" s="387">
        <f t="shared" si="24"/>
        <v>707.79099999999994</v>
      </c>
      <c r="T27" s="94">
        <f t="shared" si="1"/>
        <v>5249.5581790184388</v>
      </c>
      <c r="U27" s="12">
        <f t="shared" si="25"/>
        <v>91741.854485870019</v>
      </c>
      <c r="V27" s="288">
        <f t="shared" si="26"/>
        <v>131.74948372489493</v>
      </c>
      <c r="W27" s="288">
        <f t="shared" si="27"/>
        <v>124.65247674310891</v>
      </c>
      <c r="X27" s="289">
        <f t="shared" si="28"/>
        <v>141.03374829451505</v>
      </c>
      <c r="Y27" s="288">
        <f t="shared" si="29"/>
        <v>129.61715320747231</v>
      </c>
      <c r="Z27" s="389">
        <v>50.7</v>
      </c>
      <c r="AA27" s="388">
        <f t="shared" si="30"/>
        <v>975.79999999999984</v>
      </c>
      <c r="AB27" s="391">
        <f t="shared" si="2"/>
        <v>1.2724306688417619</v>
      </c>
      <c r="AC27" s="391">
        <f t="shared" si="3"/>
        <v>1.3258494444829418</v>
      </c>
      <c r="AD27" s="386">
        <f t="shared" si="4"/>
        <v>1.3620976841652785</v>
      </c>
      <c r="AE27" s="391">
        <f t="shared" si="5"/>
        <v>1.3786555635773836</v>
      </c>
      <c r="AF27" s="390">
        <f>'19'!I46</f>
        <v>39865.459999999272</v>
      </c>
      <c r="AG27" s="388">
        <f t="shared" si="31"/>
        <v>710943.97999999905</v>
      </c>
      <c r="AH27" s="391">
        <f t="shared" si="6"/>
        <v>1000.5134897728516</v>
      </c>
      <c r="AI27" s="391">
        <f t="shared" si="7"/>
        <v>965.98143158586856</v>
      </c>
      <c r="AJ27" s="391">
        <f t="shared" si="8"/>
        <v>1071.0187523507407</v>
      </c>
      <c r="AK27" s="391">
        <f t="shared" si="9"/>
        <v>1004.4546765923827</v>
      </c>
      <c r="AL27" s="446">
        <v>5526</v>
      </c>
      <c r="AM27" s="447">
        <v>5325.4</v>
      </c>
      <c r="AN27" s="447">
        <v>4344.8</v>
      </c>
      <c r="AO27" s="447">
        <f t="shared" si="39"/>
        <v>15196.2</v>
      </c>
      <c r="AP27" s="586">
        <f>+[1]Des!N22</f>
        <v>14436</v>
      </c>
      <c r="AQ27" s="479">
        <f t="shared" si="10"/>
        <v>-760.20000000000073</v>
      </c>
      <c r="AR27" s="450">
        <f t="shared" si="11"/>
        <v>0.36364354246456349</v>
      </c>
      <c r="AS27" s="450">
        <f t="shared" si="12"/>
        <v>0.3504428738763638</v>
      </c>
      <c r="AT27" s="450">
        <f t="shared" si="32"/>
        <v>0.28591358365907277</v>
      </c>
      <c r="AU27" s="450">
        <f t="shared" si="33"/>
        <v>-276.44182098156142</v>
      </c>
      <c r="AV27" s="450">
        <f t="shared" si="34"/>
        <v>-266.40667272081203</v>
      </c>
      <c r="AW27" s="450">
        <f>+AT27*AQ27</f>
        <v>-217.35150629762734</v>
      </c>
      <c r="AX27" s="392">
        <f t="shared" si="13"/>
        <v>5249.5581790184388</v>
      </c>
      <c r="AY27" s="392">
        <f t="shared" si="14"/>
        <v>5058.9933272791877</v>
      </c>
      <c r="AZ27" s="392">
        <f t="shared" si="15"/>
        <v>4127.4484937023726</v>
      </c>
      <c r="BA27" s="386">
        <f>+SUM(Efficiency2!K82:K84)</f>
        <v>42.742916315999999</v>
      </c>
      <c r="BB27" s="387">
        <f t="shared" si="35"/>
        <v>817.52761964469209</v>
      </c>
      <c r="BC27" s="412">
        <f t="shared" si="36"/>
        <v>0.87083435591564096</v>
      </c>
      <c r="BD27" s="412">
        <f t="shared" si="37"/>
        <v>0.86577013790386059</v>
      </c>
    </row>
    <row r="28" spans="1:56" s="392" customFormat="1" ht="12.75" customHeight="1">
      <c r="A28" s="406">
        <f t="shared" si="16"/>
        <v>46011</v>
      </c>
      <c r="B28" s="415" t="s">
        <v>464</v>
      </c>
      <c r="C28" s="393" t="s">
        <v>482</v>
      </c>
      <c r="D28" s="385">
        <f>+'20'!F42</f>
        <v>1150</v>
      </c>
      <c r="E28" s="385">
        <f>+'20'!G42</f>
        <v>862.5</v>
      </c>
      <c r="F28" s="45">
        <f t="shared" si="0"/>
        <v>0.25</v>
      </c>
      <c r="G28" s="411">
        <f t="shared" si="17"/>
        <v>0.97532976703856389</v>
      </c>
      <c r="H28" s="407">
        <f t="shared" si="18"/>
        <v>0.97532976703856389</v>
      </c>
      <c r="I28" s="407">
        <f t="shared" si="19"/>
        <v>0.97669152575746376</v>
      </c>
      <c r="J28" s="412">
        <f t="shared" si="20"/>
        <v>0.95259631828556668</v>
      </c>
      <c r="K28" s="412">
        <f t="shared" si="21"/>
        <v>0.86997981726285112</v>
      </c>
      <c r="L28" s="386">
        <f>+Efficiency1!K86</f>
        <v>41.656680000000001</v>
      </c>
      <c r="M28" s="387">
        <f t="shared" si="22"/>
        <v>859.18429964469215</v>
      </c>
      <c r="N28" s="386">
        <f>+Efficiency1!C86</f>
        <v>41.656680000000001</v>
      </c>
      <c r="O28" s="387">
        <f t="shared" si="22"/>
        <v>845.68942146634618</v>
      </c>
      <c r="P28" s="387">
        <f>'20'!I38</f>
        <v>40.629000000000005</v>
      </c>
      <c r="Q28" s="387">
        <f t="shared" si="23"/>
        <v>776.6099999999999</v>
      </c>
      <c r="R28" s="387">
        <f>'20'!I40</f>
        <v>39.682000000000002</v>
      </c>
      <c r="S28" s="387">
        <f t="shared" si="24"/>
        <v>747.47299999999996</v>
      </c>
      <c r="T28" s="94">
        <f t="shared" si="1"/>
        <v>5162.6465092000517</v>
      </c>
      <c r="U28" s="12">
        <f t="shared" si="25"/>
        <v>96904.500995070077</v>
      </c>
      <c r="V28" s="288">
        <f t="shared" si="26"/>
        <v>127.06801814467624</v>
      </c>
      <c r="W28" s="288">
        <f t="shared" si="27"/>
        <v>124.77884780658258</v>
      </c>
      <c r="X28" s="289">
        <f t="shared" si="28"/>
        <v>130.10046139811632</v>
      </c>
      <c r="Y28" s="288">
        <f t="shared" si="29"/>
        <v>129.64281117186852</v>
      </c>
      <c r="Z28" s="389">
        <v>50.4</v>
      </c>
      <c r="AA28" s="388">
        <f t="shared" si="30"/>
        <v>1026.1999999999998</v>
      </c>
      <c r="AB28" s="391">
        <f t="shared" si="2"/>
        <v>1.2404932437421545</v>
      </c>
      <c r="AC28" s="391">
        <f t="shared" si="3"/>
        <v>1.3213839636368319</v>
      </c>
      <c r="AD28" s="386">
        <f t="shared" si="4"/>
        <v>1.270097273322917</v>
      </c>
      <c r="AE28" s="391">
        <f t="shared" si="5"/>
        <v>1.3728923987889863</v>
      </c>
      <c r="AF28" s="390">
        <f>'20'!I46</f>
        <v>37893.720000001093</v>
      </c>
      <c r="AG28" s="388">
        <f t="shared" si="31"/>
        <v>748837.70000000019</v>
      </c>
      <c r="AH28" s="391">
        <f t="shared" si="6"/>
        <v>932.67665952893469</v>
      </c>
      <c r="AI28" s="391">
        <f t="shared" si="7"/>
        <v>964.23906465278617</v>
      </c>
      <c r="AJ28" s="391">
        <f t="shared" si="8"/>
        <v>954.93473111237074</v>
      </c>
      <c r="AK28" s="391">
        <f t="shared" si="9"/>
        <v>1001.8257515656086</v>
      </c>
      <c r="AL28" s="481">
        <v>5573.2</v>
      </c>
      <c r="AM28" s="482">
        <v>5428.6</v>
      </c>
      <c r="AN28" s="447">
        <v>4324.2</v>
      </c>
      <c r="AO28" s="447">
        <f t="shared" si="39"/>
        <v>15326</v>
      </c>
      <c r="AP28" s="586">
        <f>+[1]Des!N23</f>
        <v>14197</v>
      </c>
      <c r="AQ28" s="479">
        <f t="shared" si="10"/>
        <v>-1129</v>
      </c>
      <c r="AR28" s="450">
        <f t="shared" si="11"/>
        <v>0.36364348166514421</v>
      </c>
      <c r="AS28" s="450">
        <f t="shared" si="12"/>
        <v>0.35420853451650791</v>
      </c>
      <c r="AT28" s="450">
        <f t="shared" si="32"/>
        <v>0.28214798381834794</v>
      </c>
      <c r="AU28" s="450">
        <f t="shared" si="33"/>
        <v>-410.55349079994784</v>
      </c>
      <c r="AV28" s="450">
        <f t="shared" si="34"/>
        <v>-399.90143546913743</v>
      </c>
      <c r="AW28" s="450">
        <f t="shared" si="38"/>
        <v>-318.54507373091479</v>
      </c>
      <c r="AX28" s="392">
        <f t="shared" si="13"/>
        <v>5162.6465092000517</v>
      </c>
      <c r="AY28" s="392">
        <f t="shared" si="14"/>
        <v>5028.6985645308632</v>
      </c>
      <c r="AZ28" s="392">
        <f t="shared" si="15"/>
        <v>4005.6549262690851</v>
      </c>
      <c r="BA28" s="386">
        <f>+Efficiency2!K86</f>
        <v>41.656680000000001</v>
      </c>
      <c r="BB28" s="387">
        <f t="shared" si="35"/>
        <v>859.18429964469215</v>
      </c>
      <c r="BC28" s="412">
        <f t="shared" si="36"/>
        <v>0.95259631828556668</v>
      </c>
      <c r="BD28" s="412">
        <f t="shared" si="37"/>
        <v>0.86997981726285112</v>
      </c>
    </row>
    <row r="29" spans="1:56" s="392" customFormat="1" ht="12.75" customHeight="1">
      <c r="A29" s="406">
        <f t="shared" si="16"/>
        <v>46012</v>
      </c>
      <c r="B29" s="415" t="s">
        <v>464</v>
      </c>
      <c r="C29" s="393" t="s">
        <v>482</v>
      </c>
      <c r="D29" s="385">
        <f>+'21'!F42</f>
        <v>1150</v>
      </c>
      <c r="E29" s="385">
        <f>+'21'!G42</f>
        <v>862.5</v>
      </c>
      <c r="F29" s="45">
        <f t="shared" si="0"/>
        <v>0.25</v>
      </c>
      <c r="G29" s="411">
        <f t="shared" si="17"/>
        <v>0.92575788565003259</v>
      </c>
      <c r="H29" s="407">
        <f t="shared" si="18"/>
        <v>0.92575788565003259</v>
      </c>
      <c r="I29" s="407">
        <f t="shared" si="19"/>
        <v>0.98444144798257438</v>
      </c>
      <c r="J29" s="412">
        <f t="shared" si="20"/>
        <v>0.91135443343060463</v>
      </c>
      <c r="K29" s="412">
        <f t="shared" si="21"/>
        <v>0.87189306186957694</v>
      </c>
      <c r="L29" s="386">
        <f>+Efficiency1!K90</f>
        <v>41.656680000000001</v>
      </c>
      <c r="M29" s="387">
        <f t="shared" si="22"/>
        <v>900.8409796446922</v>
      </c>
      <c r="N29" s="386">
        <f>+Efficiency1!C90</f>
        <v>41.656680000000001</v>
      </c>
      <c r="O29" s="387">
        <f t="shared" si="22"/>
        <v>887.34610146634623</v>
      </c>
      <c r="P29" s="387">
        <f>'21'!I38</f>
        <v>38.564</v>
      </c>
      <c r="Q29" s="387">
        <f t="shared" si="23"/>
        <v>815.17399999999986</v>
      </c>
      <c r="R29" s="387">
        <f>'21'!I40</f>
        <v>37.963999999999999</v>
      </c>
      <c r="S29" s="387">
        <f t="shared" si="24"/>
        <v>785.4369999999999</v>
      </c>
      <c r="T29" s="94">
        <f t="shared" si="1"/>
        <v>5502.9762808159339</v>
      </c>
      <c r="U29" s="12">
        <f t="shared" si="25"/>
        <v>102407.47727588601</v>
      </c>
      <c r="V29" s="288">
        <f t="shared" si="26"/>
        <v>142.69723785955642</v>
      </c>
      <c r="W29" s="288">
        <f t="shared" si="27"/>
        <v>125.62652547294937</v>
      </c>
      <c r="X29" s="289">
        <f t="shared" si="28"/>
        <v>144.95248869497246</v>
      </c>
      <c r="Y29" s="288">
        <f t="shared" si="29"/>
        <v>130.38280253653193</v>
      </c>
      <c r="Z29" s="389">
        <v>48</v>
      </c>
      <c r="AA29" s="388">
        <f t="shared" si="30"/>
        <v>1074.1999999999998</v>
      </c>
      <c r="AB29" s="391">
        <f t="shared" si="2"/>
        <v>1.2446841613940463</v>
      </c>
      <c r="AC29" s="391">
        <f t="shared" si="3"/>
        <v>1.3177554730646464</v>
      </c>
      <c r="AD29" s="386">
        <f t="shared" si="4"/>
        <v>1.2643557054051207</v>
      </c>
      <c r="AE29" s="391">
        <f t="shared" si="5"/>
        <v>1.3676462911729392</v>
      </c>
      <c r="AF29" s="390">
        <f>'21'!I46</f>
        <v>38539.179999999636</v>
      </c>
      <c r="AG29" s="388">
        <f t="shared" si="31"/>
        <v>787376.87999999977</v>
      </c>
      <c r="AH29" s="391">
        <f t="shared" si="6"/>
        <v>999.35639456486967</v>
      </c>
      <c r="AI29" s="391">
        <f t="shared" si="7"/>
        <v>965.90038445779658</v>
      </c>
      <c r="AJ29" s="391">
        <f t="shared" si="8"/>
        <v>1015.1506690548846</v>
      </c>
      <c r="AK29" s="391">
        <f t="shared" si="9"/>
        <v>1002.4698098001494</v>
      </c>
      <c r="AL29" s="481">
        <v>5650.8</v>
      </c>
      <c r="AM29" s="482">
        <v>4875.1000000000004</v>
      </c>
      <c r="AN29" s="482">
        <v>4470.3999999999996</v>
      </c>
      <c r="AO29" s="447">
        <f t="shared" si="39"/>
        <v>14996.300000000001</v>
      </c>
      <c r="AP29" s="586">
        <f>+[1]Des!N24</f>
        <v>14604</v>
      </c>
      <c r="AQ29" s="479">
        <f t="shared" si="10"/>
        <v>-392.30000000000109</v>
      </c>
      <c r="AR29" s="450">
        <f t="shared" si="11"/>
        <v>0.37681294719364106</v>
      </c>
      <c r="AS29" s="450">
        <f t="shared" si="12"/>
        <v>0.32508685475750687</v>
      </c>
      <c r="AT29" s="450">
        <f t="shared" si="32"/>
        <v>0.29810019804885213</v>
      </c>
      <c r="AU29" s="450">
        <f t="shared" si="33"/>
        <v>-147.82371918406579</v>
      </c>
      <c r="AV29" s="450">
        <f t="shared" si="34"/>
        <v>-127.5315731213703</v>
      </c>
      <c r="AW29" s="450">
        <f t="shared" si="38"/>
        <v>-116.94470769456501</v>
      </c>
      <c r="AX29" s="392">
        <f t="shared" si="13"/>
        <v>5502.9762808159339</v>
      </c>
      <c r="AY29" s="392">
        <f t="shared" si="14"/>
        <v>4747.5684268786299</v>
      </c>
      <c r="AZ29" s="392">
        <f t="shared" si="15"/>
        <v>4353.4552923054343</v>
      </c>
      <c r="BA29" s="386">
        <f>+Efficiency2!K90</f>
        <v>41.656680000000001</v>
      </c>
      <c r="BB29" s="387">
        <f t="shared" si="35"/>
        <v>900.8409796446922</v>
      </c>
      <c r="BC29" s="412">
        <f t="shared" si="36"/>
        <v>0.91135443343060463</v>
      </c>
      <c r="BD29" s="412">
        <f t="shared" si="37"/>
        <v>0.87189306186957694</v>
      </c>
    </row>
    <row r="30" spans="1:56" s="392" customFormat="1" ht="12.75" customHeight="1">
      <c r="A30" s="406">
        <f t="shared" si="16"/>
        <v>46013</v>
      </c>
      <c r="B30" s="415" t="s">
        <v>464</v>
      </c>
      <c r="C30" s="393" t="s">
        <v>496</v>
      </c>
      <c r="D30" s="385">
        <f>+'22'!F42</f>
        <v>1104.1666666666667</v>
      </c>
      <c r="E30" s="385">
        <f>+'22'!G42</f>
        <v>837.75</v>
      </c>
      <c r="F30" s="45">
        <f t="shared" si="0"/>
        <v>0.24128301886792458</v>
      </c>
      <c r="G30" s="411">
        <f t="shared" si="17"/>
        <v>0.97929483145713159</v>
      </c>
      <c r="H30" s="407">
        <f t="shared" si="18"/>
        <v>0.97929483145713159</v>
      </c>
      <c r="I30" s="407">
        <f t="shared" si="19"/>
        <v>0.94553930917567275</v>
      </c>
      <c r="J30" s="412">
        <f t="shared" si="20"/>
        <v>0.92596175841528305</v>
      </c>
      <c r="K30" s="412">
        <f t="shared" si="21"/>
        <v>0.87437651721669352</v>
      </c>
      <c r="L30" s="386">
        <f>+SUM(Efficiency1!K94:K95)</f>
        <v>43.368961660714291</v>
      </c>
      <c r="M30" s="387">
        <f t="shared" si="22"/>
        <v>944.20994130540646</v>
      </c>
      <c r="N30" s="386">
        <f>+SUM(Efficiency1!C94:C95)</f>
        <v>43.368961660714291</v>
      </c>
      <c r="O30" s="387">
        <f t="shared" si="22"/>
        <v>930.71506312706049</v>
      </c>
      <c r="P30" s="387">
        <f>'22'!I38</f>
        <v>42.471000000000004</v>
      </c>
      <c r="Q30" s="387">
        <f t="shared" si="23"/>
        <v>857.64499999999987</v>
      </c>
      <c r="R30" s="387">
        <f>'22'!I40</f>
        <v>40.158000000000001</v>
      </c>
      <c r="S30" s="387">
        <f t="shared" si="24"/>
        <v>825.59499999999991</v>
      </c>
      <c r="T30" s="94">
        <f t="shared" si="1"/>
        <v>5407.8161636060559</v>
      </c>
      <c r="U30" s="12">
        <f t="shared" si="25"/>
        <v>107815.29343949206</v>
      </c>
      <c r="V30" s="288">
        <f t="shared" si="26"/>
        <v>127.32961699997776</v>
      </c>
      <c r="W30" s="288">
        <f t="shared" si="27"/>
        <v>125.71086339859974</v>
      </c>
      <c r="X30" s="289">
        <f t="shared" si="28"/>
        <v>134.66348333099398</v>
      </c>
      <c r="Y30" s="288">
        <f t="shared" si="29"/>
        <v>130.59102034228897</v>
      </c>
      <c r="Z30" s="389">
        <v>49.5</v>
      </c>
      <c r="AA30" s="388">
        <f t="shared" si="30"/>
        <v>1123.6999999999998</v>
      </c>
      <c r="AB30" s="391">
        <f t="shared" si="2"/>
        <v>1.1655011655011653</v>
      </c>
      <c r="AC30" s="391">
        <f t="shared" si="3"/>
        <v>1.3102157652641828</v>
      </c>
      <c r="AD30" s="386">
        <f t="shared" si="4"/>
        <v>1.232631107126849</v>
      </c>
      <c r="AE30" s="391">
        <f t="shared" si="5"/>
        <v>1.3610789794027338</v>
      </c>
      <c r="AF30" s="390">
        <f>'22'!I46</f>
        <v>35520.780000000363</v>
      </c>
      <c r="AG30" s="388">
        <f t="shared" si="31"/>
        <v>822897.66000000015</v>
      </c>
      <c r="AH30" s="391">
        <f t="shared" si="6"/>
        <v>836.3537472628467</v>
      </c>
      <c r="AI30" s="391">
        <f t="shared" si="7"/>
        <v>959.48517160363588</v>
      </c>
      <c r="AJ30" s="391">
        <f t="shared" si="8"/>
        <v>884.5256237860541</v>
      </c>
      <c r="AK30" s="391">
        <f t="shared" si="9"/>
        <v>996.73285327551673</v>
      </c>
      <c r="AL30" s="481">
        <v>5583.5</v>
      </c>
      <c r="AM30" s="447">
        <v>4632.3999999999996</v>
      </c>
      <c r="AN30" s="447">
        <v>4301.8999999999996</v>
      </c>
      <c r="AO30" s="447">
        <f t="shared" si="39"/>
        <v>14517.8</v>
      </c>
      <c r="AP30" s="586">
        <f>+[1]Des!N25</f>
        <v>14061</v>
      </c>
      <c r="AQ30" s="479">
        <f t="shared" si="10"/>
        <v>-456.79999999999927</v>
      </c>
      <c r="AR30" s="450">
        <f>+AL30/AO30</f>
        <v>0.38459683974155867</v>
      </c>
      <c r="AS30" s="450">
        <f t="shared" si="12"/>
        <v>0.31908415875683643</v>
      </c>
      <c r="AT30" s="450">
        <f t="shared" si="32"/>
        <v>0.2963190015016049</v>
      </c>
      <c r="AU30" s="450">
        <f t="shared" si="33"/>
        <v>-175.68383639394372</v>
      </c>
      <c r="AV30" s="450">
        <f t="shared" si="34"/>
        <v>-145.75764372012264</v>
      </c>
      <c r="AW30" s="450">
        <f t="shared" si="38"/>
        <v>-135.35851988593291</v>
      </c>
      <c r="AX30" s="450">
        <f>+AL30+AU30</f>
        <v>5407.8161636060559</v>
      </c>
      <c r="AY30" s="392">
        <f t="shared" si="14"/>
        <v>4486.6423562798773</v>
      </c>
      <c r="AZ30" s="392">
        <f t="shared" si="15"/>
        <v>4166.5414801140669</v>
      </c>
      <c r="BA30" s="386">
        <f>+SUM(Efficiency2!K94:K95)</f>
        <v>43.368961660714291</v>
      </c>
      <c r="BB30" s="387">
        <f t="shared" si="35"/>
        <v>944.20994130540646</v>
      </c>
      <c r="BC30" s="412">
        <f t="shared" si="36"/>
        <v>0.92596175841528305</v>
      </c>
      <c r="BD30" s="412">
        <f t="shared" si="37"/>
        <v>0.87437651721669352</v>
      </c>
    </row>
    <row r="31" spans="1:56" s="392" customFormat="1" ht="12.75" customHeight="1">
      <c r="A31" s="406">
        <f t="shared" si="16"/>
        <v>46014</v>
      </c>
      <c r="B31" s="415" t="s">
        <v>464</v>
      </c>
      <c r="C31" s="393" t="s">
        <v>440</v>
      </c>
      <c r="D31" s="385">
        <f>+'23'!F42</f>
        <v>1053.4027777777778</v>
      </c>
      <c r="E31" s="385">
        <f>+'23'!G42</f>
        <v>811.12013888888885</v>
      </c>
      <c r="F31" s="45">
        <f t="shared" si="0"/>
        <v>0.23000000000000009</v>
      </c>
      <c r="G31" s="411">
        <f t="shared" si="17"/>
        <v>0.96180175579312333</v>
      </c>
      <c r="H31" s="407">
        <f t="shared" si="18"/>
        <v>0.96180175579312333</v>
      </c>
      <c r="I31" s="407">
        <f t="shared" si="19"/>
        <v>0.96984208559147833</v>
      </c>
      <c r="J31" s="412">
        <f t="shared" si="20"/>
        <v>0.9327958207639484</v>
      </c>
      <c r="K31" s="412">
        <f t="shared" si="21"/>
        <v>0.87700632056768146</v>
      </c>
      <c r="L31" s="386">
        <f>+SUM(Efficiency1!K98:K99)</f>
        <v>44.508132515</v>
      </c>
      <c r="M31" s="387">
        <f t="shared" si="22"/>
        <v>988.71807382040652</v>
      </c>
      <c r="N31" s="386">
        <f>+SUM(Efficiency1!C98:C99)</f>
        <v>44.508132515</v>
      </c>
      <c r="O31" s="387">
        <f t="shared" si="22"/>
        <v>975.22319564206055</v>
      </c>
      <c r="P31" s="387">
        <f>'23'!I38</f>
        <v>42.808</v>
      </c>
      <c r="Q31" s="387">
        <f t="shared" si="23"/>
        <v>900.45299999999986</v>
      </c>
      <c r="R31" s="387">
        <f>'23'!I40</f>
        <v>41.517000000000003</v>
      </c>
      <c r="S31" s="387">
        <f t="shared" si="24"/>
        <v>867.11199999999997</v>
      </c>
      <c r="T31" s="94">
        <f t="shared" si="1"/>
        <v>5141.0223468986724</v>
      </c>
      <c r="U31" s="12">
        <f t="shared" si="25"/>
        <v>112956.31578639073</v>
      </c>
      <c r="V31" s="288">
        <f t="shared" si="26"/>
        <v>120.09489690942516</v>
      </c>
      <c r="W31" s="288">
        <f t="shared" si="27"/>
        <v>125.44387745544824</v>
      </c>
      <c r="X31" s="289">
        <f t="shared" si="28"/>
        <v>123.82933128353861</v>
      </c>
      <c r="Y31" s="288">
        <f t="shared" si="29"/>
        <v>130.26727318546017</v>
      </c>
      <c r="Z31" s="389">
        <v>50.4</v>
      </c>
      <c r="AA31" s="388">
        <f t="shared" si="30"/>
        <v>1174.0999999999999</v>
      </c>
      <c r="AB31" s="391">
        <f t="shared" si="2"/>
        <v>1.1773500280321434</v>
      </c>
      <c r="AC31" s="391">
        <f t="shared" si="3"/>
        <v>1.3038992595948928</v>
      </c>
      <c r="AD31" s="386">
        <f t="shared" si="4"/>
        <v>1.2139605462822458</v>
      </c>
      <c r="AE31" s="391">
        <f t="shared" si="5"/>
        <v>1.354035003552021</v>
      </c>
      <c r="AF31" s="390">
        <f>'23'!I46</f>
        <v>38342.399999999274</v>
      </c>
      <c r="AG31" s="388">
        <f t="shared" si="31"/>
        <v>861240.05999999947</v>
      </c>
      <c r="AH31" s="391">
        <f t="shared" si="6"/>
        <v>895.68304989719854</v>
      </c>
      <c r="AI31" s="391">
        <f t="shared" si="7"/>
        <v>956.45198583379658</v>
      </c>
      <c r="AJ31" s="391">
        <f t="shared" si="8"/>
        <v>923.53493749546635</v>
      </c>
      <c r="AK31" s="391">
        <f t="shared" si="9"/>
        <v>993.22816429711452</v>
      </c>
      <c r="AL31" s="446">
        <v>5394.4</v>
      </c>
      <c r="AM31" s="447">
        <v>4981.3</v>
      </c>
      <c r="AN31" s="447">
        <v>4382.5</v>
      </c>
      <c r="AO31" s="447">
        <f>SUM(AL31:AN31)</f>
        <v>14758.2</v>
      </c>
      <c r="AP31" s="586">
        <f>+[1]Des!N26</f>
        <v>14065</v>
      </c>
      <c r="AQ31" s="479">
        <f t="shared" si="10"/>
        <v>-693.20000000000073</v>
      </c>
      <c r="AR31" s="450">
        <f>+AL31/AO31</f>
        <v>0.3655188302096461</v>
      </c>
      <c r="AS31" s="450">
        <f t="shared" si="12"/>
        <v>0.33752761176837281</v>
      </c>
      <c r="AT31" s="450">
        <f t="shared" si="32"/>
        <v>0.29695355802198103</v>
      </c>
      <c r="AU31" s="450">
        <f t="shared" si="33"/>
        <v>-253.37765310132693</v>
      </c>
      <c r="AV31" s="450">
        <f t="shared" si="34"/>
        <v>-233.97414047783627</v>
      </c>
      <c r="AW31" s="450">
        <f t="shared" si="38"/>
        <v>-205.84820642083747</v>
      </c>
      <c r="AX31" s="450">
        <f>+AL31+AU31</f>
        <v>5141.0223468986724</v>
      </c>
      <c r="AY31" s="392">
        <f t="shared" si="14"/>
        <v>4747.3258595221641</v>
      </c>
      <c r="AZ31" s="392">
        <f t="shared" si="15"/>
        <v>4176.6517935791626</v>
      </c>
      <c r="BA31" s="386">
        <f>+SUM(Efficiency2!K98:K99)</f>
        <v>44.508132515</v>
      </c>
      <c r="BB31" s="387">
        <f t="shared" si="35"/>
        <v>988.71807382040652</v>
      </c>
      <c r="BC31" s="412">
        <f t="shared" si="36"/>
        <v>0.9327958207639484</v>
      </c>
      <c r="BD31" s="412">
        <f t="shared" si="37"/>
        <v>0.87700632056768146</v>
      </c>
    </row>
    <row r="32" spans="1:56" s="392" customFormat="1" ht="12.75" customHeight="1">
      <c r="A32" s="406">
        <f t="shared" si="16"/>
        <v>46015</v>
      </c>
      <c r="B32" s="415" t="s">
        <v>464</v>
      </c>
      <c r="C32" s="393" t="s">
        <v>410</v>
      </c>
      <c r="D32" s="385">
        <f>+'24'!F42</f>
        <v>1096.25</v>
      </c>
      <c r="E32" s="385">
        <f>+'24'!G42</f>
        <v>844.11249999999995</v>
      </c>
      <c r="F32" s="45">
        <f t="shared" si="0"/>
        <v>0.23000000000000009</v>
      </c>
      <c r="G32" s="411">
        <f t="shared" si="17"/>
        <v>0.9534581984879027</v>
      </c>
      <c r="H32" s="407">
        <f t="shared" si="18"/>
        <v>0.9534581984879027</v>
      </c>
      <c r="I32" s="407">
        <f t="shared" si="19"/>
        <v>0.96275690064509944</v>
      </c>
      <c r="J32" s="412">
        <f t="shared" si="20"/>
        <v>0.91794846007087327</v>
      </c>
      <c r="K32" s="412">
        <f t="shared" si="21"/>
        <v>0.87874062132154951</v>
      </c>
      <c r="L32" s="386">
        <f>+Efficiency1!K102</f>
        <v>43.734481559999999</v>
      </c>
      <c r="M32" s="387">
        <f t="shared" si="22"/>
        <v>1032.4525553804065</v>
      </c>
      <c r="N32" s="386">
        <f>+Efficiency1!C102</f>
        <v>43.734481559999999</v>
      </c>
      <c r="O32" s="387">
        <f t="shared" si="22"/>
        <v>1018.9576772020605</v>
      </c>
      <c r="P32" s="387">
        <f>'24'!I38</f>
        <v>41.698999999999998</v>
      </c>
      <c r="Q32" s="387">
        <f t="shared" si="23"/>
        <v>942.15199999999982</v>
      </c>
      <c r="R32" s="387">
        <f>'24'!I40</f>
        <v>40.146000000000001</v>
      </c>
      <c r="S32" s="387">
        <f t="shared" si="24"/>
        <v>907.25799999999992</v>
      </c>
      <c r="T32" s="94">
        <f t="shared" si="1"/>
        <v>5296.3108552186723</v>
      </c>
      <c r="U32" s="12">
        <f t="shared" si="25"/>
        <v>118252.6266416094</v>
      </c>
      <c r="V32" s="288">
        <f t="shared" si="26"/>
        <v>127.01289851599972</v>
      </c>
      <c r="W32" s="288">
        <f t="shared" si="27"/>
        <v>125.51332124923518</v>
      </c>
      <c r="X32" s="289">
        <f t="shared" si="28"/>
        <v>131.92624060226851</v>
      </c>
      <c r="Y32" s="288">
        <f t="shared" si="29"/>
        <v>130.34068218920021</v>
      </c>
      <c r="Z32" s="389">
        <v>50</v>
      </c>
      <c r="AA32" s="388">
        <f t="shared" si="30"/>
        <v>1224.0999999999999</v>
      </c>
      <c r="AB32" s="391">
        <f t="shared" si="2"/>
        <v>1.1990695220508885</v>
      </c>
      <c r="AC32" s="391">
        <f t="shared" si="3"/>
        <v>1.2992595674583296</v>
      </c>
      <c r="AD32" s="386">
        <f t="shared" si="4"/>
        <v>1.2454540925621482</v>
      </c>
      <c r="AE32" s="391">
        <f t="shared" si="5"/>
        <v>1.3492303181674894</v>
      </c>
      <c r="AF32" s="390">
        <f>+'24'!I46</f>
        <v>39339.380000000725</v>
      </c>
      <c r="AG32" s="388">
        <f t="shared" si="31"/>
        <v>900579.44000000018</v>
      </c>
      <c r="AH32" s="391">
        <f t="shared" si="6"/>
        <v>943.413031487583</v>
      </c>
      <c r="AI32" s="391">
        <f t="shared" si="7"/>
        <v>955.87489067581498</v>
      </c>
      <c r="AJ32" s="391">
        <f t="shared" si="8"/>
        <v>979.90783639716847</v>
      </c>
      <c r="AK32" s="391">
        <f t="shared" si="9"/>
        <v>992.6387422320887</v>
      </c>
      <c r="AL32" s="446">
        <v>5529.7</v>
      </c>
      <c r="AM32" s="447">
        <v>4869</v>
      </c>
      <c r="AN32" s="447">
        <v>4390.5</v>
      </c>
      <c r="AO32" s="447">
        <f t="shared" si="39"/>
        <v>14789.2</v>
      </c>
      <c r="AP32" s="586">
        <f>+[1]Des!N27</f>
        <v>14165</v>
      </c>
      <c r="AQ32" s="479">
        <f t="shared" si="10"/>
        <v>-624.20000000000073</v>
      </c>
      <c r="AR32" s="450">
        <f t="shared" si="11"/>
        <v>0.37390122521840258</v>
      </c>
      <c r="AS32" s="450">
        <f t="shared" si="12"/>
        <v>0.32922673302139399</v>
      </c>
      <c r="AT32" s="450">
        <f t="shared" si="32"/>
        <v>0.29687204176020338</v>
      </c>
      <c r="AU32" s="450">
        <f t="shared" si="33"/>
        <v>-233.38914478132716</v>
      </c>
      <c r="AV32" s="450">
        <f t="shared" si="34"/>
        <v>-205.50332675195438</v>
      </c>
      <c r="AW32" s="450">
        <f t="shared" si="38"/>
        <v>-185.30752846671916</v>
      </c>
      <c r="AX32" s="392">
        <f t="shared" si="13"/>
        <v>5296.3108552186723</v>
      </c>
      <c r="AY32" s="392">
        <f t="shared" si="14"/>
        <v>4663.4966732480452</v>
      </c>
      <c r="AZ32" s="392">
        <f t="shared" si="15"/>
        <v>4205.1924715332807</v>
      </c>
      <c r="BA32" s="386">
        <f>+Efficiency2!K102</f>
        <v>43.734481559999999</v>
      </c>
      <c r="BB32" s="387">
        <f t="shared" si="35"/>
        <v>1032.4525553804065</v>
      </c>
      <c r="BC32" s="412">
        <f t="shared" si="36"/>
        <v>0.91794846007087327</v>
      </c>
      <c r="BD32" s="412">
        <f t="shared" si="37"/>
        <v>0.87874062132154951</v>
      </c>
    </row>
    <row r="33" spans="1:56" s="392" customFormat="1" ht="12.75" customHeight="1">
      <c r="A33" s="406">
        <f t="shared" si="16"/>
        <v>46016</v>
      </c>
      <c r="B33" s="415" t="s">
        <v>464</v>
      </c>
      <c r="C33" s="393" t="s">
        <v>632</v>
      </c>
      <c r="D33" s="385">
        <f>+'25'!F42</f>
        <v>1151.6666666666667</v>
      </c>
      <c r="E33" s="385">
        <f>+'25'!G42</f>
        <v>886.7833333333333</v>
      </c>
      <c r="F33" s="45">
        <f t="shared" si="0"/>
        <v>0.23000000000000009</v>
      </c>
      <c r="G33" s="411">
        <f t="shared" si="17"/>
        <v>0.95289543008123401</v>
      </c>
      <c r="H33" s="407">
        <f t="shared" si="18"/>
        <v>0.95289543008123401</v>
      </c>
      <c r="I33" s="407">
        <f t="shared" si="19"/>
        <v>0.97755352713084942</v>
      </c>
      <c r="J33" s="412">
        <f t="shared" si="20"/>
        <v>0.93150628866277796</v>
      </c>
      <c r="K33" s="412">
        <f t="shared" si="21"/>
        <v>0.88087735897547703</v>
      </c>
      <c r="L33" s="386">
        <f>+SUM(Efficiency1!K106:K107)</f>
        <v>43.573511519999997</v>
      </c>
      <c r="M33" s="387">
        <f t="shared" si="22"/>
        <v>1076.0260669004065</v>
      </c>
      <c r="N33" s="386">
        <f>+SUM(Efficiency1!C106:C107)</f>
        <v>43.573511519999997</v>
      </c>
      <c r="O33" s="387">
        <f t="shared" si="22"/>
        <v>1062.5311887220605</v>
      </c>
      <c r="P33" s="387">
        <f>'25'!I38</f>
        <v>41.521000000000001</v>
      </c>
      <c r="Q33" s="387">
        <f t="shared" si="23"/>
        <v>983.67299999999977</v>
      </c>
      <c r="R33" s="387">
        <f>'25'!I40</f>
        <v>40.588999999999999</v>
      </c>
      <c r="S33" s="387">
        <f t="shared" si="24"/>
        <v>947.84699999999998</v>
      </c>
      <c r="T33" s="94">
        <f t="shared" si="1"/>
        <v>5087.3924316086877</v>
      </c>
      <c r="U33" s="12">
        <f t="shared" si="25"/>
        <v>123340.01907321809</v>
      </c>
      <c r="V33" s="288">
        <f t="shared" si="26"/>
        <v>122.52576844509255</v>
      </c>
      <c r="W33" s="288">
        <f t="shared" si="27"/>
        <v>125.38721615132073</v>
      </c>
      <c r="X33" s="289">
        <f t="shared" si="28"/>
        <v>125.33919119980014</v>
      </c>
      <c r="Y33" s="288">
        <f t="shared" si="29"/>
        <v>130.1265067813878</v>
      </c>
      <c r="Z33" s="389">
        <v>52.3</v>
      </c>
      <c r="AA33" s="388">
        <f t="shared" si="30"/>
        <v>1276.3999999999999</v>
      </c>
      <c r="AB33" s="391">
        <f t="shared" si="2"/>
        <v>1.2596035740950362</v>
      </c>
      <c r="AC33" s="391">
        <f t="shared" si="3"/>
        <v>1.2975856814205535</v>
      </c>
      <c r="AD33" s="386">
        <f t="shared" si="4"/>
        <v>1.2885264480524279</v>
      </c>
      <c r="AE33" s="391">
        <f t="shared" si="5"/>
        <v>1.3466308380993979</v>
      </c>
      <c r="AF33" s="390">
        <f>+'25'!I46</f>
        <v>38475.859999999273</v>
      </c>
      <c r="AG33" s="388">
        <f t="shared" si="31"/>
        <v>939055.29999999946</v>
      </c>
      <c r="AH33" s="391">
        <f t="shared" si="6"/>
        <v>926.6602442137538</v>
      </c>
      <c r="AI33" s="391">
        <f t="shared" si="7"/>
        <v>954.64173561742541</v>
      </c>
      <c r="AJ33" s="391">
        <f t="shared" si="8"/>
        <v>947.93811131092843</v>
      </c>
      <c r="AK33" s="391">
        <f t="shared" si="9"/>
        <v>990.72455786640614</v>
      </c>
      <c r="AL33" s="446">
        <v>5263.1</v>
      </c>
      <c r="AM33" s="447">
        <v>5106.1000000000004</v>
      </c>
      <c r="AN33" s="447">
        <v>4460.8999999999996</v>
      </c>
      <c r="AO33" s="447">
        <f t="shared" si="39"/>
        <v>14830.1</v>
      </c>
      <c r="AP33" s="586">
        <f>+[1]Des!N28</f>
        <v>14335</v>
      </c>
      <c r="AQ33" s="479">
        <f t="shared" si="10"/>
        <v>-495.10000000000036</v>
      </c>
      <c r="AR33" s="450">
        <f t="shared" si="11"/>
        <v>0.35489308905536715</v>
      </c>
      <c r="AS33" s="450">
        <f t="shared" si="12"/>
        <v>0.34430651175649524</v>
      </c>
      <c r="AT33" s="450">
        <f t="shared" si="32"/>
        <v>0.30080039918813756</v>
      </c>
      <c r="AU33" s="450">
        <f t="shared" si="33"/>
        <v>-175.70756839131241</v>
      </c>
      <c r="AV33" s="450">
        <f t="shared" si="34"/>
        <v>-170.4661539706409</v>
      </c>
      <c r="AW33" s="450">
        <f>+AT33*AQ33</f>
        <v>-148.92627763804703</v>
      </c>
      <c r="AX33" s="392">
        <f t="shared" si="13"/>
        <v>5087.3924316086877</v>
      </c>
      <c r="AY33" s="392">
        <f t="shared" si="14"/>
        <v>4935.6338460293591</v>
      </c>
      <c r="AZ33" s="392">
        <f t="shared" si="15"/>
        <v>4311.9737223619522</v>
      </c>
      <c r="BA33" s="386">
        <f>+SUM(Efficiency2!K106:K107)</f>
        <v>43.573511519999997</v>
      </c>
      <c r="BB33" s="387">
        <f t="shared" si="35"/>
        <v>1076.0260669004065</v>
      </c>
      <c r="BC33" s="412">
        <f t="shared" si="36"/>
        <v>0.93150628866277796</v>
      </c>
      <c r="BD33" s="412">
        <f t="shared" si="37"/>
        <v>0.88087735897547703</v>
      </c>
    </row>
    <row r="34" spans="1:56" s="392" customFormat="1" ht="12.75" customHeight="1">
      <c r="A34" s="406">
        <f t="shared" si="16"/>
        <v>46017</v>
      </c>
      <c r="B34" s="415" t="s">
        <v>464</v>
      </c>
      <c r="C34" s="410" t="s">
        <v>482</v>
      </c>
      <c r="D34" s="385">
        <f>+'26'!F42</f>
        <v>1177.3611111111111</v>
      </c>
      <c r="E34" s="385">
        <f>+'26'!G42</f>
        <v>906.56805555555559</v>
      </c>
      <c r="F34" s="45">
        <f t="shared" si="0"/>
        <v>0.22999999999999998</v>
      </c>
      <c r="G34" s="411">
        <f t="shared" si="17"/>
        <v>0.96357065008216825</v>
      </c>
      <c r="H34" s="407">
        <f t="shared" si="18"/>
        <v>0.96357065008216825</v>
      </c>
      <c r="I34" s="407">
        <f t="shared" si="19"/>
        <v>0.92078691633088416</v>
      </c>
      <c r="J34" s="412">
        <f t="shared" si="20"/>
        <v>0.88724324755610506</v>
      </c>
      <c r="K34" s="412">
        <f t="shared" si="21"/>
        <v>0.88112626775556913</v>
      </c>
      <c r="L34" s="386">
        <f>+Efficiency1!K110</f>
        <v>43.785061319999997</v>
      </c>
      <c r="M34" s="387">
        <f t="shared" si="22"/>
        <v>1119.8111282204065</v>
      </c>
      <c r="N34" s="386">
        <f>+Efficiency1!C110</f>
        <v>43.785061319999997</v>
      </c>
      <c r="O34" s="387">
        <f t="shared" si="22"/>
        <v>1106.3162500420606</v>
      </c>
      <c r="P34" s="387">
        <f>'26'!I38</f>
        <v>42.19</v>
      </c>
      <c r="Q34" s="387">
        <f t="shared" si="23"/>
        <v>1025.8629999999998</v>
      </c>
      <c r="R34" s="387">
        <f>'26'!I40</f>
        <v>38.847999999999999</v>
      </c>
      <c r="S34" s="387">
        <f t="shared" si="24"/>
        <v>986.69499999999994</v>
      </c>
      <c r="T34" s="94">
        <f t="shared" si="1"/>
        <v>5425.6101657998252</v>
      </c>
      <c r="U34" s="12">
        <f t="shared" si="25"/>
        <v>128765.62923901792</v>
      </c>
      <c r="V34" s="288">
        <f t="shared" si="26"/>
        <v>128.59943507465812</v>
      </c>
      <c r="W34" s="288">
        <f t="shared" si="27"/>
        <v>125.51932298856468</v>
      </c>
      <c r="X34" s="289">
        <f t="shared" si="28"/>
        <v>139.66253515753257</v>
      </c>
      <c r="Y34" s="288">
        <f t="shared" si="29"/>
        <v>130.50195778737901</v>
      </c>
      <c r="Z34" s="389">
        <v>51.1</v>
      </c>
      <c r="AA34" s="388">
        <f t="shared" si="30"/>
        <v>1327.4999999999998</v>
      </c>
      <c r="AB34" s="391">
        <f t="shared" si="2"/>
        <v>1.2111874851860631</v>
      </c>
      <c r="AC34" s="391">
        <f t="shared" si="3"/>
        <v>1.2940324390293831</v>
      </c>
      <c r="AD34" s="386">
        <f t="shared" si="4"/>
        <v>1.3153830313014827</v>
      </c>
      <c r="AE34" s="391">
        <f t="shared" si="5"/>
        <v>1.3454005543759722</v>
      </c>
      <c r="AF34" s="390">
        <f>'26'!I46</f>
        <v>40503.360000000728</v>
      </c>
      <c r="AG34" s="388">
        <f t="shared" si="31"/>
        <v>979558.66000000015</v>
      </c>
      <c r="AH34" s="391">
        <f t="shared" si="6"/>
        <v>960.02275420717535</v>
      </c>
      <c r="AI34" s="391">
        <f t="shared" si="7"/>
        <v>954.86303726715971</v>
      </c>
      <c r="AJ34" s="391">
        <f t="shared" si="8"/>
        <v>1042.6112026359331</v>
      </c>
      <c r="AK34" s="391">
        <f t="shared" si="9"/>
        <v>992.76743066499807</v>
      </c>
      <c r="AL34" s="446">
        <v>5691.5</v>
      </c>
      <c r="AM34" s="447">
        <v>4813.2</v>
      </c>
      <c r="AN34" s="447">
        <v>4646.1000000000004</v>
      </c>
      <c r="AO34" s="447">
        <f t="shared" si="39"/>
        <v>15150.800000000001</v>
      </c>
      <c r="AP34" s="586">
        <f>+[1]Des!N29</f>
        <v>14443</v>
      </c>
      <c r="AQ34" s="479">
        <f t="shared" si="10"/>
        <v>-707.80000000000109</v>
      </c>
      <c r="AR34" s="450">
        <f t="shared" si="11"/>
        <v>0.37565673099770308</v>
      </c>
      <c r="AS34" s="450">
        <f t="shared" si="12"/>
        <v>0.31768619478839399</v>
      </c>
      <c r="AT34" s="450">
        <f t="shared" si="32"/>
        <v>0.30665707421390298</v>
      </c>
      <c r="AU34" s="450">
        <f t="shared" si="33"/>
        <v>-265.88983420017468</v>
      </c>
      <c r="AV34" s="450">
        <f t="shared" si="34"/>
        <v>-224.85828867122561</v>
      </c>
      <c r="AW34" s="450">
        <f>+AT34*AQ34</f>
        <v>-217.05187712860086</v>
      </c>
      <c r="AX34" s="392">
        <f t="shared" si="13"/>
        <v>5425.6101657998252</v>
      </c>
      <c r="AY34" s="392">
        <f t="shared" si="14"/>
        <v>4588.3417113287742</v>
      </c>
      <c r="AZ34" s="392">
        <f t="shared" si="15"/>
        <v>4429.0481228713998</v>
      </c>
      <c r="BA34" s="386">
        <f>+Efficiency2!K110</f>
        <v>43.785061319999997</v>
      </c>
      <c r="BB34" s="387">
        <f t="shared" si="35"/>
        <v>1119.8111282204065</v>
      </c>
      <c r="BC34" s="412">
        <f t="shared" si="36"/>
        <v>0.88724324755610506</v>
      </c>
      <c r="BD34" s="412">
        <f t="shared" si="37"/>
        <v>0.88112626775556913</v>
      </c>
    </row>
    <row r="35" spans="1:56" s="392" customFormat="1" ht="12.75" customHeight="1">
      <c r="A35" s="406">
        <f t="shared" si="16"/>
        <v>46018</v>
      </c>
      <c r="B35" s="415" t="s">
        <v>464</v>
      </c>
      <c r="C35" s="410" t="s">
        <v>482</v>
      </c>
      <c r="D35" s="385">
        <f>+'27'!F42</f>
        <v>1183.3333333333333</v>
      </c>
      <c r="E35" s="385">
        <f>+'27'!G42</f>
        <v>911.16666666666663</v>
      </c>
      <c r="F35" s="45">
        <f t="shared" si="0"/>
        <v>0.22999999999999998</v>
      </c>
      <c r="G35" s="411">
        <f t="shared" si="17"/>
        <v>0.92696272683170811</v>
      </c>
      <c r="H35" s="407">
        <f t="shared" si="18"/>
        <v>0.92696272683170811</v>
      </c>
      <c r="I35" s="407">
        <f t="shared" si="19"/>
        <v>1.0501066359424411</v>
      </c>
      <c r="J35" s="412">
        <f t="shared" si="20"/>
        <v>0.97340971071727711</v>
      </c>
      <c r="K35" s="412">
        <f t="shared" si="21"/>
        <v>0.88461575796637981</v>
      </c>
      <c r="L35" s="386">
        <f>+Efficiency1!K114</f>
        <v>44.007163200000001</v>
      </c>
      <c r="M35" s="387">
        <f t="shared" si="22"/>
        <v>1163.8182914204065</v>
      </c>
      <c r="N35" s="386">
        <f>+Efficiency1!C114</f>
        <v>44.007163200000001</v>
      </c>
      <c r="O35" s="387">
        <f t="shared" si="22"/>
        <v>1150.3234132420605</v>
      </c>
      <c r="P35" s="387">
        <f>'27'!I38</f>
        <v>40.792999999999999</v>
      </c>
      <c r="Q35" s="387">
        <f t="shared" si="23"/>
        <v>1066.6559999999997</v>
      </c>
      <c r="R35" s="387">
        <f>'27'!I40</f>
        <v>42.837000000000003</v>
      </c>
      <c r="S35" s="387">
        <f t="shared" si="24"/>
        <v>1029.5319999999999</v>
      </c>
      <c r="T35" s="94">
        <f t="shared" si="1"/>
        <v>5256.4293522085836</v>
      </c>
      <c r="U35" s="12">
        <f t="shared" si="25"/>
        <v>134022.05859122649</v>
      </c>
      <c r="V35" s="288">
        <f t="shared" si="26"/>
        <v>128.85616042479307</v>
      </c>
      <c r="W35" s="288">
        <f t="shared" si="27"/>
        <v>125.64693639863886</v>
      </c>
      <c r="X35" s="289">
        <f t="shared" si="28"/>
        <v>122.70769083289176</v>
      </c>
      <c r="Y35" s="288">
        <f t="shared" si="29"/>
        <v>130.1776521674183</v>
      </c>
      <c r="Z35" s="389">
        <v>52.7</v>
      </c>
      <c r="AA35" s="388">
        <f t="shared" si="30"/>
        <v>1380.1999999999998</v>
      </c>
      <c r="AB35" s="391">
        <f t="shared" si="2"/>
        <v>1.2918883141715491</v>
      </c>
      <c r="AC35" s="391">
        <f t="shared" si="3"/>
        <v>1.2939504395043953</v>
      </c>
      <c r="AD35" s="386">
        <f t="shared" si="4"/>
        <v>1.2302448817610943</v>
      </c>
      <c r="AE35" s="391">
        <f t="shared" si="5"/>
        <v>1.3406091311391972</v>
      </c>
      <c r="AF35" s="390">
        <f>'27'!I46</f>
        <v>40855.06</v>
      </c>
      <c r="AG35" s="388">
        <f t="shared" si="31"/>
        <v>1020413.7200000002</v>
      </c>
      <c r="AH35" s="391">
        <f t="shared" si="6"/>
        <v>1001.5213394454931</v>
      </c>
      <c r="AI35" s="391">
        <f t="shared" si="7"/>
        <v>956.64742897429016</v>
      </c>
      <c r="AJ35" s="391">
        <f t="shared" si="8"/>
        <v>953.73298783761697</v>
      </c>
      <c r="AK35" s="391">
        <f t="shared" si="9"/>
        <v>991.14327675099014</v>
      </c>
      <c r="AL35" s="477">
        <v>5734.4</v>
      </c>
      <c r="AM35" s="447">
        <v>5302.6</v>
      </c>
      <c r="AN35" s="447">
        <v>4588.3999999999996</v>
      </c>
      <c r="AO35" s="447">
        <f t="shared" si="39"/>
        <v>15625.4</v>
      </c>
      <c r="AP35" s="586">
        <f>+[1]Des!N30</f>
        <v>14323</v>
      </c>
      <c r="AQ35" s="479">
        <f t="shared" si="10"/>
        <v>-1302.3999999999996</v>
      </c>
      <c r="AR35" s="450">
        <f t="shared" si="11"/>
        <v>0.36699220499955199</v>
      </c>
      <c r="AS35" s="450">
        <f t="shared" si="12"/>
        <v>0.33935771244256152</v>
      </c>
      <c r="AT35" s="450">
        <f t="shared" si="32"/>
        <v>0.29365008255788649</v>
      </c>
      <c r="AU35" s="450">
        <f t="shared" si="33"/>
        <v>-477.97064779141635</v>
      </c>
      <c r="AV35" s="450">
        <f t="shared" si="34"/>
        <v>-441.97948468519201</v>
      </c>
      <c r="AW35" s="450">
        <f>+AT35*AQ35</f>
        <v>-382.44986752339128</v>
      </c>
      <c r="AX35" s="392">
        <f t="shared" si="13"/>
        <v>5256.4293522085836</v>
      </c>
      <c r="AY35" s="392">
        <f t="shared" si="14"/>
        <v>4860.6205153148085</v>
      </c>
      <c r="AZ35" s="392">
        <f t="shared" si="15"/>
        <v>4205.9501324766079</v>
      </c>
      <c r="BA35" s="386">
        <f>+Efficiency2!K114</f>
        <v>44.007163200000001</v>
      </c>
      <c r="BB35" s="387">
        <f t="shared" si="35"/>
        <v>1163.8182914204065</v>
      </c>
      <c r="BC35" s="412">
        <f t="shared" si="36"/>
        <v>0.97340971071727711</v>
      </c>
      <c r="BD35" s="412">
        <f t="shared" si="37"/>
        <v>0.88461575796637981</v>
      </c>
    </row>
    <row r="36" spans="1:56" s="392" customFormat="1" ht="12.75" customHeight="1">
      <c r="A36" s="406">
        <f t="shared" si="16"/>
        <v>46019</v>
      </c>
      <c r="B36" s="415" t="s">
        <v>464</v>
      </c>
      <c r="C36" s="410" t="s">
        <v>652</v>
      </c>
      <c r="D36" s="385">
        <f>+'28'!F42</f>
        <v>1190</v>
      </c>
      <c r="E36" s="385">
        <f>+'28'!G42</f>
        <v>920.26666666666665</v>
      </c>
      <c r="F36" s="45">
        <f t="shared" si="0"/>
        <v>0.22666666666666668</v>
      </c>
      <c r="G36" s="411">
        <f t="shared" si="17"/>
        <v>0.99041577060714558</v>
      </c>
      <c r="H36" s="407">
        <f t="shared" si="18"/>
        <v>0.95589270681022787</v>
      </c>
      <c r="I36" s="407">
        <f t="shared" si="19"/>
        <v>0.92781261090737011</v>
      </c>
      <c r="J36" s="412">
        <f t="shared" si="20"/>
        <v>0.88688930805291077</v>
      </c>
      <c r="K36" s="412">
        <f t="shared" si="21"/>
        <v>0.88469897213370752</v>
      </c>
      <c r="L36" s="386">
        <f>+SUM(Efficiency1!K118:K119)</f>
        <v>44.215213379999994</v>
      </c>
      <c r="M36" s="387">
        <f t="shared" si="22"/>
        <v>1208.0335048004065</v>
      </c>
      <c r="N36" s="386">
        <f>+SUM(Efficiency1!C118:C119)</f>
        <v>42.673997379999989</v>
      </c>
      <c r="O36" s="387">
        <f t="shared" si="22"/>
        <v>1192.9974106220604</v>
      </c>
      <c r="P36" s="387">
        <f>'28'!I38</f>
        <v>42.265000000000001</v>
      </c>
      <c r="Q36" s="387">
        <f t="shared" si="23"/>
        <v>1108.9209999999998</v>
      </c>
      <c r="R36" s="387">
        <f>'28'!I40</f>
        <v>39.213999999999999</v>
      </c>
      <c r="S36" s="387">
        <f t="shared" si="24"/>
        <v>1068.7459999999999</v>
      </c>
      <c r="T36" s="94">
        <f t="shared" si="1"/>
        <v>5627.5976351285717</v>
      </c>
      <c r="U36" s="12">
        <f t="shared" si="25"/>
        <v>139649.65622635506</v>
      </c>
      <c r="V36" s="288">
        <f t="shared" si="26"/>
        <v>133.15030486522113</v>
      </c>
      <c r="W36" s="288">
        <f t="shared" si="27"/>
        <v>125.9329169763717</v>
      </c>
      <c r="X36" s="289">
        <f t="shared" si="28"/>
        <v>143.50991062193532</v>
      </c>
      <c r="Y36" s="288">
        <f t="shared" si="29"/>
        <v>130.66683405257663</v>
      </c>
      <c r="Z36" s="389">
        <v>52.7</v>
      </c>
      <c r="AA36" s="388">
        <f t="shared" si="30"/>
        <v>1432.8999999999999</v>
      </c>
      <c r="AB36" s="391">
        <f t="shared" si="2"/>
        <v>1.2468945936353957</v>
      </c>
      <c r="AC36" s="391">
        <f t="shared" si="3"/>
        <v>1.2921569706047591</v>
      </c>
      <c r="AD36" s="386">
        <f t="shared" si="4"/>
        <v>1.3439077880348855</v>
      </c>
      <c r="AE36" s="391">
        <f t="shared" si="5"/>
        <v>1.3407301641362868</v>
      </c>
      <c r="AF36" s="390">
        <f>'28'!I46</f>
        <v>39469.659999999276</v>
      </c>
      <c r="AG36" s="388">
        <f t="shared" si="31"/>
        <v>1059883.3799999994</v>
      </c>
      <c r="AH36" s="391">
        <f t="shared" si="6"/>
        <v>933.86158760201761</v>
      </c>
      <c r="AI36" s="391">
        <f t="shared" si="7"/>
        <v>955.77897794342391</v>
      </c>
      <c r="AJ36" s="391">
        <f t="shared" si="8"/>
        <v>1006.5196103432263</v>
      </c>
      <c r="AK36" s="391">
        <f t="shared" si="9"/>
        <v>991.70745902206863</v>
      </c>
      <c r="AL36" s="446">
        <v>5683.8</v>
      </c>
      <c r="AM36" s="482">
        <v>5261.6</v>
      </c>
      <c r="AN36" s="447">
        <v>4497.3</v>
      </c>
      <c r="AO36" s="447">
        <f t="shared" si="39"/>
        <v>15442.7</v>
      </c>
      <c r="AP36" s="586">
        <f>+[1]Des!N31</f>
        <v>15290</v>
      </c>
      <c r="AQ36" s="479">
        <f t="shared" si="10"/>
        <v>-152.70000000000073</v>
      </c>
      <c r="AR36" s="450">
        <f t="shared" si="11"/>
        <v>0.36805739928898445</v>
      </c>
      <c r="AS36" s="450">
        <f t="shared" si="12"/>
        <v>0.3407176206233366</v>
      </c>
      <c r="AT36" s="450">
        <f t="shared" si="32"/>
        <v>0.291224980087679</v>
      </c>
      <c r="AU36" s="450">
        <f>+AR36*AQ36</f>
        <v>-56.202364871428195</v>
      </c>
      <c r="AV36" s="450">
        <f t="shared" si="34"/>
        <v>-52.027580669183749</v>
      </c>
      <c r="AW36" s="450">
        <f>+AT36*AQ36</f>
        <v>-44.470054459388798</v>
      </c>
      <c r="AX36" s="392">
        <f t="shared" si="13"/>
        <v>5627.5976351285717</v>
      </c>
      <c r="AY36" s="392">
        <f t="shared" si="14"/>
        <v>5209.572419330817</v>
      </c>
      <c r="AZ36" s="392">
        <f t="shared" si="15"/>
        <v>4452.8299455406113</v>
      </c>
      <c r="BA36" s="386">
        <f>+SUM(Efficiency2!K118:K119)</f>
        <v>44.215213379999994</v>
      </c>
      <c r="BB36" s="387">
        <f t="shared" si="35"/>
        <v>1208.0335048004065</v>
      </c>
      <c r="BC36" s="412">
        <f t="shared" si="36"/>
        <v>0.88688930805291077</v>
      </c>
      <c r="BD36" s="412">
        <f t="shared" si="37"/>
        <v>0.88469897213370752</v>
      </c>
    </row>
    <row r="37" spans="1:56" s="392" customFormat="1" ht="12.75" customHeight="1">
      <c r="A37" s="406">
        <f t="shared" si="16"/>
        <v>46020</v>
      </c>
      <c r="B37" s="415" t="s">
        <v>464</v>
      </c>
      <c r="C37" s="410" t="s">
        <v>660</v>
      </c>
      <c r="D37" s="385">
        <f>+'29'!F42</f>
        <v>1190</v>
      </c>
      <c r="E37" s="385">
        <f>+'29'!G42</f>
        <v>926.66291666666677</v>
      </c>
      <c r="F37" s="45">
        <f t="shared" si="0"/>
        <v>0.22129166666666655</v>
      </c>
      <c r="G37" s="411">
        <f t="shared" si="17"/>
        <v>0.96147211342518502</v>
      </c>
      <c r="H37" s="407">
        <f t="shared" si="18"/>
        <v>0.93220146787527236</v>
      </c>
      <c r="I37" s="407">
        <f t="shared" si="19"/>
        <v>0.99018941233608559</v>
      </c>
      <c r="J37" s="412">
        <f t="shared" si="20"/>
        <v>0.92305602365425232</v>
      </c>
      <c r="K37" s="412">
        <f t="shared" si="21"/>
        <v>0.88605211959328889</v>
      </c>
      <c r="L37" s="386">
        <f>+SUM(Efficiency1!K122:K123)</f>
        <v>44.175000167999997</v>
      </c>
      <c r="M37" s="387">
        <f t="shared" si="22"/>
        <v>1252.2085049684065</v>
      </c>
      <c r="N37" s="386">
        <f>+SUM(Efficiency1!C122:C123)</f>
        <v>42.830155368000007</v>
      </c>
      <c r="O37" s="387">
        <f t="shared" si="22"/>
        <v>1235.8275659900605</v>
      </c>
      <c r="P37" s="387">
        <f>'29'!I38</f>
        <v>41.18</v>
      </c>
      <c r="Q37" s="387">
        <f t="shared" si="23"/>
        <v>1150.1009999999999</v>
      </c>
      <c r="R37" s="387">
        <f>'29'!I40</f>
        <v>40.776000000000003</v>
      </c>
      <c r="S37" s="387">
        <f t="shared" si="24"/>
        <v>1109.5219999999999</v>
      </c>
      <c r="T37" s="94">
        <f t="shared" si="1"/>
        <v>5312.0585409883624</v>
      </c>
      <c r="U37" s="12">
        <f t="shared" si="25"/>
        <v>144961.71476734342</v>
      </c>
      <c r="V37" s="288">
        <f t="shared" si="26"/>
        <v>128.99607918864407</v>
      </c>
      <c r="W37" s="288">
        <f t="shared" si="27"/>
        <v>126.04259518715612</v>
      </c>
      <c r="X37" s="289">
        <f t="shared" si="28"/>
        <v>130.27414510958315</v>
      </c>
      <c r="Y37" s="288">
        <f t="shared" si="29"/>
        <v>130.65240235645931</v>
      </c>
      <c r="Z37" s="389">
        <v>52.9</v>
      </c>
      <c r="AA37" s="388">
        <f t="shared" si="30"/>
        <v>1485.8</v>
      </c>
      <c r="AB37" s="391">
        <f t="shared" si="2"/>
        <v>1.2846041767848471</v>
      </c>
      <c r="AC37" s="391">
        <f t="shared" si="3"/>
        <v>1.2918865386605178</v>
      </c>
      <c r="AD37" s="386">
        <f t="shared" si="4"/>
        <v>1.2973317637826172</v>
      </c>
      <c r="AE37" s="391">
        <f t="shared" si="5"/>
        <v>1.3391352312076732</v>
      </c>
      <c r="AF37" s="390">
        <f>'29'!I46</f>
        <v>39330.999999999636</v>
      </c>
      <c r="AG37" s="388">
        <f t="shared" si="31"/>
        <v>1099214.379999999</v>
      </c>
      <c r="AH37" s="391">
        <f t="shared" si="6"/>
        <v>955.09956289460024</v>
      </c>
      <c r="AI37" s="391">
        <f t="shared" si="7"/>
        <v>955.75465111324922</v>
      </c>
      <c r="AJ37" s="391">
        <f t="shared" si="8"/>
        <v>964.56248773787615</v>
      </c>
      <c r="AK37" s="391">
        <f t="shared" si="9"/>
        <v>990.70985523495619</v>
      </c>
      <c r="AL37" s="446">
        <v>5636</v>
      </c>
      <c r="AM37" s="447">
        <v>5295.7</v>
      </c>
      <c r="AN37" s="447">
        <v>4578.8</v>
      </c>
      <c r="AO37" s="447">
        <f t="shared" si="39"/>
        <v>15510.5</v>
      </c>
      <c r="AP37" s="586">
        <f>+[1]Des!N32</f>
        <v>14619</v>
      </c>
      <c r="AQ37" s="479">
        <f t="shared" si="10"/>
        <v>-891.5</v>
      </c>
      <c r="AR37" s="450">
        <f t="shared" si="11"/>
        <v>0.36336675155539794</v>
      </c>
      <c r="AS37" s="450">
        <f t="shared" si="12"/>
        <v>0.341426775410206</v>
      </c>
      <c r="AT37" s="450">
        <f t="shared" si="32"/>
        <v>0.29520647303439601</v>
      </c>
      <c r="AU37" s="450">
        <f t="shared" si="33"/>
        <v>-323.94145901163728</v>
      </c>
      <c r="AV37" s="450">
        <f t="shared" si="34"/>
        <v>-304.38197027819865</v>
      </c>
      <c r="AW37" s="450">
        <f t="shared" si="38"/>
        <v>-263.17657071016407</v>
      </c>
      <c r="AX37" s="392">
        <f t="shared" si="13"/>
        <v>5312.0585409883624</v>
      </c>
      <c r="AY37" s="392">
        <f t="shared" si="14"/>
        <v>4991.3180297218014</v>
      </c>
      <c r="AZ37" s="392">
        <f t="shared" si="15"/>
        <v>4315.6234292898362</v>
      </c>
      <c r="BA37" s="386">
        <f>+SUM(Efficiency2!K122:K123)</f>
        <v>44.175000167999997</v>
      </c>
      <c r="BB37" s="387">
        <f t="shared" si="35"/>
        <v>1252.2085049684065</v>
      </c>
      <c r="BC37" s="412">
        <f t="shared" si="36"/>
        <v>0.92305602365425232</v>
      </c>
      <c r="BD37" s="412">
        <f t="shared" si="37"/>
        <v>0.88605211959328889</v>
      </c>
    </row>
    <row r="38" spans="1:56" s="392" customFormat="1" ht="12.75" customHeight="1">
      <c r="A38" s="406">
        <f t="shared" si="16"/>
        <v>46021</v>
      </c>
      <c r="B38" s="415" t="s">
        <v>464</v>
      </c>
      <c r="C38" s="410" t="s">
        <v>482</v>
      </c>
      <c r="D38" s="385">
        <f>+'30'!F42</f>
        <v>1180</v>
      </c>
      <c r="E38" s="385">
        <f>+'30'!G42</f>
        <v>896.8</v>
      </c>
      <c r="F38" s="45">
        <f t="shared" si="0"/>
        <v>0.24</v>
      </c>
      <c r="G38" s="411">
        <f t="shared" si="17"/>
        <v>0.96554665415784013</v>
      </c>
      <c r="H38" s="407">
        <f t="shared" si="18"/>
        <v>0.96554665415784013</v>
      </c>
      <c r="I38" s="407">
        <f t="shared" si="19"/>
        <v>0.93610865354726103</v>
      </c>
      <c r="J38" s="412">
        <f t="shared" si="20"/>
        <v>0.90385657836075861</v>
      </c>
      <c r="K38" s="412">
        <f t="shared" si="21"/>
        <v>0.88664737754182976</v>
      </c>
      <c r="L38" s="386">
        <f>+Efficiency1!K126</f>
        <v>43.313287680000002</v>
      </c>
      <c r="M38" s="387">
        <f t="shared" si="22"/>
        <v>1295.5217926484065</v>
      </c>
      <c r="N38" s="386">
        <f>+Efficiency1!C126</f>
        <v>43.313287680000002</v>
      </c>
      <c r="O38" s="387">
        <f t="shared" si="22"/>
        <v>1279.1408536700606</v>
      </c>
      <c r="P38" s="387">
        <f>'30'!I38</f>
        <v>41.820999999999998</v>
      </c>
      <c r="Q38" s="387">
        <f t="shared" si="23"/>
        <v>1191.9219999999998</v>
      </c>
      <c r="R38" s="387">
        <f>'30'!I40</f>
        <v>39.149000000000001</v>
      </c>
      <c r="S38" s="387">
        <f t="shared" si="24"/>
        <v>1148.6709999999998</v>
      </c>
      <c r="T38" s="94">
        <f t="shared" si="1"/>
        <v>5381.6546503577192</v>
      </c>
      <c r="U38" s="12">
        <f t="shared" si="25"/>
        <v>150343.36941770115</v>
      </c>
      <c r="V38" s="288">
        <f t="shared" si="26"/>
        <v>128.68306951908656</v>
      </c>
      <c r="W38" s="288">
        <f t="shared" si="27"/>
        <v>126.13524158267167</v>
      </c>
      <c r="X38" s="289">
        <f t="shared" si="28"/>
        <v>137.46595443964645</v>
      </c>
      <c r="Y38" s="288">
        <f t="shared" si="29"/>
        <v>130.88462180876959</v>
      </c>
      <c r="Z38" s="389">
        <v>51.4</v>
      </c>
      <c r="AA38" s="388">
        <f t="shared" si="30"/>
        <v>1537.2</v>
      </c>
      <c r="AB38" s="391">
        <f t="shared" si="2"/>
        <v>1.2290476076612229</v>
      </c>
      <c r="AC38" s="391">
        <f t="shared" si="3"/>
        <v>1.2896817073600457</v>
      </c>
      <c r="AD38" s="386">
        <f t="shared" si="4"/>
        <v>1.3129326419576488</v>
      </c>
      <c r="AE38" s="391">
        <f t="shared" si="5"/>
        <v>1.3382421946754122</v>
      </c>
      <c r="AF38" s="390">
        <f>'30'!I46</f>
        <v>37989.000000001091</v>
      </c>
      <c r="AG38" s="388">
        <f t="shared" si="31"/>
        <v>1137203.3800000001</v>
      </c>
      <c r="AH38" s="391">
        <f t="shared" si="6"/>
        <v>908.37139236271469</v>
      </c>
      <c r="AI38" s="391">
        <f t="shared" si="7"/>
        <v>954.09211341010598</v>
      </c>
      <c r="AJ38" s="391">
        <f t="shared" si="8"/>
        <v>970.36961352783192</v>
      </c>
      <c r="AK38" s="391">
        <f t="shared" si="9"/>
        <v>990.01661920602191</v>
      </c>
      <c r="AL38" s="446">
        <v>5594.7</v>
      </c>
      <c r="AM38" s="447">
        <v>5042.1000000000004</v>
      </c>
      <c r="AN38" s="447">
        <v>4528.7</v>
      </c>
      <c r="AO38" s="447">
        <f t="shared" si="39"/>
        <v>15165.5</v>
      </c>
      <c r="AP38" s="586">
        <f>+[1]Des!N33</f>
        <v>14588</v>
      </c>
      <c r="AQ38" s="479">
        <f t="shared" si="10"/>
        <v>-577.5</v>
      </c>
      <c r="AR38" s="450">
        <f>+AL38/AO38</f>
        <v>0.36890969635026871</v>
      </c>
      <c r="AS38" s="450">
        <f>+AM38/AO38</f>
        <v>0.3324717285945073</v>
      </c>
      <c r="AT38" s="450">
        <f>1-AR38-AS38</f>
        <v>0.29861857505522399</v>
      </c>
      <c r="AU38" s="450">
        <f>+AR38*AQ38</f>
        <v>-213.04534964228017</v>
      </c>
      <c r="AV38" s="450">
        <f>+AS38*AQ38</f>
        <v>-192.00242326332796</v>
      </c>
      <c r="AW38" s="450">
        <f>+AT38*AQ38</f>
        <v>-172.45222709439184</v>
      </c>
      <c r="AX38" s="392">
        <f t="shared" ref="AX38:AZ39" si="40">+AL38+AU38</f>
        <v>5381.6546503577192</v>
      </c>
      <c r="AY38" s="392">
        <f t="shared" si="40"/>
        <v>4850.0975767366726</v>
      </c>
      <c r="AZ38" s="392">
        <f t="shared" si="40"/>
        <v>4356.2477729056081</v>
      </c>
      <c r="BA38" s="386">
        <f>+Efficiency2!K126</f>
        <v>43.313287680000002</v>
      </c>
      <c r="BB38" s="387">
        <f t="shared" si="35"/>
        <v>1295.5217926484065</v>
      </c>
      <c r="BC38" s="412">
        <f t="shared" si="36"/>
        <v>0.90385657836075861</v>
      </c>
      <c r="BD38" s="412">
        <f t="shared" si="37"/>
        <v>0.88664737754182976</v>
      </c>
    </row>
    <row r="39" spans="1:56" s="392" customFormat="1" ht="12.75" customHeight="1">
      <c r="A39" s="406">
        <f>A38+1</f>
        <v>46022</v>
      </c>
      <c r="B39" s="415" t="s">
        <v>464</v>
      </c>
      <c r="C39" s="410" t="s">
        <v>482</v>
      </c>
      <c r="D39" s="385">
        <f>+'31'!F42</f>
        <v>1172.6111111111111</v>
      </c>
      <c r="E39" s="385">
        <f>+'31'!G42</f>
        <v>891.18444444444447</v>
      </c>
      <c r="F39" s="45">
        <f t="shared" si="0"/>
        <v>0.24</v>
      </c>
      <c r="G39" s="411">
        <f t="shared" si="17"/>
        <v>0.96329010592518094</v>
      </c>
      <c r="H39" s="407">
        <f t="shared" si="18"/>
        <v>0.96329010592518094</v>
      </c>
      <c r="I39" s="407">
        <f t="shared" si="19"/>
        <v>0.9701895711736046</v>
      </c>
      <c r="J39" s="412">
        <f t="shared" si="20"/>
        <v>0.93457401478332747</v>
      </c>
      <c r="K39" s="412">
        <f t="shared" si="21"/>
        <v>0.88818847821278912</v>
      </c>
      <c r="L39" s="386">
        <f>+Efficiency1!K130</f>
        <v>43.042069824000009</v>
      </c>
      <c r="M39" s="387">
        <f>M38+L39</f>
        <v>1338.5638624724065</v>
      </c>
      <c r="N39" s="386">
        <f>+Efficiency1!C130</f>
        <v>43.042069824000009</v>
      </c>
      <c r="O39" s="387">
        <f>O38+N39</f>
        <v>1322.1829234940606</v>
      </c>
      <c r="P39" s="387">
        <f>'31'!I38</f>
        <v>41.462000000000003</v>
      </c>
      <c r="Q39" s="387">
        <f>Q38+P39</f>
        <v>1233.3839999999998</v>
      </c>
      <c r="R39" s="387">
        <f>'31'!I40</f>
        <v>40.225999999999999</v>
      </c>
      <c r="S39" s="387">
        <f>S38+R39</f>
        <v>1188.8969999999999</v>
      </c>
      <c r="T39" s="94">
        <f t="shared" si="1"/>
        <v>5268.2338691918076</v>
      </c>
      <c r="U39" s="12">
        <f>T39+U38</f>
        <v>155611.60328689296</v>
      </c>
      <c r="V39" s="288">
        <f t="shared" si="26"/>
        <v>127.06174012811266</v>
      </c>
      <c r="W39" s="288">
        <f t="shared" si="27"/>
        <v>126.16638718103445</v>
      </c>
      <c r="X39" s="289">
        <f t="shared" si="28"/>
        <v>130.96588945437796</v>
      </c>
      <c r="Y39" s="288">
        <f t="shared" si="29"/>
        <v>130.88737147700178</v>
      </c>
      <c r="Z39" s="389">
        <v>50.5</v>
      </c>
      <c r="AA39" s="388">
        <f>Z39+AA38</f>
        <v>1587.7</v>
      </c>
      <c r="AB39" s="391">
        <f t="shared" si="2"/>
        <v>1.217982731175534</v>
      </c>
      <c r="AC39" s="391">
        <f t="shared" si="3"/>
        <v>1.2872714418218498</v>
      </c>
      <c r="AD39" s="386">
        <f t="shared" si="4"/>
        <v>1.2554069507283847</v>
      </c>
      <c r="AE39" s="391">
        <f t="shared" si="5"/>
        <v>1.3354394871885455</v>
      </c>
      <c r="AF39" s="390">
        <f>'31'!I46</f>
        <v>39258.71999999891</v>
      </c>
      <c r="AG39" s="388">
        <f>AF39+AG38</f>
        <v>1176462.0999999989</v>
      </c>
      <c r="AH39" s="391">
        <f t="shared" si="6"/>
        <v>946.86025758523249</v>
      </c>
      <c r="AI39" s="391">
        <f t="shared" si="7"/>
        <v>953.84900404091445</v>
      </c>
      <c r="AJ39" s="391">
        <f t="shared" si="8"/>
        <v>975.9538606870907</v>
      </c>
      <c r="AK39" s="391">
        <f t="shared" si="9"/>
        <v>989.54080967484902</v>
      </c>
      <c r="AL39" s="446">
        <v>5563.5</v>
      </c>
      <c r="AM39" s="447">
        <v>5483.2</v>
      </c>
      <c r="AN39" s="447">
        <v>4392.7</v>
      </c>
      <c r="AO39" s="447">
        <f t="shared" si="39"/>
        <v>15439.400000000001</v>
      </c>
      <c r="AP39" s="586">
        <f>+[1]Des!N34</f>
        <v>14620</v>
      </c>
      <c r="AQ39" s="479">
        <f t="shared" si="10"/>
        <v>-819.40000000000146</v>
      </c>
      <c r="AR39" s="450">
        <f>+AL39/AO39</f>
        <v>0.36034431389820842</v>
      </c>
      <c r="AS39" s="450">
        <f>+AM39/AO39</f>
        <v>0.35514333458554087</v>
      </c>
      <c r="AT39" s="450">
        <f>1-AR39-AS39</f>
        <v>0.28451235151625071</v>
      </c>
      <c r="AU39" s="450">
        <f>+AR39*AQ39</f>
        <v>-295.26613080819249</v>
      </c>
      <c r="AV39" s="450">
        <f>+AS39*AQ39</f>
        <v>-291.00444835939271</v>
      </c>
      <c r="AW39" s="450">
        <f>+AT39*AQ39</f>
        <v>-233.12942083241623</v>
      </c>
      <c r="AX39" s="392">
        <f t="shared" si="40"/>
        <v>5268.2338691918076</v>
      </c>
      <c r="AY39" s="392">
        <f t="shared" si="40"/>
        <v>5192.1955516406069</v>
      </c>
      <c r="AZ39" s="392">
        <f t="shared" si="40"/>
        <v>4159.5705791675837</v>
      </c>
      <c r="BA39" s="386">
        <f>+Efficiency2!K130</f>
        <v>43.042069824000009</v>
      </c>
      <c r="BB39" s="387">
        <f>BB38+BA39</f>
        <v>1338.5638624724065</v>
      </c>
      <c r="BC39" s="412">
        <f t="shared" si="36"/>
        <v>0.93457401478332747</v>
      </c>
      <c r="BD39" s="412">
        <f t="shared" si="37"/>
        <v>0.88818847821278912</v>
      </c>
    </row>
    <row r="40" spans="1:56" s="392" customFormat="1" ht="12.75" customHeight="1" thickBot="1">
      <c r="A40" s="406"/>
      <c r="B40" s="394"/>
      <c r="C40" s="394"/>
      <c r="D40" s="394"/>
      <c r="E40" s="394"/>
      <c r="F40" s="408"/>
      <c r="G40" s="411"/>
      <c r="H40" s="407"/>
      <c r="I40" s="407"/>
      <c r="J40" s="412"/>
      <c r="K40" s="418"/>
      <c r="L40" s="395"/>
      <c r="M40" s="396"/>
      <c r="N40" s="396"/>
      <c r="O40" s="396"/>
      <c r="P40" s="396"/>
      <c r="Q40" s="396"/>
      <c r="R40" s="396"/>
      <c r="S40" s="396"/>
      <c r="T40" s="291"/>
      <c r="U40" s="290"/>
      <c r="V40" s="292"/>
      <c r="W40" s="292"/>
      <c r="X40" s="289"/>
      <c r="Y40" s="292"/>
      <c r="Z40" s="397"/>
      <c r="AA40" s="397"/>
      <c r="AB40" s="398"/>
      <c r="AC40" s="398"/>
      <c r="AD40" s="395"/>
      <c r="AE40" s="398"/>
      <c r="AF40" s="397"/>
      <c r="AG40" s="397"/>
      <c r="AH40" s="398"/>
      <c r="AI40" s="398"/>
      <c r="AJ40" s="398"/>
      <c r="AK40" s="398"/>
      <c r="AP40" s="449"/>
      <c r="AQ40" s="480"/>
      <c r="AX40" s="450"/>
      <c r="AY40" s="450"/>
      <c r="AZ40" s="450"/>
      <c r="BA40" s="395"/>
      <c r="BB40" s="396"/>
      <c r="BC40" s="412"/>
      <c r="BD40" s="418"/>
    </row>
    <row r="41" spans="1:56" s="392" customFormat="1" ht="12.75" customHeight="1" thickTop="1" thickBot="1">
      <c r="A41" s="399"/>
      <c r="B41" s="400"/>
      <c r="C41" s="400"/>
      <c r="D41" s="400"/>
      <c r="E41" s="400"/>
      <c r="F41" s="409"/>
      <c r="G41" s="411">
        <f t="shared" si="17"/>
        <v>0.93283915416227225</v>
      </c>
      <c r="H41" s="407">
        <f t="shared" si="18"/>
        <v>0.92142335123396102</v>
      </c>
      <c r="I41" s="407">
        <f t="shared" si="19"/>
        <v>0.96393094121538803</v>
      </c>
      <c r="J41" s="412">
        <f t="shared" si="20"/>
        <v>0.88818847821278912</v>
      </c>
      <c r="K41" s="418"/>
      <c r="L41" s="401">
        <f>SUM(L9:L39)</f>
        <v>1338.5638624724065</v>
      </c>
      <c r="M41" s="402"/>
      <c r="N41" s="401">
        <f>SUM(N9:N39)</f>
        <v>1322.1829234940606</v>
      </c>
      <c r="O41" s="402"/>
      <c r="P41" s="401">
        <f>SUM(P9:P39)</f>
        <v>1233.3839999999998</v>
      </c>
      <c r="Q41" s="402"/>
      <c r="R41" s="401">
        <f>SUM(R9:R39)</f>
        <v>1188.8969999999999</v>
      </c>
      <c r="S41" s="402"/>
      <c r="T41" s="293">
        <f>SUM(T9:T39)</f>
        <v>155611.60328689296</v>
      </c>
      <c r="U41" s="293"/>
      <c r="V41" s="294">
        <f>T41/P41</f>
        <v>126.16638718103445</v>
      </c>
      <c r="W41" s="294"/>
      <c r="X41" s="289">
        <f>IF(AND(R41&gt;0,T41&gt;0),(T41/(R41*1000))*1000,0)</f>
        <v>130.88737147700178</v>
      </c>
      <c r="Y41" s="294"/>
      <c r="Z41" s="403">
        <f>SUM(Z9:Z40)</f>
        <v>1587.7</v>
      </c>
      <c r="AA41" s="403"/>
      <c r="AB41" s="404">
        <f>Z41/P41</f>
        <v>1.2872714418218498</v>
      </c>
      <c r="AC41" s="404"/>
      <c r="AD41" s="405">
        <f>Z41/R41</f>
        <v>1.3354394871885455</v>
      </c>
      <c r="AE41" s="404"/>
      <c r="AF41" s="403">
        <f>SUM(AF9:AF39)</f>
        <v>1176462.0999999989</v>
      </c>
      <c r="AG41" s="403"/>
      <c r="AH41" s="404">
        <f>AF41/P41</f>
        <v>953.84900404091434</v>
      </c>
      <c r="AI41" s="404"/>
      <c r="AJ41" s="404">
        <f>AF41/R41</f>
        <v>989.54080967484902</v>
      </c>
      <c r="AK41" s="404"/>
      <c r="AP41" s="449">
        <f>SUM(AP9:AP40)</f>
        <v>427258</v>
      </c>
      <c r="AQ41" s="480"/>
      <c r="AX41" s="450">
        <f>SUM(AX9:AX39)</f>
        <v>155611.60328689296</v>
      </c>
      <c r="AY41" s="450">
        <f>SUM(AY9:AY39)</f>
        <v>149683.85007961001</v>
      </c>
      <c r="AZ41" s="450">
        <f>SUM(AZ9:AZ39)</f>
        <v>121962.54663349698</v>
      </c>
      <c r="BA41" s="401">
        <f>SUM(BA9:BA39)</f>
        <v>1338.5638624724065</v>
      </c>
      <c r="BB41" s="402"/>
      <c r="BC41" s="412">
        <f t="shared" si="36"/>
        <v>0.88818847821278912</v>
      </c>
      <c r="BD41" s="418"/>
    </row>
    <row r="42" spans="1:56" ht="12.75" customHeight="1" thickTop="1">
      <c r="S42" s="277"/>
      <c r="T42" s="277"/>
      <c r="U42" s="277"/>
      <c r="V42" s="277"/>
      <c r="W42" s="277"/>
      <c r="X42" s="277"/>
      <c r="Y42" s="277"/>
      <c r="Z42" s="277"/>
      <c r="AA42" s="277"/>
      <c r="AD42" s="277"/>
      <c r="AF42" s="277"/>
      <c r="AG42" s="277"/>
    </row>
    <row r="43" spans="1:56" ht="12.75" customHeight="1">
      <c r="S43" s="277"/>
      <c r="T43" s="277"/>
      <c r="U43" s="277"/>
      <c r="V43" s="277"/>
      <c r="W43" s="277"/>
      <c r="X43" s="277"/>
      <c r="Y43" s="277"/>
      <c r="Z43" s="277"/>
      <c r="AA43" s="277"/>
      <c r="AD43" s="277"/>
      <c r="AF43" s="277"/>
      <c r="AG43" s="277"/>
      <c r="AY43" s="3">
        <f>SUM(AX41:AZ41)</f>
        <v>427258</v>
      </c>
    </row>
    <row r="44" spans="1:56">
      <c r="S44" s="277"/>
      <c r="T44" s="277"/>
      <c r="U44" s="277"/>
      <c r="V44" s="277"/>
      <c r="W44" s="277"/>
      <c r="X44" s="277"/>
      <c r="Y44" s="277"/>
      <c r="Z44" s="277"/>
      <c r="AA44" s="277"/>
      <c r="AD44" s="277"/>
      <c r="AF44" s="277"/>
      <c r="AG44" s="277"/>
    </row>
    <row r="45" spans="1:56">
      <c r="R45" s="295"/>
      <c r="S45" s="296"/>
      <c r="T45" s="296"/>
      <c r="U45" s="296"/>
      <c r="V45" s="296"/>
      <c r="W45" s="296"/>
      <c r="X45" s="296"/>
      <c r="Y45" s="296"/>
    </row>
    <row r="46" spans="1:56">
      <c r="R46" s="297"/>
    </row>
    <row r="47" spans="1:56">
      <c r="R47" s="297"/>
    </row>
    <row r="48" spans="1:56">
      <c r="R48" s="297"/>
    </row>
    <row r="49" spans="18:56">
      <c r="R49" s="297"/>
      <c r="BC49"/>
      <c r="BD49"/>
    </row>
    <row r="50" spans="18:56">
      <c r="R50" s="297"/>
      <c r="BC50"/>
      <c r="BD50"/>
    </row>
    <row r="51" spans="18:56">
      <c r="R51" s="297"/>
      <c r="BC51"/>
      <c r="BD51"/>
    </row>
    <row r="52" spans="18:56">
      <c r="R52" s="297"/>
      <c r="BC52"/>
      <c r="BD52"/>
    </row>
    <row r="53" spans="18:56">
      <c r="R53" s="297"/>
      <c r="BC53"/>
      <c r="BD53"/>
    </row>
    <row r="54" spans="18:56">
      <c r="R54" s="297"/>
      <c r="BC54"/>
      <c r="BD54"/>
    </row>
    <row r="55" spans="18:56">
      <c r="R55" s="297"/>
      <c r="BC55"/>
      <c r="BD55"/>
    </row>
    <row r="56" spans="18:56">
      <c r="R56" s="297"/>
      <c r="BC56"/>
      <c r="BD56"/>
    </row>
    <row r="57" spans="18:56">
      <c r="R57" s="297"/>
      <c r="BC57"/>
      <c r="BD57"/>
    </row>
    <row r="58" spans="18:56">
      <c r="R58" s="297"/>
      <c r="BC58"/>
      <c r="BD58"/>
    </row>
    <row r="59" spans="18:56">
      <c r="R59" s="297"/>
      <c r="BC59"/>
      <c r="BD59"/>
    </row>
    <row r="60" spans="18:56">
      <c r="BC60"/>
      <c r="BD60"/>
    </row>
    <row r="65536" spans="3:54">
      <c r="C65536" s="298"/>
      <c r="BA65536"/>
      <c r="BB65536"/>
    </row>
  </sheetData>
  <mergeCells count="34"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L7:AN7"/>
    <mergeCell ref="AO7:AO8"/>
    <mergeCell ref="F6:F8"/>
    <mergeCell ref="G6:G8"/>
    <mergeCell ref="BA6:BB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W44"/>
  <sheetViews>
    <sheetView zoomScaleNormal="10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Q7" sqref="Q7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11" t="s">
        <v>21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299"/>
      <c r="R2" s="299"/>
      <c r="S2" s="299"/>
      <c r="T2" s="299"/>
      <c r="U2" s="299"/>
    </row>
    <row r="3" spans="1:23" ht="12.75" customHeight="1">
      <c r="A3" s="299"/>
      <c r="B3" s="299"/>
      <c r="C3" s="299"/>
      <c r="D3" s="300"/>
      <c r="E3" s="301"/>
      <c r="F3" s="301"/>
      <c r="G3" s="301"/>
      <c r="H3" s="302"/>
      <c r="I3" s="301"/>
      <c r="J3" s="301"/>
      <c r="K3" s="301"/>
      <c r="L3" s="303"/>
      <c r="M3" s="301"/>
      <c r="N3" s="301"/>
      <c r="O3" s="301"/>
      <c r="P3" s="301"/>
      <c r="Q3" s="5"/>
      <c r="R3" s="5"/>
      <c r="S3" s="299"/>
      <c r="T3" s="299"/>
      <c r="U3" s="299"/>
    </row>
    <row r="4" spans="1:23">
      <c r="A4" s="619" t="s">
        <v>8</v>
      </c>
      <c r="B4" s="622" t="s">
        <v>22</v>
      </c>
      <c r="C4" s="622" t="s">
        <v>23</v>
      </c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  <c r="O4" s="612"/>
      <c r="P4" s="613" t="s">
        <v>185</v>
      </c>
      <c r="Q4" s="614"/>
      <c r="R4" s="615"/>
      <c r="U4" s="362" t="s">
        <v>0</v>
      </c>
    </row>
    <row r="5" spans="1:23" ht="14.25" customHeight="1">
      <c r="A5" s="620"/>
      <c r="B5" s="623"/>
      <c r="C5" s="623"/>
      <c r="D5" s="625" t="s">
        <v>303</v>
      </c>
      <c r="E5" s="626"/>
      <c r="F5" s="626"/>
      <c r="G5" s="627"/>
      <c r="H5" s="628" t="s">
        <v>304</v>
      </c>
      <c r="I5" s="629"/>
      <c r="J5" s="629"/>
      <c r="K5" s="630"/>
      <c r="L5" s="631" t="s">
        <v>303</v>
      </c>
      <c r="M5" s="632"/>
      <c r="N5" s="632"/>
      <c r="O5" s="633"/>
      <c r="P5" s="616"/>
      <c r="Q5" s="617"/>
      <c r="R5" s="618"/>
    </row>
    <row r="6" spans="1:23" ht="14.25" customHeight="1">
      <c r="A6" s="621"/>
      <c r="B6" s="624"/>
      <c r="C6" s="624"/>
      <c r="D6" s="506" t="s">
        <v>24</v>
      </c>
      <c r="E6" s="370" t="s">
        <v>25</v>
      </c>
      <c r="F6" s="371" t="s">
        <v>26</v>
      </c>
      <c r="G6" s="371" t="s">
        <v>27</v>
      </c>
      <c r="H6" s="507" t="s">
        <v>24</v>
      </c>
      <c r="I6" s="372" t="s">
        <v>25</v>
      </c>
      <c r="J6" s="373" t="s">
        <v>26</v>
      </c>
      <c r="K6" s="373" t="s">
        <v>27</v>
      </c>
      <c r="L6" s="508" t="s">
        <v>24</v>
      </c>
      <c r="M6" s="374" t="s">
        <v>25</v>
      </c>
      <c r="N6" s="375" t="s">
        <v>26</v>
      </c>
      <c r="O6" s="375" t="s">
        <v>27</v>
      </c>
      <c r="P6" s="376" t="s">
        <v>25</v>
      </c>
      <c r="Q6" s="377" t="s">
        <v>26</v>
      </c>
      <c r="R6" s="377" t="s">
        <v>27</v>
      </c>
      <c r="T6" s="362"/>
    </row>
    <row r="7" spans="1:23">
      <c r="A7" s="304">
        <f>A8-1</f>
        <v>45991</v>
      </c>
      <c r="B7" s="305">
        <v>0</v>
      </c>
      <c r="C7" s="305">
        <v>0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308"/>
      <c r="Q7" s="97"/>
      <c r="R7" s="97"/>
    </row>
    <row r="8" spans="1:23" ht="15">
      <c r="A8" s="304">
        <f>+Report1!A9</f>
        <v>45992</v>
      </c>
      <c r="B8" s="311">
        <f>+Report1!P9</f>
        <v>24.750999999999998</v>
      </c>
      <c r="C8" s="311">
        <f>+Report1!R9</f>
        <v>23.289000000000001</v>
      </c>
      <c r="D8" s="312">
        <f t="shared" ref="D8:D38" si="0">+D7+E8</f>
        <v>4899.9999999996362</v>
      </c>
      <c r="E8" s="312">
        <f>+[3]DailyDes!AH7</f>
        <v>4899.9999999996362</v>
      </c>
      <c r="F8" s="312">
        <f t="shared" ref="F8:F38" si="1">E8/B8</f>
        <v>197.97179911921282</v>
      </c>
      <c r="G8" s="312">
        <f t="shared" ref="G8:G38" si="2">E8/C8</f>
        <v>210.39975954311632</v>
      </c>
      <c r="H8" s="312">
        <f t="shared" ref="H8:H38" si="3">+H7+I8</f>
        <v>7643.33</v>
      </c>
      <c r="I8" s="312">
        <f>+[3]DailyDes!AI7</f>
        <v>7643.33</v>
      </c>
      <c r="J8" s="312">
        <f t="shared" ref="J8:J38" si="4">I8/B8</f>
        <v>308.80893701264597</v>
      </c>
      <c r="K8" s="312">
        <f t="shared" ref="K8:K38" si="5">I8/C8</f>
        <v>328.19485594057278</v>
      </c>
      <c r="L8" s="312">
        <f t="shared" ref="L8:L38" si="6">+L7+M8</f>
        <v>24803.33</v>
      </c>
      <c r="M8" s="312">
        <f>+[3]DailyDes!AJ7</f>
        <v>24803.33</v>
      </c>
      <c r="N8" s="312">
        <f t="shared" ref="N8:N38" si="7">M8/B8</f>
        <v>1002.1142580097776</v>
      </c>
      <c r="O8" s="312">
        <f t="shared" ref="O8:O38" si="8">M8/C8</f>
        <v>1065.0234016059085</v>
      </c>
      <c r="P8" s="312">
        <f t="shared" ref="P8:P33" si="9">+E8+I8+M8</f>
        <v>37346.65999999964</v>
      </c>
      <c r="Q8" s="6">
        <f t="shared" ref="Q8:Q38" si="10">P8/B8</f>
        <v>1508.8949941416365</v>
      </c>
      <c r="R8" s="310">
        <f t="shared" ref="R8:R38" si="11">P8/C8</f>
        <v>1603.6180170895975</v>
      </c>
      <c r="V8" s="380" t="s">
        <v>170</v>
      </c>
      <c r="W8" s="380" t="s">
        <v>171</v>
      </c>
    </row>
    <row r="9" spans="1:23" ht="15">
      <c r="A9" s="304">
        <f>+Report1!A10</f>
        <v>45993</v>
      </c>
      <c r="B9" s="311">
        <f>+Report1!P10</f>
        <v>44.296999999999997</v>
      </c>
      <c r="C9" s="311">
        <f>+Report1!R10</f>
        <v>42.353000000000002</v>
      </c>
      <c r="D9" s="312">
        <f t="shared" si="0"/>
        <v>9699.9999999989086</v>
      </c>
      <c r="E9" s="312">
        <f>+[3]DailyDes!AH8</f>
        <v>4799.9999999992724</v>
      </c>
      <c r="F9" s="312">
        <f t="shared" si="1"/>
        <v>108.35948258345425</v>
      </c>
      <c r="G9" s="312">
        <f t="shared" si="2"/>
        <v>113.33317592612737</v>
      </c>
      <c r="H9" s="312">
        <f t="shared" si="3"/>
        <v>13521.279999999999</v>
      </c>
      <c r="I9" s="312">
        <f>+[3]DailyDes!AI8</f>
        <v>5877.95</v>
      </c>
      <c r="J9" s="312">
        <f t="shared" si="4"/>
        <v>132.69408763573153</v>
      </c>
      <c r="K9" s="312">
        <f t="shared" si="5"/>
        <v>138.78473779897527</v>
      </c>
      <c r="L9" s="312">
        <f t="shared" si="6"/>
        <v>47841.279999999999</v>
      </c>
      <c r="M9" s="312">
        <f>+[3]DailyDes!AJ8</f>
        <v>23037.95</v>
      </c>
      <c r="N9" s="312">
        <f t="shared" si="7"/>
        <v>520.07923787163918</v>
      </c>
      <c r="O9" s="312">
        <f t="shared" si="8"/>
        <v>543.95084173494206</v>
      </c>
      <c r="P9" s="312">
        <f t="shared" si="9"/>
        <v>33715.899999999274</v>
      </c>
      <c r="Q9" s="6">
        <f t="shared" si="10"/>
        <v>761.13280809082505</v>
      </c>
      <c r="R9" s="310">
        <f t="shared" si="11"/>
        <v>796.06875546004471</v>
      </c>
      <c r="V9" s="380" t="s">
        <v>170</v>
      </c>
      <c r="W9" s="380" t="s">
        <v>171</v>
      </c>
    </row>
    <row r="10" spans="1:23" ht="15">
      <c r="A10" s="304">
        <f>+Report1!A11</f>
        <v>45994</v>
      </c>
      <c r="B10" s="311">
        <f>+Report1!P11</f>
        <v>43.881</v>
      </c>
      <c r="C10" s="311">
        <f>+Report1!R11</f>
        <v>41.976999999999997</v>
      </c>
      <c r="D10" s="312">
        <f t="shared" si="0"/>
        <v>14599.999999998545</v>
      </c>
      <c r="E10" s="312">
        <f>+[3]DailyDes!AH9</f>
        <v>4899.9999999996362</v>
      </c>
      <c r="F10" s="312">
        <f t="shared" si="1"/>
        <v>111.66564116587216</v>
      </c>
      <c r="G10" s="312">
        <f t="shared" si="2"/>
        <v>116.73059056148931</v>
      </c>
      <c r="H10" s="312">
        <f t="shared" si="3"/>
        <v>22295.699999999997</v>
      </c>
      <c r="I10" s="312">
        <f>+[3]DailyDes!AI9</f>
        <v>8774.42</v>
      </c>
      <c r="J10" s="312">
        <f t="shared" si="4"/>
        <v>199.95943574667851</v>
      </c>
      <c r="K10" s="312">
        <f t="shared" si="5"/>
        <v>209.0292302927794</v>
      </c>
      <c r="L10" s="312">
        <f t="shared" si="6"/>
        <v>74775.7</v>
      </c>
      <c r="M10" s="312">
        <f>+[3]DailyDes!AJ9</f>
        <v>26934.42</v>
      </c>
      <c r="N10" s="312">
        <f t="shared" si="7"/>
        <v>613.80597525124767</v>
      </c>
      <c r="O10" s="312">
        <f t="shared" si="8"/>
        <v>641.64709245539223</v>
      </c>
      <c r="P10" s="312">
        <f t="shared" si="9"/>
        <v>40608.839999999633</v>
      </c>
      <c r="Q10" s="6">
        <f t="shared" si="10"/>
        <v>925.43105216379831</v>
      </c>
      <c r="R10" s="310">
        <f t="shared" si="11"/>
        <v>967.40691330966092</v>
      </c>
      <c r="V10" s="380" t="s">
        <v>170</v>
      </c>
      <c r="W10" s="380" t="s">
        <v>171</v>
      </c>
    </row>
    <row r="11" spans="1:23" ht="15">
      <c r="A11" s="304">
        <f>+Report1!A12</f>
        <v>45995</v>
      </c>
      <c r="B11" s="311">
        <f>+Report1!P12</f>
        <v>44.146999999999998</v>
      </c>
      <c r="C11" s="311">
        <f>+Report1!R12</f>
        <v>40.161999999999999</v>
      </c>
      <c r="D11" s="312">
        <f t="shared" si="0"/>
        <v>19500</v>
      </c>
      <c r="E11" s="312">
        <f>+[3]DailyDes!AH10</f>
        <v>4900.0000000014552</v>
      </c>
      <c r="F11" s="312">
        <f t="shared" si="1"/>
        <v>110.99281944416281</v>
      </c>
      <c r="G11" s="312">
        <f t="shared" si="2"/>
        <v>122.00587620142063</v>
      </c>
      <c r="H11" s="312">
        <f t="shared" si="3"/>
        <v>27031.46</v>
      </c>
      <c r="I11" s="312">
        <f>+[3]DailyDes!AI10</f>
        <v>4735.76</v>
      </c>
      <c r="J11" s="312">
        <f t="shared" si="4"/>
        <v>107.27252134912905</v>
      </c>
      <c r="K11" s="312">
        <f t="shared" si="5"/>
        <v>117.91643842438127</v>
      </c>
      <c r="L11" s="312">
        <f t="shared" si="6"/>
        <v>97671.459999999992</v>
      </c>
      <c r="M11" s="312">
        <f>+[3]DailyDes!AJ10</f>
        <v>22895.759999999998</v>
      </c>
      <c r="N11" s="312">
        <f t="shared" si="7"/>
        <v>518.62550116655711</v>
      </c>
      <c r="O11" s="312">
        <f t="shared" si="8"/>
        <v>570.08515512175688</v>
      </c>
      <c r="P11" s="312">
        <f t="shared" si="9"/>
        <v>32531.520000001452</v>
      </c>
      <c r="Q11" s="6">
        <f t="shared" si="10"/>
        <v>736.89084195984901</v>
      </c>
      <c r="R11" s="310">
        <f t="shared" si="11"/>
        <v>810.00746974755873</v>
      </c>
      <c r="V11" s="380" t="s">
        <v>170</v>
      </c>
      <c r="W11" s="380" t="s">
        <v>171</v>
      </c>
    </row>
    <row r="12" spans="1:23" ht="15">
      <c r="A12" s="304">
        <f>+Report1!A13</f>
        <v>45996</v>
      </c>
      <c r="B12" s="311">
        <f>+Report1!P13</f>
        <v>42.655000000000001</v>
      </c>
      <c r="C12" s="311">
        <f>+Report1!R13</f>
        <v>45.195999999999998</v>
      </c>
      <c r="D12" s="312">
        <f t="shared" si="0"/>
        <v>24099.999999998545</v>
      </c>
      <c r="E12" s="312">
        <f>+[3]DailyDes!AH11</f>
        <v>4599.9999999985448</v>
      </c>
      <c r="F12" s="312">
        <f t="shared" si="1"/>
        <v>107.84198804357156</v>
      </c>
      <c r="G12" s="312">
        <f t="shared" si="2"/>
        <v>101.77891848832961</v>
      </c>
      <c r="H12" s="312">
        <f t="shared" si="3"/>
        <v>32813.369999999995</v>
      </c>
      <c r="I12" s="312">
        <f>+[3]DailyDes!AI11</f>
        <v>5781.91</v>
      </c>
      <c r="J12" s="312">
        <f t="shared" si="4"/>
        <v>135.55058023678347</v>
      </c>
      <c r="K12" s="312">
        <f t="shared" si="5"/>
        <v>127.92968404283565</v>
      </c>
      <c r="L12" s="312">
        <f t="shared" si="6"/>
        <v>121613.37</v>
      </c>
      <c r="M12" s="312">
        <f>+[3]DailyDes!AJ11</f>
        <v>23941.91</v>
      </c>
      <c r="N12" s="312">
        <f t="shared" si="7"/>
        <v>561.29199390458325</v>
      </c>
      <c r="O12" s="312">
        <f t="shared" si="8"/>
        <v>529.73515355341181</v>
      </c>
      <c r="P12" s="312">
        <f t="shared" si="9"/>
        <v>34323.819999998545</v>
      </c>
      <c r="Q12" s="6">
        <f t="shared" si="10"/>
        <v>804.68456218493827</v>
      </c>
      <c r="R12" s="310">
        <f t="shared" si="11"/>
        <v>759.4437560845771</v>
      </c>
      <c r="V12" s="380" t="s">
        <v>170</v>
      </c>
      <c r="W12" s="380" t="s">
        <v>171</v>
      </c>
    </row>
    <row r="13" spans="1:23" ht="15">
      <c r="A13" s="304">
        <f>+Report1!A14</f>
        <v>45997</v>
      </c>
      <c r="B13" s="311">
        <f>+Report1!P14</f>
        <v>41.825000000000003</v>
      </c>
      <c r="C13" s="311">
        <f>+Report1!R14</f>
        <v>40.381999999999998</v>
      </c>
      <c r="D13" s="312">
        <f t="shared" si="0"/>
        <v>28799.999999999272</v>
      </c>
      <c r="E13" s="312">
        <f>+[3]DailyDes!AH12</f>
        <v>4700.0000000007276</v>
      </c>
      <c r="F13" s="312">
        <f t="shared" si="1"/>
        <v>112.37298266588708</v>
      </c>
      <c r="G13" s="312">
        <f t="shared" si="2"/>
        <v>116.38848992127006</v>
      </c>
      <c r="H13" s="312">
        <f t="shared" si="3"/>
        <v>39380.359999999993</v>
      </c>
      <c r="I13" s="312">
        <f>+[3]DailyDes!AI12</f>
        <v>6566.99</v>
      </c>
      <c r="J13" s="312">
        <f t="shared" si="4"/>
        <v>157.01111775254034</v>
      </c>
      <c r="K13" s="312">
        <f t="shared" si="5"/>
        <v>162.62171264424745</v>
      </c>
      <c r="L13" s="312">
        <f t="shared" si="6"/>
        <v>144340.35999999999</v>
      </c>
      <c r="M13" s="312">
        <f>+[3]DailyDes!AJ12</f>
        <v>22726.99</v>
      </c>
      <c r="N13" s="312">
        <f t="shared" si="7"/>
        <v>543.38290496114769</v>
      </c>
      <c r="O13" s="312">
        <f t="shared" si="8"/>
        <v>562.8000099054035</v>
      </c>
      <c r="P13" s="312">
        <f t="shared" si="9"/>
        <v>33993.980000000731</v>
      </c>
      <c r="Q13" s="6">
        <f t="shared" si="10"/>
        <v>812.76700537957515</v>
      </c>
      <c r="R13" s="310">
        <f t="shared" si="11"/>
        <v>841.81021247092099</v>
      </c>
      <c r="V13" s="380" t="s">
        <v>170</v>
      </c>
      <c r="W13" s="380" t="s">
        <v>171</v>
      </c>
    </row>
    <row r="14" spans="1:23" ht="15">
      <c r="A14" s="304">
        <f>+Report1!A15</f>
        <v>45998</v>
      </c>
      <c r="B14" s="311">
        <f>+Report1!P15</f>
        <v>41.730000000000004</v>
      </c>
      <c r="C14" s="311">
        <f>+Report1!R15</f>
        <v>41.706000000000003</v>
      </c>
      <c r="D14" s="312">
        <f t="shared" si="0"/>
        <v>33699.999999998909</v>
      </c>
      <c r="E14" s="312">
        <f>+[3]DailyDes!AH13</f>
        <v>4899.9999999996362</v>
      </c>
      <c r="F14" s="312">
        <f t="shared" si="1"/>
        <v>117.42151929066944</v>
      </c>
      <c r="G14" s="312">
        <f t="shared" si="2"/>
        <v>117.48909029874925</v>
      </c>
      <c r="H14" s="312">
        <f t="shared" si="3"/>
        <v>46592.149999999994</v>
      </c>
      <c r="I14" s="312">
        <f>+[3]DailyDes!AI13</f>
        <v>7211.79</v>
      </c>
      <c r="J14" s="312">
        <f t="shared" si="4"/>
        <v>172.82027318475915</v>
      </c>
      <c r="K14" s="312">
        <f t="shared" si="5"/>
        <v>172.91972378075096</v>
      </c>
      <c r="L14" s="312">
        <f t="shared" si="6"/>
        <v>170712.15</v>
      </c>
      <c r="M14" s="312">
        <f>+[3]DailyDes!AJ13</f>
        <v>26371.79</v>
      </c>
      <c r="N14" s="312">
        <f t="shared" si="7"/>
        <v>631.96237718667624</v>
      </c>
      <c r="O14" s="312">
        <f t="shared" si="8"/>
        <v>632.32604421426174</v>
      </c>
      <c r="P14" s="312">
        <f t="shared" si="9"/>
        <v>38483.579999999638</v>
      </c>
      <c r="Q14" s="6">
        <f t="shared" si="10"/>
        <v>922.20416966210485</v>
      </c>
      <c r="R14" s="310">
        <f t="shared" si="11"/>
        <v>922.73485829376193</v>
      </c>
      <c r="V14" s="380" t="s">
        <v>170</v>
      </c>
      <c r="W14" s="380" t="s">
        <v>171</v>
      </c>
    </row>
    <row r="15" spans="1:23" ht="15">
      <c r="A15" s="304">
        <f>+Report1!A16</f>
        <v>45999</v>
      </c>
      <c r="B15" s="311">
        <f>+Report1!P16</f>
        <v>38.814999999999998</v>
      </c>
      <c r="C15" s="311">
        <f>+Report1!R16</f>
        <v>37.368000000000002</v>
      </c>
      <c r="D15" s="312">
        <f t="shared" si="0"/>
        <v>38299.999999999272</v>
      </c>
      <c r="E15" s="312">
        <f>+[3]DailyDes!AH14</f>
        <v>4600.0000000003638</v>
      </c>
      <c r="F15" s="312">
        <f t="shared" si="1"/>
        <v>118.51088496716126</v>
      </c>
      <c r="G15" s="312">
        <f t="shared" si="2"/>
        <v>123.09997859131779</v>
      </c>
      <c r="H15" s="312">
        <f t="shared" si="3"/>
        <v>52507.34</v>
      </c>
      <c r="I15" s="312">
        <f>+[3]DailyDes!AI14</f>
        <v>5915.19</v>
      </c>
      <c r="J15" s="312">
        <f t="shared" si="4"/>
        <v>152.39443514105372</v>
      </c>
      <c r="K15" s="312">
        <f t="shared" si="5"/>
        <v>158.29560051380858</v>
      </c>
      <c r="L15" s="312">
        <f t="shared" si="6"/>
        <v>196787.34</v>
      </c>
      <c r="M15" s="312">
        <f>+[3]DailyDes!AJ14</f>
        <v>26075.19</v>
      </c>
      <c r="N15" s="312">
        <f t="shared" si="7"/>
        <v>671.78127012752805</v>
      </c>
      <c r="O15" s="312">
        <f t="shared" si="8"/>
        <v>697.7946371226717</v>
      </c>
      <c r="P15" s="312">
        <f t="shared" si="9"/>
        <v>36590.380000000361</v>
      </c>
      <c r="Q15" s="6">
        <f t="shared" si="10"/>
        <v>942.68659023574298</v>
      </c>
      <c r="R15" s="310">
        <f t="shared" si="11"/>
        <v>979.19021622779815</v>
      </c>
      <c r="V15" s="380" t="s">
        <v>170</v>
      </c>
      <c r="W15" s="380" t="s">
        <v>171</v>
      </c>
    </row>
    <row r="16" spans="1:23" ht="15">
      <c r="A16" s="304">
        <f>+Report1!A17</f>
        <v>46000</v>
      </c>
      <c r="B16" s="311">
        <f>+Report1!P17</f>
        <v>38.148000000000003</v>
      </c>
      <c r="C16" s="311">
        <f>+Report1!R17</f>
        <v>37.177999999999997</v>
      </c>
      <c r="D16" s="312">
        <f t="shared" si="0"/>
        <v>42899.999999999636</v>
      </c>
      <c r="E16" s="312">
        <f>+[3]DailyDes!AH15</f>
        <v>4600.0000000003638</v>
      </c>
      <c r="F16" s="312">
        <f t="shared" si="1"/>
        <v>120.58299255532042</v>
      </c>
      <c r="G16" s="312">
        <f t="shared" si="2"/>
        <v>123.72908709452805</v>
      </c>
      <c r="H16" s="312">
        <f t="shared" si="3"/>
        <v>60006.5</v>
      </c>
      <c r="I16" s="312">
        <f>+[3]DailyDes!AI15</f>
        <v>7499.16</v>
      </c>
      <c r="J16" s="312">
        <f t="shared" si="4"/>
        <v>196.58068575023592</v>
      </c>
      <c r="K16" s="312">
        <f t="shared" si="5"/>
        <v>201.7096132121147</v>
      </c>
      <c r="L16" s="312">
        <f t="shared" si="6"/>
        <v>224446.5</v>
      </c>
      <c r="M16" s="312">
        <f>+[3]DailyDes!AJ15</f>
        <v>27659.16</v>
      </c>
      <c r="N16" s="312">
        <f t="shared" si="7"/>
        <v>725.04875747090273</v>
      </c>
      <c r="O16" s="312">
        <f t="shared" si="8"/>
        <v>743.9657862176557</v>
      </c>
      <c r="P16" s="312">
        <f t="shared" si="9"/>
        <v>39758.320000000364</v>
      </c>
      <c r="Q16" s="6">
        <f t="shared" si="10"/>
        <v>1042.212435776459</v>
      </c>
      <c r="R16" s="310">
        <f t="shared" si="11"/>
        <v>1069.4044865242984</v>
      </c>
      <c r="V16" s="380" t="s">
        <v>170</v>
      </c>
      <c r="W16" s="380" t="s">
        <v>171</v>
      </c>
    </row>
    <row r="17" spans="1:23" ht="15">
      <c r="A17" s="304">
        <f>+Report1!A18</f>
        <v>46001</v>
      </c>
      <c r="B17" s="311">
        <f>+Report1!P18</f>
        <v>38.79</v>
      </c>
      <c r="C17" s="311">
        <f>+Report1!R18</f>
        <v>37.624000000000002</v>
      </c>
      <c r="D17" s="312">
        <f t="shared" si="0"/>
        <v>47599.999999998545</v>
      </c>
      <c r="E17" s="312">
        <f>+[3]DailyDes!AH16</f>
        <v>4699.9999999989086</v>
      </c>
      <c r="F17" s="312">
        <f t="shared" si="1"/>
        <v>121.16524877542946</v>
      </c>
      <c r="G17" s="312">
        <f t="shared" si="2"/>
        <v>124.92026366146365</v>
      </c>
      <c r="H17" s="312">
        <f t="shared" si="3"/>
        <v>66582.8</v>
      </c>
      <c r="I17" s="312">
        <f>+[3]DailyDes!AI16</f>
        <v>6576.3</v>
      </c>
      <c r="J17" s="312">
        <f t="shared" si="4"/>
        <v>169.53596287703016</v>
      </c>
      <c r="K17" s="312">
        <f t="shared" si="5"/>
        <v>174.79002764193066</v>
      </c>
      <c r="L17" s="312">
        <f t="shared" si="6"/>
        <v>252182.8</v>
      </c>
      <c r="M17" s="312">
        <f>+[3]DailyDes!AJ16</f>
        <v>27736.3</v>
      </c>
      <c r="N17" s="312">
        <f t="shared" si="7"/>
        <v>715.03738076823925</v>
      </c>
      <c r="O17" s="312">
        <f t="shared" si="8"/>
        <v>737.19700191367201</v>
      </c>
      <c r="P17" s="312">
        <f t="shared" si="9"/>
        <v>39012.599999998907</v>
      </c>
      <c r="Q17" s="6">
        <f t="shared" si="10"/>
        <v>1005.7385924206989</v>
      </c>
      <c r="R17" s="310">
        <f t="shared" si="11"/>
        <v>1036.9072932170664</v>
      </c>
      <c r="V17" s="380" t="s">
        <v>170</v>
      </c>
      <c r="W17" s="380" t="s">
        <v>171</v>
      </c>
    </row>
    <row r="18" spans="1:23" ht="15">
      <c r="A18" s="304">
        <f>+Report1!A19</f>
        <v>46002</v>
      </c>
      <c r="B18" s="311">
        <f>+Report1!P19</f>
        <v>36.974000000000004</v>
      </c>
      <c r="C18" s="311">
        <f>+Report1!R19</f>
        <v>36.598999999999997</v>
      </c>
      <c r="D18" s="312">
        <f t="shared" si="0"/>
        <v>52299.999999999272</v>
      </c>
      <c r="E18" s="312">
        <f>+[3]DailyDes!AH17</f>
        <v>4700.0000000007276</v>
      </c>
      <c r="F18" s="312">
        <f t="shared" si="1"/>
        <v>127.11635203117669</v>
      </c>
      <c r="G18" s="312">
        <f t="shared" si="2"/>
        <v>128.41880925710342</v>
      </c>
      <c r="H18" s="312">
        <f t="shared" si="3"/>
        <v>72085.42</v>
      </c>
      <c r="I18" s="312">
        <f>+[3]DailyDes!AI17</f>
        <v>5502.62</v>
      </c>
      <c r="J18" s="312">
        <f t="shared" si="4"/>
        <v>148.82403851355005</v>
      </c>
      <c r="K18" s="312">
        <f t="shared" si="5"/>
        <v>150.34891663706659</v>
      </c>
      <c r="L18" s="312">
        <f t="shared" si="6"/>
        <v>276845.42</v>
      </c>
      <c r="M18" s="312">
        <f>+[3]DailyDes!AJ17</f>
        <v>24662.62</v>
      </c>
      <c r="N18" s="312">
        <f t="shared" si="7"/>
        <v>667.02601828311776</v>
      </c>
      <c r="O18" s="312">
        <f t="shared" si="8"/>
        <v>673.86048799147522</v>
      </c>
      <c r="P18" s="312">
        <f t="shared" si="9"/>
        <v>34865.240000000726</v>
      </c>
      <c r="Q18" s="6">
        <f t="shared" si="10"/>
        <v>942.96640882784448</v>
      </c>
      <c r="R18" s="310">
        <f t="shared" si="11"/>
        <v>952.62821388564521</v>
      </c>
      <c r="V18" s="380" t="s">
        <v>170</v>
      </c>
      <c r="W18" s="380" t="s">
        <v>171</v>
      </c>
    </row>
    <row r="19" spans="1:23" ht="15">
      <c r="A19" s="304">
        <f>+Report1!A20</f>
        <v>46003</v>
      </c>
      <c r="B19" s="311">
        <f>+Report1!P20</f>
        <v>42.488999999999997</v>
      </c>
      <c r="C19" s="311">
        <f>+Report1!R20</f>
        <v>41.506999999999998</v>
      </c>
      <c r="D19" s="312">
        <f t="shared" si="0"/>
        <v>56899.999999999636</v>
      </c>
      <c r="E19" s="312">
        <f>+[3]DailyDes!AH18</f>
        <v>4600.0000000003638</v>
      </c>
      <c r="F19" s="312">
        <f t="shared" si="1"/>
        <v>108.26331521100435</v>
      </c>
      <c r="G19" s="312">
        <f t="shared" si="2"/>
        <v>110.82468017443718</v>
      </c>
      <c r="H19" s="312">
        <f t="shared" si="3"/>
        <v>81174.66</v>
      </c>
      <c r="I19" s="312">
        <f>+[3]DailyDes!AI18</f>
        <v>9089.24</v>
      </c>
      <c r="J19" s="312">
        <f t="shared" si="4"/>
        <v>213.91983807573726</v>
      </c>
      <c r="K19" s="312">
        <f t="shared" si="5"/>
        <v>218.9808947888308</v>
      </c>
      <c r="L19" s="312">
        <f t="shared" si="6"/>
        <v>305094.65999999997</v>
      </c>
      <c r="M19" s="312">
        <f>+[3]DailyDes!AJ18</f>
        <v>28249.24</v>
      </c>
      <c r="N19" s="312">
        <f t="shared" si="7"/>
        <v>664.86008143284153</v>
      </c>
      <c r="O19" s="312">
        <f t="shared" si="8"/>
        <v>680.58978003710229</v>
      </c>
      <c r="P19" s="312">
        <f t="shared" si="9"/>
        <v>41938.480000000367</v>
      </c>
      <c r="Q19" s="6">
        <f t="shared" si="10"/>
        <v>987.04323471958321</v>
      </c>
      <c r="R19" s="310">
        <f t="shared" si="11"/>
        <v>1010.3953550003703</v>
      </c>
      <c r="V19" s="380" t="s">
        <v>170</v>
      </c>
      <c r="W19" s="380" t="s">
        <v>171</v>
      </c>
    </row>
    <row r="20" spans="1:23" ht="15">
      <c r="A20" s="304">
        <f>+Report1!A21</f>
        <v>46004</v>
      </c>
      <c r="B20" s="311">
        <f>+Report1!P21</f>
        <v>35.811999999999998</v>
      </c>
      <c r="C20" s="311">
        <f>+Report1!R21</f>
        <v>34.055999999999997</v>
      </c>
      <c r="D20" s="312">
        <f t="shared" si="0"/>
        <v>62099.999999998545</v>
      </c>
      <c r="E20" s="312">
        <f>+[3]DailyDes!AH19</f>
        <v>5199.9999999989086</v>
      </c>
      <c r="F20" s="312">
        <f t="shared" si="1"/>
        <v>145.20272534342982</v>
      </c>
      <c r="G20" s="312">
        <f t="shared" si="2"/>
        <v>152.68968757337646</v>
      </c>
      <c r="H20" s="312">
        <f t="shared" si="3"/>
        <v>88980.07</v>
      </c>
      <c r="I20" s="312">
        <f>+[3]DailyDes!AI19</f>
        <v>7805.41</v>
      </c>
      <c r="J20" s="312">
        <f t="shared" si="4"/>
        <v>217.9551546967497</v>
      </c>
      <c r="K20" s="312">
        <f t="shared" si="5"/>
        <v>229.19338736199202</v>
      </c>
      <c r="L20" s="312">
        <f t="shared" si="6"/>
        <v>333060.06999999995</v>
      </c>
      <c r="M20" s="312">
        <f>+[3]DailyDes!AJ19</f>
        <v>27965.41</v>
      </c>
      <c r="N20" s="312">
        <f t="shared" si="7"/>
        <v>780.89495141293423</v>
      </c>
      <c r="O20" s="312">
        <f t="shared" si="8"/>
        <v>821.15956072351423</v>
      </c>
      <c r="P20" s="312">
        <f t="shared" si="9"/>
        <v>40970.819999998908</v>
      </c>
      <c r="Q20" s="6">
        <f t="shared" si="10"/>
        <v>1144.0528314531139</v>
      </c>
      <c r="R20" s="310">
        <f t="shared" si="11"/>
        <v>1203.0426356588828</v>
      </c>
      <c r="V20" s="380" t="s">
        <v>170</v>
      </c>
      <c r="W20" s="380" t="s">
        <v>171</v>
      </c>
    </row>
    <row r="21" spans="1:23" ht="15">
      <c r="A21" s="304">
        <f>+Report1!A22</f>
        <v>46005</v>
      </c>
      <c r="B21" s="311">
        <f>+Report1!P22</f>
        <v>36.808999999999997</v>
      </c>
      <c r="C21" s="311">
        <f>+Report1!R22</f>
        <v>33.35</v>
      </c>
      <c r="D21" s="312">
        <f t="shared" si="0"/>
        <v>66699.999999998909</v>
      </c>
      <c r="E21" s="312">
        <f>+[3]DailyDes!AH20</f>
        <v>4600.0000000003638</v>
      </c>
      <c r="F21" s="312">
        <f t="shared" si="1"/>
        <v>124.96943682252612</v>
      </c>
      <c r="G21" s="312">
        <f t="shared" si="2"/>
        <v>137.93103448276952</v>
      </c>
      <c r="H21" s="312">
        <f t="shared" si="3"/>
        <v>95533.48000000001</v>
      </c>
      <c r="I21" s="312">
        <f>+[3]DailyDes!AI20</f>
        <v>6553.41</v>
      </c>
      <c r="J21" s="312">
        <f t="shared" si="4"/>
        <v>178.03825151457525</v>
      </c>
      <c r="K21" s="312">
        <f t="shared" si="5"/>
        <v>196.50404797601198</v>
      </c>
      <c r="L21" s="312">
        <f t="shared" si="6"/>
        <v>356773.47999999992</v>
      </c>
      <c r="M21" s="312">
        <f>+[3]DailyDes!AJ20</f>
        <v>23713.41</v>
      </c>
      <c r="N21" s="312">
        <f t="shared" si="7"/>
        <v>644.22858540030973</v>
      </c>
      <c r="O21" s="312">
        <f t="shared" si="8"/>
        <v>711.0467766116941</v>
      </c>
      <c r="P21" s="312">
        <f t="shared" si="9"/>
        <v>34866.820000000364</v>
      </c>
      <c r="Q21" s="6">
        <f t="shared" si="10"/>
        <v>947.23627373741112</v>
      </c>
      <c r="R21" s="310">
        <f t="shared" si="11"/>
        <v>1045.4818590704756</v>
      </c>
      <c r="V21" s="380" t="s">
        <v>170</v>
      </c>
      <c r="W21" s="380" t="s">
        <v>171</v>
      </c>
    </row>
    <row r="22" spans="1:23" ht="15">
      <c r="A22" s="304">
        <f>+Report1!A23</f>
        <v>46006</v>
      </c>
      <c r="B22" s="311">
        <f>+Report1!P23</f>
        <v>38.225999999999999</v>
      </c>
      <c r="C22" s="311">
        <f>+Report1!R23</f>
        <v>37.173000000000002</v>
      </c>
      <c r="D22" s="312">
        <f t="shared" si="0"/>
        <v>71199.999999998909</v>
      </c>
      <c r="E22" s="312">
        <f>+[3]DailyDes!AH21</f>
        <v>4500</v>
      </c>
      <c r="F22" s="312">
        <f t="shared" si="1"/>
        <v>117.72092293203579</v>
      </c>
      <c r="G22" s="312">
        <f t="shared" si="2"/>
        <v>121.05560487450569</v>
      </c>
      <c r="H22" s="312">
        <f t="shared" si="3"/>
        <v>103314.03000000001</v>
      </c>
      <c r="I22" s="312">
        <f>+[3]DailyDes!AI21</f>
        <v>7780.55</v>
      </c>
      <c r="J22" s="312">
        <f t="shared" si="4"/>
        <v>203.5407837597447</v>
      </c>
      <c r="K22" s="312">
        <f t="shared" si="5"/>
        <v>209.30648589029673</v>
      </c>
      <c r="L22" s="312">
        <f t="shared" si="6"/>
        <v>381714.02999999991</v>
      </c>
      <c r="M22" s="312">
        <f>+[3]DailyDes!AJ21</f>
        <v>24940.55</v>
      </c>
      <c r="N22" s="312">
        <f t="shared" si="7"/>
        <v>652.44990320724116</v>
      </c>
      <c r="O22" s="312">
        <f t="shared" si="8"/>
        <v>670.93185914507842</v>
      </c>
      <c r="P22" s="312">
        <f t="shared" si="9"/>
        <v>37221.1</v>
      </c>
      <c r="Q22" s="6">
        <f t="shared" si="10"/>
        <v>973.7116098990216</v>
      </c>
      <c r="R22" s="310">
        <f t="shared" si="11"/>
        <v>1001.2939499098808</v>
      </c>
      <c r="V22" s="380" t="s">
        <v>170</v>
      </c>
      <c r="W22" s="380" t="s">
        <v>171</v>
      </c>
    </row>
    <row r="23" spans="1:23" ht="15">
      <c r="A23" s="304">
        <f>+Report1!A24</f>
        <v>46007</v>
      </c>
      <c r="B23" s="311">
        <f>+Report1!P24</f>
        <v>34.789000000000001</v>
      </c>
      <c r="C23" s="311">
        <f>+Report1!R24</f>
        <v>30.58</v>
      </c>
      <c r="D23" s="312">
        <f t="shared" si="0"/>
        <v>76000</v>
      </c>
      <c r="E23" s="312">
        <f>+[3]DailyDes!AH22</f>
        <v>4800.0000000010914</v>
      </c>
      <c r="F23" s="312">
        <f t="shared" si="1"/>
        <v>137.97464715861597</v>
      </c>
      <c r="G23" s="312">
        <f t="shared" si="2"/>
        <v>156.96533682148763</v>
      </c>
      <c r="H23" s="312">
        <f t="shared" si="3"/>
        <v>110360.80000000002</v>
      </c>
      <c r="I23" s="312">
        <f>+[3]DailyDes!AI22</f>
        <v>7046.77</v>
      </c>
      <c r="J23" s="312">
        <f t="shared" si="4"/>
        <v>202.55741757452068</v>
      </c>
      <c r="K23" s="312">
        <f t="shared" si="5"/>
        <v>230.43721386527145</v>
      </c>
      <c r="L23" s="312">
        <f t="shared" si="6"/>
        <v>406920.79999999993</v>
      </c>
      <c r="M23" s="312">
        <f>+[3]DailyDes!AJ22</f>
        <v>25206.77</v>
      </c>
      <c r="N23" s="312">
        <f t="shared" si="7"/>
        <v>724.5614993244991</v>
      </c>
      <c r="O23" s="312">
        <f t="shared" si="8"/>
        <v>824.28940483976464</v>
      </c>
      <c r="P23" s="312">
        <f t="shared" si="9"/>
        <v>37053.540000001092</v>
      </c>
      <c r="Q23" s="6">
        <f t="shared" si="10"/>
        <v>1065.0935640576358</v>
      </c>
      <c r="R23" s="310">
        <f t="shared" si="11"/>
        <v>1211.6919555265238</v>
      </c>
      <c r="V23" s="380" t="s">
        <v>170</v>
      </c>
      <c r="W23" s="380" t="s">
        <v>171</v>
      </c>
    </row>
    <row r="24" spans="1:23" ht="15">
      <c r="A24" s="304">
        <f>+Report1!A25</f>
        <v>46008</v>
      </c>
      <c r="B24" s="311">
        <f>+Report1!P25</f>
        <v>36.963999999999999</v>
      </c>
      <c r="C24" s="311">
        <f>+Report1!R25</f>
        <v>34.347000000000001</v>
      </c>
      <c r="D24" s="312">
        <f t="shared" si="0"/>
        <v>80500</v>
      </c>
      <c r="E24" s="312">
        <f>+[3]DailyDes!AH23</f>
        <v>4500</v>
      </c>
      <c r="F24" s="312">
        <f t="shared" si="1"/>
        <v>121.7400714208419</v>
      </c>
      <c r="G24" s="312">
        <f t="shared" si="2"/>
        <v>131.01580924098175</v>
      </c>
      <c r="H24" s="312">
        <f t="shared" si="3"/>
        <v>118103.36000000002</v>
      </c>
      <c r="I24" s="312">
        <f>+[3]DailyDes!AI23</f>
        <v>7742.5599999999995</v>
      </c>
      <c r="J24" s="312">
        <f t="shared" si="4"/>
        <v>209.46217941781191</v>
      </c>
      <c r="K24" s="312">
        <f t="shared" si="5"/>
        <v>225.42172533263457</v>
      </c>
      <c r="L24" s="312">
        <f t="shared" si="6"/>
        <v>433823.35999999993</v>
      </c>
      <c r="M24" s="312">
        <f>+[3]DailyDes!AJ23</f>
        <v>26902.560000000001</v>
      </c>
      <c r="N24" s="312">
        <f t="shared" si="7"/>
        <v>727.80435017855211</v>
      </c>
      <c r="O24" s="312">
        <f t="shared" si="8"/>
        <v>783.25792645645913</v>
      </c>
      <c r="P24" s="312">
        <f t="shared" si="9"/>
        <v>39145.120000000003</v>
      </c>
      <c r="Q24" s="6">
        <f t="shared" si="10"/>
        <v>1059.0066010172061</v>
      </c>
      <c r="R24" s="310">
        <f t="shared" si="11"/>
        <v>1139.6954610300754</v>
      </c>
      <c r="V24" s="380" t="s">
        <v>170</v>
      </c>
      <c r="W24" s="380" t="s">
        <v>171</v>
      </c>
    </row>
    <row r="25" spans="1:23" ht="15">
      <c r="A25" s="304">
        <f>+Report1!A26</f>
        <v>46009</v>
      </c>
      <c r="B25" s="311">
        <f>+Report1!P26</f>
        <v>35.033999999999999</v>
      </c>
      <c r="C25" s="311">
        <f>+Report1!R26</f>
        <v>35.722000000000001</v>
      </c>
      <c r="D25" s="312">
        <f t="shared" si="0"/>
        <v>85399.999999999636</v>
      </c>
      <c r="E25" s="312">
        <f>+[3]DailyDes!AH24</f>
        <v>4899.9999999996362</v>
      </c>
      <c r="F25" s="312">
        <f t="shared" si="1"/>
        <v>139.8641319860603</v>
      </c>
      <c r="G25" s="312">
        <f t="shared" si="2"/>
        <v>137.17037119981066</v>
      </c>
      <c r="H25" s="312">
        <f t="shared" si="3"/>
        <v>125399.26000000001</v>
      </c>
      <c r="I25" s="312">
        <f>+[3]DailyDes!AI24</f>
        <v>7295.9</v>
      </c>
      <c r="J25" s="312">
        <f t="shared" si="4"/>
        <v>208.25198378717818</v>
      </c>
      <c r="K25" s="312">
        <f t="shared" si="5"/>
        <v>204.241083925872</v>
      </c>
      <c r="L25" s="312">
        <f t="shared" si="6"/>
        <v>460279.25999999995</v>
      </c>
      <c r="M25" s="312">
        <f>+[3]DailyDes!AJ24</f>
        <v>26455.9</v>
      </c>
      <c r="N25" s="312">
        <f t="shared" si="7"/>
        <v>755.14928355311986</v>
      </c>
      <c r="O25" s="312">
        <f t="shared" si="8"/>
        <v>740.60522927047759</v>
      </c>
      <c r="P25" s="312">
        <f t="shared" si="9"/>
        <v>38651.799999999639</v>
      </c>
      <c r="Q25" s="6">
        <f t="shared" si="10"/>
        <v>1103.2653993263584</v>
      </c>
      <c r="R25" s="310">
        <f t="shared" si="11"/>
        <v>1082.0166843961604</v>
      </c>
      <c r="V25" s="380" t="s">
        <v>170</v>
      </c>
      <c r="W25" s="380" t="s">
        <v>171</v>
      </c>
    </row>
    <row r="26" spans="1:23" ht="15">
      <c r="A26" s="304">
        <f>+Report1!A27</f>
        <v>46010</v>
      </c>
      <c r="B26" s="311">
        <f>+Report1!P27</f>
        <v>39.844999999999999</v>
      </c>
      <c r="C26" s="311">
        <f>+Report1!R27</f>
        <v>37.222000000000001</v>
      </c>
      <c r="D26" s="312">
        <f t="shared" si="0"/>
        <v>90199.999999998909</v>
      </c>
      <c r="E26" s="312">
        <f>+[3]DailyDes!AH25</f>
        <v>4799.9999999992724</v>
      </c>
      <c r="F26" s="312">
        <f t="shared" si="1"/>
        <v>120.46680888440889</v>
      </c>
      <c r="G26" s="312">
        <f t="shared" si="2"/>
        <v>128.95599376710743</v>
      </c>
      <c r="H26" s="312">
        <f t="shared" si="3"/>
        <v>132851.99000000002</v>
      </c>
      <c r="I26" s="312">
        <f>+[3]DailyDes!AI25</f>
        <v>7452.73</v>
      </c>
      <c r="J26" s="312">
        <f t="shared" si="4"/>
        <v>187.04304178692433</v>
      </c>
      <c r="K26" s="312">
        <f t="shared" si="5"/>
        <v>200.22379238085003</v>
      </c>
      <c r="L26" s="312">
        <f t="shared" si="6"/>
        <v>487891.98999999993</v>
      </c>
      <c r="M26" s="312">
        <f>+[3]DailyDes!AJ25</f>
        <v>27612.73</v>
      </c>
      <c r="N26" s="312">
        <f t="shared" si="7"/>
        <v>693.00363910151839</v>
      </c>
      <c r="O26" s="312">
        <f t="shared" si="8"/>
        <v>741.83896620278324</v>
      </c>
      <c r="P26" s="312">
        <f t="shared" si="9"/>
        <v>39865.459999999272</v>
      </c>
      <c r="Q26" s="6">
        <f t="shared" si="10"/>
        <v>1000.5134897728516</v>
      </c>
      <c r="R26" s="310">
        <f t="shared" si="11"/>
        <v>1071.0187523507407</v>
      </c>
      <c r="V26" s="380" t="s">
        <v>170</v>
      </c>
      <c r="W26" s="380" t="s">
        <v>171</v>
      </c>
    </row>
    <row r="27" spans="1:23" ht="15">
      <c r="A27" s="304">
        <f>+Report1!A28</f>
        <v>46011</v>
      </c>
      <c r="B27" s="311">
        <f>+Report1!P28</f>
        <v>40.629000000000005</v>
      </c>
      <c r="C27" s="311">
        <f>+Report1!R28</f>
        <v>39.682000000000002</v>
      </c>
      <c r="D27" s="312">
        <f t="shared" si="0"/>
        <v>95000</v>
      </c>
      <c r="E27" s="312">
        <f>+[3]DailyDes!AH26</f>
        <v>4800.0000000010914</v>
      </c>
      <c r="F27" s="312">
        <f t="shared" si="1"/>
        <v>118.14221368975586</v>
      </c>
      <c r="G27" s="312">
        <f t="shared" si="2"/>
        <v>120.96164507840057</v>
      </c>
      <c r="H27" s="312">
        <f t="shared" si="3"/>
        <v>139818.85</v>
      </c>
      <c r="I27" s="312">
        <f>+[3]DailyDes!AI26</f>
        <v>6966.86</v>
      </c>
      <c r="J27" s="312">
        <f t="shared" si="4"/>
        <v>171.47505476383861</v>
      </c>
      <c r="K27" s="312">
        <f t="shared" si="5"/>
        <v>175.5672597147321</v>
      </c>
      <c r="L27" s="312">
        <f t="shared" si="6"/>
        <v>514018.84999999992</v>
      </c>
      <c r="M27" s="312">
        <f>+[3]DailyDes!AJ26</f>
        <v>26126.86</v>
      </c>
      <c r="N27" s="312">
        <f t="shared" si="7"/>
        <v>643.05939107534016</v>
      </c>
      <c r="O27" s="312">
        <f t="shared" si="8"/>
        <v>658.40582631923792</v>
      </c>
      <c r="P27" s="312">
        <f t="shared" si="9"/>
        <v>37893.720000001093</v>
      </c>
      <c r="Q27" s="6">
        <f t="shared" si="10"/>
        <v>932.67665952893469</v>
      </c>
      <c r="R27" s="310">
        <f t="shared" si="11"/>
        <v>954.93473111237063</v>
      </c>
      <c r="V27" s="380" t="s">
        <v>170</v>
      </c>
      <c r="W27" s="380" t="s">
        <v>171</v>
      </c>
    </row>
    <row r="28" spans="1:23" ht="15">
      <c r="A28" s="304">
        <f>+Report1!A29</f>
        <v>46012</v>
      </c>
      <c r="B28" s="311">
        <f>+Report1!P29</f>
        <v>38.564</v>
      </c>
      <c r="C28" s="311">
        <f>+Report1!R29</f>
        <v>37.963999999999999</v>
      </c>
      <c r="D28" s="312">
        <f t="shared" si="0"/>
        <v>99899.999999999636</v>
      </c>
      <c r="E28" s="312">
        <f>+[3]DailyDes!AH27</f>
        <v>4899.9999999996362</v>
      </c>
      <c r="F28" s="312">
        <f t="shared" si="1"/>
        <v>127.06150814229946</v>
      </c>
      <c r="G28" s="312">
        <f t="shared" si="2"/>
        <v>129.06964492676315</v>
      </c>
      <c r="H28" s="312">
        <f t="shared" si="3"/>
        <v>146058.44</v>
      </c>
      <c r="I28" s="312">
        <f>+[3]DailyDes!AI27</f>
        <v>6239.59</v>
      </c>
      <c r="J28" s="312">
        <f t="shared" si="4"/>
        <v>161.79830930401411</v>
      </c>
      <c r="K28" s="312">
        <f t="shared" si="5"/>
        <v>164.35544199768202</v>
      </c>
      <c r="L28" s="312">
        <f t="shared" si="6"/>
        <v>541418.43999999994</v>
      </c>
      <c r="M28" s="312">
        <f>+[3]DailyDes!AJ27</f>
        <v>27399.59</v>
      </c>
      <c r="N28" s="312">
        <f t="shared" si="7"/>
        <v>710.49657711855616</v>
      </c>
      <c r="O28" s="312">
        <f t="shared" si="8"/>
        <v>721.72558213043942</v>
      </c>
      <c r="P28" s="312">
        <f t="shared" si="9"/>
        <v>38539.179999999636</v>
      </c>
      <c r="Q28" s="6">
        <f t="shared" si="10"/>
        <v>999.35639456486979</v>
      </c>
      <c r="R28" s="310">
        <f t="shared" si="11"/>
        <v>1015.1506690548846</v>
      </c>
      <c r="V28" s="380" t="s">
        <v>170</v>
      </c>
      <c r="W28" s="380" t="s">
        <v>171</v>
      </c>
    </row>
    <row r="29" spans="1:23" ht="15">
      <c r="A29" s="304">
        <f>+Report1!A30</f>
        <v>46013</v>
      </c>
      <c r="B29" s="311">
        <f>+Report1!P30</f>
        <v>42.471000000000004</v>
      </c>
      <c r="C29" s="311">
        <f>+Report1!R30</f>
        <v>40.158000000000001</v>
      </c>
      <c r="D29" s="312">
        <f t="shared" si="0"/>
        <v>104500</v>
      </c>
      <c r="E29" s="312">
        <f>+[3]DailyDes!AH28</f>
        <v>4600.0000000003638</v>
      </c>
      <c r="F29" s="312">
        <f t="shared" si="1"/>
        <v>108.30919921829869</v>
      </c>
      <c r="G29" s="312">
        <f t="shared" si="2"/>
        <v>114.54753722795866</v>
      </c>
      <c r="H29" s="312">
        <f t="shared" si="3"/>
        <v>151938.83000000002</v>
      </c>
      <c r="I29" s="312">
        <f>+[3]DailyDes!AI28</f>
        <v>5880.39</v>
      </c>
      <c r="J29" s="312">
        <f t="shared" si="4"/>
        <v>138.45659391113935</v>
      </c>
      <c r="K29" s="312">
        <f t="shared" si="5"/>
        <v>146.43134618257881</v>
      </c>
      <c r="L29" s="312">
        <f t="shared" si="6"/>
        <v>566458.82999999996</v>
      </c>
      <c r="M29" s="312">
        <f>+[3]DailyDes!AJ28</f>
        <v>25040.39</v>
      </c>
      <c r="N29" s="312">
        <f t="shared" si="7"/>
        <v>589.58795413340863</v>
      </c>
      <c r="O29" s="312">
        <f t="shared" si="8"/>
        <v>623.54674037551672</v>
      </c>
      <c r="P29" s="312">
        <f t="shared" si="9"/>
        <v>35520.780000000363</v>
      </c>
      <c r="Q29" s="6">
        <f t="shared" si="10"/>
        <v>836.35374726284658</v>
      </c>
      <c r="R29" s="310">
        <f t="shared" si="11"/>
        <v>884.5256237860541</v>
      </c>
      <c r="V29" s="380" t="s">
        <v>170</v>
      </c>
      <c r="W29" s="380" t="s">
        <v>171</v>
      </c>
    </row>
    <row r="30" spans="1:23" ht="15">
      <c r="A30" s="304">
        <f>+Report1!A31</f>
        <v>46014</v>
      </c>
      <c r="B30" s="311">
        <f>+Report1!P31</f>
        <v>42.808</v>
      </c>
      <c r="C30" s="311">
        <f>+Report1!R31</f>
        <v>41.517000000000003</v>
      </c>
      <c r="D30" s="312">
        <f t="shared" si="0"/>
        <v>109299.99999999927</v>
      </c>
      <c r="E30" s="312">
        <f>+[3]DailyDes!AH29</f>
        <v>4799.9999999992724</v>
      </c>
      <c r="F30" s="312">
        <f t="shared" si="1"/>
        <v>112.12857409828239</v>
      </c>
      <c r="G30" s="312">
        <f t="shared" si="2"/>
        <v>115.61529012210111</v>
      </c>
      <c r="H30" s="312">
        <f t="shared" si="3"/>
        <v>159630.03000000003</v>
      </c>
      <c r="I30" s="312">
        <f>+[3]DailyDes!AI29</f>
        <v>7691.2</v>
      </c>
      <c r="J30" s="312">
        <f t="shared" si="4"/>
        <v>179.66735189684169</v>
      </c>
      <c r="K30" s="312">
        <f t="shared" si="5"/>
        <v>185.25423320567478</v>
      </c>
      <c r="L30" s="312">
        <f t="shared" si="6"/>
        <v>592310.02999999991</v>
      </c>
      <c r="M30" s="312">
        <f>+[3]DailyDes!AJ29</f>
        <v>25851.200000000001</v>
      </c>
      <c r="N30" s="312">
        <f t="shared" si="7"/>
        <v>603.88712390207445</v>
      </c>
      <c r="O30" s="312">
        <f t="shared" si="8"/>
        <v>622.6654141676903</v>
      </c>
      <c r="P30" s="312">
        <f t="shared" si="9"/>
        <v>38342.399999999274</v>
      </c>
      <c r="Q30" s="6">
        <f t="shared" si="10"/>
        <v>895.68304989719854</v>
      </c>
      <c r="R30" s="310">
        <f t="shared" si="11"/>
        <v>923.53493749546624</v>
      </c>
      <c r="V30" s="380" t="s">
        <v>170</v>
      </c>
      <c r="W30" s="380" t="s">
        <v>171</v>
      </c>
    </row>
    <row r="31" spans="1:23" ht="15">
      <c r="A31" s="304">
        <f>+Report1!A32</f>
        <v>46015</v>
      </c>
      <c r="B31" s="311">
        <f>+Report1!P32</f>
        <v>41.698999999999998</v>
      </c>
      <c r="C31" s="311">
        <f>+Report1!R32</f>
        <v>40.146000000000001</v>
      </c>
      <c r="D31" s="312">
        <f t="shared" si="0"/>
        <v>114000</v>
      </c>
      <c r="E31" s="312">
        <f>+[3]DailyDes!AH30</f>
        <v>4700.0000000007276</v>
      </c>
      <c r="F31" s="312">
        <f t="shared" si="1"/>
        <v>112.71253507280097</v>
      </c>
      <c r="G31" s="312">
        <f t="shared" si="2"/>
        <v>117.07268470086005</v>
      </c>
      <c r="H31" s="312">
        <f t="shared" si="3"/>
        <v>166869.72000000003</v>
      </c>
      <c r="I31" s="312">
        <f>+[3]DailyDes!AI30</f>
        <v>7239.69</v>
      </c>
      <c r="J31" s="312">
        <f t="shared" si="4"/>
        <v>173.61783256193195</v>
      </c>
      <c r="K31" s="312">
        <f t="shared" si="5"/>
        <v>180.33403078762515</v>
      </c>
      <c r="L31" s="312">
        <f t="shared" si="6"/>
        <v>619709.71999999986</v>
      </c>
      <c r="M31" s="312">
        <f>+[3]DailyDes!AJ30</f>
        <v>27399.69</v>
      </c>
      <c r="N31" s="312">
        <f t="shared" si="7"/>
        <v>657.08266385285015</v>
      </c>
      <c r="O31" s="312">
        <f t="shared" si="8"/>
        <v>682.50112090868322</v>
      </c>
      <c r="P31" s="312">
        <f t="shared" si="9"/>
        <v>39339.380000000725</v>
      </c>
      <c r="Q31" s="6">
        <f t="shared" si="10"/>
        <v>943.41303148758311</v>
      </c>
      <c r="R31" s="310">
        <f t="shared" si="11"/>
        <v>979.90783639716847</v>
      </c>
      <c r="V31" s="380" t="s">
        <v>170</v>
      </c>
      <c r="W31" s="380" t="s">
        <v>171</v>
      </c>
    </row>
    <row r="32" spans="1:23" ht="15">
      <c r="A32" s="304">
        <f>+Report1!A33</f>
        <v>46016</v>
      </c>
      <c r="B32" s="311">
        <f>+Report1!P33</f>
        <v>41.521000000000001</v>
      </c>
      <c r="C32" s="311">
        <f>+Report1!R33</f>
        <v>40.588999999999999</v>
      </c>
      <c r="D32" s="312">
        <f t="shared" si="0"/>
        <v>118799.99999999927</v>
      </c>
      <c r="E32" s="312">
        <f>+[3]DailyDes!AH31</f>
        <v>4799.9999999992724</v>
      </c>
      <c r="F32" s="312">
        <f t="shared" si="1"/>
        <v>115.6041521157793</v>
      </c>
      <c r="G32" s="312">
        <f t="shared" si="2"/>
        <v>118.25864150383781</v>
      </c>
      <c r="H32" s="312">
        <f t="shared" si="3"/>
        <v>172627.65000000002</v>
      </c>
      <c r="I32" s="312">
        <f>+[3]DailyDes!AI31</f>
        <v>5757.93</v>
      </c>
      <c r="J32" s="312">
        <f t="shared" si="4"/>
        <v>138.67512824835626</v>
      </c>
      <c r="K32" s="312">
        <f t="shared" si="5"/>
        <v>141.85937076547833</v>
      </c>
      <c r="L32" s="312">
        <f t="shared" si="6"/>
        <v>647627.64999999991</v>
      </c>
      <c r="M32" s="312">
        <f>+[3]DailyDes!AJ31</f>
        <v>27917.93</v>
      </c>
      <c r="N32" s="312">
        <f t="shared" si="7"/>
        <v>672.3809638496183</v>
      </c>
      <c r="O32" s="312">
        <f t="shared" si="8"/>
        <v>687.82009904161225</v>
      </c>
      <c r="P32" s="312">
        <f t="shared" si="9"/>
        <v>38475.859999999273</v>
      </c>
      <c r="Q32" s="6">
        <f t="shared" si="10"/>
        <v>926.6602442137538</v>
      </c>
      <c r="R32" s="310">
        <f t="shared" si="11"/>
        <v>947.93811131092843</v>
      </c>
      <c r="V32" s="380" t="s">
        <v>170</v>
      </c>
      <c r="W32" s="380" t="s">
        <v>171</v>
      </c>
    </row>
    <row r="33" spans="1:23" ht="15">
      <c r="A33" s="304">
        <f>+Report1!A34</f>
        <v>46017</v>
      </c>
      <c r="B33" s="311">
        <f>+Report1!P34</f>
        <v>42.19</v>
      </c>
      <c r="C33" s="311">
        <f>+Report1!R34</f>
        <v>38.847999999999999</v>
      </c>
      <c r="D33" s="312">
        <f t="shared" si="0"/>
        <v>123500</v>
      </c>
      <c r="E33" s="312">
        <f>+[3]DailyDes!AH32</f>
        <v>4700.0000000007276</v>
      </c>
      <c r="F33" s="312">
        <f t="shared" si="1"/>
        <v>111.40080587818744</v>
      </c>
      <c r="G33" s="312">
        <f t="shared" si="2"/>
        <v>120.98434925866782</v>
      </c>
      <c r="H33" s="312">
        <f t="shared" si="3"/>
        <v>180449.33000000002</v>
      </c>
      <c r="I33" s="312">
        <f>+[3]DailyDes!AI32</f>
        <v>7821.68</v>
      </c>
      <c r="J33" s="312">
        <f t="shared" si="4"/>
        <v>185.39179900450344</v>
      </c>
      <c r="K33" s="312">
        <f t="shared" si="5"/>
        <v>201.34060955518947</v>
      </c>
      <c r="L33" s="312">
        <f t="shared" si="6"/>
        <v>675609.33</v>
      </c>
      <c r="M33" s="312">
        <f>+[3]DailyDes!AJ32</f>
        <v>27981.68</v>
      </c>
      <c r="N33" s="312">
        <f t="shared" si="7"/>
        <v>663.2301493244845</v>
      </c>
      <c r="O33" s="312">
        <f t="shared" si="8"/>
        <v>720.28624382207579</v>
      </c>
      <c r="P33" s="312">
        <f t="shared" si="9"/>
        <v>40503.360000000728</v>
      </c>
      <c r="Q33" s="6">
        <f t="shared" si="10"/>
        <v>960.02275420717535</v>
      </c>
      <c r="R33" s="310">
        <f t="shared" si="11"/>
        <v>1042.6112026359331</v>
      </c>
      <c r="V33" s="380" t="s">
        <v>170</v>
      </c>
      <c r="W33" s="380" t="s">
        <v>171</v>
      </c>
    </row>
    <row r="34" spans="1:23">
      <c r="A34" s="304">
        <f>+Report1!A35</f>
        <v>46018</v>
      </c>
      <c r="B34" s="311">
        <f>+Report1!P35</f>
        <v>40.792999999999999</v>
      </c>
      <c r="C34" s="311">
        <f>+Report1!R35</f>
        <v>42.837000000000003</v>
      </c>
      <c r="D34" s="312">
        <f t="shared" si="0"/>
        <v>128500</v>
      </c>
      <c r="E34" s="312">
        <f>+[3]DailyDes!AH33</f>
        <v>5000</v>
      </c>
      <c r="F34" s="306">
        <f t="shared" si="1"/>
        <v>122.57004878287941</v>
      </c>
      <c r="G34" s="306">
        <f t="shared" si="2"/>
        <v>116.72152578378504</v>
      </c>
      <c r="H34" s="312">
        <f t="shared" si="3"/>
        <v>187796.86000000002</v>
      </c>
      <c r="I34" s="312">
        <f>+[3]DailyDes!AI33</f>
        <v>7347.53</v>
      </c>
      <c r="J34" s="306">
        <f t="shared" si="4"/>
        <v>180.11742210673398</v>
      </c>
      <c r="K34" s="306">
        <f t="shared" si="5"/>
        <v>171.52298246842682</v>
      </c>
      <c r="L34" s="312">
        <f t="shared" si="6"/>
        <v>704116.86</v>
      </c>
      <c r="M34" s="312">
        <f>+[3]DailyDes!AJ33</f>
        <v>28507.53</v>
      </c>
      <c r="N34" s="306">
        <f t="shared" si="7"/>
        <v>698.83386855587969</v>
      </c>
      <c r="O34" s="306">
        <f t="shared" si="8"/>
        <v>665.48847958540512</v>
      </c>
      <c r="P34" s="312">
        <f t="shared" ref="P34:P40" si="12">+E34+I34+M34</f>
        <v>40855.06</v>
      </c>
      <c r="Q34" s="309">
        <f t="shared" si="10"/>
        <v>1001.521339445493</v>
      </c>
      <c r="R34" s="310">
        <f t="shared" si="11"/>
        <v>953.73298783761686</v>
      </c>
    </row>
    <row r="35" spans="1:23">
      <c r="A35" s="304">
        <f>+Report1!A36</f>
        <v>46019</v>
      </c>
      <c r="B35" s="311">
        <f>+Report1!P36</f>
        <v>42.265000000000001</v>
      </c>
      <c r="C35" s="311">
        <f>+Report1!R36</f>
        <v>39.213999999999999</v>
      </c>
      <c r="D35" s="312">
        <f t="shared" si="0"/>
        <v>133299.99999999927</v>
      </c>
      <c r="E35" s="312">
        <f>+[3]DailyDes!AH34</f>
        <v>4799.9999999992724</v>
      </c>
      <c r="F35" s="306">
        <f t="shared" si="1"/>
        <v>113.56914704836797</v>
      </c>
      <c r="G35" s="306">
        <f t="shared" si="2"/>
        <v>122.40526342630878</v>
      </c>
      <c r="H35" s="312">
        <f t="shared" si="3"/>
        <v>195551.69</v>
      </c>
      <c r="I35" s="312">
        <f>+[3]DailyDes!AI34</f>
        <v>7754.83</v>
      </c>
      <c r="J35" s="306">
        <f t="shared" si="4"/>
        <v>183.4811309594227</v>
      </c>
      <c r="K35" s="306">
        <f t="shared" si="5"/>
        <v>197.75666853674707</v>
      </c>
      <c r="L35" s="312">
        <f t="shared" si="6"/>
        <v>731031.69</v>
      </c>
      <c r="M35" s="312">
        <f>+[3]DailyDes!AJ34</f>
        <v>26914.83</v>
      </c>
      <c r="N35" s="306">
        <f t="shared" si="7"/>
        <v>636.81130959422694</v>
      </c>
      <c r="O35" s="306">
        <f t="shared" si="8"/>
        <v>686.35767838017046</v>
      </c>
      <c r="P35" s="312">
        <f>+E35+I35+M35</f>
        <v>39469.659999999276</v>
      </c>
      <c r="Q35" s="309">
        <f t="shared" si="10"/>
        <v>933.86158760201761</v>
      </c>
      <c r="R35" s="310">
        <f t="shared" si="11"/>
        <v>1006.5196103432263</v>
      </c>
    </row>
    <row r="36" spans="1:23">
      <c r="A36" s="304">
        <f>+Report1!A37</f>
        <v>46020</v>
      </c>
      <c r="B36" s="311">
        <f>+Report1!P37</f>
        <v>41.18</v>
      </c>
      <c r="C36" s="311">
        <f>+Report1!R37</f>
        <v>40.776000000000003</v>
      </c>
      <c r="D36" s="312">
        <f t="shared" si="0"/>
        <v>138199.99999999889</v>
      </c>
      <c r="E36" s="312">
        <f>+[3]DailyDes!AH35</f>
        <v>4899.9999999996362</v>
      </c>
      <c r="F36" s="306">
        <f t="shared" si="1"/>
        <v>118.98980087420195</v>
      </c>
      <c r="G36" s="306">
        <f t="shared" si="2"/>
        <v>120.16872670197263</v>
      </c>
      <c r="H36" s="312">
        <f t="shared" si="3"/>
        <v>202687.19</v>
      </c>
      <c r="I36" s="312">
        <f>+[3]DailyDes!AI35</f>
        <v>7135.5</v>
      </c>
      <c r="J36" s="306">
        <f t="shared" si="4"/>
        <v>173.27586206896552</v>
      </c>
      <c r="K36" s="306">
        <f t="shared" si="5"/>
        <v>174.99264273101824</v>
      </c>
      <c r="L36" s="312">
        <f t="shared" si="6"/>
        <v>758327.19</v>
      </c>
      <c r="M36" s="312">
        <f>+[3]DailyDes!AJ35</f>
        <v>27295.5</v>
      </c>
      <c r="N36" s="306">
        <f t="shared" si="7"/>
        <v>662.83389995143273</v>
      </c>
      <c r="O36" s="306">
        <f t="shared" si="8"/>
        <v>669.40111830488513</v>
      </c>
      <c r="P36" s="312">
        <f>+E36+I36+M36</f>
        <v>39330.999999999636</v>
      </c>
      <c r="Q36" s="309">
        <f t="shared" si="10"/>
        <v>955.09956289460024</v>
      </c>
      <c r="R36" s="310">
        <f t="shared" si="11"/>
        <v>964.56248773787604</v>
      </c>
    </row>
    <row r="37" spans="1:23">
      <c r="A37" s="304">
        <f>+Report1!A38</f>
        <v>46021</v>
      </c>
      <c r="B37" s="311">
        <f>+Report1!P38</f>
        <v>41.820999999999998</v>
      </c>
      <c r="C37" s="311">
        <f>+Report1!R38</f>
        <v>39.149000000000001</v>
      </c>
      <c r="D37" s="312">
        <f t="shared" si="0"/>
        <v>143000</v>
      </c>
      <c r="E37" s="312">
        <f>+[3]DailyDes!AH36</f>
        <v>4800.0000000010914</v>
      </c>
      <c r="F37" s="306">
        <f t="shared" si="1"/>
        <v>114.77487386722201</v>
      </c>
      <c r="G37" s="306">
        <f t="shared" si="2"/>
        <v>122.60849574704568</v>
      </c>
      <c r="H37" s="312">
        <f t="shared" si="3"/>
        <v>209701.69</v>
      </c>
      <c r="I37" s="312">
        <f>+[3]DailyDes!AI36</f>
        <v>7014.5</v>
      </c>
      <c r="J37" s="306">
        <f t="shared" si="4"/>
        <v>167.72674015446785</v>
      </c>
      <c r="K37" s="306">
        <f t="shared" si="5"/>
        <v>179.17443612863676</v>
      </c>
      <c r="L37" s="312">
        <f t="shared" si="6"/>
        <v>784501.69</v>
      </c>
      <c r="M37" s="312">
        <f>+[3]DailyDes!AJ36</f>
        <v>26174.5</v>
      </c>
      <c r="N37" s="306">
        <f t="shared" si="7"/>
        <v>625.86977834102493</v>
      </c>
      <c r="O37" s="306">
        <f t="shared" si="8"/>
        <v>668.58668165214942</v>
      </c>
      <c r="P37" s="312">
        <f t="shared" si="12"/>
        <v>37989.000000001091</v>
      </c>
      <c r="Q37" s="309">
        <f t="shared" si="10"/>
        <v>908.37139236271469</v>
      </c>
      <c r="R37" s="310">
        <f t="shared" si="11"/>
        <v>970.36961352783192</v>
      </c>
    </row>
    <row r="38" spans="1:23">
      <c r="A38" s="304">
        <f>+Report1!A39</f>
        <v>46022</v>
      </c>
      <c r="B38" s="311">
        <f>+Report1!P39</f>
        <v>41.462000000000003</v>
      </c>
      <c r="C38" s="311">
        <f>+Report1!R39</f>
        <v>40.225999999999999</v>
      </c>
      <c r="D38" s="312">
        <f t="shared" si="0"/>
        <v>147699.99999999889</v>
      </c>
      <c r="E38" s="312">
        <f>+[3]DailyDes!AH37</f>
        <v>4699.9999999989086</v>
      </c>
      <c r="F38" s="306">
        <f t="shared" si="1"/>
        <v>113.35680864403329</v>
      </c>
      <c r="G38" s="306">
        <f t="shared" si="2"/>
        <v>116.83985482023837</v>
      </c>
      <c r="H38" s="312">
        <f t="shared" si="3"/>
        <v>216901.05</v>
      </c>
      <c r="I38" s="312">
        <f>+[3]DailyDes!AI37</f>
        <v>7199.36</v>
      </c>
      <c r="J38" s="306">
        <f t="shared" si="4"/>
        <v>173.63754763397807</v>
      </c>
      <c r="K38" s="306">
        <f t="shared" si="5"/>
        <v>178.97280365932482</v>
      </c>
      <c r="L38" s="312">
        <f t="shared" si="6"/>
        <v>811861.04999999993</v>
      </c>
      <c r="M38" s="312">
        <f>+[3]DailyDes!AJ37</f>
        <v>27359.360000000001</v>
      </c>
      <c r="N38" s="307">
        <f t="shared" si="7"/>
        <v>659.86590130722107</v>
      </c>
      <c r="O38" s="307">
        <f t="shared" si="8"/>
        <v>680.1412022075275</v>
      </c>
      <c r="P38" s="312">
        <f t="shared" si="12"/>
        <v>39258.71999999891</v>
      </c>
      <c r="Q38" s="309">
        <f t="shared" si="10"/>
        <v>946.86025758523238</v>
      </c>
      <c r="R38" s="310">
        <f t="shared" si="11"/>
        <v>975.9538606870907</v>
      </c>
    </row>
    <row r="39" spans="1:23">
      <c r="A39" s="304"/>
      <c r="B39" s="311"/>
      <c r="C39" s="311"/>
      <c r="D39" s="300"/>
      <c r="E39" s="312"/>
      <c r="F39" s="306"/>
      <c r="G39" s="306"/>
      <c r="H39" s="302"/>
      <c r="I39" s="312"/>
      <c r="J39" s="306"/>
      <c r="K39" s="306"/>
      <c r="L39" s="303"/>
      <c r="M39" s="312"/>
      <c r="N39" s="307"/>
      <c r="O39" s="307"/>
      <c r="P39" s="308"/>
      <c r="Q39" s="309"/>
      <c r="R39" s="310"/>
    </row>
    <row r="40" spans="1:23">
      <c r="A40" s="313" t="s">
        <v>28</v>
      </c>
      <c r="B40" s="314">
        <f>SUM(B8:B38)</f>
        <v>1233.3839999999998</v>
      </c>
      <c r="C40" s="314">
        <f>SUM(C8:C38)</f>
        <v>1188.8969999999999</v>
      </c>
      <c r="D40" s="316"/>
      <c r="E40" s="312">
        <f>SUM(E8:E39)</f>
        <v>147699.99999999889</v>
      </c>
      <c r="F40" s="315">
        <f>E40/B40</f>
        <v>119.75183722182136</v>
      </c>
      <c r="G40" s="315">
        <f>E40/C40</f>
        <v>124.23279729026055</v>
      </c>
      <c r="H40" s="317"/>
      <c r="I40" s="312">
        <f>SUM(I8:I39)</f>
        <v>216901.05</v>
      </c>
      <c r="J40" s="315">
        <f>I40/B40</f>
        <v>175.85849175925748</v>
      </c>
      <c r="K40" s="315">
        <f>I40/C40</f>
        <v>182.43889083747374</v>
      </c>
      <c r="L40" s="318"/>
      <c r="M40" s="312">
        <f>SUM(M8:M39)</f>
        <v>811861.04999999993</v>
      </c>
      <c r="N40" s="315">
        <f>M40/B40</f>
        <v>658.23867505983549</v>
      </c>
      <c r="O40" s="315">
        <f>M40/C40</f>
        <v>682.86912154711467</v>
      </c>
      <c r="P40" s="312">
        <f t="shared" si="12"/>
        <v>1176462.0999999987</v>
      </c>
      <c r="Q40" s="379">
        <f>P40/B40</f>
        <v>953.84900404091422</v>
      </c>
      <c r="R40" s="317">
        <f>P40/C40</f>
        <v>989.54080967484879</v>
      </c>
    </row>
    <row r="42" spans="1:23">
      <c r="P42" s="4">
        <v>-1320860.8400000001</v>
      </c>
    </row>
    <row r="43" spans="1:23">
      <c r="D43" s="320"/>
    </row>
    <row r="44" spans="1:23">
      <c r="E44" s="319"/>
      <c r="H44" s="319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topLeftCell="A56" workbookViewId="0">
      <selection activeCell="D84" sqref="D84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16" t="s">
        <v>186</v>
      </c>
      <c r="B1" s="325">
        <f>+Report1!A9</f>
        <v>45992</v>
      </c>
      <c r="C1" s="91"/>
      <c r="G1" s="92"/>
      <c r="H1" s="93"/>
    </row>
    <row r="2" spans="1:9" ht="13.5" thickBot="1">
      <c r="A2" s="90"/>
      <c r="B2" s="91"/>
      <c r="C2" s="91"/>
      <c r="G2" s="92"/>
      <c r="H2" s="93"/>
    </row>
    <row r="3" spans="1:9" ht="26.25" thickBot="1">
      <c r="A3" s="378" t="s">
        <v>120</v>
      </c>
      <c r="B3" s="364" t="s">
        <v>9</v>
      </c>
      <c r="C3" s="364" t="s">
        <v>93</v>
      </c>
      <c r="D3" s="364" t="s">
        <v>121</v>
      </c>
      <c r="E3" s="364" t="s">
        <v>122</v>
      </c>
      <c r="F3" s="364" t="s">
        <v>123</v>
      </c>
      <c r="G3" s="365" t="s">
        <v>124</v>
      </c>
      <c r="H3" s="366" t="s">
        <v>125</v>
      </c>
      <c r="I3" s="562" t="s">
        <v>392</v>
      </c>
    </row>
    <row r="4" spans="1:9">
      <c r="A4" s="329">
        <f>+B1</f>
        <v>45992</v>
      </c>
      <c r="B4" s="381" t="s">
        <v>403</v>
      </c>
      <c r="C4" s="330">
        <v>2</v>
      </c>
      <c r="D4" s="363" t="s">
        <v>415</v>
      </c>
      <c r="E4" s="330">
        <f>120+140</f>
        <v>260</v>
      </c>
      <c r="F4" s="363">
        <f>68/2</f>
        <v>34</v>
      </c>
      <c r="G4" s="330">
        <f>+E4*F4</f>
        <v>8840</v>
      </c>
      <c r="H4" s="383">
        <f>+SUM(G4/F4)</f>
        <v>260</v>
      </c>
      <c r="I4" s="563">
        <f>+'1'!I38</f>
        <v>24.750999999999998</v>
      </c>
    </row>
    <row r="5" spans="1:9" ht="13.5" thickBot="1">
      <c r="A5" s="367"/>
      <c r="B5" s="382"/>
      <c r="C5" s="368"/>
      <c r="D5" s="369"/>
      <c r="E5" s="368"/>
      <c r="F5" s="368"/>
      <c r="G5" s="368"/>
      <c r="H5" s="384"/>
      <c r="I5" s="384"/>
    </row>
    <row r="6" spans="1:9">
      <c r="A6" s="329">
        <v>45993</v>
      </c>
      <c r="B6" s="381" t="s">
        <v>403</v>
      </c>
      <c r="C6" s="330">
        <v>2</v>
      </c>
      <c r="D6" s="363" t="s">
        <v>415</v>
      </c>
      <c r="E6" s="330">
        <f>120+140</f>
        <v>260</v>
      </c>
      <c r="F6" s="363">
        <v>16</v>
      </c>
      <c r="G6" s="330">
        <f>+E6*F6</f>
        <v>4160</v>
      </c>
      <c r="H6" s="383">
        <f>+SUM(G6/F6)</f>
        <v>260</v>
      </c>
      <c r="I6" s="563">
        <f>+'2'!I38</f>
        <v>44.296999999999997</v>
      </c>
    </row>
    <row r="7" spans="1:9">
      <c r="A7" s="565"/>
      <c r="B7" s="566" t="s">
        <v>420</v>
      </c>
      <c r="C7" s="567">
        <v>2</v>
      </c>
      <c r="D7" s="569" t="s">
        <v>429</v>
      </c>
      <c r="E7" s="567">
        <f>128*2</f>
        <v>256</v>
      </c>
      <c r="F7" s="568">
        <f>96/2</f>
        <v>48</v>
      </c>
      <c r="G7" s="567">
        <f>+E7*F7</f>
        <v>12288</v>
      </c>
      <c r="H7" s="563">
        <f>+SUM(G7/F7)</f>
        <v>256</v>
      </c>
      <c r="I7" s="563"/>
    </row>
    <row r="8" spans="1:9" ht="13.5" thickBot="1">
      <c r="A8" s="367"/>
      <c r="B8" s="382"/>
      <c r="C8" s="368"/>
      <c r="D8" s="369"/>
      <c r="E8" s="368"/>
      <c r="F8" s="368"/>
      <c r="G8" s="368"/>
      <c r="H8" s="384"/>
      <c r="I8" s="384"/>
    </row>
    <row r="9" spans="1:9">
      <c r="A9" s="565">
        <v>45994</v>
      </c>
      <c r="B9" s="566" t="s">
        <v>420</v>
      </c>
      <c r="C9" s="567">
        <v>2</v>
      </c>
      <c r="D9" s="569" t="s">
        <v>429</v>
      </c>
      <c r="E9" s="567">
        <f>128*2</f>
        <v>256</v>
      </c>
      <c r="F9" s="568">
        <f>126/2</f>
        <v>63</v>
      </c>
      <c r="G9" s="567">
        <f>+E9*F9</f>
        <v>16128</v>
      </c>
      <c r="H9" s="563">
        <f>+SUM(G9/F9)</f>
        <v>256</v>
      </c>
      <c r="I9" s="563">
        <f>+'3'!I38</f>
        <v>43.881</v>
      </c>
    </row>
    <row r="10" spans="1:9" ht="13.5" thickBot="1">
      <c r="A10" s="367"/>
      <c r="B10" s="382"/>
      <c r="C10" s="368"/>
      <c r="D10" s="369"/>
      <c r="E10" s="368"/>
      <c r="F10" s="368"/>
      <c r="G10" s="368"/>
      <c r="H10" s="384"/>
      <c r="I10" s="384"/>
    </row>
    <row r="11" spans="1:9">
      <c r="A11" s="329">
        <v>45995</v>
      </c>
      <c r="B11" s="566" t="s">
        <v>420</v>
      </c>
      <c r="C11" s="567">
        <v>2</v>
      </c>
      <c r="D11" s="569" t="s">
        <v>429</v>
      </c>
      <c r="E11" s="567">
        <f>128*2</f>
        <v>256</v>
      </c>
      <c r="F11" s="568">
        <f>66/2</f>
        <v>33</v>
      </c>
      <c r="G11" s="567">
        <f>+E11*F11</f>
        <v>8448</v>
      </c>
      <c r="H11" s="563">
        <f>+SUM(G11/F11)</f>
        <v>256</v>
      </c>
      <c r="I11" s="563">
        <f>+'4'!I38</f>
        <v>44.146999999999998</v>
      </c>
    </row>
    <row r="12" spans="1:9">
      <c r="A12" s="565"/>
      <c r="B12" s="566" t="s">
        <v>403</v>
      </c>
      <c r="C12" s="567">
        <v>2</v>
      </c>
      <c r="D12" s="569" t="s">
        <v>415</v>
      </c>
      <c r="E12" s="567">
        <f>120+140</f>
        <v>260</v>
      </c>
      <c r="F12" s="568">
        <f>15+9</f>
        <v>24</v>
      </c>
      <c r="G12" s="567">
        <f>+E12*F12</f>
        <v>6240</v>
      </c>
      <c r="H12" s="563">
        <f>+SUM(G12/F12)</f>
        <v>260</v>
      </c>
      <c r="I12" s="563"/>
    </row>
    <row r="13" spans="1:9" ht="13.5" thickBot="1">
      <c r="A13" s="367"/>
      <c r="B13" s="382"/>
      <c r="C13" s="368"/>
      <c r="D13" s="369"/>
      <c r="E13" s="368"/>
      <c r="F13" s="368"/>
      <c r="G13" s="368"/>
      <c r="H13" s="384"/>
      <c r="I13" s="384"/>
    </row>
    <row r="14" spans="1:9">
      <c r="A14" s="573">
        <v>45996</v>
      </c>
      <c r="B14" s="566" t="s">
        <v>403</v>
      </c>
      <c r="C14" s="567">
        <v>2</v>
      </c>
      <c r="D14" s="569" t="s">
        <v>415</v>
      </c>
      <c r="E14" s="567">
        <f>120+140</f>
        <v>260</v>
      </c>
      <c r="F14" s="568">
        <f>106/2</f>
        <v>53</v>
      </c>
      <c r="G14" s="567">
        <f>+E14*F14</f>
        <v>13780</v>
      </c>
      <c r="H14" s="574">
        <f>+SUM(G14:G15)/SUM(F14:F15)</f>
        <v>259.16417910447763</v>
      </c>
      <c r="I14" s="563">
        <f>+'5'!I38</f>
        <v>42.655000000000001</v>
      </c>
    </row>
    <row r="15" spans="1:9">
      <c r="A15" s="575"/>
      <c r="B15" s="566" t="s">
        <v>403</v>
      </c>
      <c r="C15" s="567">
        <v>2</v>
      </c>
      <c r="D15" s="568" t="s">
        <v>445</v>
      </c>
      <c r="E15" s="568">
        <f>126+130</f>
        <v>256</v>
      </c>
      <c r="F15" s="568">
        <v>14</v>
      </c>
      <c r="G15" s="567">
        <f>+E15*F15</f>
        <v>3584</v>
      </c>
      <c r="H15" s="574"/>
      <c r="I15" s="563"/>
    </row>
    <row r="16" spans="1:9" ht="13.5" thickBot="1">
      <c r="A16" s="367"/>
      <c r="B16" s="382"/>
      <c r="C16" s="368"/>
      <c r="D16" s="369"/>
      <c r="E16" s="368"/>
      <c r="F16" s="368"/>
      <c r="G16" s="368"/>
      <c r="H16" s="384"/>
      <c r="I16" s="384"/>
    </row>
    <row r="17" spans="1:9">
      <c r="A17" s="573">
        <v>45997</v>
      </c>
      <c r="B17" s="566" t="s">
        <v>403</v>
      </c>
      <c r="C17" s="567">
        <v>2</v>
      </c>
      <c r="D17" s="569" t="s">
        <v>415</v>
      </c>
      <c r="E17" s="567">
        <f>120+140</f>
        <v>260</v>
      </c>
      <c r="F17" s="568">
        <f>19+8</f>
        <v>27</v>
      </c>
      <c r="G17" s="567">
        <f>+E17*F17</f>
        <v>7020</v>
      </c>
      <c r="H17" s="574">
        <f>+SUM(G17:G18)/SUM(F17:F18)</f>
        <v>257.89473684210526</v>
      </c>
      <c r="I17" s="563">
        <f>+'6'!I38</f>
        <v>41.825000000000003</v>
      </c>
    </row>
    <row r="18" spans="1:9">
      <c r="A18" s="575"/>
      <c r="B18" s="566" t="s">
        <v>403</v>
      </c>
      <c r="C18" s="567">
        <v>2</v>
      </c>
      <c r="D18" s="568" t="s">
        <v>445</v>
      </c>
      <c r="E18" s="568">
        <f>126+130</f>
        <v>256</v>
      </c>
      <c r="F18" s="568">
        <v>30</v>
      </c>
      <c r="G18" s="567">
        <f>+E18*F18</f>
        <v>7680</v>
      </c>
      <c r="H18" s="574"/>
      <c r="I18" s="563"/>
    </row>
    <row r="19" spans="1:9" ht="13.5" thickBot="1">
      <c r="A19" s="367"/>
      <c r="B19" s="382"/>
      <c r="C19" s="368"/>
      <c r="D19" s="369"/>
      <c r="E19" s="368"/>
      <c r="F19" s="368"/>
      <c r="G19" s="368"/>
      <c r="H19" s="384"/>
      <c r="I19" s="384"/>
    </row>
    <row r="20" spans="1:9">
      <c r="A20" s="329">
        <v>45998</v>
      </c>
      <c r="B20" s="381" t="s">
        <v>403</v>
      </c>
      <c r="C20" s="330">
        <v>2</v>
      </c>
      <c r="D20" s="363" t="s">
        <v>415</v>
      </c>
      <c r="E20" s="330">
        <f>120+140</f>
        <v>260</v>
      </c>
      <c r="F20" s="363">
        <f>120/2</f>
        <v>60</v>
      </c>
      <c r="G20" s="330">
        <f>+E20*F20</f>
        <v>15600</v>
      </c>
      <c r="H20" s="383">
        <f>+SUM(G20/F20)</f>
        <v>260</v>
      </c>
      <c r="I20" s="563">
        <f>+'7'!I38</f>
        <v>41.730000000000004</v>
      </c>
    </row>
    <row r="21" spans="1:9" ht="13.5" thickBot="1">
      <c r="A21" s="367"/>
      <c r="B21" s="382"/>
      <c r="C21" s="368"/>
      <c r="D21" s="369"/>
      <c r="E21" s="368"/>
      <c r="F21" s="368"/>
      <c r="G21" s="368"/>
      <c r="H21" s="384"/>
      <c r="I21" s="384"/>
    </row>
    <row r="22" spans="1:9">
      <c r="A22" s="329">
        <v>45999</v>
      </c>
      <c r="B22" s="381" t="s">
        <v>403</v>
      </c>
      <c r="C22" s="330">
        <v>2</v>
      </c>
      <c r="D22" s="363" t="s">
        <v>415</v>
      </c>
      <c r="E22" s="363">
        <f>120+140</f>
        <v>260</v>
      </c>
      <c r="F22" s="363">
        <v>6</v>
      </c>
      <c r="G22" s="330">
        <f>+E22*F22</f>
        <v>1560</v>
      </c>
      <c r="H22" s="383">
        <f>+SUM(G22:G23)/SUM(F22:F23)</f>
        <v>261.5</v>
      </c>
      <c r="I22" s="563">
        <f>+'8'!I38</f>
        <v>38.814999999999998</v>
      </c>
    </row>
    <row r="23" spans="1:9">
      <c r="A23" s="565"/>
      <c r="B23" s="566" t="s">
        <v>403</v>
      </c>
      <c r="C23" s="578">
        <v>2</v>
      </c>
      <c r="D23" s="569" t="s">
        <v>466</v>
      </c>
      <c r="E23" s="569">
        <f>133*2</f>
        <v>266</v>
      </c>
      <c r="F23" s="568">
        <v>2</v>
      </c>
      <c r="G23" s="567">
        <f>+E23*F23</f>
        <v>532</v>
      </c>
      <c r="H23" s="563"/>
      <c r="I23" s="563"/>
    </row>
    <row r="24" spans="1:9">
      <c r="A24" s="565"/>
      <c r="B24" s="566" t="s">
        <v>456</v>
      </c>
      <c r="C24" s="578">
        <v>2</v>
      </c>
      <c r="D24" s="569" t="s">
        <v>467</v>
      </c>
      <c r="E24" s="569">
        <f>257*1</f>
        <v>257</v>
      </c>
      <c r="F24" s="568">
        <f>5+17+9</f>
        <v>31</v>
      </c>
      <c r="G24" s="567">
        <f>+E24*F24</f>
        <v>7967</v>
      </c>
      <c r="H24" s="563">
        <f>+SUM(G24/F24)</f>
        <v>257</v>
      </c>
      <c r="I24" s="563"/>
    </row>
    <row r="25" spans="1:9">
      <c r="A25" s="565"/>
      <c r="B25" s="566" t="s">
        <v>457</v>
      </c>
      <c r="C25" s="578">
        <v>2</v>
      </c>
      <c r="D25" s="569" t="s">
        <v>468</v>
      </c>
      <c r="E25" s="569">
        <f>129*2</f>
        <v>258</v>
      </c>
      <c r="F25" s="568">
        <v>8</v>
      </c>
      <c r="G25" s="567">
        <f>+E25*F25</f>
        <v>2064</v>
      </c>
      <c r="H25" s="563">
        <f>+SUM(G25/F25)</f>
        <v>258</v>
      </c>
      <c r="I25" s="563"/>
    </row>
    <row r="26" spans="1:9" ht="13.5" thickBot="1">
      <c r="A26" s="367"/>
      <c r="B26" s="382"/>
      <c r="C26" s="368"/>
      <c r="D26" s="369"/>
      <c r="E26" s="368"/>
      <c r="F26" s="368"/>
      <c r="G26" s="368"/>
      <c r="H26" s="384"/>
      <c r="I26" s="384"/>
    </row>
    <row r="27" spans="1:9">
      <c r="A27" s="565">
        <v>46000</v>
      </c>
      <c r="B27" s="566" t="s">
        <v>457</v>
      </c>
      <c r="C27" s="578">
        <v>2</v>
      </c>
      <c r="D27" s="569" t="s">
        <v>468</v>
      </c>
      <c r="E27" s="569">
        <f>129*2</f>
        <v>258</v>
      </c>
      <c r="F27" s="568">
        <f>126/2</f>
        <v>63</v>
      </c>
      <c r="G27" s="567">
        <f>+E27*F27</f>
        <v>16254</v>
      </c>
      <c r="H27" s="563">
        <f>+SUM(G27/F27)</f>
        <v>258</v>
      </c>
      <c r="I27" s="563">
        <f>+'9'!I38</f>
        <v>38.148000000000003</v>
      </c>
    </row>
    <row r="28" spans="1:9" ht="13.5" thickBot="1">
      <c r="A28" s="367"/>
      <c r="B28" s="382"/>
      <c r="C28" s="368"/>
      <c r="D28" s="369"/>
      <c r="E28" s="368"/>
      <c r="F28" s="368"/>
      <c r="G28" s="368"/>
      <c r="H28" s="384"/>
      <c r="I28" s="384"/>
    </row>
    <row r="29" spans="1:9">
      <c r="A29" s="565">
        <v>46001</v>
      </c>
      <c r="B29" s="566" t="s">
        <v>457</v>
      </c>
      <c r="C29" s="578">
        <v>2</v>
      </c>
      <c r="D29" s="569" t="s">
        <v>468</v>
      </c>
      <c r="E29" s="569">
        <f>129*2</f>
        <v>258</v>
      </c>
      <c r="F29" s="568">
        <f>128/2</f>
        <v>64</v>
      </c>
      <c r="G29" s="567">
        <f>+E29*F29</f>
        <v>16512</v>
      </c>
      <c r="H29" s="563">
        <f>+SUM(G29/F29)</f>
        <v>258</v>
      </c>
      <c r="I29" s="563">
        <f>+'10'!I38</f>
        <v>38.79</v>
      </c>
    </row>
    <row r="30" spans="1:9" ht="13.5" thickBot="1">
      <c r="A30" s="367"/>
      <c r="B30" s="382"/>
      <c r="C30" s="368"/>
      <c r="D30" s="369"/>
      <c r="E30" s="368"/>
      <c r="F30" s="368"/>
      <c r="G30" s="368"/>
      <c r="H30" s="384"/>
      <c r="I30" s="384"/>
    </row>
    <row r="31" spans="1:9">
      <c r="A31" s="565">
        <v>46002</v>
      </c>
      <c r="B31" s="566" t="s">
        <v>457</v>
      </c>
      <c r="C31" s="578">
        <v>2</v>
      </c>
      <c r="D31" s="569" t="s">
        <v>468</v>
      </c>
      <c r="E31" s="569">
        <f>129*2</f>
        <v>258</v>
      </c>
      <c r="F31" s="568">
        <f>124/2</f>
        <v>62</v>
      </c>
      <c r="G31" s="567">
        <f>+E31*F31</f>
        <v>15996</v>
      </c>
      <c r="H31" s="563">
        <f>+SUM(G31/F31)</f>
        <v>258</v>
      </c>
      <c r="I31" s="563">
        <f>+'11'!I38</f>
        <v>36.974000000000004</v>
      </c>
    </row>
    <row r="32" spans="1:9">
      <c r="A32" s="565"/>
      <c r="B32" s="566" t="s">
        <v>493</v>
      </c>
      <c r="C32" s="578">
        <v>2</v>
      </c>
      <c r="D32" s="569" t="s">
        <v>508</v>
      </c>
      <c r="E32" s="569">
        <f>126*2+16</f>
        <v>268</v>
      </c>
      <c r="F32" s="568">
        <v>0</v>
      </c>
      <c r="G32" s="567">
        <f>+E32*F32</f>
        <v>0</v>
      </c>
      <c r="H32" s="563">
        <f>+E32</f>
        <v>268</v>
      </c>
      <c r="I32" s="563"/>
    </row>
    <row r="33" spans="1:9" ht="13.5" thickBot="1">
      <c r="A33" s="367"/>
      <c r="B33" s="382"/>
      <c r="C33" s="368"/>
      <c r="D33" s="369"/>
      <c r="E33" s="368"/>
      <c r="F33" s="368"/>
      <c r="G33" s="368"/>
      <c r="H33" s="384"/>
      <c r="I33" s="384"/>
    </row>
    <row r="34" spans="1:9">
      <c r="A34" s="565">
        <v>46003</v>
      </c>
      <c r="B34" s="566" t="s">
        <v>493</v>
      </c>
      <c r="C34" s="578">
        <v>2</v>
      </c>
      <c r="D34" s="569" t="s">
        <v>508</v>
      </c>
      <c r="E34" s="569">
        <f>126*2+16</f>
        <v>268</v>
      </c>
      <c r="F34" s="568">
        <f>123/3</f>
        <v>41</v>
      </c>
      <c r="G34" s="567">
        <f>+E34*F34</f>
        <v>10988</v>
      </c>
      <c r="H34" s="563">
        <f>+SUM(G34/F34)</f>
        <v>268</v>
      </c>
      <c r="I34" s="563">
        <f>+'12'!I38</f>
        <v>42.488999999999997</v>
      </c>
    </row>
    <row r="35" spans="1:9">
      <c r="A35" s="565"/>
      <c r="B35" s="566" t="s">
        <v>457</v>
      </c>
      <c r="C35" s="578">
        <v>2</v>
      </c>
      <c r="D35" s="569" t="s">
        <v>468</v>
      </c>
      <c r="E35" s="569">
        <f>129*2</f>
        <v>258</v>
      </c>
      <c r="F35" s="568">
        <v>5</v>
      </c>
      <c r="G35" s="567">
        <f>+E35*F35</f>
        <v>1290</v>
      </c>
      <c r="H35" s="563">
        <f>+SUM(G35/F35)</f>
        <v>258</v>
      </c>
      <c r="I35" s="563"/>
    </row>
    <row r="36" spans="1:9">
      <c r="A36" s="565"/>
      <c r="B36" s="566" t="s">
        <v>456</v>
      </c>
      <c r="C36" s="578">
        <v>2</v>
      </c>
      <c r="D36" s="569" t="s">
        <v>509</v>
      </c>
      <c r="E36" s="569">
        <f>130*2</f>
        <v>260</v>
      </c>
      <c r="F36" s="568">
        <v>19</v>
      </c>
      <c r="G36" s="567">
        <f>+E36*F36</f>
        <v>4940</v>
      </c>
      <c r="H36" s="563">
        <f>+SUM(G36/F36)</f>
        <v>260</v>
      </c>
      <c r="I36" s="563"/>
    </row>
    <row r="37" spans="1:9" ht="13.5" thickBot="1">
      <c r="A37" s="367"/>
      <c r="B37" s="382"/>
      <c r="C37" s="368"/>
      <c r="D37" s="369"/>
      <c r="E37" s="368"/>
      <c r="F37" s="368"/>
      <c r="G37" s="368"/>
      <c r="H37" s="384"/>
      <c r="I37" s="384"/>
    </row>
    <row r="38" spans="1:9">
      <c r="A38" s="565">
        <v>46004</v>
      </c>
      <c r="B38" s="566" t="s">
        <v>456</v>
      </c>
      <c r="C38" s="578">
        <v>2</v>
      </c>
      <c r="D38" s="569" t="s">
        <v>509</v>
      </c>
      <c r="E38" s="569">
        <f>130*2</f>
        <v>260</v>
      </c>
      <c r="F38" s="568">
        <v>11</v>
      </c>
      <c r="G38" s="567">
        <f>+E38*F38</f>
        <v>2860</v>
      </c>
      <c r="H38" s="563">
        <f>+SUM(G38/F38)</f>
        <v>260</v>
      </c>
      <c r="I38" s="563">
        <f>+'13'!I38</f>
        <v>35.811999999999998</v>
      </c>
    </row>
    <row r="39" spans="1:9">
      <c r="A39" s="565"/>
      <c r="B39" s="566" t="s">
        <v>522</v>
      </c>
      <c r="C39" s="578">
        <v>2</v>
      </c>
      <c r="D39" s="569" t="s">
        <v>466</v>
      </c>
      <c r="E39" s="569">
        <f>133*2</f>
        <v>266</v>
      </c>
      <c r="F39" s="568">
        <v>6</v>
      </c>
      <c r="G39" s="567">
        <f>+E39*F39</f>
        <v>1596</v>
      </c>
      <c r="H39" s="563">
        <f>+SUM(G39:G40)/SUM(F39:F40)</f>
        <v>258.63333333333333</v>
      </c>
      <c r="I39" s="563"/>
    </row>
    <row r="40" spans="1:9">
      <c r="A40" s="565"/>
      <c r="B40" s="566" t="s">
        <v>522</v>
      </c>
      <c r="C40" s="578">
        <v>2</v>
      </c>
      <c r="D40" s="569" t="s">
        <v>538</v>
      </c>
      <c r="E40" s="569">
        <f>180+77.5</f>
        <v>257.5</v>
      </c>
      <c r="F40" s="568">
        <f>3+20+16</f>
        <v>39</v>
      </c>
      <c r="G40" s="567">
        <f>+E40*F40</f>
        <v>10042.5</v>
      </c>
      <c r="H40" s="563"/>
      <c r="I40" s="563"/>
    </row>
    <row r="41" spans="1:9" ht="13.5" thickBot="1">
      <c r="A41" s="367"/>
      <c r="B41" s="382"/>
      <c r="C41" s="368"/>
      <c r="D41" s="369"/>
      <c r="E41" s="368"/>
      <c r="F41" s="368"/>
      <c r="G41" s="368"/>
      <c r="H41" s="384"/>
      <c r="I41" s="384"/>
    </row>
    <row r="42" spans="1:9">
      <c r="A42" s="565">
        <v>46005</v>
      </c>
      <c r="B42" s="566" t="s">
        <v>522</v>
      </c>
      <c r="C42" s="578">
        <v>2</v>
      </c>
      <c r="D42" s="569" t="s">
        <v>538</v>
      </c>
      <c r="E42" s="569">
        <f>180+77.5</f>
        <v>257.5</v>
      </c>
      <c r="F42" s="568">
        <f>15+21+23</f>
        <v>59</v>
      </c>
      <c r="G42" s="567">
        <f>+E42*F42</f>
        <v>15192.5</v>
      </c>
      <c r="H42" s="563">
        <f>+SUM(G42/F42)</f>
        <v>257.5</v>
      </c>
      <c r="I42" s="563">
        <f>+'14'!I38</f>
        <v>36.808999999999997</v>
      </c>
    </row>
    <row r="43" spans="1:9" ht="13.5" thickBot="1">
      <c r="A43" s="367"/>
      <c r="B43" s="382"/>
      <c r="C43" s="368"/>
      <c r="D43" s="369"/>
      <c r="E43" s="368"/>
      <c r="F43" s="368"/>
      <c r="G43" s="368"/>
      <c r="H43" s="384"/>
      <c r="I43" s="384"/>
    </row>
    <row r="44" spans="1:9">
      <c r="A44" s="565">
        <v>46006</v>
      </c>
      <c r="B44" s="566" t="s">
        <v>522</v>
      </c>
      <c r="C44" s="578">
        <v>2</v>
      </c>
      <c r="D44" s="569" t="s">
        <v>538</v>
      </c>
      <c r="E44" s="569">
        <f>180+77.5</f>
        <v>257.5</v>
      </c>
      <c r="F44" s="568">
        <f>18+9</f>
        <v>27</v>
      </c>
      <c r="G44" s="567">
        <f>+E44*F44</f>
        <v>6952.5</v>
      </c>
      <c r="H44" s="563">
        <f>+SUM(G44:G45)/SUM(F44:F45)</f>
        <v>258.828125</v>
      </c>
      <c r="I44" s="563">
        <f>+'15'!I38</f>
        <v>38.225999999999999</v>
      </c>
    </row>
    <row r="45" spans="1:9">
      <c r="A45" s="565"/>
      <c r="B45" s="566" t="s">
        <v>522</v>
      </c>
      <c r="C45" s="578">
        <v>2</v>
      </c>
      <c r="D45" s="569" t="s">
        <v>466</v>
      </c>
      <c r="E45" s="569">
        <f>133*2</f>
        <v>266</v>
      </c>
      <c r="F45" s="568">
        <v>5</v>
      </c>
      <c r="G45" s="567">
        <f>+E45*F45</f>
        <v>1330</v>
      </c>
      <c r="H45" s="563"/>
      <c r="I45" s="563"/>
    </row>
    <row r="46" spans="1:9">
      <c r="A46" s="565"/>
      <c r="B46" s="566" t="s">
        <v>544</v>
      </c>
      <c r="C46" s="578">
        <v>2</v>
      </c>
      <c r="D46" s="569" t="s">
        <v>468</v>
      </c>
      <c r="E46" s="569">
        <f>129*2</f>
        <v>258</v>
      </c>
      <c r="F46" s="568">
        <v>39</v>
      </c>
      <c r="G46" s="567">
        <f>+E46*F46</f>
        <v>10062</v>
      </c>
      <c r="H46" s="563">
        <f>+SUM(G46/F46)</f>
        <v>258</v>
      </c>
      <c r="I46" s="563"/>
    </row>
    <row r="47" spans="1:9" ht="13.5" thickBot="1">
      <c r="A47" s="367"/>
      <c r="B47" s="382"/>
      <c r="C47" s="368"/>
      <c r="D47" s="369"/>
      <c r="E47" s="368"/>
      <c r="F47" s="368"/>
      <c r="G47" s="368"/>
      <c r="H47" s="384"/>
      <c r="I47" s="384"/>
    </row>
    <row r="48" spans="1:9">
      <c r="A48" s="565">
        <v>46007</v>
      </c>
      <c r="B48" s="566" t="s">
        <v>544</v>
      </c>
      <c r="C48" s="578">
        <v>2</v>
      </c>
      <c r="D48" s="569" t="s">
        <v>563</v>
      </c>
      <c r="E48" s="569">
        <f>129.5*2</f>
        <v>259</v>
      </c>
      <c r="F48" s="568">
        <f>13+2+5</f>
        <v>20</v>
      </c>
      <c r="G48" s="567">
        <f>+E48*F48</f>
        <v>5180</v>
      </c>
      <c r="H48" s="563">
        <f>+SUM(G48:G49)/SUM(F48:F49)</f>
        <v>258.74074074074076</v>
      </c>
      <c r="I48" s="563">
        <f>+'16'!I38</f>
        <v>34.789000000000001</v>
      </c>
    </row>
    <row r="49" spans="1:9">
      <c r="A49" s="565"/>
      <c r="B49" s="566" t="s">
        <v>544</v>
      </c>
      <c r="C49" s="578">
        <v>2</v>
      </c>
      <c r="D49" s="569" t="s">
        <v>468</v>
      </c>
      <c r="E49" s="569">
        <f>129*2</f>
        <v>258</v>
      </c>
      <c r="F49" s="568">
        <v>7</v>
      </c>
      <c r="G49" s="567">
        <f>+E49*F49</f>
        <v>1806</v>
      </c>
      <c r="H49" s="563"/>
      <c r="I49" s="563"/>
    </row>
    <row r="50" spans="1:9">
      <c r="A50" s="565"/>
      <c r="B50" s="566" t="s">
        <v>522</v>
      </c>
      <c r="C50" s="578">
        <v>2</v>
      </c>
      <c r="D50" s="569" t="s">
        <v>466</v>
      </c>
      <c r="E50" s="569">
        <f>133*2</f>
        <v>266</v>
      </c>
      <c r="F50" s="568">
        <v>0</v>
      </c>
      <c r="G50" s="567">
        <f>+E50*F50</f>
        <v>0</v>
      </c>
      <c r="H50" s="563">
        <f>+SUM(G50:G51)/SUM(F50:F51)</f>
        <v>256</v>
      </c>
      <c r="I50" s="563"/>
    </row>
    <row r="51" spans="1:9">
      <c r="A51" s="565"/>
      <c r="B51" s="566" t="s">
        <v>522</v>
      </c>
      <c r="C51" s="578">
        <v>2</v>
      </c>
      <c r="D51" s="569" t="s">
        <v>564</v>
      </c>
      <c r="E51" s="569">
        <f>130+126</f>
        <v>256</v>
      </c>
      <c r="F51" s="568">
        <f>5+4+13+3</f>
        <v>25</v>
      </c>
      <c r="G51" s="567">
        <f>+E51*F51</f>
        <v>6400</v>
      </c>
      <c r="H51" s="563"/>
      <c r="I51" s="563"/>
    </row>
    <row r="52" spans="1:9" ht="13.5" thickBot="1">
      <c r="A52" s="367"/>
      <c r="B52" s="382"/>
      <c r="C52" s="368"/>
      <c r="D52" s="369"/>
      <c r="E52" s="368"/>
      <c r="F52" s="368"/>
      <c r="G52" s="368"/>
      <c r="H52" s="384"/>
      <c r="I52" s="384"/>
    </row>
    <row r="53" spans="1:9">
      <c r="A53" s="565">
        <v>46008</v>
      </c>
      <c r="B53" s="566" t="s">
        <v>522</v>
      </c>
      <c r="C53" s="578">
        <v>2</v>
      </c>
      <c r="D53" s="569" t="s">
        <v>564</v>
      </c>
      <c r="E53" s="569">
        <f>130+126</f>
        <v>256</v>
      </c>
      <c r="F53" s="568">
        <f>8+8+13+8+9</f>
        <v>46</v>
      </c>
      <c r="G53" s="567">
        <f>+E53*F53</f>
        <v>11776</v>
      </c>
      <c r="H53" s="563">
        <f>+SUM(G53:G54)/SUM(F53:F54)</f>
        <v>256.61224489795916</v>
      </c>
      <c r="I53" s="563">
        <f>+'17'!I38</f>
        <v>36.963999999999999</v>
      </c>
    </row>
    <row r="54" spans="1:9">
      <c r="A54" s="565"/>
      <c r="B54" s="566" t="s">
        <v>522</v>
      </c>
      <c r="C54" s="578">
        <v>2</v>
      </c>
      <c r="D54" s="569" t="s">
        <v>466</v>
      </c>
      <c r="E54" s="569">
        <f>133*2</f>
        <v>266</v>
      </c>
      <c r="F54" s="568">
        <v>3</v>
      </c>
      <c r="G54" s="567">
        <f>+E54*F54</f>
        <v>798</v>
      </c>
      <c r="H54" s="563"/>
      <c r="I54" s="563"/>
    </row>
    <row r="55" spans="1:9">
      <c r="A55" s="565"/>
      <c r="B55" s="566" t="s">
        <v>572</v>
      </c>
      <c r="C55" s="578">
        <v>2</v>
      </c>
      <c r="D55" s="569" t="s">
        <v>579</v>
      </c>
      <c r="E55" s="569">
        <f>140+128</f>
        <v>268</v>
      </c>
      <c r="F55" s="568">
        <v>13</v>
      </c>
      <c r="G55" s="567">
        <f>+E55*F55</f>
        <v>3484</v>
      </c>
      <c r="H55" s="563">
        <f>+SUM(G55:G55)/SUM(F55:F55)</f>
        <v>268</v>
      </c>
      <c r="I55" s="563"/>
    </row>
    <row r="56" spans="1:9" ht="13.5" thickBot="1">
      <c r="A56" s="367"/>
      <c r="B56" s="382"/>
      <c r="C56" s="368"/>
      <c r="D56" s="369"/>
      <c r="E56" s="368"/>
      <c r="F56" s="368"/>
      <c r="G56" s="368"/>
      <c r="H56" s="384"/>
      <c r="I56" s="384"/>
    </row>
    <row r="57" spans="1:9">
      <c r="A57" s="573">
        <v>46009</v>
      </c>
      <c r="B57" s="566" t="s">
        <v>572</v>
      </c>
      <c r="C57" s="578">
        <v>2</v>
      </c>
      <c r="D57" s="569" t="s">
        <v>579</v>
      </c>
      <c r="E57" s="569">
        <f>140+128</f>
        <v>268</v>
      </c>
      <c r="F57" s="568">
        <v>67</v>
      </c>
      <c r="G57" s="567">
        <f>+E57*F57</f>
        <v>17956</v>
      </c>
      <c r="H57" s="563">
        <f>+SUM(G57:G57)/SUM(F57:F57)</f>
        <v>268</v>
      </c>
      <c r="I57" s="563">
        <f>+'18'!I38</f>
        <v>35.033999999999999</v>
      </c>
    </row>
    <row r="58" spans="1:9" ht="13.5" thickBot="1">
      <c r="A58" s="367"/>
      <c r="B58" s="382"/>
      <c r="C58" s="368"/>
      <c r="D58" s="369"/>
      <c r="E58" s="368"/>
      <c r="F58" s="368"/>
      <c r="G58" s="368"/>
      <c r="H58" s="384"/>
      <c r="I58" s="384"/>
    </row>
    <row r="59" spans="1:9">
      <c r="A59" s="573">
        <v>46010</v>
      </c>
      <c r="B59" s="566" t="s">
        <v>572</v>
      </c>
      <c r="C59" s="578">
        <v>2</v>
      </c>
      <c r="D59" s="569" t="s">
        <v>579</v>
      </c>
      <c r="E59" s="569">
        <f>140+128</f>
        <v>268</v>
      </c>
      <c r="F59" s="568">
        <v>22</v>
      </c>
      <c r="G59" s="567">
        <f>+E59*F59</f>
        <v>5896</v>
      </c>
      <c r="H59" s="563">
        <f>+SUM(G59:G59)/SUM(F59:F59)</f>
        <v>268</v>
      </c>
      <c r="I59" s="563">
        <f>+'19'!I38</f>
        <v>39.844999999999999</v>
      </c>
    </row>
    <row r="60" spans="1:9">
      <c r="A60" s="575"/>
      <c r="B60" s="566" t="s">
        <v>457</v>
      </c>
      <c r="C60" s="578">
        <v>2</v>
      </c>
      <c r="D60" s="569" t="s">
        <v>468</v>
      </c>
      <c r="E60" s="569">
        <f>129*2</f>
        <v>258</v>
      </c>
      <c r="F60" s="568">
        <v>39</v>
      </c>
      <c r="G60" s="567">
        <f>+E60*F60</f>
        <v>10062</v>
      </c>
      <c r="H60" s="563">
        <f>+SUM(G60:G60)/SUM(F60:F60)</f>
        <v>258</v>
      </c>
      <c r="I60" s="563"/>
    </row>
    <row r="61" spans="1:9">
      <c r="A61" s="575"/>
      <c r="B61" s="566" t="s">
        <v>403</v>
      </c>
      <c r="C61" s="578">
        <v>2</v>
      </c>
      <c r="D61" s="569" t="s">
        <v>466</v>
      </c>
      <c r="E61" s="569">
        <f>133*2</f>
        <v>266</v>
      </c>
      <c r="F61" s="569">
        <v>14</v>
      </c>
      <c r="G61" s="567">
        <f>+E61*F61</f>
        <v>3724</v>
      </c>
      <c r="H61" s="563">
        <f>+SUM(G61:G61)/SUM(F61:F61)</f>
        <v>266</v>
      </c>
      <c r="I61" s="563"/>
    </row>
    <row r="62" spans="1:9" ht="13.5" thickBot="1">
      <c r="A62" s="367"/>
      <c r="B62" s="382"/>
      <c r="C62" s="368"/>
      <c r="D62" s="369"/>
      <c r="E62" s="368"/>
      <c r="F62" s="368"/>
      <c r="G62" s="368"/>
      <c r="H62" s="384"/>
      <c r="I62" s="384"/>
    </row>
    <row r="63" spans="1:9">
      <c r="A63" s="575">
        <v>46011</v>
      </c>
      <c r="B63" s="566" t="s">
        <v>457</v>
      </c>
      <c r="C63" s="578">
        <v>2</v>
      </c>
      <c r="D63" s="569" t="s">
        <v>468</v>
      </c>
      <c r="E63" s="569">
        <f>129*2</f>
        <v>258</v>
      </c>
      <c r="F63" s="569">
        <f>148/2</f>
        <v>74</v>
      </c>
      <c r="G63" s="567">
        <f>+E63*F63</f>
        <v>19092</v>
      </c>
      <c r="H63" s="563">
        <f>+SUM(G63:G63)/SUM(F63:F63)</f>
        <v>258</v>
      </c>
      <c r="I63" s="563">
        <f>+'20'!I38</f>
        <v>40.629000000000005</v>
      </c>
    </row>
    <row r="64" spans="1:9" ht="13.5" thickBot="1">
      <c r="A64" s="367"/>
      <c r="B64" s="382"/>
      <c r="C64" s="368"/>
      <c r="D64" s="369"/>
      <c r="E64" s="368"/>
      <c r="F64" s="368"/>
      <c r="G64" s="368"/>
      <c r="H64" s="384"/>
      <c r="I64" s="384"/>
    </row>
    <row r="65" spans="1:9">
      <c r="A65" s="575">
        <v>46012</v>
      </c>
      <c r="B65" s="566" t="s">
        <v>457</v>
      </c>
      <c r="C65" s="578">
        <v>2</v>
      </c>
      <c r="D65" s="569" t="s">
        <v>468</v>
      </c>
      <c r="E65" s="569">
        <f>129*2</f>
        <v>258</v>
      </c>
      <c r="F65" s="569">
        <f>142/2</f>
        <v>71</v>
      </c>
      <c r="G65" s="567">
        <f>+E65*F65</f>
        <v>18318</v>
      </c>
      <c r="H65" s="563">
        <f>+SUM(G65:G65)/SUM(F65:F65)</f>
        <v>258</v>
      </c>
      <c r="I65" s="563">
        <f>+'21'!I38</f>
        <v>38.564</v>
      </c>
    </row>
    <row r="66" spans="1:9" ht="13.5" thickBot="1">
      <c r="A66" s="367"/>
      <c r="B66" s="382"/>
      <c r="C66" s="368"/>
      <c r="D66" s="369"/>
      <c r="E66" s="368"/>
      <c r="F66" s="368"/>
      <c r="G66" s="368"/>
      <c r="H66" s="384"/>
      <c r="I66" s="384"/>
    </row>
    <row r="67" spans="1:9">
      <c r="A67" s="575">
        <v>46013</v>
      </c>
      <c r="B67" s="566" t="s">
        <v>457</v>
      </c>
      <c r="C67" s="578">
        <v>2</v>
      </c>
      <c r="D67" s="569" t="s">
        <v>468</v>
      </c>
      <c r="E67" s="569">
        <f>129*2</f>
        <v>258</v>
      </c>
      <c r="F67" s="569">
        <v>17</v>
      </c>
      <c r="G67" s="567">
        <f>+E67*F67</f>
        <v>4386</v>
      </c>
      <c r="H67" s="563">
        <f>+SUM(G67:G68)/SUM(F67:F68)</f>
        <v>260.67857142857144</v>
      </c>
      <c r="I67" s="563">
        <f>+'22'!I38</f>
        <v>42.471000000000004</v>
      </c>
    </row>
    <row r="68" spans="1:9">
      <c r="A68" s="575"/>
      <c r="B68" s="566" t="s">
        <v>457</v>
      </c>
      <c r="C68" s="578">
        <v>2</v>
      </c>
      <c r="D68" s="569" t="s">
        <v>608</v>
      </c>
      <c r="E68" s="569">
        <f>262.5*1</f>
        <v>262.5</v>
      </c>
      <c r="F68" s="569">
        <f>6+19</f>
        <v>25</v>
      </c>
      <c r="G68" s="567">
        <f>+E68*F68</f>
        <v>6562.5</v>
      </c>
      <c r="H68" s="563"/>
      <c r="I68" s="563"/>
    </row>
    <row r="69" spans="1:9" ht="12" customHeight="1">
      <c r="A69" s="575"/>
      <c r="B69" s="566" t="s">
        <v>493</v>
      </c>
      <c r="C69" s="578">
        <v>2</v>
      </c>
      <c r="D69" s="569" t="s">
        <v>609</v>
      </c>
      <c r="E69" s="569">
        <f>128.5*2</f>
        <v>257</v>
      </c>
      <c r="F69" s="569">
        <f>2+24</f>
        <v>26</v>
      </c>
      <c r="G69" s="567">
        <f>+E69*F69</f>
        <v>6682</v>
      </c>
      <c r="H69" s="563">
        <f>+SUM(G69:G69)/SUM(F69:F69)</f>
        <v>257</v>
      </c>
      <c r="I69" s="563"/>
    </row>
    <row r="70" spans="1:9" ht="13.5" thickBot="1">
      <c r="A70" s="367"/>
      <c r="B70" s="382"/>
      <c r="C70" s="368"/>
      <c r="D70" s="369"/>
      <c r="E70" s="368"/>
      <c r="F70" s="368"/>
      <c r="G70" s="368"/>
      <c r="H70" s="384"/>
      <c r="I70" s="384"/>
    </row>
    <row r="71" spans="1:9">
      <c r="A71" s="573">
        <v>46014</v>
      </c>
      <c r="B71" s="566" t="s">
        <v>493</v>
      </c>
      <c r="C71" s="578">
        <v>2</v>
      </c>
      <c r="D71" s="569" t="s">
        <v>609</v>
      </c>
      <c r="E71" s="569">
        <f>128.5*2</f>
        <v>257</v>
      </c>
      <c r="F71" s="569">
        <v>55</v>
      </c>
      <c r="G71" s="567">
        <f>+E71*F71</f>
        <v>14135</v>
      </c>
      <c r="H71" s="563">
        <f>+SUM(G71:G71)/SUM(F71:F71)</f>
        <v>257</v>
      </c>
      <c r="I71" s="563">
        <f>+'23'!I38</f>
        <v>42.808</v>
      </c>
    </row>
    <row r="72" spans="1:9">
      <c r="A72" s="575"/>
      <c r="B72" s="566" t="s">
        <v>614</v>
      </c>
      <c r="C72" s="578">
        <v>2</v>
      </c>
      <c r="D72" s="569" t="s">
        <v>609</v>
      </c>
      <c r="E72" s="569">
        <f>128.5*2</f>
        <v>257</v>
      </c>
      <c r="F72" s="568">
        <f>12/2</f>
        <v>6</v>
      </c>
      <c r="G72" s="567">
        <f>+E72*F72</f>
        <v>1542</v>
      </c>
      <c r="H72" s="563">
        <f>+SUM(G72:G72)/SUM(F72:F72)</f>
        <v>257</v>
      </c>
      <c r="I72" s="563"/>
    </row>
    <row r="73" spans="1:9" ht="13.5" thickBot="1">
      <c r="A73" s="367"/>
      <c r="B73" s="382"/>
      <c r="C73" s="368"/>
      <c r="D73" s="369"/>
      <c r="E73" s="368"/>
      <c r="F73" s="368"/>
      <c r="G73" s="368"/>
      <c r="H73" s="384"/>
      <c r="I73" s="384"/>
    </row>
    <row r="74" spans="1:9">
      <c r="A74" s="575">
        <v>46015</v>
      </c>
      <c r="B74" s="566" t="s">
        <v>614</v>
      </c>
      <c r="C74" s="578">
        <v>2</v>
      </c>
      <c r="D74" s="569" t="s">
        <v>609</v>
      </c>
      <c r="E74" s="569">
        <f>128.5*2</f>
        <v>257</v>
      </c>
      <c r="F74" s="568">
        <f>13+11+12+13+13+10</f>
        <v>72</v>
      </c>
      <c r="G74" s="567">
        <f>+E74*F74</f>
        <v>18504</v>
      </c>
      <c r="H74" s="563">
        <f>+SUM(G74:G74)/SUM(F74:F74)</f>
        <v>257</v>
      </c>
      <c r="I74" s="563">
        <f>+'24'!I38</f>
        <v>41.698999999999998</v>
      </c>
    </row>
    <row r="75" spans="1:9" ht="13.5" thickBot="1">
      <c r="A75" s="367"/>
      <c r="B75" s="382"/>
      <c r="C75" s="368"/>
      <c r="D75" s="369"/>
      <c r="E75" s="368"/>
      <c r="F75" s="368"/>
      <c r="G75" s="368"/>
      <c r="H75" s="384"/>
      <c r="I75" s="384"/>
    </row>
    <row r="76" spans="1:9">
      <c r="A76" s="573">
        <v>46016</v>
      </c>
      <c r="B76" s="566" t="s">
        <v>614</v>
      </c>
      <c r="C76" s="578">
        <v>2</v>
      </c>
      <c r="D76" s="569" t="s">
        <v>609</v>
      </c>
      <c r="E76" s="569">
        <f>128.5*2</f>
        <v>257</v>
      </c>
      <c r="F76" s="568">
        <f>13+10</f>
        <v>23</v>
      </c>
      <c r="G76" s="567">
        <f>+E76*F76</f>
        <v>5911</v>
      </c>
      <c r="H76" s="563">
        <f>+SUM(G76:G76)/SUM(F76:F76)</f>
        <v>257</v>
      </c>
      <c r="I76" s="563">
        <f>+'25'!I38</f>
        <v>41.521000000000001</v>
      </c>
    </row>
    <row r="77" spans="1:9">
      <c r="A77" s="575"/>
      <c r="B77" s="566" t="s">
        <v>457</v>
      </c>
      <c r="C77" s="578">
        <v>2</v>
      </c>
      <c r="D77" s="569" t="s">
        <v>468</v>
      </c>
      <c r="E77" s="569">
        <f>129*2</f>
        <v>258</v>
      </c>
      <c r="F77" s="568">
        <f>13+10+13+10</f>
        <v>46</v>
      </c>
      <c r="G77" s="567">
        <f>+E77*F77</f>
        <v>11868</v>
      </c>
      <c r="H77" s="563">
        <f>+SUM(G77:G77)/SUM(F77:F77)</f>
        <v>258</v>
      </c>
      <c r="I77" s="563"/>
    </row>
    <row r="78" spans="1:9" ht="13.5" thickBot="1">
      <c r="A78" s="367"/>
      <c r="B78" s="382"/>
      <c r="C78" s="368"/>
      <c r="D78" s="369"/>
      <c r="E78" s="368"/>
      <c r="F78" s="368"/>
      <c r="G78" s="368"/>
      <c r="H78" s="384"/>
      <c r="I78" s="384"/>
    </row>
    <row r="79" spans="1:9">
      <c r="A79" s="575">
        <v>46017</v>
      </c>
      <c r="B79" s="566" t="s">
        <v>457</v>
      </c>
      <c r="C79" s="578">
        <v>2</v>
      </c>
      <c r="D79" s="569" t="s">
        <v>468</v>
      </c>
      <c r="E79" s="569">
        <f>129*2</f>
        <v>258</v>
      </c>
      <c r="F79" s="568">
        <f>130/2</f>
        <v>65</v>
      </c>
      <c r="G79" s="567">
        <f>+E79*F79</f>
        <v>16770</v>
      </c>
      <c r="H79" s="563">
        <f>+SUM(G79:G79)/SUM(F79:F79)</f>
        <v>258</v>
      </c>
      <c r="I79" s="563">
        <f>+'26'!I38</f>
        <v>42.19</v>
      </c>
    </row>
    <row r="80" spans="1:9" ht="13.5" thickBot="1">
      <c r="A80" s="367"/>
      <c r="B80" s="382"/>
      <c r="C80" s="368"/>
      <c r="D80" s="369"/>
      <c r="E80" s="368"/>
      <c r="F80" s="368"/>
      <c r="G80" s="368"/>
      <c r="H80" s="384"/>
      <c r="I80" s="384"/>
    </row>
    <row r="81" spans="1:9">
      <c r="A81" s="575">
        <v>46018</v>
      </c>
      <c r="B81" s="566" t="s">
        <v>457</v>
      </c>
      <c r="C81" s="578">
        <v>2</v>
      </c>
      <c r="D81" s="569" t="s">
        <v>468</v>
      </c>
      <c r="E81" s="569">
        <f>129*2</f>
        <v>258</v>
      </c>
      <c r="F81" s="568">
        <f>154/2</f>
        <v>77</v>
      </c>
      <c r="G81" s="567">
        <f>+E81*F81</f>
        <v>19866</v>
      </c>
      <c r="H81" s="563">
        <f>+SUM(G81:G81)/SUM(F81:F81)</f>
        <v>258</v>
      </c>
      <c r="I81" s="563">
        <f>+'27'!I38</f>
        <v>40.792999999999999</v>
      </c>
    </row>
    <row r="82" spans="1:9" ht="13.5" thickBot="1">
      <c r="A82" s="367"/>
      <c r="B82" s="382"/>
      <c r="C82" s="368"/>
      <c r="D82" s="369"/>
      <c r="E82" s="368"/>
      <c r="F82" s="368"/>
      <c r="G82" s="368"/>
      <c r="H82" s="384"/>
      <c r="I82" s="384"/>
    </row>
    <row r="83" spans="1:9">
      <c r="A83" s="575">
        <v>46019</v>
      </c>
      <c r="B83" s="566" t="s">
        <v>457</v>
      </c>
      <c r="C83" s="578">
        <v>2</v>
      </c>
      <c r="D83" s="569" t="s">
        <v>468</v>
      </c>
      <c r="E83" s="569">
        <f>129*2</f>
        <v>258</v>
      </c>
      <c r="F83" s="568">
        <v>11</v>
      </c>
      <c r="G83" s="567">
        <f>+E83*F83</f>
        <v>2838</v>
      </c>
      <c r="H83" s="563">
        <f>+SUM(G83:G83)/SUM(F83:F83)</f>
        <v>258</v>
      </c>
      <c r="I83" s="563">
        <f>+'28'!I38</f>
        <v>42.265000000000001</v>
      </c>
    </row>
    <row r="84" spans="1:9">
      <c r="A84" s="575"/>
      <c r="B84" s="566" t="s">
        <v>649</v>
      </c>
      <c r="C84" s="578">
        <v>2</v>
      </c>
      <c r="D84" s="569" t="s">
        <v>653</v>
      </c>
      <c r="E84" s="569">
        <f>256*1</f>
        <v>256</v>
      </c>
      <c r="F84" s="568">
        <f>10+16+17</f>
        <v>43</v>
      </c>
      <c r="G84" s="567">
        <f>+E84*F84</f>
        <v>11008</v>
      </c>
      <c r="H84" s="563">
        <f>+SUM(G84:G84)/SUM(F84:F84)</f>
        <v>256</v>
      </c>
      <c r="I84" s="563"/>
    </row>
    <row r="85" spans="1:9" ht="13.5" thickBot="1">
      <c r="A85" s="367"/>
      <c r="B85" s="382"/>
      <c r="C85" s="368"/>
      <c r="D85" s="369"/>
      <c r="E85" s="368"/>
      <c r="F85" s="368"/>
      <c r="G85" s="368"/>
      <c r="H85" s="384"/>
      <c r="I85" s="384"/>
    </row>
    <row r="86" spans="1:9">
      <c r="A86" s="575">
        <v>46020</v>
      </c>
      <c r="B86" s="566" t="s">
        <v>649</v>
      </c>
      <c r="C86" s="578">
        <v>2</v>
      </c>
      <c r="D86" s="569" t="s">
        <v>653</v>
      </c>
      <c r="E86" s="569">
        <f>256*1</f>
        <v>256</v>
      </c>
      <c r="F86" s="568">
        <v>52</v>
      </c>
      <c r="G86" s="567">
        <f>+E86*F86</f>
        <v>13312</v>
      </c>
      <c r="H86" s="563">
        <f>+SUM(G86:G86)/SUM(F86:F86)</f>
        <v>256</v>
      </c>
      <c r="I86" s="563">
        <f>+'29'!I38</f>
        <v>41.18</v>
      </c>
    </row>
    <row r="87" spans="1:9">
      <c r="A87" s="575"/>
      <c r="B87" s="566" t="s">
        <v>457</v>
      </c>
      <c r="C87" s="578">
        <v>2</v>
      </c>
      <c r="D87" s="569" t="s">
        <v>662</v>
      </c>
      <c r="E87" s="569">
        <f>258*1</f>
        <v>258</v>
      </c>
      <c r="F87" s="568">
        <v>0</v>
      </c>
      <c r="G87" s="567">
        <f>+E87</f>
        <v>258</v>
      </c>
      <c r="H87" s="563">
        <f>+G87</f>
        <v>258</v>
      </c>
      <c r="I87" s="563"/>
    </row>
    <row r="88" spans="1:9" ht="13.5" thickBot="1">
      <c r="A88" s="367"/>
      <c r="B88" s="382"/>
      <c r="C88" s="368"/>
      <c r="D88" s="369"/>
      <c r="E88" s="368"/>
      <c r="F88" s="368"/>
      <c r="G88" s="368"/>
      <c r="H88" s="384"/>
      <c r="I88" s="384"/>
    </row>
    <row r="89" spans="1:9">
      <c r="A89" s="575">
        <v>46021</v>
      </c>
      <c r="B89" s="566" t="s">
        <v>649</v>
      </c>
      <c r="C89" s="578">
        <v>2</v>
      </c>
      <c r="D89" s="569" t="s">
        <v>653</v>
      </c>
      <c r="E89" s="569">
        <f>256*1</f>
        <v>256</v>
      </c>
      <c r="F89" s="568">
        <v>2</v>
      </c>
      <c r="G89" s="567">
        <f>+E89*F89</f>
        <v>512</v>
      </c>
      <c r="H89" s="563">
        <f>+SUM(G89:G89)/SUM(F89:F89)</f>
        <v>256</v>
      </c>
      <c r="I89" s="563">
        <f>+'30'!I38</f>
        <v>41.820999999999998</v>
      </c>
    </row>
    <row r="90" spans="1:9">
      <c r="A90" s="575"/>
      <c r="B90" s="566" t="s">
        <v>457</v>
      </c>
      <c r="C90" s="578">
        <v>2</v>
      </c>
      <c r="D90" s="569" t="s">
        <v>468</v>
      </c>
      <c r="E90" s="569">
        <f>129*2</f>
        <v>258</v>
      </c>
      <c r="F90" s="568">
        <f>11+12+13+12+13+11</f>
        <v>72</v>
      </c>
      <c r="G90" s="567">
        <f>+E90</f>
        <v>258</v>
      </c>
      <c r="H90" s="563">
        <f>+G90</f>
        <v>258</v>
      </c>
      <c r="I90" s="563"/>
    </row>
    <row r="91" spans="1:9" ht="13.5" thickBot="1">
      <c r="A91" s="367"/>
      <c r="B91" s="382"/>
      <c r="C91" s="368"/>
      <c r="D91" s="369"/>
      <c r="E91" s="368"/>
      <c r="F91" s="368"/>
      <c r="G91" s="368"/>
      <c r="H91" s="384"/>
      <c r="I91" s="384"/>
    </row>
    <row r="92" spans="1:9">
      <c r="A92" s="575">
        <v>46387</v>
      </c>
      <c r="B92" s="566" t="s">
        <v>457</v>
      </c>
      <c r="C92" s="578">
        <v>2</v>
      </c>
      <c r="D92" s="569" t="s">
        <v>468</v>
      </c>
      <c r="E92" s="569">
        <f>129*2</f>
        <v>258</v>
      </c>
      <c r="F92" s="568">
        <v>78</v>
      </c>
      <c r="G92" s="567">
        <f>+E92</f>
        <v>258</v>
      </c>
      <c r="H92" s="563">
        <f>+G92</f>
        <v>258</v>
      </c>
      <c r="I92" s="563">
        <f>+'31'!I38</f>
        <v>41.462000000000003</v>
      </c>
    </row>
    <row r="93" spans="1:9" ht="13.5" thickBot="1">
      <c r="A93" s="367"/>
      <c r="B93" s="382"/>
      <c r="C93" s="368"/>
      <c r="D93" s="369"/>
      <c r="E93" s="368"/>
      <c r="F93" s="368"/>
      <c r="G93" s="368"/>
      <c r="H93" s="384"/>
      <c r="I93" s="384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F169"/>
  <sheetViews>
    <sheetView zoomScale="90" zoomScaleNormal="90" workbookViewId="0">
      <pane xSplit="6" ySplit="6" topLeftCell="G123" activePane="bottomRight" state="frozen"/>
      <selection pane="topRight" activeCell="F1" sqref="F1"/>
      <selection pane="bottomLeft" activeCell="A7" sqref="A7"/>
      <selection pane="bottomRight" activeCell="I135" sqref="I135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1" width="10.28515625" style="82" customWidth="1"/>
    <col min="12" max="13" width="12.7109375" style="54" customWidth="1"/>
    <col min="14" max="15" width="10.28515625" style="28" customWidth="1"/>
    <col min="16" max="16" width="16.85546875" style="28" bestFit="1" customWidth="1"/>
    <col min="17" max="17" width="12.7109375" style="331" customWidth="1"/>
    <col min="18" max="18" width="12.7109375" style="28" bestFit="1" customWidth="1"/>
    <col min="19" max="19" width="12" style="28" bestFit="1" customWidth="1"/>
    <col min="20" max="20" width="10.7109375" style="28" customWidth="1"/>
    <col min="21" max="21" width="11.8554687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customWidth="1"/>
    <col min="45" max="53" width="10.28515625" style="28" customWidth="1"/>
    <col min="54" max="16384" width="10.28515625" style="28"/>
  </cols>
  <sheetData>
    <row r="1" spans="1:58" s="21" customFormat="1" ht="15.75">
      <c r="A1" s="20" t="s">
        <v>187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44" t="s">
        <v>8</v>
      </c>
      <c r="B3" s="644" t="s">
        <v>9</v>
      </c>
      <c r="C3" s="644" t="s">
        <v>182</v>
      </c>
      <c r="D3" s="644" t="s">
        <v>91</v>
      </c>
      <c r="E3" s="644" t="s">
        <v>92</v>
      </c>
      <c r="F3" s="644" t="s">
        <v>93</v>
      </c>
      <c r="G3" s="657" t="s">
        <v>94</v>
      </c>
      <c r="H3" s="658"/>
      <c r="I3" s="658"/>
      <c r="J3" s="658"/>
      <c r="K3" s="659"/>
      <c r="L3" s="663" t="s">
        <v>95</v>
      </c>
      <c r="M3" s="664"/>
      <c r="N3" s="665"/>
      <c r="O3" s="669" t="s">
        <v>96</v>
      </c>
      <c r="P3" s="656" t="s">
        <v>108</v>
      </c>
      <c r="Q3" s="669" t="s">
        <v>97</v>
      </c>
      <c r="R3" s="642" t="s">
        <v>98</v>
      </c>
      <c r="S3" s="642" t="s">
        <v>99</v>
      </c>
      <c r="T3" s="644" t="s">
        <v>154</v>
      </c>
      <c r="U3" s="644" t="s">
        <v>153</v>
      </c>
      <c r="V3" s="644" t="s">
        <v>155</v>
      </c>
      <c r="W3" s="642" t="s">
        <v>144</v>
      </c>
      <c r="X3" s="649" t="s">
        <v>101</v>
      </c>
      <c r="Y3" s="649" t="s">
        <v>294</v>
      </c>
      <c r="Z3" s="642" t="s">
        <v>102</v>
      </c>
      <c r="AA3" s="644" t="s">
        <v>156</v>
      </c>
      <c r="AB3" s="644" t="s">
        <v>167</v>
      </c>
      <c r="AC3" s="644" t="s">
        <v>165</v>
      </c>
      <c r="AD3" s="644" t="s">
        <v>126</v>
      </c>
      <c r="AE3" s="644" t="s">
        <v>127</v>
      </c>
      <c r="AF3" s="684" t="s">
        <v>128</v>
      </c>
      <c r="AG3" s="684"/>
      <c r="AH3" s="684"/>
      <c r="AI3" s="684"/>
      <c r="AJ3" s="684"/>
      <c r="AK3" s="684"/>
      <c r="AL3" s="684"/>
      <c r="AM3" s="681" t="s">
        <v>129</v>
      </c>
      <c r="AN3" s="689" t="s">
        <v>103</v>
      </c>
      <c r="AO3" s="689"/>
      <c r="AP3" s="689"/>
      <c r="AQ3" s="689"/>
      <c r="AR3" s="689"/>
      <c r="AS3" s="690" t="s">
        <v>104</v>
      </c>
      <c r="AT3" s="677" t="s">
        <v>290</v>
      </c>
      <c r="AU3" s="678"/>
      <c r="AV3" s="685" t="s">
        <v>130</v>
      </c>
      <c r="AW3" s="686"/>
      <c r="AX3" s="687" t="s">
        <v>130</v>
      </c>
      <c r="AY3" s="688"/>
      <c r="AZ3" s="671" t="s">
        <v>306</v>
      </c>
      <c r="BA3" s="676" t="s">
        <v>105</v>
      </c>
      <c r="BB3" s="640" t="s">
        <v>106</v>
      </c>
      <c r="BC3" s="640" t="s">
        <v>107</v>
      </c>
      <c r="BD3" s="634" t="s">
        <v>394</v>
      </c>
      <c r="BE3" s="637" t="s">
        <v>395</v>
      </c>
      <c r="BF3" s="640" t="s">
        <v>396</v>
      </c>
    </row>
    <row r="4" spans="1:58" ht="12" customHeight="1">
      <c r="A4" s="645"/>
      <c r="B4" s="645"/>
      <c r="C4" s="645"/>
      <c r="D4" s="645"/>
      <c r="E4" s="645"/>
      <c r="F4" s="645"/>
      <c r="G4" s="660"/>
      <c r="H4" s="661"/>
      <c r="I4" s="661"/>
      <c r="J4" s="661"/>
      <c r="K4" s="662"/>
      <c r="L4" s="666"/>
      <c r="M4" s="667"/>
      <c r="N4" s="668"/>
      <c r="O4" s="670"/>
      <c r="P4" s="652"/>
      <c r="Q4" s="670"/>
      <c r="R4" s="643"/>
      <c r="S4" s="643"/>
      <c r="T4" s="645"/>
      <c r="U4" s="645"/>
      <c r="V4" s="645"/>
      <c r="W4" s="643"/>
      <c r="X4" s="650"/>
      <c r="Y4" s="650"/>
      <c r="Z4" s="643"/>
      <c r="AA4" s="645"/>
      <c r="AB4" s="645"/>
      <c r="AC4" s="645"/>
      <c r="AD4" s="645"/>
      <c r="AE4" s="645"/>
      <c r="AF4" s="646" t="s">
        <v>131</v>
      </c>
      <c r="AG4" s="647"/>
      <c r="AH4" s="648"/>
      <c r="AI4" s="652" t="s">
        <v>379</v>
      </c>
      <c r="AJ4" s="652" t="s">
        <v>15</v>
      </c>
      <c r="AK4" s="652" t="s">
        <v>132</v>
      </c>
      <c r="AL4" s="652" t="s">
        <v>18</v>
      </c>
      <c r="AM4" s="682"/>
      <c r="AN4" s="655" t="s">
        <v>109</v>
      </c>
      <c r="AO4" s="655" t="s">
        <v>15</v>
      </c>
      <c r="AP4" s="655" t="s">
        <v>110</v>
      </c>
      <c r="AQ4" s="655" t="s">
        <v>18</v>
      </c>
      <c r="AR4" s="676" t="s">
        <v>111</v>
      </c>
      <c r="AS4" s="690"/>
      <c r="AT4" s="679"/>
      <c r="AU4" s="680"/>
      <c r="AV4" s="512" t="s">
        <v>6</v>
      </c>
      <c r="AW4" s="512" t="s">
        <v>133</v>
      </c>
      <c r="AX4" s="513" t="s">
        <v>6</v>
      </c>
      <c r="AY4" s="514" t="s">
        <v>133</v>
      </c>
      <c r="AZ4" s="672"/>
      <c r="BA4" s="676"/>
      <c r="BB4" s="640"/>
      <c r="BC4" s="640"/>
      <c r="BD4" s="635"/>
      <c r="BE4" s="638"/>
      <c r="BF4" s="640"/>
    </row>
    <row r="5" spans="1:58" s="31" customFormat="1" ht="48">
      <c r="A5" s="645"/>
      <c r="B5" s="645"/>
      <c r="C5" s="654"/>
      <c r="D5" s="645"/>
      <c r="E5" s="645"/>
      <c r="F5" s="645"/>
      <c r="G5" s="493" t="s">
        <v>112</v>
      </c>
      <c r="H5" s="492" t="s">
        <v>113</v>
      </c>
      <c r="I5" s="29" t="s">
        <v>114</v>
      </c>
      <c r="J5" s="80" t="s">
        <v>115</v>
      </c>
      <c r="K5" s="80" t="s">
        <v>100</v>
      </c>
      <c r="L5" s="30" t="s">
        <v>116</v>
      </c>
      <c r="M5" s="30" t="s">
        <v>117</v>
      </c>
      <c r="N5" s="492" t="s">
        <v>118</v>
      </c>
      <c r="O5" s="670"/>
      <c r="P5" s="653"/>
      <c r="Q5" s="670"/>
      <c r="R5" s="643"/>
      <c r="S5" s="643"/>
      <c r="T5" s="645"/>
      <c r="U5" s="645"/>
      <c r="V5" s="645"/>
      <c r="W5" s="643"/>
      <c r="X5" s="650"/>
      <c r="Y5" s="651"/>
      <c r="Z5" s="643"/>
      <c r="AA5" s="645"/>
      <c r="AB5" s="654"/>
      <c r="AC5" s="645"/>
      <c r="AD5" s="654"/>
      <c r="AE5" s="645"/>
      <c r="AF5" s="442" t="s">
        <v>295</v>
      </c>
      <c r="AG5" s="517" t="s">
        <v>296</v>
      </c>
      <c r="AH5" s="517" t="s">
        <v>297</v>
      </c>
      <c r="AI5" s="653"/>
      <c r="AJ5" s="653"/>
      <c r="AK5" s="653"/>
      <c r="AL5" s="653"/>
      <c r="AM5" s="683"/>
      <c r="AN5" s="656"/>
      <c r="AO5" s="656"/>
      <c r="AP5" s="656"/>
      <c r="AQ5" s="656"/>
      <c r="AR5" s="642"/>
      <c r="AS5" s="691"/>
      <c r="AT5" s="516" t="s">
        <v>291</v>
      </c>
      <c r="AU5" s="516" t="s">
        <v>292</v>
      </c>
      <c r="AV5" s="515" t="s">
        <v>293</v>
      </c>
      <c r="AW5" s="515" t="s">
        <v>293</v>
      </c>
      <c r="AX5" s="513" t="s">
        <v>17</v>
      </c>
      <c r="AY5" s="513" t="s">
        <v>17</v>
      </c>
      <c r="AZ5" s="673"/>
      <c r="BA5" s="642"/>
      <c r="BB5" s="644"/>
      <c r="BC5" s="644"/>
      <c r="BD5" s="636"/>
      <c r="BE5" s="639"/>
      <c r="BF5" s="641"/>
    </row>
    <row r="6" spans="1:58" ht="12.75" customHeight="1">
      <c r="A6" s="39">
        <f>+Report1!A9</f>
        <v>45992</v>
      </c>
      <c r="B6" s="40" t="s">
        <v>7</v>
      </c>
      <c r="C6" s="413">
        <f>(M6*E6*O6*Q6)/100000000</f>
        <v>45.611265023999998</v>
      </c>
      <c r="D6" s="40" t="s">
        <v>302</v>
      </c>
      <c r="E6" s="41">
        <v>14</v>
      </c>
      <c r="F6" s="41">
        <v>1</v>
      </c>
      <c r="G6" s="498">
        <f>+L6</f>
        <v>1144.9714285714285</v>
      </c>
      <c r="H6" s="43">
        <v>0.24</v>
      </c>
      <c r="I6" s="44">
        <v>0.88</v>
      </c>
      <c r="J6" s="81">
        <f>E6*G6*(1-H6)*1440/1000000*2.74</f>
        <v>48.067256217600004</v>
      </c>
      <c r="K6" s="81">
        <f>(IF(G6&lt;L6,L6,G6)*(1-IF(H6&lt;N6,H6,N6))*E6*O6*Q6)/100000000</f>
        <v>45.611265023999998</v>
      </c>
      <c r="L6" s="34">
        <v>1144.9714285714285</v>
      </c>
      <c r="M6" s="34">
        <v>870.17828571428572</v>
      </c>
      <c r="N6" s="45">
        <f>1-(M6/L6)</f>
        <v>0.24</v>
      </c>
      <c r="O6" s="46">
        <f>+'Trim Rwd'!H4</f>
        <v>260</v>
      </c>
      <c r="P6" s="47">
        <f>O6*(Q6-R6-S6)</f>
        <v>217620</v>
      </c>
      <c r="Q6" s="46">
        <v>1440</v>
      </c>
      <c r="R6" s="499">
        <f>505+60</f>
        <v>565</v>
      </c>
      <c r="S6" s="499">
        <v>38</v>
      </c>
      <c r="T6" s="36">
        <f>E6*M6*O6*Q6/100000000</f>
        <v>45.611265023999998</v>
      </c>
      <c r="U6" s="36">
        <f>E6*M6*O6*(Q6-R6-S6)/100000000</f>
        <v>26.511547795199998</v>
      </c>
      <c r="V6" s="36">
        <f>E6*G6*(1-N6)*O6/100*(R6+S6)/1000000</f>
        <v>19.099717228799999</v>
      </c>
      <c r="W6" s="36">
        <f>+'1'!C34/1000</f>
        <v>23.289000000000001</v>
      </c>
      <c r="X6" s="500">
        <f>SUM(W6:W10)/SUM(K6:K10)</f>
        <v>0.51059754619271491</v>
      </c>
      <c r="Y6" s="210">
        <v>0</v>
      </c>
      <c r="Z6" s="36">
        <f>+'1'!D16/1000</f>
        <v>0.69199999999999995</v>
      </c>
      <c r="AA6" s="48">
        <f>SUM(U6:U10)-SUM(W6:W10)-SUM(Z6:Z10)-SUM(Y6:Y10)</f>
        <v>2.5305477951999968</v>
      </c>
      <c r="AB6" s="48">
        <f>(SUM(K6:K10)-SUM(W6:W10)-SUM(Y6:Y10)-SUM(Z6:Z10)-SUM(AC6:AC10)-SUM(V6:V10))-AA6</f>
        <v>0</v>
      </c>
      <c r="AC6" s="36">
        <f>K6-T6</f>
        <v>0</v>
      </c>
      <c r="AD6" s="36">
        <f>+AM6+BA6</f>
        <v>0</v>
      </c>
      <c r="AE6" s="229" t="s">
        <v>384</v>
      </c>
      <c r="AF6" s="36">
        <v>0</v>
      </c>
      <c r="AG6" s="36"/>
      <c r="AH6" s="36"/>
      <c r="AI6" s="501"/>
      <c r="AJ6" s="36"/>
      <c r="AK6" s="36"/>
      <c r="AL6" s="36"/>
      <c r="AM6" s="36">
        <f t="shared" ref="AM6:AM11" si="0"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0</v>
      </c>
      <c r="BC6" s="50"/>
      <c r="BD6" s="50"/>
      <c r="BE6" s="32"/>
      <c r="BF6" s="50"/>
    </row>
    <row r="7" spans="1:58" ht="12.95" customHeight="1">
      <c r="A7" s="39"/>
      <c r="B7" s="40"/>
      <c r="C7" s="413"/>
      <c r="D7" s="40"/>
      <c r="E7" s="41"/>
      <c r="F7" s="41"/>
      <c r="G7" s="498"/>
      <c r="H7" s="43"/>
      <c r="I7" s="44"/>
      <c r="J7" s="81"/>
      <c r="K7" s="81"/>
      <c r="L7" s="34"/>
      <c r="M7" s="34"/>
      <c r="N7" s="45"/>
      <c r="O7" s="46"/>
      <c r="P7" s="47"/>
      <c r="Q7" s="46"/>
      <c r="R7" s="499"/>
      <c r="S7" s="499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+AM7+BA7</f>
        <v>15</v>
      </c>
      <c r="AE7" s="229" t="s">
        <v>412</v>
      </c>
      <c r="AF7" s="36"/>
      <c r="AG7" s="36">
        <v>15</v>
      </c>
      <c r="AH7" s="36"/>
      <c r="AI7" s="501"/>
      <c r="AJ7" s="36"/>
      <c r="AK7" s="36"/>
      <c r="AL7" s="36"/>
      <c r="AM7" s="36">
        <f t="shared" si="0"/>
        <v>15</v>
      </c>
      <c r="AN7" s="82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9</v>
      </c>
      <c r="BD7" s="50"/>
      <c r="BE7" s="49"/>
      <c r="BF7" s="50"/>
    </row>
    <row r="8" spans="1:58" ht="12.95" customHeight="1">
      <c r="A8" s="39"/>
      <c r="B8" s="40"/>
      <c r="C8" s="413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499"/>
      <c r="S8" s="499"/>
      <c r="T8" s="36"/>
      <c r="U8" s="36"/>
      <c r="V8" s="36"/>
      <c r="W8" s="36"/>
      <c r="X8" s="37"/>
      <c r="Y8" s="210"/>
      <c r="Z8" s="36"/>
      <c r="AA8" s="36"/>
      <c r="AB8" s="36"/>
      <c r="AC8" s="36"/>
      <c r="AD8" s="36">
        <f>+AM8+BA8</f>
        <v>23</v>
      </c>
      <c r="AE8" s="229" t="s">
        <v>413</v>
      </c>
      <c r="AF8" s="32"/>
      <c r="AG8" s="32"/>
      <c r="AH8" s="32">
        <v>23</v>
      </c>
      <c r="AJ8" s="36"/>
      <c r="AK8" s="36"/>
      <c r="AL8" s="36"/>
      <c r="AM8" s="36">
        <f t="shared" si="0"/>
        <v>23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02"/>
      <c r="BD8" s="502"/>
      <c r="BE8" s="32"/>
      <c r="BF8" s="502"/>
    </row>
    <row r="9" spans="1:58" ht="12.95" customHeight="1">
      <c r="A9" s="39"/>
      <c r="B9" s="40"/>
      <c r="C9" s="413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499"/>
      <c r="S9" s="499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+AM9+BA9</f>
        <v>481</v>
      </c>
      <c r="AE9" s="232" t="s">
        <v>411</v>
      </c>
      <c r="AF9" s="36"/>
      <c r="AG9" s="36"/>
      <c r="AH9" s="36"/>
      <c r="AI9" s="501">
        <v>0</v>
      </c>
      <c r="AJ9" s="36"/>
      <c r="AK9" s="36"/>
      <c r="AL9" s="36"/>
      <c r="AM9" s="36">
        <f t="shared" si="0"/>
        <v>0</v>
      </c>
      <c r="AN9" s="36"/>
      <c r="AO9" s="36">
        <v>481</v>
      </c>
      <c r="AP9" s="36"/>
      <c r="AQ9" s="36"/>
      <c r="AR9" s="36">
        <f>SUM(AN9:AQ9)</f>
        <v>481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481</v>
      </c>
      <c r="BB9" s="49"/>
      <c r="BC9" s="50"/>
      <c r="BD9" s="50"/>
      <c r="BE9" s="49"/>
      <c r="BF9" s="50"/>
    </row>
    <row r="10" spans="1:58" ht="12.95" customHeight="1">
      <c r="A10" s="39"/>
      <c r="B10" s="40"/>
      <c r="C10" s="413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499"/>
      <c r="S10" s="499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>
        <f>+AM10+BA10</f>
        <v>84</v>
      </c>
      <c r="AE10" s="232" t="s">
        <v>414</v>
      </c>
      <c r="AF10" s="36"/>
      <c r="AG10" s="36"/>
      <c r="AH10" s="36"/>
      <c r="AI10" s="501"/>
      <c r="AJ10" s="36"/>
      <c r="AK10" s="36"/>
      <c r="AL10" s="36"/>
      <c r="AM10" s="36">
        <f t="shared" si="0"/>
        <v>0</v>
      </c>
      <c r="AN10" s="36"/>
      <c r="AO10" s="36"/>
      <c r="AP10" s="36">
        <v>84</v>
      </c>
      <c r="AQ10" s="36"/>
      <c r="AR10" s="36">
        <f>SUM(AN10:AQ10)</f>
        <v>84</v>
      </c>
      <c r="AS10" s="36"/>
      <c r="AT10" s="36"/>
      <c r="AU10" s="36"/>
      <c r="AV10" s="36"/>
      <c r="AW10" s="36"/>
      <c r="AX10" s="36"/>
      <c r="AY10" s="36"/>
      <c r="AZ10" s="36"/>
      <c r="BA10" s="36">
        <f>+AR10+AS10+AU10+AW10+AY10+AZ10</f>
        <v>84</v>
      </c>
      <c r="BB10" s="49"/>
      <c r="BC10" s="50"/>
      <c r="BD10" s="50"/>
      <c r="BE10" s="32"/>
      <c r="BF10" s="50"/>
    </row>
    <row r="11" spans="1:58" ht="12.95" customHeight="1">
      <c r="A11" s="39"/>
      <c r="B11" s="40"/>
      <c r="C11" s="413"/>
      <c r="D11" s="40"/>
      <c r="E11" s="41"/>
      <c r="F11" s="41"/>
      <c r="G11" s="498"/>
      <c r="H11" s="43"/>
      <c r="I11" s="44"/>
      <c r="J11" s="81"/>
      <c r="K11" s="81"/>
      <c r="L11" s="34"/>
      <c r="M11" s="34"/>
      <c r="N11" s="45"/>
      <c r="O11" s="46"/>
      <c r="P11" s="47"/>
      <c r="Q11" s="46"/>
      <c r="R11" s="499"/>
      <c r="S11" s="499"/>
      <c r="T11" s="36"/>
      <c r="U11" s="36"/>
      <c r="V11" s="36"/>
      <c r="W11" s="36"/>
      <c r="X11" s="500"/>
      <c r="Y11" s="210"/>
      <c r="Z11" s="36"/>
      <c r="AA11" s="48"/>
      <c r="AB11" s="48"/>
      <c r="AC11" s="36"/>
      <c r="AD11" s="36"/>
      <c r="AE11" s="229"/>
      <c r="AF11" s="36"/>
      <c r="AG11" s="36"/>
      <c r="AH11" s="36"/>
      <c r="AI11" s="501"/>
      <c r="AJ11" s="36"/>
      <c r="AK11" s="36"/>
      <c r="AL11" s="36"/>
      <c r="AM11" s="36">
        <f t="shared" si="0"/>
        <v>0</v>
      </c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2"/>
      <c r="BC11" s="50"/>
      <c r="BD11" s="50"/>
      <c r="BE11" s="49"/>
      <c r="BF11" s="50"/>
    </row>
    <row r="12" spans="1:58" ht="12.75" customHeight="1">
      <c r="A12" s="39">
        <v>45993</v>
      </c>
      <c r="B12" s="40" t="s">
        <v>7</v>
      </c>
      <c r="C12" s="413">
        <f>(M12*E12*O12*Q12)/100000000</f>
        <v>8.7141599999999997</v>
      </c>
      <c r="D12" s="40" t="s">
        <v>302</v>
      </c>
      <c r="E12" s="41">
        <v>14</v>
      </c>
      <c r="F12" s="41">
        <v>1</v>
      </c>
      <c r="G12" s="498">
        <f>+L12</f>
        <v>1166.6666666666667</v>
      </c>
      <c r="H12" s="43">
        <v>0.24</v>
      </c>
      <c r="I12" s="44">
        <v>0.88</v>
      </c>
      <c r="J12" s="81">
        <f>E12*G12*(1-H12)*1440/1000000*2.74</f>
        <v>48.978048000000001</v>
      </c>
      <c r="K12" s="81">
        <f>(IF(G12&lt;L12,L12,G12)*(1-IF(H12&lt;N12,H12,N12))*E12*O12*Q12)/100000000</f>
        <v>8.7141599999999997</v>
      </c>
      <c r="L12" s="34">
        <v>1166.6666666666667</v>
      </c>
      <c r="M12" s="34">
        <v>886.66666666666663</v>
      </c>
      <c r="N12" s="45">
        <f>1-(M12/L12)</f>
        <v>0.2400000000000001</v>
      </c>
      <c r="O12" s="46">
        <f>+'Trim Rwd'!H6</f>
        <v>260</v>
      </c>
      <c r="P12" s="47">
        <f>O12*(Q12-R12-S12)</f>
        <v>65260</v>
      </c>
      <c r="Q12" s="46">
        <v>270</v>
      </c>
      <c r="R12" s="499">
        <v>0</v>
      </c>
      <c r="S12" s="499">
        <v>19</v>
      </c>
      <c r="T12" s="36">
        <f>E12*M12*O12*Q12/100000000</f>
        <v>8.7141599999999997</v>
      </c>
      <c r="U12" s="36">
        <f>E12*M12*O12*(Q12-R12-S12)/100000000</f>
        <v>8.1009413333333331</v>
      </c>
      <c r="V12" s="36">
        <f>E12*G12*(1-N12)*O12/100*(R12+S12)/1000000</f>
        <v>0.61321866666666658</v>
      </c>
      <c r="W12" s="36">
        <f>+'2'!K7/1000</f>
        <v>11.259</v>
      </c>
      <c r="X12" s="500">
        <f>SUM(W12:W15)/SUM(K12:K15)</f>
        <v>0.91595943603145025</v>
      </c>
      <c r="Y12" s="210">
        <v>0</v>
      </c>
      <c r="Z12" s="36">
        <f>+'1'!D31/1000</f>
        <v>0</v>
      </c>
      <c r="AA12" s="48">
        <f>SUM(U12:U15)-SUM(W12:W15)-SUM(Z12:Z15)-SUM(Y12:Y15)</f>
        <v>1.6691051487179394</v>
      </c>
      <c r="AB12" s="48">
        <f>(SUM(K12:K15)-SUM(W12:W15)-SUM(Y12:Y15)-SUM(Z12:Z15)-SUM(AC12:AC15)-SUM(V12:V15))-AA12</f>
        <v>6.2172489379008766E-15</v>
      </c>
      <c r="AC12" s="36">
        <f>K12-T12</f>
        <v>0</v>
      </c>
      <c r="AD12" s="36">
        <f>+AM12+BA12</f>
        <v>14</v>
      </c>
      <c r="AE12" s="229" t="s">
        <v>427</v>
      </c>
      <c r="AF12" s="36">
        <v>14</v>
      </c>
      <c r="AG12" s="36"/>
      <c r="AH12" s="36"/>
      <c r="AI12" s="501"/>
      <c r="AJ12" s="36"/>
      <c r="AK12" s="36"/>
      <c r="AL12" s="36"/>
      <c r="AM12" s="36">
        <f>SUM(AF12:AL12)+AT12+AV12+AX12</f>
        <v>14</v>
      </c>
      <c r="AN12" s="36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32">
        <v>5</v>
      </c>
      <c r="BC12" s="50"/>
      <c r="BD12" s="50"/>
      <c r="BE12" s="32"/>
      <c r="BF12" s="50"/>
    </row>
    <row r="13" spans="1:58" ht="12.95" customHeight="1">
      <c r="A13" s="39"/>
      <c r="B13" s="40" t="s">
        <v>7</v>
      </c>
      <c r="C13" s="413">
        <f>(M13*E13*O13*Q13)/100000000</f>
        <v>37.524787199999999</v>
      </c>
      <c r="D13" s="40" t="s">
        <v>302</v>
      </c>
      <c r="E13" s="41">
        <v>15</v>
      </c>
      <c r="F13" s="41">
        <v>1</v>
      </c>
      <c r="G13" s="498">
        <f>+L13</f>
        <v>1098.9743589743589</v>
      </c>
      <c r="H13" s="43">
        <v>0.24</v>
      </c>
      <c r="I13" s="44">
        <v>0.88</v>
      </c>
      <c r="J13" s="81">
        <f>E13*G13*(1-H13)*1440/1000000*2.74</f>
        <v>49.431690830769234</v>
      </c>
      <c r="K13" s="81">
        <f>(IF(G13&lt;L13,L13,G13)*(1-IF(H13&lt;N13,H13,N13))*E13*O13*Q13)/100000000</f>
        <v>37.524787199999999</v>
      </c>
      <c r="L13" s="34">
        <v>1098.9743589743589</v>
      </c>
      <c r="M13" s="34">
        <v>835.22051282051279</v>
      </c>
      <c r="N13" s="45">
        <f>1-(M13/L13)</f>
        <v>0.24</v>
      </c>
      <c r="O13" s="46">
        <f>+'Trim Rwd'!H7</f>
        <v>256</v>
      </c>
      <c r="P13" s="47">
        <f>O13*(Q13-R13-S13)</f>
        <v>286720</v>
      </c>
      <c r="Q13" s="46">
        <v>1170</v>
      </c>
      <c r="R13" s="499">
        <v>0</v>
      </c>
      <c r="S13" s="499">
        <v>50</v>
      </c>
      <c r="T13" s="36">
        <f>E13*M13*O13*Q13/100000000</f>
        <v>37.524787199999999</v>
      </c>
      <c r="U13" s="36">
        <f>E13*M13*O13*(Q13-R13-S13)/100000000</f>
        <v>35.92116381538461</v>
      </c>
      <c r="V13" s="36">
        <f>E13*G13*(1-N13)*O13/100*(R13+S13)/1000000</f>
        <v>1.6036233846153845</v>
      </c>
      <c r="W13" s="36">
        <f>+'2'!K8/1000</f>
        <v>31.094000000000001</v>
      </c>
      <c r="X13" s="37"/>
      <c r="Y13" s="210"/>
      <c r="Z13" s="36"/>
      <c r="AA13" s="36"/>
      <c r="AB13" s="36"/>
      <c r="AC13" s="36">
        <f>K13-T13</f>
        <v>0</v>
      </c>
      <c r="AD13" s="36">
        <f>+AM13+BA13</f>
        <v>8</v>
      </c>
      <c r="AE13" s="229" t="s">
        <v>424</v>
      </c>
      <c r="AF13" s="36"/>
      <c r="AG13" s="36">
        <v>8</v>
      </c>
      <c r="AH13" s="36"/>
      <c r="AI13" s="501"/>
      <c r="AJ13" s="36"/>
      <c r="AK13" s="36"/>
      <c r="AL13" s="36"/>
      <c r="AM13" s="36">
        <f>SUM(AF13:AL13)+AT13+AV13+AX13</f>
        <v>8</v>
      </c>
      <c r="AN13" s="82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49"/>
      <c r="BC13" s="50">
        <v>8</v>
      </c>
      <c r="BD13" s="50"/>
      <c r="BE13" s="49"/>
      <c r="BF13" s="50"/>
    </row>
    <row r="14" spans="1:58" ht="12.95" customHeight="1">
      <c r="A14" s="39"/>
      <c r="B14" s="40"/>
      <c r="C14" s="413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46"/>
      <c r="R14" s="499"/>
      <c r="S14" s="499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+AM14+BA14</f>
        <v>47</v>
      </c>
      <c r="AE14" s="229" t="s">
        <v>428</v>
      </c>
      <c r="AF14" s="32"/>
      <c r="AG14" s="32"/>
      <c r="AH14" s="32">
        <v>47</v>
      </c>
      <c r="AJ14" s="36"/>
      <c r="AK14" s="36"/>
      <c r="AL14" s="36"/>
      <c r="AM14" s="36">
        <f>SUM(AF14:AL14)+AT14+AV14+AX14</f>
        <v>47</v>
      </c>
      <c r="AN14" s="36"/>
      <c r="AO14" s="36"/>
      <c r="AP14" s="36"/>
      <c r="AQ14" s="36"/>
      <c r="AR14" s="36">
        <f>SUM(AN14:AQ14)</f>
        <v>0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0</v>
      </c>
      <c r="BB14" s="32"/>
      <c r="BC14" s="502"/>
      <c r="BD14" s="502"/>
      <c r="BE14" s="32"/>
      <c r="BF14" s="502"/>
    </row>
    <row r="15" spans="1:58" ht="12.95" customHeight="1">
      <c r="A15" s="39"/>
      <c r="B15" s="40"/>
      <c r="C15" s="413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499"/>
      <c r="S15" s="499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2"/>
      <c r="AF15" s="36"/>
      <c r="AG15" s="36"/>
      <c r="AH15" s="36"/>
      <c r="AI15" s="501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75" customHeight="1">
      <c r="A16" s="39">
        <v>45994</v>
      </c>
      <c r="B16" s="40" t="s">
        <v>7</v>
      </c>
      <c r="C16" s="413">
        <f>(M16*E16*O16*Q16)/100000000</f>
        <v>45.807206400000013</v>
      </c>
      <c r="D16" s="40" t="s">
        <v>302</v>
      </c>
      <c r="E16" s="41">
        <v>15</v>
      </c>
      <c r="F16" s="41">
        <v>1</v>
      </c>
      <c r="G16" s="498">
        <f>+L16</f>
        <v>1090</v>
      </c>
      <c r="H16" s="43">
        <v>0.24</v>
      </c>
      <c r="I16" s="44">
        <v>0.88</v>
      </c>
      <c r="J16" s="81">
        <f>E16*G16*(1-H16)*1440/1000000*2.74</f>
        <v>49.028025599999999</v>
      </c>
      <c r="K16" s="81">
        <f>(IF(G16&lt;L16,L16,G16)*(1-IF(H16&lt;N16,H16,N16))*E16*O16*Q16)/100000000</f>
        <v>45.807206400000013</v>
      </c>
      <c r="L16" s="34">
        <v>1090</v>
      </c>
      <c r="M16" s="34">
        <v>828.4000000000002</v>
      </c>
      <c r="N16" s="45">
        <f>1-(M16/L16)</f>
        <v>0.23999999999999977</v>
      </c>
      <c r="O16" s="46">
        <f>+'Trim Rwd'!H9</f>
        <v>256</v>
      </c>
      <c r="P16" s="47">
        <f>O16*(Q16-R16-S16)</f>
        <v>351488</v>
      </c>
      <c r="Q16" s="46">
        <v>1440</v>
      </c>
      <c r="R16" s="499">
        <v>0</v>
      </c>
      <c r="S16" s="499">
        <v>67</v>
      </c>
      <c r="T16" s="36">
        <f>E16*M16*O16*Q16/100000000</f>
        <v>45.807206400000013</v>
      </c>
      <c r="U16" s="36">
        <f>E16*M16*O16*(Q16-R16-S16)/100000000</f>
        <v>43.675898880000013</v>
      </c>
      <c r="V16" s="36">
        <f>E16*G16*(1-N16)*O16/100*(R16+S16)/1000000</f>
        <v>2.1313075200000005</v>
      </c>
      <c r="W16" s="36">
        <f>+'3'!K8/1000</f>
        <v>41.976999999999997</v>
      </c>
      <c r="X16" s="500">
        <f>SUM(W16:W19)/SUM(K16:K19)</f>
        <v>0.91638419582819142</v>
      </c>
      <c r="Y16" s="210">
        <v>0</v>
      </c>
      <c r="Z16" s="36">
        <v>0</v>
      </c>
      <c r="AA16" s="48">
        <f>SUM(U16:U19)-SUM(W16:W19)-SUM(Z16:Z19)-SUM(Y16:Y19)</f>
        <v>1.6988988800000158</v>
      </c>
      <c r="AB16" s="48">
        <f>(SUM(K16:K19)-SUM(W16:W19)-SUM(Y16:Y19)-SUM(Z16:Z19)-SUM(AC16:AC19)-SUM(V16:V19))-AA16</f>
        <v>0</v>
      </c>
      <c r="AC16" s="36">
        <f>K16-T16</f>
        <v>0</v>
      </c>
      <c r="AD16" s="36">
        <f>+AM16+BA16</f>
        <v>18</v>
      </c>
      <c r="AE16" s="229" t="s">
        <v>436</v>
      </c>
      <c r="AF16" s="36">
        <v>18</v>
      </c>
      <c r="AG16" s="36"/>
      <c r="AH16" s="36"/>
      <c r="AI16" s="501"/>
      <c r="AJ16" s="36"/>
      <c r="AK16" s="36"/>
      <c r="AL16" s="36"/>
      <c r="AM16" s="36">
        <f>SUM(AF16:AL16)+AT16+AV16+AX16</f>
        <v>18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9</v>
      </c>
      <c r="BC16" s="50"/>
      <c r="BD16" s="50"/>
      <c r="BE16" s="32"/>
      <c r="BF16" s="50"/>
    </row>
    <row r="17" spans="1:58" ht="12.95" customHeight="1">
      <c r="A17" s="39"/>
      <c r="B17" s="40"/>
      <c r="C17" s="413"/>
      <c r="D17" s="40"/>
      <c r="E17" s="41"/>
      <c r="F17" s="41"/>
      <c r="G17" s="498"/>
      <c r="H17" s="43"/>
      <c r="I17" s="44"/>
      <c r="J17" s="81"/>
      <c r="K17" s="81"/>
      <c r="L17" s="34"/>
      <c r="M17" s="34"/>
      <c r="N17" s="45"/>
      <c r="O17" s="46"/>
      <c r="P17" s="47"/>
      <c r="Q17" s="46"/>
      <c r="R17" s="499"/>
      <c r="S17" s="499"/>
      <c r="T17" s="36"/>
      <c r="U17" s="36"/>
      <c r="V17" s="36"/>
      <c r="W17" s="36"/>
      <c r="X17" s="37"/>
      <c r="Y17" s="210"/>
      <c r="Z17" s="36"/>
      <c r="AA17" s="36"/>
      <c r="AB17" s="36"/>
      <c r="AC17" s="36"/>
      <c r="AD17" s="36">
        <f>+AM17+BA17</f>
        <v>10</v>
      </c>
      <c r="AE17" s="229" t="s">
        <v>435</v>
      </c>
      <c r="AF17" s="36"/>
      <c r="AG17" s="36">
        <v>10</v>
      </c>
      <c r="AH17" s="36"/>
      <c r="AI17" s="501"/>
      <c r="AJ17" s="36"/>
      <c r="AK17" s="36"/>
      <c r="AL17" s="36"/>
      <c r="AM17" s="36">
        <f>SUM(AF17:AL17)+AT17+AV17+AX17</f>
        <v>10</v>
      </c>
      <c r="AN17" s="82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10</v>
      </c>
      <c r="BD17" s="50"/>
      <c r="BE17" s="49"/>
      <c r="BF17" s="50"/>
    </row>
    <row r="18" spans="1:58" ht="12.95" customHeight="1">
      <c r="A18" s="39"/>
      <c r="B18" s="40"/>
      <c r="C18" s="413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499"/>
      <c r="S18" s="499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+AM18+BA18</f>
        <v>39</v>
      </c>
      <c r="AE18" s="229" t="s">
        <v>437</v>
      </c>
      <c r="AF18" s="32"/>
      <c r="AG18" s="32"/>
      <c r="AH18" s="32">
        <v>39</v>
      </c>
      <c r="AJ18" s="36"/>
      <c r="AK18" s="36"/>
      <c r="AL18" s="36"/>
      <c r="AM18" s="36">
        <f>SUM(AF18:AL18)+AT18+AV18+AX18</f>
        <v>39</v>
      </c>
      <c r="AN18" s="36"/>
      <c r="AO18" s="36"/>
      <c r="AP18" s="36"/>
      <c r="AQ18" s="36"/>
      <c r="AR18" s="36">
        <f>SUM(AN18:AQ18)</f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02"/>
      <c r="BD18" s="502"/>
      <c r="BE18" s="32"/>
      <c r="BF18" s="502"/>
    </row>
    <row r="19" spans="1:58" ht="12.95" customHeight="1">
      <c r="A19" s="39"/>
      <c r="B19" s="40"/>
      <c r="C19" s="413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499"/>
      <c r="S19" s="499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/>
      <c r="AE19" s="232"/>
      <c r="AF19" s="36"/>
      <c r="AG19" s="36"/>
      <c r="AH19" s="36"/>
      <c r="AI19" s="501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49"/>
      <c r="BC19" s="50"/>
      <c r="BD19" s="50"/>
      <c r="BE19" s="49"/>
      <c r="BF19" s="50"/>
    </row>
    <row r="20" spans="1:58" ht="12.75" customHeight="1">
      <c r="A20" s="39">
        <v>45995</v>
      </c>
      <c r="B20" s="40" t="s">
        <v>7</v>
      </c>
      <c r="C20" s="413">
        <f>(M20*E20*O20*Q20)/100000000</f>
        <v>20.040652800000004</v>
      </c>
      <c r="D20" s="40" t="s">
        <v>302</v>
      </c>
      <c r="E20" s="41">
        <v>15</v>
      </c>
      <c r="F20" s="41">
        <v>1</v>
      </c>
      <c r="G20" s="498">
        <f>+L20</f>
        <v>1090</v>
      </c>
      <c r="H20" s="43">
        <v>0.24</v>
      </c>
      <c r="I20" s="44">
        <v>0.88</v>
      </c>
      <c r="J20" s="81">
        <f>E20*G20*(1-H20)*1440/1000000*2.74</f>
        <v>49.028025599999999</v>
      </c>
      <c r="K20" s="81">
        <f>(IF(G20&lt;L20,L20,G20)*(1-IF(H20&lt;N20,H20,N20))*E20*O20*Q20)/100000000</f>
        <v>20.040652800000004</v>
      </c>
      <c r="L20" s="34">
        <v>1090</v>
      </c>
      <c r="M20" s="34">
        <v>828.40000000000009</v>
      </c>
      <c r="N20" s="45">
        <f>1-(M20/L20)</f>
        <v>0.23999999999999988</v>
      </c>
      <c r="O20" s="46">
        <f>+'Trim Rwd'!H11</f>
        <v>256</v>
      </c>
      <c r="P20" s="47">
        <f>O20*(Q20-R20-S20)</f>
        <v>151808</v>
      </c>
      <c r="Q20" s="46">
        <v>630</v>
      </c>
      <c r="R20" s="499">
        <v>0</v>
      </c>
      <c r="S20" s="499">
        <v>37</v>
      </c>
      <c r="T20" s="36">
        <f>E20*M20*O20*Q20/100000000</f>
        <v>20.040652800000004</v>
      </c>
      <c r="U20" s="36">
        <f>E20*M20*O20*(Q20-R20-S20)/100000000</f>
        <v>18.863662080000001</v>
      </c>
      <c r="V20" s="36">
        <f>E20*G20*(1-N20)*O20/100*(R20+S20)/1000000</f>
        <v>1.1769907200000003</v>
      </c>
      <c r="W20" s="36">
        <f>+'4'!K8/1000</f>
        <v>22.475000000000001</v>
      </c>
      <c r="X20" s="500">
        <f>SUM(W20:W23)/SUM(K20:K23)</f>
        <v>0.89503757401699113</v>
      </c>
      <c r="Y20" s="210">
        <v>0</v>
      </c>
      <c r="Z20" s="36">
        <f>+'1'!D39/1000</f>
        <v>0</v>
      </c>
      <c r="AA20" s="48">
        <f>SUM(U20:U23)-SUM(W20:W23)-SUM(Z20:Z23)-SUM(Y20:Y23)</f>
        <v>2.306636065185188</v>
      </c>
      <c r="AB20" s="48">
        <f>(SUM(K20:K23)-SUM(W20:W23)-SUM(Y20:Y23)-SUM(Z20:Z23)-SUM(AC20:AC23)-SUM(V20:V23))-AA20</f>
        <v>-6.2172489379008766E-15</v>
      </c>
      <c r="AC20" s="36">
        <f>K20-T20</f>
        <v>0</v>
      </c>
      <c r="AD20" s="36">
        <f>+AM20+BA20</f>
        <v>21</v>
      </c>
      <c r="AE20" s="229" t="s">
        <v>442</v>
      </c>
      <c r="AF20" s="36">
        <v>21</v>
      </c>
      <c r="AG20" s="36"/>
      <c r="AH20" s="36"/>
      <c r="AI20" s="501"/>
      <c r="AJ20" s="36"/>
      <c r="AK20" s="36"/>
      <c r="AL20" s="36"/>
      <c r="AM20" s="36">
        <f>SUM(AF20:AL20)+AT20+AV20+AX20</f>
        <v>21</v>
      </c>
      <c r="AN20" s="36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32">
        <v>6</v>
      </c>
      <c r="BC20" s="50"/>
      <c r="BD20" s="50"/>
      <c r="BE20" s="32"/>
      <c r="BF20" s="50"/>
    </row>
    <row r="21" spans="1:58" ht="12.95" customHeight="1">
      <c r="A21" s="39"/>
      <c r="B21" s="40" t="s">
        <v>7</v>
      </c>
      <c r="C21" s="413">
        <f>(M21*E21*O21*Q21)/100000000</f>
        <v>24.831206399999999</v>
      </c>
      <c r="D21" s="40" t="s">
        <v>302</v>
      </c>
      <c r="E21" s="41">
        <v>14</v>
      </c>
      <c r="F21" s="41">
        <v>1</v>
      </c>
      <c r="G21" s="498">
        <f>+L21</f>
        <v>1108.148148148148</v>
      </c>
      <c r="H21" s="43">
        <v>0.24</v>
      </c>
      <c r="I21" s="44">
        <v>0.88</v>
      </c>
      <c r="J21" s="81">
        <f>E21*G21*(1-H21)*1440/1000000*2.74</f>
        <v>46.521371306666659</v>
      </c>
      <c r="K21" s="81">
        <f>(IF(G21&lt;L21,L21,G21)*(1-IF(H21&lt;N21,H21,N21))*E21*O21*Q21)/100000000</f>
        <v>24.831206399999999</v>
      </c>
      <c r="L21" s="34">
        <v>1108.148148148148</v>
      </c>
      <c r="M21" s="34">
        <v>842.19259259259263</v>
      </c>
      <c r="N21" s="45">
        <f>1-(M21/L21)</f>
        <v>0.23999999999999988</v>
      </c>
      <c r="O21" s="46">
        <f>+'Trim Rwd'!H12</f>
        <v>260</v>
      </c>
      <c r="P21" s="47">
        <f>O21*(Q21-R21-S21)</f>
        <v>200200</v>
      </c>
      <c r="Q21" s="46">
        <v>810</v>
      </c>
      <c r="R21" s="499">
        <v>0</v>
      </c>
      <c r="S21" s="499">
        <v>40</v>
      </c>
      <c r="T21" s="36">
        <f>E21*M21*O21*Q21/100000000</f>
        <v>24.831206399999999</v>
      </c>
      <c r="U21" s="36">
        <f>E21*M21*O21*(Q21-R21-S21)/100000000</f>
        <v>23.60497398518519</v>
      </c>
      <c r="V21" s="36">
        <f>E21*G21*(1-N21)*O21/100*(R21+S21)/1000000</f>
        <v>1.2262324148148149</v>
      </c>
      <c r="W21" s="36">
        <f>+'4'!K7/1000</f>
        <v>17.687000000000001</v>
      </c>
      <c r="X21" s="37"/>
      <c r="Y21" s="210"/>
      <c r="Z21" s="36"/>
      <c r="AA21" s="36"/>
      <c r="AB21" s="36"/>
      <c r="AC21" s="36">
        <f>K21-T21</f>
        <v>0</v>
      </c>
      <c r="AD21" s="36">
        <f>+AM21+BA21</f>
        <v>9</v>
      </c>
      <c r="AE21" s="229" t="s">
        <v>412</v>
      </c>
      <c r="AF21" s="36"/>
      <c r="AG21" s="36">
        <v>9</v>
      </c>
      <c r="AH21" s="36"/>
      <c r="AI21" s="501"/>
      <c r="AJ21" s="36"/>
      <c r="AK21" s="36"/>
      <c r="AL21" s="36"/>
      <c r="AM21" s="36">
        <f>SUM(AF21:AL21)+AT21+AV21+AX21</f>
        <v>9</v>
      </c>
      <c r="AN21" s="82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49"/>
      <c r="BC21" s="50">
        <v>9</v>
      </c>
      <c r="BD21" s="50"/>
      <c r="BE21" s="49"/>
      <c r="BF21" s="50"/>
    </row>
    <row r="22" spans="1:58" ht="12.95" customHeight="1">
      <c r="A22" s="39"/>
      <c r="B22" s="40"/>
      <c r="C22" s="413"/>
      <c r="D22" s="40"/>
      <c r="E22" s="41"/>
      <c r="F22" s="41"/>
      <c r="G22" s="42"/>
      <c r="H22" s="43"/>
      <c r="I22" s="44"/>
      <c r="J22" s="81"/>
      <c r="K22" s="81"/>
      <c r="L22" s="34"/>
      <c r="M22" s="34"/>
      <c r="N22" s="45"/>
      <c r="O22" s="46"/>
      <c r="P22" s="47"/>
      <c r="Q22" s="46"/>
      <c r="R22" s="499"/>
      <c r="S22" s="499"/>
      <c r="T22" s="36"/>
      <c r="U22" s="36"/>
      <c r="V22" s="36"/>
      <c r="W22" s="36"/>
      <c r="X22" s="37"/>
      <c r="Y22" s="210"/>
      <c r="Z22" s="36"/>
      <c r="AA22" s="36"/>
      <c r="AB22" s="36"/>
      <c r="AC22" s="36"/>
      <c r="AD22" s="36">
        <f>+AM22+BA22</f>
        <v>47</v>
      </c>
      <c r="AE22" s="229" t="s">
        <v>443</v>
      </c>
      <c r="AF22" s="32"/>
      <c r="AG22" s="32"/>
      <c r="AH22" s="32">
        <v>47</v>
      </c>
      <c r="AJ22" s="36"/>
      <c r="AK22" s="36"/>
      <c r="AL22" s="36"/>
      <c r="AM22" s="36">
        <f>SUM(AF22:AL22)+AT22+AV22+AX22</f>
        <v>47</v>
      </c>
      <c r="AN22" s="36"/>
      <c r="AO22" s="36"/>
      <c r="AP22" s="36"/>
      <c r="AQ22" s="36"/>
      <c r="AR22" s="36">
        <f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32"/>
      <c r="BC22" s="502"/>
      <c r="BD22" s="502"/>
      <c r="BE22" s="32"/>
      <c r="BF22" s="502"/>
    </row>
    <row r="23" spans="1:58" ht="12.75" customHeight="1">
      <c r="A23" s="39"/>
      <c r="B23" s="40"/>
      <c r="C23" s="413"/>
      <c r="D23" s="40"/>
      <c r="E23" s="41"/>
      <c r="F23" s="41"/>
      <c r="G23" s="498"/>
      <c r="H23" s="43"/>
      <c r="I23" s="44"/>
      <c r="J23" s="36"/>
      <c r="K23" s="81"/>
      <c r="L23" s="34"/>
      <c r="M23" s="34"/>
      <c r="N23" s="45"/>
      <c r="O23" s="46"/>
      <c r="P23" s="47"/>
      <c r="Q23" s="46"/>
      <c r="R23" s="499"/>
      <c r="S23" s="499"/>
      <c r="T23" s="36"/>
      <c r="U23" s="36"/>
      <c r="V23" s="36"/>
      <c r="W23" s="36"/>
      <c r="X23" s="500"/>
      <c r="Y23" s="210"/>
      <c r="Z23" s="36"/>
      <c r="AA23" s="48"/>
      <c r="AB23" s="48"/>
      <c r="AC23" s="36"/>
      <c r="AD23" s="36"/>
      <c r="AF23" s="36"/>
      <c r="AG23" s="36"/>
      <c r="AH23" s="36"/>
      <c r="AI23" s="501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2"/>
      <c r="BC23" s="50"/>
      <c r="BD23" s="50"/>
      <c r="BE23" s="49"/>
      <c r="BF23" s="50"/>
    </row>
    <row r="24" spans="1:58" ht="12.75" customHeight="1">
      <c r="A24" s="39">
        <v>45996</v>
      </c>
      <c r="B24" s="40" t="s">
        <v>7</v>
      </c>
      <c r="C24" s="413">
        <f>(M24*E24*O24*Q24)/100000000</f>
        <v>43.678908752238804</v>
      </c>
      <c r="D24" s="40" t="s">
        <v>302</v>
      </c>
      <c r="E24" s="41">
        <v>14</v>
      </c>
      <c r="F24" s="41">
        <v>1</v>
      </c>
      <c r="G24" s="498">
        <f>+L24</f>
        <v>1100</v>
      </c>
      <c r="H24" s="43">
        <v>0.24</v>
      </c>
      <c r="I24" s="44">
        <v>0.88</v>
      </c>
      <c r="J24" s="81">
        <f>E24*G24*(1-H24)*1440/1000000*2.74</f>
        <v>46.179302400000005</v>
      </c>
      <c r="K24" s="81">
        <f>(IF(G24&lt;L24,L24,G24)*(1-IF(H24&lt;N24,H24,N24))*E24*O24*Q24)/100000000</f>
        <v>43.678908752238804</v>
      </c>
      <c r="L24" s="34">
        <v>1100</v>
      </c>
      <c r="M24" s="34">
        <v>836</v>
      </c>
      <c r="N24" s="45">
        <f>1-(M24/L24)</f>
        <v>0.24</v>
      </c>
      <c r="O24" s="46">
        <f>+'Trim Rwd'!H14</f>
        <v>259.16417910447763</v>
      </c>
      <c r="P24" s="47">
        <f>O24*(Q24-R24-S24)</f>
        <v>354018.26865671645</v>
      </c>
      <c r="Q24" s="46">
        <v>1440</v>
      </c>
      <c r="R24" s="499">
        <v>0</v>
      </c>
      <c r="S24" s="499">
        <v>74</v>
      </c>
      <c r="T24" s="36">
        <f>E24*M24*O24*Q24/100000000</f>
        <v>43.678908752238804</v>
      </c>
      <c r="U24" s="36">
        <f>E24*M24*O24*(Q24-R24-S24)/100000000</f>
        <v>41.434298163582092</v>
      </c>
      <c r="V24" s="36">
        <f>E24*G24*(1-N24)*O24/100*(R24+S24)/1000000</f>
        <v>2.2446105886567165</v>
      </c>
      <c r="W24" s="36">
        <f>+'5'!K7/1000</f>
        <v>45.195999999999998</v>
      </c>
      <c r="X24" s="500">
        <f>SUM(W24:W27)/SUM(K24:K27)</f>
        <v>1.0347328102074764</v>
      </c>
      <c r="Y24" s="210">
        <v>0</v>
      </c>
      <c r="Z24" s="36">
        <f>+'5'!D25/1000</f>
        <v>0.22500000000000001</v>
      </c>
      <c r="AA24" s="48">
        <f>SUM(U24:U27)-SUM(W24:W27)-SUM(Z24:Z27)-SUM(Y24:Y27)</f>
        <v>-3.9867018364179061</v>
      </c>
      <c r="AB24" s="48">
        <f>(SUM(K24:K27)-SUM(W24:W27)-SUM(Y24:Y27)-SUM(Z24:Z27)-SUM(AC24:AC27)-SUM(V24:V27))-AA24</f>
        <v>-3.9968028886505635E-15</v>
      </c>
      <c r="AC24" s="36">
        <f>K24-T24</f>
        <v>0</v>
      </c>
      <c r="AD24" s="36">
        <f>+AM24+BA24</f>
        <v>27</v>
      </c>
      <c r="AE24" s="229" t="s">
        <v>436</v>
      </c>
      <c r="AF24" s="36">
        <v>27</v>
      </c>
      <c r="AG24" s="36"/>
      <c r="AH24" s="36"/>
      <c r="AI24" s="501"/>
      <c r="AJ24" s="36"/>
      <c r="AK24" s="36"/>
      <c r="AL24" s="36"/>
      <c r="AM24" s="36">
        <f>SUM(AF24:AL24)+AT24+AV24+AX24</f>
        <v>27</v>
      </c>
      <c r="AN24" s="36"/>
      <c r="AO24" s="36"/>
      <c r="AP24" s="36"/>
      <c r="AQ24" s="36"/>
      <c r="AR24" s="36">
        <f>SUM(AN24:AQ24)</f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32">
        <v>9</v>
      </c>
      <c r="BC24" s="50"/>
      <c r="BD24" s="50"/>
      <c r="BE24" s="32"/>
      <c r="BF24" s="50"/>
    </row>
    <row r="25" spans="1:58" ht="12.95" customHeight="1">
      <c r="A25" s="39"/>
      <c r="B25" s="40"/>
      <c r="C25" s="413"/>
      <c r="D25" s="40"/>
      <c r="E25" s="41"/>
      <c r="F25" s="41"/>
      <c r="G25" s="498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499"/>
      <c r="S25" s="499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>
        <f>+AM25+BA25</f>
        <v>0</v>
      </c>
      <c r="AE25" s="229" t="s">
        <v>284</v>
      </c>
      <c r="AF25" s="36"/>
      <c r="AG25" s="36">
        <v>0</v>
      </c>
      <c r="AH25" s="36"/>
      <c r="AI25" s="501"/>
      <c r="AJ25" s="36"/>
      <c r="AK25" s="36"/>
      <c r="AL25" s="36"/>
      <c r="AM25" s="36">
        <f>SUM(AF25:AL25)+AT25+AV25+AX25</f>
        <v>0</v>
      </c>
      <c r="AN25" s="82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49"/>
      <c r="BC25" s="50">
        <v>0</v>
      </c>
      <c r="BD25" s="50"/>
      <c r="BE25" s="49"/>
      <c r="BF25" s="50"/>
    </row>
    <row r="26" spans="1:58" ht="12.95" customHeight="1">
      <c r="A26" s="39"/>
      <c r="B26" s="40"/>
      <c r="C26" s="413"/>
      <c r="D26" s="40"/>
      <c r="E26" s="41"/>
      <c r="F26" s="41"/>
      <c r="G26" s="42"/>
      <c r="H26" s="43"/>
      <c r="I26" s="44"/>
      <c r="J26" s="81"/>
      <c r="K26" s="81"/>
      <c r="L26" s="34"/>
      <c r="M26" s="34"/>
      <c r="N26" s="45"/>
      <c r="O26" s="46"/>
      <c r="P26" s="47"/>
      <c r="Q26" s="46"/>
      <c r="R26" s="499"/>
      <c r="S26" s="499"/>
      <c r="T26" s="36"/>
      <c r="U26" s="36"/>
      <c r="V26" s="36"/>
      <c r="W26" s="36"/>
      <c r="X26" s="37"/>
      <c r="Y26" s="210"/>
      <c r="Z26" s="36"/>
      <c r="AA26" s="36"/>
      <c r="AB26" s="36"/>
      <c r="AC26" s="36"/>
      <c r="AD26" s="36">
        <f>+AM26+BA26</f>
        <v>47</v>
      </c>
      <c r="AE26" s="229" t="s">
        <v>428</v>
      </c>
      <c r="AF26" s="32"/>
      <c r="AG26" s="32"/>
      <c r="AH26" s="32">
        <v>47</v>
      </c>
      <c r="AJ26" s="36"/>
      <c r="AK26" s="36"/>
      <c r="AL26" s="36"/>
      <c r="AM26" s="36">
        <f>SUM(AF26:AL26)+AT26+AV26+AX26</f>
        <v>47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32"/>
      <c r="BC26" s="502"/>
      <c r="BD26" s="502"/>
      <c r="BE26" s="32"/>
      <c r="BF26" s="502"/>
    </row>
    <row r="27" spans="1:58" ht="12.95" customHeight="1">
      <c r="A27" s="39"/>
      <c r="B27" s="40"/>
      <c r="C27" s="413"/>
      <c r="D27" s="40"/>
      <c r="E27" s="41"/>
      <c r="F27" s="41"/>
      <c r="G27" s="42"/>
      <c r="H27" s="43"/>
      <c r="I27" s="44"/>
      <c r="J27" s="81"/>
      <c r="K27" s="81"/>
      <c r="L27" s="34"/>
      <c r="M27" s="34"/>
      <c r="N27" s="45"/>
      <c r="O27" s="46"/>
      <c r="P27" s="47"/>
      <c r="Q27" s="46"/>
      <c r="R27" s="499"/>
      <c r="S27" s="499"/>
      <c r="T27" s="36"/>
      <c r="U27" s="36"/>
      <c r="V27" s="36"/>
      <c r="W27" s="36"/>
      <c r="X27" s="37"/>
      <c r="Y27" s="210"/>
      <c r="Z27" s="36"/>
      <c r="AA27" s="36"/>
      <c r="AB27" s="36"/>
      <c r="AC27" s="36"/>
      <c r="AD27" s="36"/>
      <c r="AE27" s="229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49"/>
      <c r="BC27" s="50"/>
      <c r="BD27" s="50"/>
      <c r="BE27" s="49"/>
      <c r="BF27" s="50"/>
    </row>
    <row r="28" spans="1:58" ht="12.75" customHeight="1">
      <c r="A28" s="39">
        <v>45997</v>
      </c>
      <c r="B28" s="40" t="s">
        <v>7</v>
      </c>
      <c r="C28" s="413">
        <f>(M28*E28*O28*Q28)/100000000</f>
        <v>43.464959999999998</v>
      </c>
      <c r="D28" s="40" t="s">
        <v>302</v>
      </c>
      <c r="E28" s="41">
        <v>14</v>
      </c>
      <c r="F28" s="41">
        <v>1</v>
      </c>
      <c r="G28" s="498">
        <f>+L28</f>
        <v>1100</v>
      </c>
      <c r="H28" s="43">
        <v>0.24</v>
      </c>
      <c r="I28" s="44">
        <v>0.88</v>
      </c>
      <c r="J28" s="81">
        <f>E28*G28*(1-H28)*1440/1000000*2.74</f>
        <v>46.179302400000005</v>
      </c>
      <c r="K28" s="81">
        <f>(IF(G28&lt;L28,L28,G28)*(1-IF(H28&lt;N28,H28,N28))*E28*O28*Q28)/100000000</f>
        <v>43.464959999999998</v>
      </c>
      <c r="L28" s="34">
        <v>1100</v>
      </c>
      <c r="M28" s="34">
        <v>836</v>
      </c>
      <c r="N28" s="45">
        <f>1-(M28/L28)</f>
        <v>0.24</v>
      </c>
      <c r="O28" s="46">
        <f>+'Trim Rwd'!H17</f>
        <v>257.89473684210526</v>
      </c>
      <c r="P28" s="47">
        <f>O28*(Q28-R28-S28)</f>
        <v>350736.84210526315</v>
      </c>
      <c r="Q28" s="46">
        <v>1440</v>
      </c>
      <c r="R28" s="499">
        <v>0</v>
      </c>
      <c r="S28" s="499">
        <v>80</v>
      </c>
      <c r="T28" s="36">
        <f>E28*M28*O28*Q28/100000000</f>
        <v>43.464959999999998</v>
      </c>
      <c r="U28" s="36">
        <f>E28*M28*O28*(Q28-R28-S28)/100000000</f>
        <v>41.050240000000002</v>
      </c>
      <c r="V28" s="36">
        <f>E28*G28*(1-N28)*O28/100*(R28+S28)/1000000</f>
        <v>2.41472</v>
      </c>
      <c r="W28" s="36">
        <f>+'6'!K7/1000</f>
        <v>40.381999999999998</v>
      </c>
      <c r="X28" s="500">
        <f>SUM(W28:W31)/SUM(K28:K31)</f>
        <v>0.92907022116205784</v>
      </c>
      <c r="Y28" s="210">
        <v>0</v>
      </c>
      <c r="Z28" s="36">
        <f>+'5'!D29/1000</f>
        <v>0</v>
      </c>
      <c r="AA28" s="48">
        <f>SUM(U28:U31)-SUM(W28:W31)-SUM(Z28:Z31)-SUM(Y28:Y31)</f>
        <v>0.66824000000000439</v>
      </c>
      <c r="AB28" s="48">
        <f>(SUM(K28:K31)-SUM(W28:W31)-SUM(Y28:Y31)-SUM(Z28:Z31)-SUM(AC28:AC31)-SUM(V28:V31))-AA28</f>
        <v>-4.4408920985006262E-15</v>
      </c>
      <c r="AC28" s="36">
        <f>K28-T28</f>
        <v>0</v>
      </c>
      <c r="AD28" s="36">
        <f>+AM28+BA28</f>
        <v>30</v>
      </c>
      <c r="AE28" s="229" t="s">
        <v>436</v>
      </c>
      <c r="AF28" s="36">
        <v>30</v>
      </c>
      <c r="AG28" s="36"/>
      <c r="AH28" s="36"/>
      <c r="AI28" s="501"/>
      <c r="AJ28" s="36"/>
      <c r="AK28" s="36"/>
      <c r="AL28" s="36"/>
      <c r="AM28" s="36">
        <f>SUM(AF28:AL28)+AT28+AV28+AX28</f>
        <v>30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>
        <v>9</v>
      </c>
      <c r="BC28" s="50"/>
      <c r="BD28" s="50"/>
      <c r="BE28" s="32"/>
      <c r="BF28" s="50"/>
    </row>
    <row r="29" spans="1:58" ht="12.95" customHeight="1">
      <c r="A29" s="39"/>
      <c r="B29" s="40"/>
      <c r="C29" s="413"/>
      <c r="D29" s="40"/>
      <c r="E29" s="41"/>
      <c r="F29" s="41"/>
      <c r="G29" s="498"/>
      <c r="H29" s="43"/>
      <c r="I29" s="44"/>
      <c r="J29" s="81"/>
      <c r="K29" s="81"/>
      <c r="L29" s="34"/>
      <c r="M29" s="34"/>
      <c r="N29" s="45"/>
      <c r="O29" s="46"/>
      <c r="P29" s="47"/>
      <c r="Q29" s="46"/>
      <c r="R29" s="499"/>
      <c r="S29" s="499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+AM29+BA29</f>
        <v>0</v>
      </c>
      <c r="AE29" s="229" t="s">
        <v>284</v>
      </c>
      <c r="AF29" s="36"/>
      <c r="AG29" s="36">
        <v>0</v>
      </c>
      <c r="AH29" s="36"/>
      <c r="AI29" s="501"/>
      <c r="AJ29" s="36"/>
      <c r="AK29" s="36"/>
      <c r="AL29" s="36"/>
      <c r="AM29" s="36">
        <f>SUM(AF29:AL29)+AT29+AV29+AX29</f>
        <v>0</v>
      </c>
      <c r="AN29" s="82"/>
      <c r="AO29" s="36"/>
      <c r="AP29" s="36"/>
      <c r="AQ29" s="36"/>
      <c r="AR29" s="36">
        <f>SUM(AN29:AQ29)</f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>
        <v>0</v>
      </c>
      <c r="BD29" s="50"/>
      <c r="BE29" s="49"/>
      <c r="BF29" s="50"/>
    </row>
    <row r="30" spans="1:58" ht="12.95" customHeight="1">
      <c r="A30" s="39"/>
      <c r="B30" s="40"/>
      <c r="C30" s="413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499"/>
      <c r="S30" s="499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>
        <f>+AM30+BA30</f>
        <v>50</v>
      </c>
      <c r="AE30" s="229" t="s">
        <v>428</v>
      </c>
      <c r="AF30" s="32"/>
      <c r="AG30" s="32"/>
      <c r="AH30" s="32">
        <v>50</v>
      </c>
      <c r="AJ30" s="36"/>
      <c r="AK30" s="36"/>
      <c r="AL30" s="36"/>
      <c r="AM30" s="36">
        <f>SUM(AF30:AL30)+AT30+AV30+AX30</f>
        <v>50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/>
      <c r="BC30" s="502"/>
      <c r="BD30" s="502"/>
      <c r="BE30" s="32"/>
      <c r="BF30" s="502"/>
    </row>
    <row r="31" spans="1:58" ht="12.95" customHeight="1">
      <c r="A31" s="39"/>
      <c r="B31" s="40"/>
      <c r="C31" s="413"/>
      <c r="D31" s="40"/>
      <c r="E31" s="41"/>
      <c r="F31" s="41"/>
      <c r="G31" s="42"/>
      <c r="H31" s="43"/>
      <c r="I31" s="44"/>
      <c r="J31" s="81"/>
      <c r="K31" s="81"/>
      <c r="L31" s="34"/>
      <c r="M31" s="34"/>
      <c r="N31" s="45"/>
      <c r="O31" s="46"/>
      <c r="P31" s="47"/>
      <c r="Q31" s="46"/>
      <c r="R31" s="499"/>
      <c r="S31" s="499"/>
      <c r="T31" s="36"/>
      <c r="U31" s="36"/>
      <c r="V31" s="36"/>
      <c r="W31" s="36"/>
      <c r="X31" s="37"/>
      <c r="Y31" s="210"/>
      <c r="Z31" s="36"/>
      <c r="AA31" s="36"/>
      <c r="AB31" s="36"/>
      <c r="AC31" s="36"/>
      <c r="AD31" s="36"/>
      <c r="AE31" s="229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49"/>
      <c r="BC31" s="50"/>
      <c r="BD31" s="50"/>
      <c r="BE31" s="49"/>
      <c r="BF31" s="50"/>
    </row>
    <row r="32" spans="1:58" ht="12.75" customHeight="1">
      <c r="A32" s="39">
        <v>45998</v>
      </c>
      <c r="B32" s="40" t="s">
        <v>7</v>
      </c>
      <c r="C32" s="413">
        <f>(M32*E32*O32*Q32)/100000000</f>
        <v>42.665633919999998</v>
      </c>
      <c r="D32" s="40" t="s">
        <v>302</v>
      </c>
      <c r="E32" s="41">
        <v>14</v>
      </c>
      <c r="F32" s="41">
        <v>1</v>
      </c>
      <c r="G32" s="498">
        <f>+L32</f>
        <v>1071.0277777777778</v>
      </c>
      <c r="H32" s="43">
        <v>0.24</v>
      </c>
      <c r="I32" s="44">
        <v>0.88</v>
      </c>
      <c r="J32" s="81">
        <f>E32*G32*(1-H32)*1440/1000000*2.74</f>
        <v>44.963014208000004</v>
      </c>
      <c r="K32" s="81">
        <f>(IF(G32&lt;L32,L32,G32)*(1-IF(H32&lt;N32,H32,N32))*E32*O32*Q32)/100000000</f>
        <v>42.665633919999998</v>
      </c>
      <c r="L32" s="34">
        <v>1071.0277777777778</v>
      </c>
      <c r="M32" s="34">
        <v>813.98111111111109</v>
      </c>
      <c r="N32" s="45">
        <f>1-(M32/L32)</f>
        <v>0.2400000000000001</v>
      </c>
      <c r="O32" s="46">
        <f>+'Trim Rwd'!H20</f>
        <v>260</v>
      </c>
      <c r="P32" s="47">
        <f>O32*(Q32-R32-S32)</f>
        <v>354900</v>
      </c>
      <c r="Q32" s="46">
        <v>1440</v>
      </c>
      <c r="R32" s="499">
        <v>0</v>
      </c>
      <c r="S32" s="499">
        <v>75</v>
      </c>
      <c r="T32" s="36">
        <f>E32*M32*O32*Q32/100000000</f>
        <v>42.665633919999998</v>
      </c>
      <c r="U32" s="36">
        <f>E32*M32*O32*(Q32-R32-S32)/100000000</f>
        <v>40.443465486666668</v>
      </c>
      <c r="V32" s="36">
        <f>E32*G32*(1-N32)*O32/100*(R32+S32)/1000000</f>
        <v>2.2221684333333331</v>
      </c>
      <c r="W32" s="36">
        <f>+'7'!K7/1000</f>
        <v>41.706000000000003</v>
      </c>
      <c r="X32" s="500">
        <f>SUM(W32:W35)/SUM(K32:K35)</f>
        <v>0.97750803558200139</v>
      </c>
      <c r="Y32" s="210">
        <v>0</v>
      </c>
      <c r="Z32" s="36">
        <v>0</v>
      </c>
      <c r="AA32" s="48">
        <f>SUM(U32:U35)-SUM(W32:W35)-SUM(Z32:Z35)-SUM(Y32:Y35)</f>
        <v>-1.2625345133333354</v>
      </c>
      <c r="AB32" s="48">
        <f>(SUM(K32:K35)-SUM(W32:W35)-SUM(Y32:Y35)-SUM(Z32:Z35)-SUM(AC32:AC35)-SUM(V32:V35))-AA32</f>
        <v>-3.1086244689504383E-15</v>
      </c>
      <c r="AC32" s="36">
        <f>K32-T32</f>
        <v>0</v>
      </c>
      <c r="AD32" s="36">
        <f>+AM32+BA32</f>
        <v>21</v>
      </c>
      <c r="AE32" s="229" t="s">
        <v>442</v>
      </c>
      <c r="AF32" s="36">
        <v>21</v>
      </c>
      <c r="AG32" s="36"/>
      <c r="AH32" s="36"/>
      <c r="AI32" s="501"/>
      <c r="AJ32" s="36"/>
      <c r="AK32" s="36"/>
      <c r="AL32" s="36"/>
      <c r="AM32" s="36">
        <f>SUM(AF32:AL32)+AT32+AV32+AX32</f>
        <v>21</v>
      </c>
      <c r="AN32" s="36"/>
      <c r="AO32" s="36"/>
      <c r="AP32" s="36"/>
      <c r="AQ32" s="36"/>
      <c r="AR32" s="36">
        <f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32">
        <v>6</v>
      </c>
      <c r="BC32" s="50"/>
      <c r="BD32" s="50"/>
      <c r="BE32" s="32"/>
      <c r="BF32" s="50"/>
    </row>
    <row r="33" spans="1:58" ht="12.95" customHeight="1">
      <c r="A33" s="39"/>
      <c r="B33" s="40"/>
      <c r="C33" s="413"/>
      <c r="D33" s="40"/>
      <c r="E33" s="41"/>
      <c r="F33" s="41"/>
      <c r="G33" s="498"/>
      <c r="H33" s="43"/>
      <c r="I33" s="44"/>
      <c r="J33" s="81"/>
      <c r="K33" s="81"/>
      <c r="L33" s="34"/>
      <c r="M33" s="34"/>
      <c r="N33" s="45"/>
      <c r="O33" s="46"/>
      <c r="P33" s="47"/>
      <c r="Q33" s="46"/>
      <c r="R33" s="499"/>
      <c r="S33" s="499"/>
      <c r="T33" s="36"/>
      <c r="U33" s="36"/>
      <c r="V33" s="36"/>
      <c r="W33" s="36"/>
      <c r="X33" s="37"/>
      <c r="Y33" s="210"/>
      <c r="Z33" s="36"/>
      <c r="AA33" s="36"/>
      <c r="AB33" s="36"/>
      <c r="AC33" s="36"/>
      <c r="AD33" s="36">
        <f>+AM33+BA33</f>
        <v>9</v>
      </c>
      <c r="AE33" s="229" t="s">
        <v>424</v>
      </c>
      <c r="AF33" s="36"/>
      <c r="AG33" s="36">
        <v>9</v>
      </c>
      <c r="AH33" s="36"/>
      <c r="AI33" s="501"/>
      <c r="AJ33" s="36"/>
      <c r="AK33" s="36"/>
      <c r="AL33" s="36"/>
      <c r="AM33" s="36">
        <f>SUM(AF33:AL33)+AT33+AV33+AX33</f>
        <v>9</v>
      </c>
      <c r="AN33" s="82"/>
      <c r="AO33" s="36"/>
      <c r="AP33" s="36"/>
      <c r="AQ33" s="36"/>
      <c r="AR33" s="36">
        <f>SUM(AN33:AQ33)</f>
        <v>0</v>
      </c>
      <c r="AS33" s="36"/>
      <c r="AT33" s="36"/>
      <c r="AU33" s="36"/>
      <c r="AV33" s="36"/>
      <c r="AW33" s="36"/>
      <c r="AX33" s="36"/>
      <c r="AY33" s="36"/>
      <c r="AZ33" s="36"/>
      <c r="BA33" s="36">
        <f>+AR33+AS33+AU33+AW33+AY33+AZ33</f>
        <v>0</v>
      </c>
      <c r="BB33" s="49"/>
      <c r="BC33" s="50">
        <v>8</v>
      </c>
      <c r="BD33" s="50"/>
      <c r="BE33" s="49"/>
      <c r="BF33" s="50"/>
    </row>
    <row r="34" spans="1:58" ht="12.95" customHeight="1">
      <c r="A34" s="39"/>
      <c r="B34" s="40"/>
      <c r="C34" s="413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46"/>
      <c r="R34" s="499"/>
      <c r="S34" s="499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+AM34+BA34</f>
        <v>45</v>
      </c>
      <c r="AE34" s="229" t="s">
        <v>437</v>
      </c>
      <c r="AF34" s="32"/>
      <c r="AG34" s="32"/>
      <c r="AH34" s="32">
        <v>45</v>
      </c>
      <c r="AJ34" s="36"/>
      <c r="AK34" s="36"/>
      <c r="AL34" s="36"/>
      <c r="AM34" s="36">
        <f>SUM(AF34:AL34)+AT34+AV34+AX34</f>
        <v>45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/>
      <c r="BC34" s="502"/>
      <c r="BD34" s="502"/>
      <c r="BE34" s="32"/>
      <c r="BF34" s="502"/>
    </row>
    <row r="35" spans="1:58" ht="12.95" customHeight="1">
      <c r="A35" s="39"/>
      <c r="B35" s="40"/>
      <c r="C35" s="413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499"/>
      <c r="S35" s="499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9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49"/>
      <c r="BC35" s="50"/>
      <c r="BD35" s="50"/>
      <c r="BE35" s="49"/>
      <c r="BF35" s="50"/>
    </row>
    <row r="36" spans="1:58" ht="12.75" customHeight="1">
      <c r="A36" s="39">
        <v>45999</v>
      </c>
      <c r="B36" s="40" t="s">
        <v>7</v>
      </c>
      <c r="C36" s="413">
        <f>(M36*E36*O36*Q36)/100000000</f>
        <v>5.0611128400000007</v>
      </c>
      <c r="D36" s="40" t="s">
        <v>302</v>
      </c>
      <c r="E36" s="41">
        <v>14</v>
      </c>
      <c r="F36" s="41">
        <v>1</v>
      </c>
      <c r="G36" s="498">
        <f>+L36</f>
        <v>1070</v>
      </c>
      <c r="H36" s="43">
        <v>0.24</v>
      </c>
      <c r="I36" s="44">
        <v>0.88</v>
      </c>
      <c r="J36" s="81">
        <f>E36*G36*(1-H36)*1440/1000000*2.74</f>
        <v>44.919866880000001</v>
      </c>
      <c r="K36" s="81">
        <f>(IF(G36&lt;L36,L36,G36)*(1-IF(H36&lt;N36,H36,N36))*E36*O36*Q36)/100000000</f>
        <v>5.0611128400000007</v>
      </c>
      <c r="L36" s="34">
        <v>1070</v>
      </c>
      <c r="M36" s="34">
        <v>813.2</v>
      </c>
      <c r="N36" s="45">
        <f>1-(M36/L36)</f>
        <v>0.24</v>
      </c>
      <c r="O36" s="46">
        <f>+'Trim Rwd'!H22</f>
        <v>261.5</v>
      </c>
      <c r="P36" s="47">
        <f>O36*(Q36-R36-S36)</f>
        <v>41055.5</v>
      </c>
      <c r="Q36" s="46">
        <v>170</v>
      </c>
      <c r="R36" s="499">
        <v>0</v>
      </c>
      <c r="S36" s="499">
        <v>13</v>
      </c>
      <c r="T36" s="36">
        <f>E36*M36*O36*Q36/100000000</f>
        <v>5.0611128400000007</v>
      </c>
      <c r="U36" s="36">
        <f>E36*M36*O36*(Q36-R36-S36)/100000000</f>
        <v>4.6740865640000004</v>
      </c>
      <c r="V36" s="36">
        <f>E36*G36*(1-N36)*O36/100*(R36+S36)/1000000</f>
        <v>0.38702627599999995</v>
      </c>
      <c r="W36" s="36">
        <f>+'8'!K7/1000</f>
        <v>5.9569999999999999</v>
      </c>
      <c r="X36" s="500">
        <f>SUM(W36:W39)/SUM(K36:K39)</f>
        <v>0.85490801596503918</v>
      </c>
      <c r="Y36" s="210">
        <v>0</v>
      </c>
      <c r="Z36" s="36">
        <v>0</v>
      </c>
      <c r="AA36" s="48">
        <f>SUM(U36:U39)-SUM(W36:W39)-SUM(Z36:Z39)-SUM(Y36:Y39)</f>
        <v>3.1737547189044619</v>
      </c>
      <c r="AB36" s="48">
        <f>(SUM(K36:K39)-SUM(W36:W39)-SUM(Y36:Y39)-SUM(Z36:Z39)-SUM(AC36:AC39)-SUM(V36:V39))-AA36</f>
        <v>-4.1784861027569509E-2</v>
      </c>
      <c r="AC36" s="36">
        <f>K36-T36</f>
        <v>0</v>
      </c>
      <c r="AD36" s="36">
        <f>+AM36+BA36</f>
        <v>12</v>
      </c>
      <c r="AE36" s="229" t="s">
        <v>442</v>
      </c>
      <c r="AF36" s="36">
        <v>12</v>
      </c>
      <c r="AG36" s="36"/>
      <c r="AH36" s="36"/>
      <c r="AI36" s="501"/>
      <c r="AJ36" s="36"/>
      <c r="AK36" s="36"/>
      <c r="AL36" s="36"/>
      <c r="AM36" s="36">
        <f>SUM(AF36:AL36)+AT36+AV36+AX36</f>
        <v>12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>
        <v>6</v>
      </c>
      <c r="BC36" s="50"/>
      <c r="BD36" s="50"/>
      <c r="BE36" s="32"/>
      <c r="BF36" s="50"/>
    </row>
    <row r="37" spans="1:58" ht="12.95" customHeight="1">
      <c r="A37" s="39"/>
      <c r="B37" s="40" t="s">
        <v>464</v>
      </c>
      <c r="C37" s="413">
        <f>(M37*E37*O37*Q37)/100000000</f>
        <v>27.721829280000001</v>
      </c>
      <c r="D37" s="40" t="s">
        <v>302</v>
      </c>
      <c r="E37" s="41">
        <v>12</v>
      </c>
      <c r="F37" s="41">
        <v>1</v>
      </c>
      <c r="G37" s="498">
        <v>1230</v>
      </c>
      <c r="H37" s="43">
        <f>+N37</f>
        <v>0.18747898400072316</v>
      </c>
      <c r="I37" s="44">
        <v>0.88</v>
      </c>
      <c r="J37" s="81">
        <f>E37*G37*(1-H37)*1440/1000000*2.74</f>
        <v>47.318831909926786</v>
      </c>
      <c r="K37" s="81">
        <f>(IF(G37&lt;L37,L37,G37)*(1-IF(H37&lt;N37,H37,N37))*E37*O37*Q37)/100000000</f>
        <v>29.033873916265751</v>
      </c>
      <c r="L37" s="34">
        <v>1174.4161358811041</v>
      </c>
      <c r="M37" s="34">
        <v>954.23779193205939</v>
      </c>
      <c r="N37" s="45">
        <f>1-(M37/L37)</f>
        <v>0.18747898400072316</v>
      </c>
      <c r="O37" s="46">
        <f>+'Trim Rwd'!H24</f>
        <v>257</v>
      </c>
      <c r="P37" s="47">
        <f>O37*(Q37-R37-S37)</f>
        <v>234384</v>
      </c>
      <c r="Q37" s="46">
        <v>942</v>
      </c>
      <c r="R37" s="499">
        <v>0</v>
      </c>
      <c r="S37" s="499">
        <v>30</v>
      </c>
      <c r="T37" s="36">
        <f>E37*M37*O37*Q37/100000000</f>
        <v>27.721829280000001</v>
      </c>
      <c r="U37" s="36">
        <f>E37*M37*O37*(Q37-R37-S37)/100000000</f>
        <v>26.838968474904462</v>
      </c>
      <c r="V37" s="36">
        <f>E37*G37*(1-N37)*O37/100*(R37+S37)/1000000</f>
        <v>0.92464566612311305</v>
      </c>
      <c r="W37" s="36">
        <f>+'8'!K9/1000</f>
        <v>26.466999999999999</v>
      </c>
      <c r="X37" s="37"/>
      <c r="Y37" s="210"/>
      <c r="Z37" s="36"/>
      <c r="AA37" s="36"/>
      <c r="AB37" s="36"/>
      <c r="AC37" s="36">
        <f>K37-T37</f>
        <v>1.3120446362657496</v>
      </c>
      <c r="AD37" s="36">
        <f>+AM37+BA37</f>
        <v>8</v>
      </c>
      <c r="AE37" s="229" t="s">
        <v>407</v>
      </c>
      <c r="AF37" s="36"/>
      <c r="AG37" s="36">
        <v>8</v>
      </c>
      <c r="AH37" s="36"/>
      <c r="AI37" s="501"/>
      <c r="AJ37" s="36"/>
      <c r="AK37" s="36"/>
      <c r="AL37" s="36"/>
      <c r="AM37" s="36">
        <f>SUM(AF37:AL37)+AT37+AV37+AX37</f>
        <v>8</v>
      </c>
      <c r="AN37" s="82"/>
      <c r="AO37" s="36"/>
      <c r="AP37" s="36"/>
      <c r="AQ37" s="36"/>
      <c r="AR37" s="36">
        <f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>
        <f>+AR37+AS37+AU37+AW37+AY37+AZ37</f>
        <v>0</v>
      </c>
      <c r="BB37" s="49"/>
      <c r="BC37" s="50">
        <v>4</v>
      </c>
      <c r="BD37" s="50"/>
      <c r="BE37" s="49"/>
      <c r="BF37" s="50"/>
    </row>
    <row r="38" spans="1:58" ht="12.95" customHeight="1">
      <c r="A38" s="39"/>
      <c r="B38" s="40" t="s">
        <v>464</v>
      </c>
      <c r="C38" s="413">
        <f>(M38*E38*O38*Q38)/100000000</f>
        <v>9.6149788800000007</v>
      </c>
      <c r="D38" s="40" t="s">
        <v>302</v>
      </c>
      <c r="E38" s="41">
        <v>13</v>
      </c>
      <c r="F38" s="41">
        <v>1</v>
      </c>
      <c r="G38" s="498">
        <f>+L38</f>
        <v>1150</v>
      </c>
      <c r="H38" s="43">
        <f>+N38</f>
        <v>0.24</v>
      </c>
      <c r="I38" s="44">
        <v>0.88</v>
      </c>
      <c r="J38" s="81">
        <f>E38*G38*(1-H38)*1440/1000000*2.74</f>
        <v>44.829907200000008</v>
      </c>
      <c r="K38" s="81">
        <f>(IF(G38&lt;L38,L38,G38)*(1-IF(H38&lt;N38,H38,N38))*E38*O38*Q38)/100000000</f>
        <v>9.6149788800000007</v>
      </c>
      <c r="L38" s="34">
        <v>1150</v>
      </c>
      <c r="M38" s="34">
        <v>874</v>
      </c>
      <c r="N38" s="45">
        <f>1-(M38/L38)</f>
        <v>0.24</v>
      </c>
      <c r="O38" s="46">
        <f>+'Trim Rwd'!H25</f>
        <v>258</v>
      </c>
      <c r="P38" s="47">
        <f>O38*(Q38-R38-S38)</f>
        <v>79464</v>
      </c>
      <c r="Q38" s="46">
        <v>328</v>
      </c>
      <c r="R38" s="499">
        <v>0</v>
      </c>
      <c r="S38" s="499">
        <f>63-S35-S36-S37</f>
        <v>20</v>
      </c>
      <c r="T38" s="36">
        <f>E38*M38*O38*Q38/100000000</f>
        <v>9.6149788800000007</v>
      </c>
      <c r="U38" s="36">
        <f>E38*M38*O38*(Q38-R38-S38)/100000000</f>
        <v>9.0286996800000008</v>
      </c>
      <c r="V38" s="36">
        <f>E38*G38*(1-N38)*O38/100*(R38+S38)/1000000</f>
        <v>0.5862792</v>
      </c>
      <c r="W38" s="36">
        <f>+'8'!K10/1000</f>
        <v>4.944</v>
      </c>
      <c r="X38" s="37"/>
      <c r="Y38" s="210"/>
      <c r="Z38" s="36"/>
      <c r="AA38" s="36"/>
      <c r="AB38" s="36"/>
      <c r="AC38" s="36">
        <f>K38-T38</f>
        <v>0</v>
      </c>
      <c r="AD38" s="36">
        <f>+AM38+BA38</f>
        <v>43</v>
      </c>
      <c r="AE38" s="229" t="s">
        <v>437</v>
      </c>
      <c r="AF38" s="32"/>
      <c r="AG38" s="32"/>
      <c r="AH38" s="32">
        <v>43</v>
      </c>
      <c r="AJ38" s="36"/>
      <c r="AK38" s="36"/>
      <c r="AL38" s="36"/>
      <c r="AM38" s="36">
        <f>SUM(AF38:AL38)+AT38+AV38+AX38</f>
        <v>43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/>
      <c r="BC38" s="502"/>
      <c r="BD38" s="502"/>
      <c r="BE38" s="32"/>
      <c r="BF38" s="502"/>
    </row>
    <row r="39" spans="1:58" ht="12.95" customHeight="1">
      <c r="A39" s="39"/>
      <c r="B39" s="40"/>
      <c r="C39" s="413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46"/>
      <c r="R39" s="499"/>
      <c r="S39" s="499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/>
      <c r="AE39" s="229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49"/>
      <c r="BC39" s="50"/>
      <c r="BD39" s="50"/>
      <c r="BE39" s="49"/>
      <c r="BF39" s="50"/>
    </row>
    <row r="40" spans="1:58" ht="12.75" customHeight="1">
      <c r="A40" s="39">
        <v>46000</v>
      </c>
      <c r="B40" s="40" t="s">
        <v>464</v>
      </c>
      <c r="C40" s="413">
        <f>(M40*E40*O40*Q40)/100000000</f>
        <v>40.864948175999992</v>
      </c>
      <c r="D40" s="40" t="s">
        <v>302</v>
      </c>
      <c r="E40" s="41">
        <v>13</v>
      </c>
      <c r="F40" s="41">
        <v>1</v>
      </c>
      <c r="G40" s="498">
        <f>+L40</f>
        <v>1112.4652777777778</v>
      </c>
      <c r="H40" s="43">
        <f>+N40</f>
        <v>0.23943044414619696</v>
      </c>
      <c r="I40" s="44">
        <v>0.88</v>
      </c>
      <c r="J40" s="81">
        <f>E40*G40*(1-H40)*1440/1000000*2.74</f>
        <v>43.399208528000003</v>
      </c>
      <c r="K40" s="81">
        <f>(IF(G40&lt;L40,L40,G40)*(1-IF(H40&lt;N40,H40,N40))*E40*O40*Q40)/100000000</f>
        <v>40.864948175999992</v>
      </c>
      <c r="L40" s="34">
        <v>1112.4652777777778</v>
      </c>
      <c r="M40" s="34">
        <v>846.10722222222216</v>
      </c>
      <c r="N40" s="45">
        <f>1-(M40/L40)</f>
        <v>0.23943044414619696</v>
      </c>
      <c r="O40" s="46">
        <f>+'Trim Rwd'!H27</f>
        <v>258</v>
      </c>
      <c r="P40" s="47">
        <f>O40*(Q40-R40-S40)</f>
        <v>354492</v>
      </c>
      <c r="Q40" s="46">
        <v>1440</v>
      </c>
      <c r="R40" s="499">
        <v>0</v>
      </c>
      <c r="S40" s="499">
        <v>66</v>
      </c>
      <c r="T40" s="36">
        <f>E40*M40*O40*Q40/100000000</f>
        <v>40.864948175999992</v>
      </c>
      <c r="U40" s="36">
        <f>E40*M40*O40*(Q40-R40-S40)/100000000</f>
        <v>38.991971384599992</v>
      </c>
      <c r="V40" s="36">
        <f>E40*G40*(1-N40)*O40/100*(R40+S40)/1000000</f>
        <v>1.8729767913999997</v>
      </c>
      <c r="W40" s="36">
        <f>+'9'!K10/1000</f>
        <v>37.177999999999997</v>
      </c>
      <c r="X40" s="500">
        <f>SUM(W40:W43)/SUM(K40:K43)</f>
        <v>0.90977724576767383</v>
      </c>
      <c r="Y40" s="210">
        <v>0</v>
      </c>
      <c r="Z40" s="36">
        <v>0</v>
      </c>
      <c r="AA40" s="48">
        <f>SUM(U40:U43)-SUM(W40:W43)-SUM(Z40:Z43)-SUM(Y40:Y43)</f>
        <v>1.813971384599995</v>
      </c>
      <c r="AB40" s="48">
        <f>(SUM(K40:K43)-SUM(W40:W43)-SUM(Y40:Y43)-SUM(Z40:Z43)-SUM(AC40:AC43)-SUM(V40:V43))-AA40</f>
        <v>0</v>
      </c>
      <c r="AC40" s="36">
        <f>K40-T40</f>
        <v>0</v>
      </c>
      <c r="AD40" s="36">
        <f>+AM40+BA40</f>
        <v>9</v>
      </c>
      <c r="AE40" s="229" t="s">
        <v>423</v>
      </c>
      <c r="AF40" s="36">
        <v>9</v>
      </c>
      <c r="AG40" s="36"/>
      <c r="AH40" s="36"/>
      <c r="AI40" s="501"/>
      <c r="AJ40" s="36"/>
      <c r="AK40" s="36"/>
      <c r="AL40" s="36"/>
      <c r="AM40" s="36">
        <f>SUM(AF40:AL40)+AT40+AV40+AX40</f>
        <v>9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>
        <v>3</v>
      </c>
      <c r="BC40" s="50"/>
      <c r="BD40" s="50"/>
      <c r="BE40" s="32"/>
      <c r="BF40" s="50"/>
    </row>
    <row r="41" spans="1:58" ht="12.95" customHeight="1">
      <c r="A41" s="39"/>
      <c r="B41" s="40"/>
      <c r="C41" s="413"/>
      <c r="D41" s="40"/>
      <c r="E41" s="41"/>
      <c r="F41" s="41"/>
      <c r="G41" s="498"/>
      <c r="H41" s="43"/>
      <c r="I41" s="44"/>
      <c r="J41" s="81"/>
      <c r="K41" s="81"/>
      <c r="L41" s="34"/>
      <c r="M41" s="34"/>
      <c r="N41" s="45"/>
      <c r="O41" s="46"/>
      <c r="P41" s="47"/>
      <c r="Q41" s="46"/>
      <c r="R41" s="499"/>
      <c r="S41" s="499"/>
      <c r="T41" s="36"/>
      <c r="U41" s="36"/>
      <c r="V41" s="36"/>
      <c r="W41" s="36"/>
      <c r="X41" s="37"/>
      <c r="Y41" s="210"/>
      <c r="Z41" s="36"/>
      <c r="AA41" s="36"/>
      <c r="AB41" s="36"/>
      <c r="AC41" s="36"/>
      <c r="AD41" s="36">
        <f>+AM41+BA41</f>
        <v>19</v>
      </c>
      <c r="AE41" s="229" t="s">
        <v>424</v>
      </c>
      <c r="AF41" s="36"/>
      <c r="AG41" s="36">
        <v>19</v>
      </c>
      <c r="AH41" s="36"/>
      <c r="AI41" s="501"/>
      <c r="AJ41" s="36"/>
      <c r="AK41" s="36"/>
      <c r="AL41" s="36"/>
      <c r="AM41" s="36">
        <f>SUM(AF41:AL41)+AT41+AV41+AX41</f>
        <v>19</v>
      </c>
      <c r="AN41" s="82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0</v>
      </c>
      <c r="BB41" s="49"/>
      <c r="BC41" s="50">
        <v>8</v>
      </c>
      <c r="BD41" s="50"/>
      <c r="BE41" s="49"/>
      <c r="BF41" s="50"/>
    </row>
    <row r="42" spans="1:58" ht="12.95" customHeight="1">
      <c r="A42" s="39"/>
      <c r="B42" s="40"/>
      <c r="C42" s="413"/>
      <c r="D42" s="40"/>
      <c r="E42" s="41"/>
      <c r="F42" s="41"/>
      <c r="G42" s="42"/>
      <c r="H42" s="43"/>
      <c r="I42" s="44"/>
      <c r="J42" s="81"/>
      <c r="K42" s="81"/>
      <c r="L42" s="34"/>
      <c r="M42" s="34"/>
      <c r="N42" s="45"/>
      <c r="O42" s="46"/>
      <c r="P42" s="47"/>
      <c r="Q42" s="46"/>
      <c r="R42" s="499"/>
      <c r="S42" s="499"/>
      <c r="T42" s="36"/>
      <c r="U42" s="36"/>
      <c r="V42" s="36"/>
      <c r="W42" s="36"/>
      <c r="X42" s="37"/>
      <c r="Y42" s="210"/>
      <c r="Z42" s="36"/>
      <c r="AA42" s="36"/>
      <c r="AB42" s="36"/>
      <c r="AC42" s="36"/>
      <c r="AD42" s="36">
        <f>+AM42+BA42</f>
        <v>38</v>
      </c>
      <c r="AE42" s="229" t="s">
        <v>483</v>
      </c>
      <c r="AF42" s="32"/>
      <c r="AG42" s="32"/>
      <c r="AH42" s="32">
        <v>38</v>
      </c>
      <c r="AJ42" s="36"/>
      <c r="AK42" s="36"/>
      <c r="AL42" s="36"/>
      <c r="AM42" s="36">
        <f>SUM(AF42:AL42)+AT42+AV42+AX42</f>
        <v>38</v>
      </c>
      <c r="AN42" s="36"/>
      <c r="AO42" s="36"/>
      <c r="AP42" s="36"/>
      <c r="AQ42" s="36"/>
      <c r="AR42" s="36">
        <f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32"/>
      <c r="BC42" s="502"/>
      <c r="BD42" s="502"/>
      <c r="BE42" s="32"/>
      <c r="BF42" s="502"/>
    </row>
    <row r="43" spans="1:58" ht="12.95" customHeight="1">
      <c r="A43" s="39"/>
      <c r="B43" s="40"/>
      <c r="C43" s="413"/>
      <c r="D43" s="40"/>
      <c r="E43" s="41"/>
      <c r="F43" s="41"/>
      <c r="G43" s="42"/>
      <c r="H43" s="43"/>
      <c r="I43" s="44"/>
      <c r="J43" s="81"/>
      <c r="K43" s="81"/>
      <c r="L43" s="34"/>
      <c r="M43" s="34"/>
      <c r="N43" s="45"/>
      <c r="O43" s="46"/>
      <c r="P43" s="47"/>
      <c r="Q43" s="46"/>
      <c r="R43" s="499"/>
      <c r="S43" s="499"/>
      <c r="T43" s="36"/>
      <c r="U43" s="36"/>
      <c r="V43" s="36"/>
      <c r="W43" s="36"/>
      <c r="X43" s="37"/>
      <c r="Y43" s="210"/>
      <c r="Z43" s="36"/>
      <c r="AA43" s="36"/>
      <c r="AB43" s="36"/>
      <c r="AC43" s="36"/>
      <c r="AD43" s="36"/>
      <c r="AE43" s="229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49"/>
      <c r="BC43" s="50"/>
      <c r="BD43" s="50"/>
      <c r="BE43" s="49"/>
      <c r="BF43" s="50"/>
    </row>
    <row r="44" spans="1:58" ht="12.75" customHeight="1">
      <c r="A44" s="39">
        <v>46001</v>
      </c>
      <c r="B44" s="40" t="s">
        <v>464</v>
      </c>
      <c r="C44" s="413">
        <f>(M44*E44*O44*Q44)/100000000</f>
        <v>40.853329919999993</v>
      </c>
      <c r="D44" s="40" t="s">
        <v>302</v>
      </c>
      <c r="E44" s="41">
        <v>13</v>
      </c>
      <c r="F44" s="41">
        <v>1</v>
      </c>
      <c r="G44" s="498">
        <f>+L44</f>
        <v>1103.3333333333333</v>
      </c>
      <c r="H44" s="43">
        <f>+N44</f>
        <v>0.23335347432024167</v>
      </c>
      <c r="I44" s="44">
        <v>0.88</v>
      </c>
      <c r="J44" s="81">
        <f>E44*G44*(1-H44)*1440/1000000*2.74</f>
        <v>43.386869760000003</v>
      </c>
      <c r="K44" s="81">
        <f>(IF(G44&lt;L44,L44,G44)*(1-IF(H44&lt;N44,H44,N44))*E44*O44*Q44)/100000000</f>
        <v>40.853329919999993</v>
      </c>
      <c r="L44" s="34">
        <v>1103.3333333333333</v>
      </c>
      <c r="M44" s="34">
        <v>845.86666666666667</v>
      </c>
      <c r="N44" s="45">
        <f>1-(M44/L44)</f>
        <v>0.23335347432024167</v>
      </c>
      <c r="O44" s="46">
        <f>+'Trim Rwd'!H29</f>
        <v>258</v>
      </c>
      <c r="P44" s="47">
        <f>O44*(Q44-R44-S44)</f>
        <v>356298</v>
      </c>
      <c r="Q44" s="46">
        <v>1440</v>
      </c>
      <c r="R44" s="499">
        <v>0</v>
      </c>
      <c r="S44" s="499">
        <v>59</v>
      </c>
      <c r="T44" s="36">
        <f>E44*M44*O44*Q44/100000000</f>
        <v>40.853329919999993</v>
      </c>
      <c r="U44" s="36">
        <f>E44*M44*O44*(Q44-R44-S44)/100000000</f>
        <v>39.179478207999999</v>
      </c>
      <c r="V44" s="36">
        <f>E44*G44*(1-N44)*O44/100*(R44+S44)/1000000</f>
        <v>1.6738517119999998</v>
      </c>
      <c r="W44" s="36">
        <f>+'10'!K10/1000</f>
        <v>37.624000000000002</v>
      </c>
      <c r="X44" s="500">
        <f>SUM(W44:W47)/SUM(K44:K47)</f>
        <v>0.92095307955743766</v>
      </c>
      <c r="Y44" s="210">
        <v>0</v>
      </c>
      <c r="Z44" s="36">
        <f>+'5'!D45/1000</f>
        <v>0</v>
      </c>
      <c r="AA44" s="48">
        <f>SUM(U44:U47)-SUM(W44:W47)-SUM(Z44:Z47)-SUM(Y44:Y47)</f>
        <v>1.5554782079999967</v>
      </c>
      <c r="AB44" s="48">
        <f>(SUM(K44:K47)-SUM(W44:W47)-SUM(Y44:Y47)-SUM(Z44:Z47)-SUM(AC44:AC47)-SUM(V44:V47))-AA44</f>
        <v>-5.773159728050814E-15</v>
      </c>
      <c r="AC44" s="36">
        <f>K44-T44</f>
        <v>0</v>
      </c>
      <c r="AD44" s="36">
        <f>+AM44+BA44</f>
        <v>6</v>
      </c>
      <c r="AE44" s="229" t="s">
        <v>423</v>
      </c>
      <c r="AF44" s="36">
        <v>6</v>
      </c>
      <c r="AG44" s="36"/>
      <c r="AH44" s="36"/>
      <c r="AI44" s="501"/>
      <c r="AJ44" s="36"/>
      <c r="AK44" s="36"/>
      <c r="AL44" s="36"/>
      <c r="AM44" s="36">
        <f>SUM(AF44:AL44)+AT44+AV44+AX44</f>
        <v>6</v>
      </c>
      <c r="AN44" s="36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32">
        <v>3</v>
      </c>
      <c r="BC44" s="50"/>
      <c r="BD44" s="50"/>
      <c r="BE44" s="32"/>
      <c r="BF44" s="50"/>
    </row>
    <row r="45" spans="1:58" ht="12.95" customHeight="1">
      <c r="A45" s="39"/>
      <c r="B45" s="40"/>
      <c r="C45" s="413"/>
      <c r="D45" s="40"/>
      <c r="E45" s="41"/>
      <c r="F45" s="41"/>
      <c r="G45" s="498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499"/>
      <c r="S45" s="499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>
        <f>+AM45+BA45</f>
        <v>16</v>
      </c>
      <c r="AE45" s="229" t="s">
        <v>424</v>
      </c>
      <c r="AF45" s="36"/>
      <c r="AG45" s="36">
        <v>16</v>
      </c>
      <c r="AH45" s="36"/>
      <c r="AI45" s="501"/>
      <c r="AJ45" s="36"/>
      <c r="AK45" s="36"/>
      <c r="AL45" s="36"/>
      <c r="AM45" s="36">
        <f>SUM(AF45:AL45)+AT45+AV45+AX45</f>
        <v>16</v>
      </c>
      <c r="AN45" s="82"/>
      <c r="AO45" s="36"/>
      <c r="AP45" s="36"/>
      <c r="AQ45" s="36"/>
      <c r="AR45" s="36">
        <f>SUM(AN45:AQ45)</f>
        <v>0</v>
      </c>
      <c r="AS45" s="36"/>
      <c r="AT45" s="36"/>
      <c r="AU45" s="36"/>
      <c r="AV45" s="36"/>
      <c r="AW45" s="36"/>
      <c r="AX45" s="36"/>
      <c r="AY45" s="36"/>
      <c r="AZ45" s="36"/>
      <c r="BA45" s="36">
        <f>+AR45+AS45+AU45+AW45+AY45+AZ45</f>
        <v>0</v>
      </c>
      <c r="BB45" s="49"/>
      <c r="BC45" s="50">
        <v>8</v>
      </c>
      <c r="BD45" s="50"/>
      <c r="BE45" s="49"/>
      <c r="BF45" s="50"/>
    </row>
    <row r="46" spans="1:58" ht="12.95" customHeight="1">
      <c r="A46" s="39"/>
      <c r="B46" s="40"/>
      <c r="C46" s="413"/>
      <c r="D46" s="40"/>
      <c r="E46" s="41"/>
      <c r="F46" s="41"/>
      <c r="G46" s="42"/>
      <c r="H46" s="43"/>
      <c r="I46" s="44"/>
      <c r="J46" s="81"/>
      <c r="K46" s="81"/>
      <c r="L46" s="34"/>
      <c r="M46" s="34"/>
      <c r="N46" s="45"/>
      <c r="O46" s="46"/>
      <c r="P46" s="47"/>
      <c r="Q46" s="46"/>
      <c r="R46" s="499"/>
      <c r="S46" s="499"/>
      <c r="T46" s="36"/>
      <c r="U46" s="36"/>
      <c r="V46" s="36"/>
      <c r="W46" s="36"/>
      <c r="X46" s="37"/>
      <c r="Y46" s="210"/>
      <c r="Z46" s="36"/>
      <c r="AA46" s="36"/>
      <c r="AB46" s="36"/>
      <c r="AC46" s="36"/>
      <c r="AD46" s="36">
        <f>+AM46+BA46</f>
        <v>37</v>
      </c>
      <c r="AE46" s="229" t="s">
        <v>483</v>
      </c>
      <c r="AF46" s="32"/>
      <c r="AG46" s="32"/>
      <c r="AH46" s="32">
        <v>37</v>
      </c>
      <c r="AJ46" s="36"/>
      <c r="AK46" s="36"/>
      <c r="AL46" s="36"/>
      <c r="AM46" s="36">
        <f>SUM(AF46:AL46)+AT46+AV46+AX46</f>
        <v>37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/>
      <c r="BC46" s="502"/>
      <c r="BD46" s="502"/>
      <c r="BE46" s="32"/>
      <c r="BF46" s="502"/>
    </row>
    <row r="47" spans="1:58" ht="12.95" customHeight="1">
      <c r="A47" s="39"/>
      <c r="B47" s="40"/>
      <c r="C47" s="413"/>
      <c r="D47" s="40"/>
      <c r="E47" s="41"/>
      <c r="F47" s="41"/>
      <c r="G47" s="42"/>
      <c r="H47" s="43"/>
      <c r="I47" s="44"/>
      <c r="J47" s="81"/>
      <c r="K47" s="81"/>
      <c r="L47" s="34"/>
      <c r="M47" s="34"/>
      <c r="N47" s="45"/>
      <c r="O47" s="46"/>
      <c r="P47" s="47"/>
      <c r="Q47" s="33"/>
      <c r="R47" s="499"/>
      <c r="S47" s="499"/>
      <c r="T47" s="36"/>
      <c r="U47" s="36"/>
      <c r="V47" s="36"/>
      <c r="W47" s="36"/>
      <c r="X47" s="37"/>
      <c r="Y47" s="210"/>
      <c r="Z47" s="36"/>
      <c r="AA47" s="36"/>
      <c r="AB47" s="36"/>
      <c r="AC47" s="36"/>
      <c r="AD47" s="36"/>
      <c r="AE47" s="232"/>
      <c r="AF47" s="36"/>
      <c r="AG47" s="36"/>
      <c r="AH47" s="36"/>
      <c r="AI47" s="501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49"/>
      <c r="BC47" s="50"/>
      <c r="BD47" s="50"/>
      <c r="BE47" s="50"/>
      <c r="BF47" s="50"/>
    </row>
    <row r="48" spans="1:58" ht="12.75" customHeight="1">
      <c r="A48" s="39">
        <v>46002</v>
      </c>
      <c r="B48" s="40" t="s">
        <v>464</v>
      </c>
      <c r="C48" s="413">
        <f>(M48*E48*O48*Q48)/100000000</f>
        <v>38.969213712000006</v>
      </c>
      <c r="D48" s="40" t="s">
        <v>302</v>
      </c>
      <c r="E48" s="41">
        <v>13</v>
      </c>
      <c r="F48" s="41">
        <v>1</v>
      </c>
      <c r="G48" s="498">
        <f>+L48</f>
        <v>1103.8122743682311</v>
      </c>
      <c r="H48" s="43">
        <f>+N48</f>
        <v>0.24</v>
      </c>
      <c r="I48" s="44">
        <v>0.88</v>
      </c>
      <c r="J48" s="81">
        <f>E48*G48*(1-H48)*1440/1000000*2.74</f>
        <v>43.02939289230325</v>
      </c>
      <c r="K48" s="81">
        <f>(IF(G48&lt;L48,L48,G48)*(1-IF(H48&lt;N48,H48,N48))*E48*O48*Q48)/100000000</f>
        <v>38.969213712000006</v>
      </c>
      <c r="L48" s="34">
        <v>1103.8122743682311</v>
      </c>
      <c r="M48" s="34">
        <v>838.89732851985559</v>
      </c>
      <c r="N48" s="45">
        <f>1-(M48/L48)</f>
        <v>0.24</v>
      </c>
      <c r="O48" s="46">
        <f>+'Trim Rwd'!H31</f>
        <v>258</v>
      </c>
      <c r="P48" s="47">
        <f>O48*(Q48-R48-S48)</f>
        <v>342882</v>
      </c>
      <c r="Q48" s="46">
        <v>1385</v>
      </c>
      <c r="R48" s="499">
        <v>0</v>
      </c>
      <c r="S48" s="499">
        <v>56</v>
      </c>
      <c r="T48" s="36">
        <f>E48*M48*O48*Q48/100000000</f>
        <v>38.969213712000006</v>
      </c>
      <c r="U48" s="36">
        <f>E48*M48*O48*(Q48-R48-S48)/100000000</f>
        <v>37.393563193680869</v>
      </c>
      <c r="V48" s="36">
        <f>E48*G48*(1-N48)*O48/100*(R48+S48)/1000000</f>
        <v>1.5756505183191336</v>
      </c>
      <c r="W48" s="36">
        <f>+'11'!K10/1000</f>
        <v>36.598999999999997</v>
      </c>
      <c r="X48" s="500">
        <f>SUM(W48:W51)/SUM(K48:K51)</f>
        <v>0.89961008897425399</v>
      </c>
      <c r="Y48" s="210">
        <v>0</v>
      </c>
      <c r="Z48" s="36">
        <f>+'5'!D49/1000</f>
        <v>0</v>
      </c>
      <c r="AA48" s="48">
        <f>SUM(U48:U51)-SUM(W48:W51)-SUM(Z48:Z51)-SUM(Y48:Y51)</f>
        <v>2.1968999936808729</v>
      </c>
      <c r="AB48" s="48">
        <f>(SUM(K48:K51)-SUM(W48:W51)-SUM(Y48:Y51)-SUM(Z48:Z51)-SUM(AC48:AC51)-SUM(V48:V51))-AA48</f>
        <v>0</v>
      </c>
      <c r="AC48" s="36">
        <f>K48-T48</f>
        <v>0</v>
      </c>
      <c r="AD48" s="36">
        <f>+AM48+BA48</f>
        <v>18</v>
      </c>
      <c r="AE48" s="229" t="s">
        <v>442</v>
      </c>
      <c r="AF48" s="36">
        <v>18</v>
      </c>
      <c r="AG48" s="36"/>
      <c r="AH48" s="36"/>
      <c r="AI48" s="501"/>
      <c r="AJ48" s="36"/>
      <c r="AK48" s="36"/>
      <c r="AL48" s="36"/>
      <c r="AM48" s="36">
        <f>SUM(AF48:AL48)+AT48+AV48+AX48</f>
        <v>18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>
        <v>6</v>
      </c>
      <c r="BC48" s="50"/>
      <c r="BD48" s="50"/>
      <c r="BE48" s="32"/>
      <c r="BF48" s="50"/>
    </row>
    <row r="49" spans="1:58" ht="12.95" customHeight="1">
      <c r="A49" s="39"/>
      <c r="B49" s="40" t="s">
        <v>464</v>
      </c>
      <c r="C49" s="413">
        <f>(M49*E49*O49*Q49)/100000000</f>
        <v>1.7139671999999999</v>
      </c>
      <c r="D49" s="40" t="s">
        <v>302</v>
      </c>
      <c r="E49" s="41">
        <v>15</v>
      </c>
      <c r="F49" s="41">
        <v>1</v>
      </c>
      <c r="G49" s="498">
        <f>+L49</f>
        <v>1020</v>
      </c>
      <c r="H49" s="43">
        <f>+N49</f>
        <v>0.24</v>
      </c>
      <c r="I49" s="44">
        <v>0.88</v>
      </c>
      <c r="J49" s="81">
        <f>E49*G49*(1-H49)*1440/1000000*2.74</f>
        <v>45.879436800000001</v>
      </c>
      <c r="K49" s="81">
        <f>(IF(G49&lt;L49,L49,G49)*(1-IF(H49&lt;N49,H49,N49))*E49*O49*Q49)/100000000</f>
        <v>1.7139671999999999</v>
      </c>
      <c r="L49" s="34">
        <v>1020</v>
      </c>
      <c r="M49" s="34">
        <v>775.2</v>
      </c>
      <c r="N49" s="45">
        <f>1-(M49/L49)</f>
        <v>0.24</v>
      </c>
      <c r="O49" s="46">
        <f>+'Trim Rwd'!H32</f>
        <v>268</v>
      </c>
      <c r="P49" s="47">
        <f>O49*(Q49-R49-S49)</f>
        <v>12060</v>
      </c>
      <c r="Q49" s="46">
        <v>55</v>
      </c>
      <c r="R49" s="499">
        <v>0</v>
      </c>
      <c r="S49" s="499">
        <v>10</v>
      </c>
      <c r="T49" s="36">
        <f>E49*M49*O49*Q49/100000000</f>
        <v>1.7139671999999999</v>
      </c>
      <c r="U49" s="36">
        <f>E49*M49*O49*(Q49-R49-S49)/100000000</f>
        <v>1.4023368</v>
      </c>
      <c r="V49" s="36">
        <f>E49*G49*(1-N49)*O49/100*(R49+S49)/1000000</f>
        <v>0.31163040000000003</v>
      </c>
      <c r="W49" s="36">
        <f>+'10'!K15/1000</f>
        <v>0</v>
      </c>
      <c r="X49" s="37"/>
      <c r="Y49" s="210"/>
      <c r="Z49" s="36"/>
      <c r="AA49" s="36"/>
      <c r="AB49" s="36"/>
      <c r="AC49" s="36"/>
      <c r="AD49" s="36">
        <f>+AM49+BA49</f>
        <v>8</v>
      </c>
      <c r="AE49" s="229" t="s">
        <v>407</v>
      </c>
      <c r="AF49" s="36"/>
      <c r="AG49" s="36">
        <v>8</v>
      </c>
      <c r="AH49" s="36"/>
      <c r="AI49" s="501"/>
      <c r="AJ49" s="36"/>
      <c r="AK49" s="36"/>
      <c r="AL49" s="36"/>
      <c r="AM49" s="36">
        <f>SUM(AF49:AL49)+AT49+AV49+AX49</f>
        <v>8</v>
      </c>
      <c r="AN49" s="82"/>
      <c r="AO49" s="36"/>
      <c r="AP49" s="36"/>
      <c r="AQ49" s="36"/>
      <c r="AR49" s="36">
        <f>SUM(AN49:AQ49)</f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>
        <v>4</v>
      </c>
      <c r="BD49" s="50"/>
      <c r="BE49" s="49"/>
      <c r="BF49" s="50"/>
    </row>
    <row r="50" spans="1:58" ht="12.95" customHeight="1">
      <c r="A50" s="39"/>
      <c r="B50" s="40"/>
      <c r="C50" s="413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46"/>
      <c r="R50" s="499"/>
      <c r="S50" s="499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>+AM50+BA50</f>
        <v>40</v>
      </c>
      <c r="AE50" s="229" t="s">
        <v>498</v>
      </c>
      <c r="AF50" s="32"/>
      <c r="AG50" s="32"/>
      <c r="AH50" s="32">
        <v>40</v>
      </c>
      <c r="AJ50" s="36"/>
      <c r="AK50" s="36"/>
      <c r="AL50" s="36"/>
      <c r="AM50" s="36">
        <f>SUM(AF50:AL50)+AT50+AV50+AX50</f>
        <v>40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/>
      <c r="BC50" s="502"/>
      <c r="BD50" s="502"/>
      <c r="BE50" s="32"/>
      <c r="BF50" s="502"/>
    </row>
    <row r="51" spans="1:58" ht="12.95" customHeight="1">
      <c r="A51" s="39"/>
      <c r="B51" s="40"/>
      <c r="C51" s="413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33"/>
      <c r="R51" s="499"/>
      <c r="S51" s="499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/>
      <c r="AE51" s="232"/>
      <c r="AF51" s="36"/>
      <c r="AG51" s="36"/>
      <c r="AH51" s="36"/>
      <c r="AI51" s="501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49"/>
      <c r="BC51" s="50"/>
      <c r="BD51" s="50"/>
      <c r="BE51" s="50"/>
      <c r="BF51" s="50"/>
    </row>
    <row r="52" spans="1:58" ht="12.75" customHeight="1">
      <c r="A52" s="39">
        <v>46003</v>
      </c>
      <c r="B52" s="40" t="s">
        <v>464</v>
      </c>
      <c r="C52" s="413">
        <f>(M52*E52*O52*Q52)/100000000</f>
        <v>25.28781</v>
      </c>
      <c r="D52" s="40" t="s">
        <v>302</v>
      </c>
      <c r="E52" s="41">
        <v>15</v>
      </c>
      <c r="F52" s="41">
        <v>1</v>
      </c>
      <c r="G52" s="498">
        <f>+L52</f>
        <v>1000</v>
      </c>
      <c r="H52" s="43">
        <f>+N52</f>
        <v>0.24210843373493984</v>
      </c>
      <c r="I52" s="44">
        <v>0.88</v>
      </c>
      <c r="J52" s="81">
        <f>E52*G52*(1-H52)*1440/1000000*2.74</f>
        <v>44.855054457831315</v>
      </c>
      <c r="K52" s="81">
        <f>(IF(G52&lt;L52,L52,G52)*(1-IF(H52&lt;N52,H52,N52))*E52*O52*Q52)/100000000</f>
        <v>25.28781</v>
      </c>
      <c r="L52" s="34">
        <v>1000</v>
      </c>
      <c r="M52" s="34">
        <v>757.89156626506019</v>
      </c>
      <c r="N52" s="45">
        <f>1-(M52/L52)</f>
        <v>0.24210843373493984</v>
      </c>
      <c r="O52" s="46">
        <f>+'Trim Rwd'!H34</f>
        <v>268</v>
      </c>
      <c r="P52" s="47">
        <f>O52*(Q52-R52-S52)</f>
        <v>210380</v>
      </c>
      <c r="Q52" s="46">
        <v>830</v>
      </c>
      <c r="R52" s="499">
        <v>0</v>
      </c>
      <c r="S52" s="499">
        <v>45</v>
      </c>
      <c r="T52" s="36">
        <f>E52*M52*O52*Q52/100000000</f>
        <v>25.28781</v>
      </c>
      <c r="U52" s="36">
        <f>E52*M52*O52*(Q52-R52-S52)/100000000</f>
        <v>23.916784156626505</v>
      </c>
      <c r="V52" s="36">
        <f>E52*G52*(1-N52)*O52/100*(R52+S52)/1000000</f>
        <v>1.3710258433734934</v>
      </c>
      <c r="W52" s="36">
        <f>+'12'!K11/1000</f>
        <v>25.864000000000001</v>
      </c>
      <c r="X52" s="500">
        <f>SUM(W52:W55)/SUM(K52:K55)</f>
        <v>0.96351061102185942</v>
      </c>
      <c r="Y52" s="210">
        <v>0</v>
      </c>
      <c r="Z52" s="36">
        <v>0</v>
      </c>
      <c r="AA52" s="48">
        <f>SUM(U52:U55)-SUM(W52:W55)-SUM(Z52:Z55)-SUM(Y52:Y55)</f>
        <v>-1.2155249581275953</v>
      </c>
      <c r="AB52" s="48">
        <f>(SUM(K52:K55)-SUM(W52:W55)-SUM(Y52:Y55)-SUM(Z52:Z55)-SUM(AC52:AC55)-SUM(V52:V55))-AA52</f>
        <v>-2.4081285245898698E-2</v>
      </c>
      <c r="AC52" s="36">
        <f>K52-T52</f>
        <v>0</v>
      </c>
      <c r="AD52" s="36">
        <f>+AM52+BA52</f>
        <v>30</v>
      </c>
      <c r="AE52" s="229" t="s">
        <v>436</v>
      </c>
      <c r="AF52" s="36">
        <v>30</v>
      </c>
      <c r="AG52" s="36"/>
      <c r="AH52" s="36"/>
      <c r="AI52" s="501"/>
      <c r="AJ52" s="36"/>
      <c r="AK52" s="36"/>
      <c r="AL52" s="36"/>
      <c r="AM52" s="36">
        <f>SUM(AF52:AL52)+AT52+AV52+AX52</f>
        <v>30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>
        <v>9</v>
      </c>
      <c r="BC52" s="50"/>
      <c r="BD52" s="50"/>
      <c r="BE52" s="32"/>
      <c r="BF52" s="50"/>
    </row>
    <row r="53" spans="1:58" ht="12.95" customHeight="1">
      <c r="A53" s="39"/>
      <c r="B53" s="40" t="s">
        <v>464</v>
      </c>
      <c r="C53" s="413">
        <f>(M53*E53*O53*Q53)/100000000</f>
        <v>17.371411200000001</v>
      </c>
      <c r="D53" s="40" t="s">
        <v>302</v>
      </c>
      <c r="E53" s="41">
        <v>12</v>
      </c>
      <c r="F53" s="41">
        <v>1</v>
      </c>
      <c r="G53" s="498">
        <v>1230</v>
      </c>
      <c r="H53" s="43">
        <f>+N53</f>
        <v>0.24</v>
      </c>
      <c r="I53" s="44">
        <v>0.88</v>
      </c>
      <c r="J53" s="81">
        <f>E53*G53*(1-H53)*1440/1000000*2.74</f>
        <v>44.260162560000005</v>
      </c>
      <c r="K53" s="81">
        <f>(IF(G53&lt;L53,L53,G53)*(1-IF(H53&lt;N53,H53,N53))*E53*O53*Q53)/100000000</f>
        <v>17.791113599999999</v>
      </c>
      <c r="L53" s="34">
        <v>1200.983606557377</v>
      </c>
      <c r="M53" s="34">
        <v>912.74754098360654</v>
      </c>
      <c r="N53" s="45">
        <f>1-(M53/L53)</f>
        <v>0.24</v>
      </c>
      <c r="O53" s="46">
        <f>+'Trim Rwd'!H36</f>
        <v>260</v>
      </c>
      <c r="P53" s="47">
        <f>O53*(Q53-R53-S53)</f>
        <v>149500</v>
      </c>
      <c r="Q53" s="46">
        <v>610</v>
      </c>
      <c r="R53" s="499">
        <v>0</v>
      </c>
      <c r="S53" s="499">
        <f>80-S52</f>
        <v>35</v>
      </c>
      <c r="T53" s="36">
        <f>E53*M53*O53*Q53/100000000</f>
        <v>17.371411200000001</v>
      </c>
      <c r="U53" s="36">
        <f>E53*M53*O53*(Q53-R53-S53)/100000000</f>
        <v>16.374690885245901</v>
      </c>
      <c r="V53" s="36">
        <f>E53*G53*(1-N53)*O53/100*(R53+S53)/1000000</f>
        <v>1.0208016</v>
      </c>
      <c r="W53" s="36">
        <f>+'12'!K9/1000</f>
        <v>12.888999999999999</v>
      </c>
      <c r="X53" s="37"/>
      <c r="Y53" s="210"/>
      <c r="Z53" s="36"/>
      <c r="AA53" s="36"/>
      <c r="AB53" s="36"/>
      <c r="AC53" s="36">
        <f>K53-T53</f>
        <v>0.41970239999999848</v>
      </c>
      <c r="AD53" s="36">
        <f>+AM53+BA53</f>
        <v>0</v>
      </c>
      <c r="AE53" s="229" t="s">
        <v>284</v>
      </c>
      <c r="AF53" s="36"/>
      <c r="AG53" s="36">
        <v>0</v>
      </c>
      <c r="AH53" s="36"/>
      <c r="AI53" s="501"/>
      <c r="AJ53" s="36"/>
      <c r="AK53" s="36"/>
      <c r="AL53" s="36"/>
      <c r="AM53" s="36">
        <f>SUM(AF53:AL53)+AT53+AV53+AX53</f>
        <v>0</v>
      </c>
      <c r="AN53" s="82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>
        <f>+AR53+AS53+AU53+AW53+AY53+AZ53</f>
        <v>0</v>
      </c>
      <c r="BB53" s="49"/>
      <c r="BC53" s="50">
        <v>0</v>
      </c>
      <c r="BD53" s="50"/>
      <c r="BE53" s="49"/>
      <c r="BF53" s="50"/>
    </row>
    <row r="54" spans="1:58" ht="12.95" customHeight="1">
      <c r="A54" s="39"/>
      <c r="B54" s="40" t="s">
        <v>464</v>
      </c>
      <c r="C54" s="413"/>
      <c r="D54" s="40"/>
      <c r="E54" s="41">
        <v>13</v>
      </c>
      <c r="F54" s="41"/>
      <c r="G54" s="42"/>
      <c r="H54" s="43"/>
      <c r="I54" s="44"/>
      <c r="J54" s="81"/>
      <c r="K54" s="81"/>
      <c r="L54" s="34"/>
      <c r="M54" s="34"/>
      <c r="N54" s="45"/>
      <c r="O54" s="46"/>
      <c r="P54" s="47"/>
      <c r="Q54" s="46"/>
      <c r="R54" s="499"/>
      <c r="S54" s="499"/>
      <c r="T54" s="36"/>
      <c r="U54" s="36"/>
      <c r="V54" s="36"/>
      <c r="W54" s="36">
        <f>+'12'!K10/1000</f>
        <v>2.754</v>
      </c>
      <c r="X54" s="37"/>
      <c r="Y54" s="210"/>
      <c r="Z54" s="36"/>
      <c r="AA54" s="36"/>
      <c r="AB54" s="36"/>
      <c r="AC54" s="36"/>
      <c r="AD54" s="36">
        <f>+AM54+BA54</f>
        <v>50</v>
      </c>
      <c r="AE54" s="229" t="s">
        <v>437</v>
      </c>
      <c r="AF54" s="32"/>
      <c r="AG54" s="32"/>
      <c r="AH54" s="32">
        <v>50</v>
      </c>
      <c r="AJ54" s="36"/>
      <c r="AK54" s="36"/>
      <c r="AL54" s="36"/>
      <c r="AM54" s="36">
        <f>SUM(AF54:AL54)+AT54+AV54+AX54</f>
        <v>50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/>
      <c r="BC54" s="502"/>
      <c r="BD54" s="502"/>
      <c r="BE54" s="32"/>
      <c r="BF54" s="502"/>
    </row>
    <row r="55" spans="1:58" ht="13.5" customHeight="1">
      <c r="A55" s="39"/>
      <c r="B55" s="40"/>
      <c r="C55" s="413"/>
      <c r="D55" s="40"/>
      <c r="E55" s="41"/>
      <c r="F55" s="41"/>
      <c r="G55" s="498"/>
      <c r="H55" s="43"/>
      <c r="I55" s="44"/>
      <c r="J55" s="81"/>
      <c r="K55" s="81"/>
      <c r="L55" s="34"/>
      <c r="M55" s="34"/>
      <c r="N55" s="45"/>
      <c r="O55" s="46"/>
      <c r="P55" s="47"/>
      <c r="Q55" s="46"/>
      <c r="R55" s="499"/>
      <c r="S55" s="499"/>
      <c r="T55" s="36"/>
      <c r="U55" s="36"/>
      <c r="V55" s="36"/>
      <c r="W55" s="36"/>
      <c r="X55" s="500"/>
      <c r="Y55" s="210"/>
      <c r="Z55" s="36"/>
      <c r="AA55" s="48"/>
      <c r="AB55" s="48"/>
      <c r="AC55" s="36"/>
      <c r="AD55" s="36"/>
      <c r="AE55" s="229"/>
      <c r="AF55" s="36"/>
      <c r="AG55" s="36"/>
      <c r="AH55" s="36"/>
      <c r="AI55" s="501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2"/>
      <c r="BC55" s="50"/>
      <c r="BD55" s="50"/>
      <c r="BE55" s="32"/>
      <c r="BF55" s="50"/>
    </row>
    <row r="56" spans="1:58" ht="12.75" customHeight="1">
      <c r="A56" s="39">
        <v>46004</v>
      </c>
      <c r="B56" s="40" t="s">
        <v>464</v>
      </c>
      <c r="C56" s="413">
        <f>(M56*E56*O56*Q56)/100000000</f>
        <v>4.4471856000000001</v>
      </c>
      <c r="D56" s="40" t="s">
        <v>302</v>
      </c>
      <c r="E56" s="41">
        <v>12</v>
      </c>
      <c r="F56" s="41">
        <v>1</v>
      </c>
      <c r="G56" s="498">
        <v>1230</v>
      </c>
      <c r="H56" s="43">
        <f>+N56</f>
        <v>0.24</v>
      </c>
      <c r="I56" s="44">
        <v>0.88</v>
      </c>
      <c r="J56" s="81">
        <f>E56*G56*(1-H56)*1440/1000000*2.74</f>
        <v>44.260162560000005</v>
      </c>
      <c r="K56" s="81">
        <f>(IF(G56&lt;L56,L56,G56)*(1-IF(H56&lt;N56,H56,N56))*E56*O56*Q56)/100000000</f>
        <v>4.5206927999999991</v>
      </c>
      <c r="L56" s="34">
        <v>1210</v>
      </c>
      <c r="M56" s="34">
        <v>919.6</v>
      </c>
      <c r="N56" s="45">
        <f>1-(M56/L56)</f>
        <v>0.24</v>
      </c>
      <c r="O56" s="46">
        <f>+'Trim Rwd'!H38</f>
        <v>260</v>
      </c>
      <c r="P56" s="47">
        <f>O56*(Q56-R56-S56)</f>
        <v>36400</v>
      </c>
      <c r="Q56" s="46">
        <v>155</v>
      </c>
      <c r="R56" s="499">
        <v>0</v>
      </c>
      <c r="S56" s="499">
        <v>15</v>
      </c>
      <c r="T56" s="36">
        <f>E56*M56*O56*Q56/100000000</f>
        <v>4.4471856000000001</v>
      </c>
      <c r="U56" s="36">
        <f>E56*M56*O56*(Q56-R56-S56)/100000000</f>
        <v>4.0168128000000003</v>
      </c>
      <c r="V56" s="36">
        <f>E56*G56*(1-N56)*O56/100*(R56+S56)/1000000</f>
        <v>0.43748639999999994</v>
      </c>
      <c r="W56" s="36">
        <f>+'13'!K9/1000</f>
        <v>11.222</v>
      </c>
      <c r="X56" s="500">
        <f>SUM(W56:W59)/SUM(K56:K59)</f>
        <v>0.81833416852695751</v>
      </c>
      <c r="Y56" s="210">
        <v>0</v>
      </c>
      <c r="Z56" s="36">
        <f>+'5'!D57/1000</f>
        <v>0</v>
      </c>
      <c r="AA56" s="48">
        <f>SUM(U56:U59)-SUM(W56:W59)-SUM(Z56:Z59)-SUM(Y56:Y59)</f>
        <v>3.4875680702754863</v>
      </c>
      <c r="AB56" s="48">
        <f>(SUM(K56:K59)-SUM(W56:W59)-SUM(Y56:Y59)-SUM(Z56:Z59)-SUM(AC56:AC59)-SUM(V56:V59))-AA56</f>
        <v>-6.4665404431396567E-2</v>
      </c>
      <c r="AC56" s="36">
        <f>K56-T56</f>
        <v>7.3507199999998996E-2</v>
      </c>
      <c r="AD56" s="36">
        <f>+AM56+BA56</f>
        <v>71</v>
      </c>
      <c r="AE56" s="229" t="s">
        <v>536</v>
      </c>
      <c r="AF56" s="36">
        <v>71</v>
      </c>
      <c r="AG56" s="36"/>
      <c r="AH56" s="36"/>
      <c r="AI56" s="501"/>
      <c r="AJ56" s="36"/>
      <c r="AK56" s="36"/>
      <c r="AL56" s="36"/>
      <c r="AM56" s="36">
        <f>SUM(AF56:AL56)+AT56+AV56+AX56</f>
        <v>71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>
        <v>16</v>
      </c>
      <c r="BC56" s="50"/>
      <c r="BD56" s="50"/>
      <c r="BE56" s="32"/>
      <c r="BF56" s="50"/>
    </row>
    <row r="57" spans="1:58" ht="12.95" customHeight="1">
      <c r="A57" s="39"/>
      <c r="B57" s="40" t="s">
        <v>7</v>
      </c>
      <c r="C57" s="413">
        <f>(M57*E57*O57*Q57)/100000000</f>
        <v>36.356017318399992</v>
      </c>
      <c r="D57" s="40" t="s">
        <v>302</v>
      </c>
      <c r="E57" s="41">
        <v>12</v>
      </c>
      <c r="F57" s="41">
        <v>1</v>
      </c>
      <c r="G57" s="498">
        <v>1230</v>
      </c>
      <c r="H57" s="43">
        <f>+N57</f>
        <v>0.24378040592883343</v>
      </c>
      <c r="I57" s="44">
        <v>0.88</v>
      </c>
      <c r="J57" s="81">
        <f>E57*G57*(1-H57)*1440/1000000*2.74</f>
        <v>44.0400028482198</v>
      </c>
      <c r="K57" s="81">
        <f>(IF(G57&lt;L57,L57,G57)*(1-IF(H57&lt;N57,H57,N57))*E57*O57*Q57)/100000000</f>
        <v>37.095558005343378</v>
      </c>
      <c r="L57" s="34">
        <v>1205.4785992217899</v>
      </c>
      <c r="M57" s="34">
        <v>911.60653696498048</v>
      </c>
      <c r="N57" s="45">
        <f>1-(M57/L57)</f>
        <v>0.24378040592883343</v>
      </c>
      <c r="O57" s="46">
        <f>+'Trim Rwd'!H39</f>
        <v>258.63333333333333</v>
      </c>
      <c r="P57" s="47">
        <f>O57*(Q57-R57-S57)</f>
        <v>306480.5</v>
      </c>
      <c r="Q57" s="46">
        <v>1285</v>
      </c>
      <c r="R57" s="499">
        <v>0</v>
      </c>
      <c r="S57" s="499">
        <v>100</v>
      </c>
      <c r="T57" s="36">
        <f>E57*M57*O57*Q57/100000000</f>
        <v>36.356017318399992</v>
      </c>
      <c r="U57" s="36">
        <f>E57*M57*O57*(Q57-R57-S57)/100000000</f>
        <v>33.52675527027548</v>
      </c>
      <c r="V57" s="36">
        <f>E57*G57*(1-N57)*O57/100*(R57+S57)/1000000</f>
        <v>2.8868138525559051</v>
      </c>
      <c r="W57" s="36">
        <f>+'13'!K12/1000</f>
        <v>22.834</v>
      </c>
      <c r="X57" s="37"/>
      <c r="Y57" s="210"/>
      <c r="Z57" s="36"/>
      <c r="AA57" s="36"/>
      <c r="AB57" s="36"/>
      <c r="AC57" s="36">
        <f>K57-T57</f>
        <v>0.73954068694338559</v>
      </c>
      <c r="AD57" s="36">
        <f>+AM57+BA57</f>
        <v>0</v>
      </c>
      <c r="AE57" s="229" t="s">
        <v>284</v>
      </c>
      <c r="AF57" s="36"/>
      <c r="AG57" s="36">
        <v>0</v>
      </c>
      <c r="AH57" s="36"/>
      <c r="AI57" s="501"/>
      <c r="AJ57" s="36"/>
      <c r="AK57" s="36"/>
      <c r="AL57" s="36"/>
      <c r="AM57" s="36">
        <f>SUM(AF57:AL57)+AT57+AV57+AX57</f>
        <v>0</v>
      </c>
      <c r="AN57" s="82"/>
      <c r="AO57" s="36"/>
      <c r="AP57" s="36"/>
      <c r="AQ57" s="36"/>
      <c r="AR57" s="36">
        <f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>
        <v>0</v>
      </c>
      <c r="BD57" s="50"/>
      <c r="BE57" s="49"/>
      <c r="BF57" s="50"/>
    </row>
    <row r="58" spans="1:58" ht="12.95" customHeight="1">
      <c r="A58" s="39"/>
      <c r="B58" s="40"/>
      <c r="C58" s="413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499"/>
      <c r="S58" s="499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>
        <f>+AM58+BA58</f>
        <v>44</v>
      </c>
      <c r="AE58" s="229" t="s">
        <v>443</v>
      </c>
      <c r="AF58" s="32"/>
      <c r="AG58" s="32"/>
      <c r="AH58" s="32">
        <v>44</v>
      </c>
      <c r="AJ58" s="36"/>
      <c r="AK58" s="36"/>
      <c r="AL58" s="36"/>
      <c r="AM58" s="36">
        <f>SUM(AF58:AL58)+AT58+AV58+AX58</f>
        <v>44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/>
      <c r="BC58" s="502"/>
      <c r="BD58" s="502"/>
      <c r="BE58" s="32"/>
      <c r="BF58" s="502"/>
    </row>
    <row r="59" spans="1:58" ht="12.95" customHeight="1">
      <c r="A59" s="39"/>
      <c r="B59" s="40"/>
      <c r="C59" s="413"/>
      <c r="D59" s="40"/>
      <c r="E59" s="41"/>
      <c r="F59" s="41"/>
      <c r="G59" s="42"/>
      <c r="H59" s="43"/>
      <c r="I59" s="44"/>
      <c r="J59" s="81"/>
      <c r="K59" s="81"/>
      <c r="L59" s="34"/>
      <c r="M59" s="34"/>
      <c r="N59" s="45"/>
      <c r="O59" s="46"/>
      <c r="P59" s="47"/>
      <c r="Q59" s="33"/>
      <c r="R59" s="499"/>
      <c r="S59" s="499"/>
      <c r="T59" s="36"/>
      <c r="U59" s="36"/>
      <c r="V59" s="36"/>
      <c r="W59" s="36"/>
      <c r="X59" s="37"/>
      <c r="Y59" s="210"/>
      <c r="Z59" s="36"/>
      <c r="AA59" s="36"/>
      <c r="AB59" s="36"/>
      <c r="AC59" s="36"/>
      <c r="AD59" s="36"/>
      <c r="AE59" s="232"/>
      <c r="AF59" s="36"/>
      <c r="AG59" s="36"/>
      <c r="AH59" s="36"/>
      <c r="AI59" s="501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49"/>
      <c r="BC59" s="50"/>
      <c r="BD59" s="50"/>
      <c r="BE59" s="50"/>
      <c r="BF59" s="50"/>
    </row>
    <row r="60" spans="1:58" ht="12.75" customHeight="1">
      <c r="A60" s="39">
        <v>46005</v>
      </c>
      <c r="B60" s="40" t="s">
        <v>7</v>
      </c>
      <c r="C60" s="413">
        <f>(M60*E60*O60*Q60)/100000000</f>
        <v>39.277879919999997</v>
      </c>
      <c r="D60" s="40" t="s">
        <v>302</v>
      </c>
      <c r="E60" s="41">
        <v>12</v>
      </c>
      <c r="F60" s="41">
        <v>1</v>
      </c>
      <c r="G60" s="498">
        <v>1230</v>
      </c>
      <c r="H60" s="43">
        <v>0.24</v>
      </c>
      <c r="I60" s="44">
        <v>0.88</v>
      </c>
      <c r="J60" s="81">
        <f>E60*G60*(1-H60)*1440/1000000*2.74</f>
        <v>44.260162560000005</v>
      </c>
      <c r="K60" s="81">
        <f>(IF(G60&lt;L60,L60,G60)*(1-IF(H60&lt;N60,H60,N60))*E60*O60*Q60)/100000000</f>
        <v>41.594860799999992</v>
      </c>
      <c r="L60" s="34">
        <v>1195.75</v>
      </c>
      <c r="M60" s="34">
        <v>882.72833333333335</v>
      </c>
      <c r="N60" s="45">
        <f>1-(M60/L60)</f>
        <v>0.26177852115129974</v>
      </c>
      <c r="O60" s="46">
        <f>+'Trim Rwd'!H42</f>
        <v>257.5</v>
      </c>
      <c r="P60" s="47">
        <f>O60*(Q60-R60-S60)</f>
        <v>355092.5</v>
      </c>
      <c r="Q60" s="46">
        <v>1440</v>
      </c>
      <c r="R60" s="499">
        <v>0</v>
      </c>
      <c r="S60" s="499">
        <v>61</v>
      </c>
      <c r="T60" s="36">
        <f>E60*M60*O60*Q60/100000000</f>
        <v>39.277879919999997</v>
      </c>
      <c r="U60" s="36">
        <f>E60*M60*O60*(Q60-R60-S60)/100000000</f>
        <v>37.614025284499995</v>
      </c>
      <c r="V60" s="36">
        <f>E60*G60*(1-N60)*O60/100*(R60+S60)/1000000</f>
        <v>1.7115126085427554</v>
      </c>
      <c r="W60" s="36">
        <f>+'14'!K12/1000</f>
        <v>33.35</v>
      </c>
      <c r="X60" s="500">
        <f>SUM(W60:W63)/SUM(K60:K63)</f>
        <v>0.80178174319073592</v>
      </c>
      <c r="Y60" s="210">
        <v>0</v>
      </c>
      <c r="Z60" s="36">
        <f>+'5'!D61/1000</f>
        <v>0</v>
      </c>
      <c r="AA60" s="48">
        <f>SUM(U60:U63)-SUM(W60:W63)-SUM(Z60:Z63)-SUM(Y60:Y63)</f>
        <v>4.2640252844999935</v>
      </c>
      <c r="AB60" s="48">
        <f>(SUM(K60:K63)-SUM(W60:W63)-SUM(Y60:Y63)-SUM(Z60:Z63)-SUM(AC60:AC63)-SUM(V60:V63))-AA60</f>
        <v>-4.7657973042753987E-2</v>
      </c>
      <c r="AC60" s="36">
        <f>K60-T60</f>
        <v>2.3169808799999956</v>
      </c>
      <c r="AD60" s="36">
        <f>+AM60+BA60</f>
        <v>15</v>
      </c>
      <c r="AE60" s="229" t="s">
        <v>442</v>
      </c>
      <c r="AF60" s="36">
        <v>15</v>
      </c>
      <c r="AG60" s="36"/>
      <c r="AH60" s="36"/>
      <c r="AI60" s="501"/>
      <c r="AJ60" s="36"/>
      <c r="AK60" s="36"/>
      <c r="AL60" s="36"/>
      <c r="AM60" s="36">
        <f>SUM(AF60:AL60)+AT60+AV60+AX60</f>
        <v>15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>
        <v>6</v>
      </c>
      <c r="BC60" s="50"/>
      <c r="BD60" s="50"/>
      <c r="BE60" s="32"/>
      <c r="BF60" s="50"/>
    </row>
    <row r="61" spans="1:58" ht="12.95" customHeight="1">
      <c r="A61" s="39"/>
      <c r="B61" s="40"/>
      <c r="C61" s="413"/>
      <c r="D61" s="40"/>
      <c r="E61" s="41"/>
      <c r="F61" s="41"/>
      <c r="G61" s="498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499"/>
      <c r="S61" s="499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+AM61+BA61</f>
        <v>3</v>
      </c>
      <c r="AE61" s="229" t="s">
        <v>532</v>
      </c>
      <c r="AF61" s="36"/>
      <c r="AG61" s="36">
        <v>3</v>
      </c>
      <c r="AH61" s="36"/>
      <c r="AI61" s="501"/>
      <c r="AJ61" s="36"/>
      <c r="AK61" s="36"/>
      <c r="AL61" s="36"/>
      <c r="AM61" s="36">
        <f>SUM(AF61:AL61)+AT61+AV61+AX61</f>
        <v>3</v>
      </c>
      <c r="AN61" s="82"/>
      <c r="AO61" s="36"/>
      <c r="AP61" s="36"/>
      <c r="AQ61" s="36"/>
      <c r="AR61" s="36">
        <f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49"/>
      <c r="BC61" s="50">
        <v>1</v>
      </c>
      <c r="BD61" s="50"/>
      <c r="BE61" s="49"/>
      <c r="BF61" s="50"/>
    </row>
    <row r="62" spans="1:58" ht="12.95" customHeight="1">
      <c r="A62" s="39"/>
      <c r="B62" s="40"/>
      <c r="C62" s="413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46"/>
      <c r="R62" s="499"/>
      <c r="S62" s="499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+AM62+BA62</f>
        <v>43</v>
      </c>
      <c r="AE62" s="229" t="s">
        <v>498</v>
      </c>
      <c r="AF62" s="32"/>
      <c r="AG62" s="32"/>
      <c r="AH62" s="32">
        <v>43</v>
      </c>
      <c r="AJ62" s="36"/>
      <c r="AK62" s="36"/>
      <c r="AL62" s="36"/>
      <c r="AM62" s="36">
        <f>SUM(AF62:AL62)+AT62+AV62+AX62</f>
        <v>43</v>
      </c>
      <c r="AN62" s="36"/>
      <c r="AO62" s="36"/>
      <c r="AP62" s="36"/>
      <c r="AQ62" s="36"/>
      <c r="AR62" s="36">
        <f>SUM(AN62:AQ62)</f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32"/>
      <c r="BC62" s="502"/>
      <c r="BD62" s="502"/>
      <c r="BE62" s="32"/>
      <c r="BF62" s="502"/>
    </row>
    <row r="63" spans="1:58" ht="12.95" customHeight="1">
      <c r="A63" s="39"/>
      <c r="B63" s="40"/>
      <c r="C63" s="413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33"/>
      <c r="R63" s="499"/>
      <c r="S63" s="499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/>
      <c r="AE63" s="232"/>
      <c r="AF63" s="36"/>
      <c r="AG63" s="36"/>
      <c r="AH63" s="36"/>
      <c r="AI63" s="501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49"/>
      <c r="BC63" s="50"/>
      <c r="BD63" s="50"/>
      <c r="BE63" s="49"/>
      <c r="BF63" s="50"/>
    </row>
    <row r="64" spans="1:58" ht="12.75" customHeight="1">
      <c r="A64" s="39">
        <v>46006</v>
      </c>
      <c r="B64" s="40" t="s">
        <v>7</v>
      </c>
      <c r="C64" s="413">
        <f>(M64*E64*O64*Q64)/100000000</f>
        <v>14.977824525000001</v>
      </c>
      <c r="D64" s="40" t="s">
        <v>302</v>
      </c>
      <c r="E64" s="41">
        <v>12</v>
      </c>
      <c r="F64" s="41">
        <v>1</v>
      </c>
      <c r="G64" s="498">
        <v>1230</v>
      </c>
      <c r="H64" s="43">
        <v>0.24</v>
      </c>
      <c r="I64" s="44">
        <v>0.88</v>
      </c>
      <c r="J64" s="81">
        <f>E64*G64*(1-H64)*1440/1000000*2.74</f>
        <v>44.260162560000005</v>
      </c>
      <c r="K64" s="81">
        <f>(IF(G64&lt;L64,L64,G64)*(1-IF(H64&lt;N64,H64,N64))*E64*O64*Q64)/100000000</f>
        <v>16.259210099999997</v>
      </c>
      <c r="L64" s="34">
        <v>1161.4285714285713</v>
      </c>
      <c r="M64" s="34">
        <v>861.12857142857138</v>
      </c>
      <c r="N64" s="45">
        <f>1-(M64/L64)</f>
        <v>0.25856088560885604</v>
      </c>
      <c r="O64" s="46">
        <f>+'Trim Rwd'!H44</f>
        <v>258.828125</v>
      </c>
      <c r="P64" s="47">
        <f>O64*(Q64-R64-S64)</f>
        <v>137696.5625</v>
      </c>
      <c r="Q64" s="46">
        <v>560</v>
      </c>
      <c r="R64" s="499">
        <v>0</v>
      </c>
      <c r="S64" s="499">
        <v>28</v>
      </c>
      <c r="T64" s="36">
        <f>E64*M64*O64*Q64/100000000</f>
        <v>14.977824525000001</v>
      </c>
      <c r="U64" s="36">
        <f>E64*M64*O64*(Q64-R64-S64)/100000000</f>
        <v>14.22893329875</v>
      </c>
      <c r="V64" s="36">
        <f>E64*G64*(1-N64)*O64/100*(R64+S64)/1000000</f>
        <v>0.79310620639760154</v>
      </c>
      <c r="W64" s="36">
        <f>+'15'!K12/1000</f>
        <v>18.882000000000001</v>
      </c>
      <c r="X64" s="500">
        <f>SUM(W64:W67)/SUM(K64:K67)</f>
        <v>0.83392234525081543</v>
      </c>
      <c r="Y64" s="210">
        <v>0</v>
      </c>
      <c r="Z64" s="36">
        <f>+'15'!D7/1000</f>
        <v>0.53700000000000003</v>
      </c>
      <c r="AA64" s="48">
        <f>SUM(U64:U67)-SUM(W64:W67)-SUM(Z64:Z67)-SUM(Y64:Y67)</f>
        <v>1.5314809911136384</v>
      </c>
      <c r="AB64" s="48">
        <f>(SUM(K64:K67)-SUM(W64:W67)-SUM(Y64:Y67)-SUM(Z64:Z67)-SUM(AC64:AC67)-SUM(V64:V67))-AA64</f>
        <v>-0.10726896051123802</v>
      </c>
      <c r="AC64" s="36">
        <f>K64-T64</f>
        <v>1.2813855749999963</v>
      </c>
      <c r="AD64" s="36">
        <f>+AM64+BA64</f>
        <v>9</v>
      </c>
      <c r="AE64" s="229" t="s">
        <v>423</v>
      </c>
      <c r="AF64" s="36">
        <v>9</v>
      </c>
      <c r="AG64" s="36"/>
      <c r="AH64" s="36"/>
      <c r="AI64" s="501"/>
      <c r="AJ64" s="36"/>
      <c r="AK64" s="36"/>
      <c r="AL64" s="36"/>
      <c r="AM64" s="36">
        <f>SUM(AF64:AL64)+AT64+AV64+AX64</f>
        <v>9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>
        <v>3</v>
      </c>
      <c r="BC64" s="50"/>
      <c r="BD64" s="50"/>
      <c r="BE64" s="32"/>
      <c r="BF64" s="50"/>
    </row>
    <row r="65" spans="1:58" ht="12.95" customHeight="1">
      <c r="A65" s="39"/>
      <c r="B65" s="40" t="s">
        <v>7</v>
      </c>
      <c r="C65" s="413">
        <f>(M65*E65*O65*Q65)/100000000</f>
        <v>26.203621392000002</v>
      </c>
      <c r="D65" s="40" t="s">
        <v>302</v>
      </c>
      <c r="E65" s="41">
        <v>13</v>
      </c>
      <c r="F65" s="41">
        <v>1</v>
      </c>
      <c r="G65" s="498">
        <v>1230</v>
      </c>
      <c r="H65" s="43">
        <v>0.22</v>
      </c>
      <c r="I65" s="44">
        <v>0.88</v>
      </c>
      <c r="J65" s="81">
        <f>E65*G65*(1-H65)*1440/1000000*2.74</f>
        <v>49.210312320000007</v>
      </c>
      <c r="K65" s="81">
        <f>(IF(G65&lt;L65,L65,G65)*(1-IF(H65&lt;N65,H65,N65))*E65*O65*Q65)/100000000</f>
        <v>28.316882879999994</v>
      </c>
      <c r="L65" s="34">
        <v>1168.159090909091</v>
      </c>
      <c r="M65" s="34">
        <v>887.80090909090916</v>
      </c>
      <c r="N65" s="45">
        <f>1-(M65/L65)</f>
        <v>0.24</v>
      </c>
      <c r="O65" s="46">
        <f>+'Trim Rwd'!H46</f>
        <v>258</v>
      </c>
      <c r="P65" s="47">
        <f>O65*(Q65-R65-S65)</f>
        <v>216720</v>
      </c>
      <c r="Q65" s="46">
        <v>880</v>
      </c>
      <c r="R65" s="499">
        <v>0</v>
      </c>
      <c r="S65" s="499">
        <v>40</v>
      </c>
      <c r="T65" s="36">
        <f>E65*M65*O65*Q65/100000000</f>
        <v>26.203621392000002</v>
      </c>
      <c r="U65" s="36">
        <f>E65*M65*O65*(Q65-R65-S65)/100000000</f>
        <v>25.01254769236364</v>
      </c>
      <c r="V65" s="36">
        <f>E65*G65*(1-N65)*O65/100*(R65+S65)/1000000</f>
        <v>1.2541276799999996</v>
      </c>
      <c r="W65" s="36">
        <f>+'15'!K13/1000</f>
        <v>18.291</v>
      </c>
      <c r="X65" s="37"/>
      <c r="Y65" s="210"/>
      <c r="Z65" s="36"/>
      <c r="AA65" s="36"/>
      <c r="AB65" s="36"/>
      <c r="AC65" s="36">
        <f>K65-T65</f>
        <v>2.113261487999992</v>
      </c>
      <c r="AD65" s="36">
        <f>+AM65+BA65</f>
        <v>15</v>
      </c>
      <c r="AE65" s="229" t="s">
        <v>551</v>
      </c>
      <c r="AF65" s="36"/>
      <c r="AG65" s="36">
        <v>15</v>
      </c>
      <c r="AH65" s="36"/>
      <c r="AI65" s="501"/>
      <c r="AJ65" s="36"/>
      <c r="AK65" s="36"/>
      <c r="AL65" s="36"/>
      <c r="AM65" s="36">
        <f>SUM(AF65:AL65)+AT65+AV65+AX65</f>
        <v>15</v>
      </c>
      <c r="AN65" s="82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49"/>
      <c r="BC65" s="50">
        <v>12</v>
      </c>
      <c r="BD65" s="50"/>
      <c r="BE65" s="49"/>
      <c r="BF65" s="50"/>
    </row>
    <row r="66" spans="1:58" ht="12.95" customHeight="1">
      <c r="A66" s="39"/>
      <c r="B66" s="40"/>
      <c r="C66" s="413"/>
      <c r="D66" s="40"/>
      <c r="E66" s="41"/>
      <c r="F66" s="41"/>
      <c r="G66" s="42"/>
      <c r="H66" s="43"/>
      <c r="I66" s="44"/>
      <c r="J66" s="81"/>
      <c r="K66" s="81"/>
      <c r="L66" s="34"/>
      <c r="M66" s="34"/>
      <c r="N66" s="45"/>
      <c r="O66" s="46"/>
      <c r="P66" s="47"/>
      <c r="Q66" s="46"/>
      <c r="R66" s="499"/>
      <c r="S66" s="499"/>
      <c r="T66" s="36"/>
      <c r="U66" s="36"/>
      <c r="V66" s="36"/>
      <c r="W66" s="36"/>
      <c r="X66" s="37"/>
      <c r="Y66" s="210"/>
      <c r="Z66" s="36"/>
      <c r="AA66" s="36"/>
      <c r="AB66" s="36"/>
      <c r="AC66" s="36"/>
      <c r="AD66" s="36">
        <f>+AM66+BA66</f>
        <v>44</v>
      </c>
      <c r="AE66" s="229" t="s">
        <v>437</v>
      </c>
      <c r="AF66" s="32"/>
      <c r="AG66" s="32"/>
      <c r="AH66" s="32">
        <v>44</v>
      </c>
      <c r="AJ66" s="36"/>
      <c r="AK66" s="36"/>
      <c r="AL66" s="36"/>
      <c r="AM66" s="36">
        <f>SUM(AF66:AL66)+AT66+AV66+AX66</f>
        <v>44</v>
      </c>
      <c r="AN66" s="36"/>
      <c r="AO66" s="36"/>
      <c r="AP66" s="36"/>
      <c r="AQ66" s="36"/>
      <c r="AR66" s="36">
        <f>SUM(AN66:AQ66)</f>
        <v>0</v>
      </c>
      <c r="AS66" s="36"/>
      <c r="AT66" s="36"/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02"/>
      <c r="BD66" s="502"/>
      <c r="BE66" s="32"/>
      <c r="BF66" s="502"/>
    </row>
    <row r="67" spans="1:58" ht="12.95" customHeight="1">
      <c r="A67" s="39"/>
      <c r="B67" s="40"/>
      <c r="C67" s="413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33"/>
      <c r="R67" s="499"/>
      <c r="S67" s="499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/>
      <c r="AE67" s="232"/>
      <c r="AF67" s="36"/>
      <c r="AG67" s="36"/>
      <c r="AH67" s="36"/>
      <c r="AI67" s="501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49"/>
      <c r="BC67" s="50"/>
      <c r="BD67" s="50"/>
      <c r="BE67" s="49"/>
      <c r="BF67" s="50"/>
    </row>
    <row r="68" spans="1:58" ht="12.75" customHeight="1">
      <c r="A68" s="39">
        <v>46007</v>
      </c>
      <c r="B68" s="40" t="s">
        <v>7</v>
      </c>
      <c r="C68" s="413">
        <f>(M68*E68*O68*Q68)/100000000</f>
        <v>12.454578702222223</v>
      </c>
      <c r="D68" s="40" t="s">
        <v>302</v>
      </c>
      <c r="E68" s="41">
        <v>13</v>
      </c>
      <c r="F68" s="41">
        <v>1</v>
      </c>
      <c r="G68" s="498">
        <v>1230</v>
      </c>
      <c r="H68" s="43">
        <v>0.22</v>
      </c>
      <c r="I68" s="44">
        <v>0.88</v>
      </c>
      <c r="J68" s="81">
        <f>E68*G68*(1-H68)*1440/1000000*2.74</f>
        <v>49.210312320000007</v>
      </c>
      <c r="K68" s="81">
        <f>(IF(G68&lt;L68,L68,G68)*(1-IF(H68&lt;N68,H68,N68))*E68*O68*Q68)/100000000</f>
        <v>14.037738259999999</v>
      </c>
      <c r="L68" s="34">
        <v>1120</v>
      </c>
      <c r="M68" s="34">
        <v>851.2</v>
      </c>
      <c r="N68" s="45">
        <f>1-(M68/L68)</f>
        <v>0.24</v>
      </c>
      <c r="O68" s="46">
        <f>+'Trim Rwd'!H48</f>
        <v>258.74074074074076</v>
      </c>
      <c r="P68" s="47">
        <f>O68*(Q68-R68-S68)</f>
        <v>108412.37037037038</v>
      </c>
      <c r="Q68" s="46">
        <v>435</v>
      </c>
      <c r="R68" s="499">
        <v>0</v>
      </c>
      <c r="S68" s="499">
        <v>16</v>
      </c>
      <c r="T68" s="36">
        <f>E68*M68*O68*Q68/100000000</f>
        <v>12.454578702222223</v>
      </c>
      <c r="U68" s="36">
        <f>E68*M68*O68*(Q68-R68-S68)/100000000</f>
        <v>11.996479255703704</v>
      </c>
      <c r="V68" s="36">
        <f>E68*G68*(1-N68)*O68/100*(R68+S68)/1000000</f>
        <v>0.50309135644444447</v>
      </c>
      <c r="W68" s="36">
        <f>+'16'!K13/1000</f>
        <v>14.085000000000001</v>
      </c>
      <c r="X68" s="500">
        <f>SUM(W68:W71)/SUM(K68:K71)</f>
        <v>0.71544699401876766</v>
      </c>
      <c r="Y68" s="210">
        <v>0</v>
      </c>
      <c r="Z68" s="36">
        <f>+'16'!D7/1000</f>
        <v>0.53100000000000003</v>
      </c>
      <c r="AA68" s="48">
        <f>SUM(U68:U71)-SUM(W68:W71)-SUM(Z68:Z71)-SUM(Y68:Y71)</f>
        <v>4.1300089381334031</v>
      </c>
      <c r="AB68" s="48">
        <f>(SUM(K68:K71)-SUM(W68:W71)-SUM(Y68:Y71)-SUM(Z68:Z71)-SUM(AC68:AC71)-SUM(V68:V71))-AA68</f>
        <v>-0.20938089105519531</v>
      </c>
      <c r="AC68" s="36">
        <f>K68-T68</f>
        <v>1.5831595577777762</v>
      </c>
      <c r="AD68" s="36">
        <f>+AM68+BA68</f>
        <v>9</v>
      </c>
      <c r="AE68" s="229" t="s">
        <v>423</v>
      </c>
      <c r="AF68" s="36">
        <v>9</v>
      </c>
      <c r="AG68" s="36"/>
      <c r="AH68" s="36"/>
      <c r="AI68" s="501"/>
      <c r="AJ68" s="36"/>
      <c r="AK68" s="36"/>
      <c r="AL68" s="36"/>
      <c r="AM68" s="36">
        <f>SUM(AF68:AL68)+AT68+AV68+AX68</f>
        <v>9</v>
      </c>
      <c r="AN68" s="36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32">
        <v>3</v>
      </c>
      <c r="BC68" s="50"/>
      <c r="BD68" s="50"/>
      <c r="BE68" s="32"/>
      <c r="BF68" s="50"/>
    </row>
    <row r="69" spans="1:58" ht="12.95" customHeight="1">
      <c r="A69" s="39"/>
      <c r="B69" s="40" t="s">
        <v>7</v>
      </c>
      <c r="C69" s="413">
        <f>(M69*E69*O69*Q69)/100000000</f>
        <v>27.67861650573678</v>
      </c>
      <c r="D69" s="40" t="s">
        <v>302</v>
      </c>
      <c r="E69" s="41">
        <v>12</v>
      </c>
      <c r="F69" s="41">
        <v>1</v>
      </c>
      <c r="G69" s="498">
        <v>1230</v>
      </c>
      <c r="H69" s="43">
        <f>+N69</f>
        <v>0.2441045922722358</v>
      </c>
      <c r="I69" s="44">
        <v>0.88</v>
      </c>
      <c r="J69" s="81">
        <f>E69*G69*(1-H69)*1440/1000000*2.74</f>
        <v>44.021123189984635</v>
      </c>
      <c r="K69" s="81">
        <f>(IF(G69&lt;L69,L69,G69)*(1-IF(H69&lt;N69,H69,N69))*E69*O69*Q69)/100000000</f>
        <v>28.704771325829395</v>
      </c>
      <c r="L69" s="34">
        <v>1186.029246344207</v>
      </c>
      <c r="M69" s="34">
        <v>896.5140607424072</v>
      </c>
      <c r="N69" s="45">
        <f>1-(M69/L69)</f>
        <v>0.2441045922722358</v>
      </c>
      <c r="O69" s="46">
        <f>+'Trim Rwd'!H50</f>
        <v>256</v>
      </c>
      <c r="P69" s="47">
        <f>O69*(Q69-R69-S69)</f>
        <v>216064</v>
      </c>
      <c r="Q69" s="46">
        <f>889+116</f>
        <v>1005</v>
      </c>
      <c r="R69" s="499">
        <v>116</v>
      </c>
      <c r="S69" s="499">
        <f>61-S68</f>
        <v>45</v>
      </c>
      <c r="T69" s="36">
        <f>E69*M69*O69*Q69/100000000</f>
        <v>27.67861650573678</v>
      </c>
      <c r="U69" s="36">
        <f>E69*M69*O69*(Q69-R69-S69)/100000000</f>
        <v>23.244529682429697</v>
      </c>
      <c r="V69" s="36">
        <f>E69*G69*(1-N69)*O69/100*(R69+S69)/1000000</f>
        <v>4.598475804436351</v>
      </c>
      <c r="W69" s="36">
        <f>+'16'!K12/1000</f>
        <v>16.495000000000001</v>
      </c>
      <c r="X69" s="37"/>
      <c r="Y69" s="210"/>
      <c r="Z69" s="36"/>
      <c r="AA69" s="36"/>
      <c r="AB69" s="36"/>
      <c r="AC69" s="36">
        <f>K69-T69</f>
        <v>1.0261548200926143</v>
      </c>
      <c r="AD69" s="36">
        <f>+AM69+BA69</f>
        <v>11</v>
      </c>
      <c r="AE69" s="229" t="s">
        <v>386</v>
      </c>
      <c r="AF69" s="36"/>
      <c r="AG69" s="36">
        <v>11</v>
      </c>
      <c r="AH69" s="36"/>
      <c r="AI69" s="501"/>
      <c r="AJ69" s="36"/>
      <c r="AK69" s="36"/>
      <c r="AL69" s="36"/>
      <c r="AM69" s="36">
        <f>SUM(AF69:AL69)+AT69+AV69+AX69</f>
        <v>11</v>
      </c>
      <c r="AN69" s="82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49"/>
      <c r="BC69" s="50">
        <v>5</v>
      </c>
      <c r="BD69" s="50"/>
      <c r="BE69" s="49"/>
      <c r="BF69" s="50"/>
    </row>
    <row r="70" spans="1:58" ht="12.95" customHeight="1">
      <c r="A70" s="39"/>
      <c r="B70" s="40"/>
      <c r="C70" s="413"/>
      <c r="D70" s="40"/>
      <c r="E70" s="41"/>
      <c r="F70" s="41"/>
      <c r="G70" s="42"/>
      <c r="H70" s="43"/>
      <c r="I70" s="44"/>
      <c r="J70" s="81"/>
      <c r="K70" s="81"/>
      <c r="L70" s="34"/>
      <c r="M70" s="34"/>
      <c r="N70" s="45"/>
      <c r="O70" s="46"/>
      <c r="P70" s="47"/>
      <c r="Q70" s="46"/>
      <c r="R70" s="499"/>
      <c r="S70" s="499"/>
      <c r="T70" s="36"/>
      <c r="U70" s="36"/>
      <c r="V70" s="36"/>
      <c r="W70" s="36"/>
      <c r="X70" s="37"/>
      <c r="Y70" s="210"/>
      <c r="Z70" s="36"/>
      <c r="AA70" s="36"/>
      <c r="AB70" s="36"/>
      <c r="AC70" s="36"/>
      <c r="AD70" s="36">
        <f>+AM70+BA70</f>
        <v>41</v>
      </c>
      <c r="AE70" s="229" t="s">
        <v>498</v>
      </c>
      <c r="AF70" s="32"/>
      <c r="AG70" s="32"/>
      <c r="AH70" s="32">
        <v>41</v>
      </c>
      <c r="AJ70" s="36"/>
      <c r="AK70" s="36"/>
      <c r="AL70" s="36"/>
      <c r="AM70" s="36">
        <f>SUM(AF70:AL70)+AT70+AV70+AX70</f>
        <v>41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32"/>
      <c r="BC70" s="502"/>
      <c r="BD70" s="502"/>
      <c r="BE70" s="32"/>
      <c r="BF70" s="502"/>
    </row>
    <row r="71" spans="1:58" ht="12.95" customHeight="1">
      <c r="A71" s="39"/>
      <c r="B71" s="40"/>
      <c r="C71" s="413"/>
      <c r="D71" s="40"/>
      <c r="E71" s="41"/>
      <c r="F71" s="41"/>
      <c r="G71" s="42"/>
      <c r="H71" s="43"/>
      <c r="I71" s="44"/>
      <c r="J71" s="81"/>
      <c r="K71" s="81"/>
      <c r="L71" s="34"/>
      <c r="M71" s="34"/>
      <c r="N71" s="45"/>
      <c r="O71" s="46"/>
      <c r="P71" s="47"/>
      <c r="Q71" s="46"/>
      <c r="R71" s="499"/>
      <c r="S71" s="499"/>
      <c r="T71" s="36"/>
      <c r="U71" s="36"/>
      <c r="V71" s="36"/>
      <c r="W71" s="36"/>
      <c r="X71" s="37"/>
      <c r="Y71" s="210"/>
      <c r="Z71" s="36"/>
      <c r="AA71" s="36"/>
      <c r="AB71" s="36"/>
      <c r="AC71" s="36"/>
      <c r="AD71" s="36">
        <f>+AM71+BA71</f>
        <v>116</v>
      </c>
      <c r="AE71" s="229" t="s">
        <v>562</v>
      </c>
      <c r="AF71" s="32"/>
      <c r="AG71" s="32"/>
      <c r="AH71" s="32"/>
      <c r="AJ71" s="36"/>
      <c r="AK71" s="36"/>
      <c r="AL71" s="36"/>
      <c r="AM71" s="36">
        <f>SUM(AF71:AL71)+AT71+AV71+AX71</f>
        <v>0</v>
      </c>
      <c r="AN71" s="36"/>
      <c r="AO71" s="36"/>
      <c r="AP71" s="36">
        <v>116</v>
      </c>
      <c r="AQ71" s="36"/>
      <c r="AR71" s="36">
        <f>SUM(AN71:AQ71)</f>
        <v>116</v>
      </c>
      <c r="AS71" s="36"/>
      <c r="AT71" s="36"/>
      <c r="AU71" s="36"/>
      <c r="AV71" s="36"/>
      <c r="AW71" s="36"/>
      <c r="AX71" s="36"/>
      <c r="AY71" s="36"/>
      <c r="AZ71" s="36"/>
      <c r="BA71" s="36">
        <f>+AR71+AS71+AU71+AW71+AY71+AZ71</f>
        <v>116</v>
      </c>
      <c r="BB71" s="32"/>
      <c r="BC71" s="502"/>
      <c r="BD71" s="502"/>
      <c r="BE71" s="32"/>
      <c r="BF71" s="502"/>
    </row>
    <row r="72" spans="1:58" ht="12.95" customHeight="1">
      <c r="A72" s="39"/>
      <c r="B72" s="40"/>
      <c r="C72" s="413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46"/>
      <c r="R72" s="499"/>
      <c r="S72" s="499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/>
      <c r="AE72" s="229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2"/>
      <c r="BC72" s="50"/>
      <c r="BD72" s="50"/>
      <c r="BE72" s="50"/>
      <c r="BF72" s="50"/>
    </row>
    <row r="73" spans="1:58" ht="12.75" customHeight="1">
      <c r="A73" s="39">
        <v>46008</v>
      </c>
      <c r="B73" s="40" t="s">
        <v>7</v>
      </c>
      <c r="C73" s="413">
        <f>(M73*E73*O73*Q73)/100000000</f>
        <v>27.330710502311696</v>
      </c>
      <c r="D73" s="40" t="s">
        <v>302</v>
      </c>
      <c r="E73" s="41">
        <v>12</v>
      </c>
      <c r="F73" s="41">
        <v>1</v>
      </c>
      <c r="G73" s="498">
        <v>1230</v>
      </c>
      <c r="H73" s="43">
        <f>+N73</f>
        <v>0.2441045922722358</v>
      </c>
      <c r="I73" s="44">
        <v>0.88</v>
      </c>
      <c r="J73" s="81">
        <f>E73*G73*(1-H73)*1440/1000000*2.74</f>
        <v>44.021123189984635</v>
      </c>
      <c r="K73" s="81">
        <f>(IF(G73&lt;L73,L73,G73)*(1-IF(H73&lt;N73,H73,N73))*E73*O73*Q73)/100000000</f>
        <v>28.343967082989785</v>
      </c>
      <c r="L73" s="34">
        <v>1186.029246344207</v>
      </c>
      <c r="M73" s="34">
        <v>896.5140607424072</v>
      </c>
      <c r="N73" s="45">
        <f>1-(M73/L73)</f>
        <v>0.2441045922722358</v>
      </c>
      <c r="O73" s="46">
        <f>+'Trim Rwd'!H53</f>
        <v>256.61224489795916</v>
      </c>
      <c r="P73" s="47">
        <f>O73*(Q73-R73-S73)</f>
        <v>232490.69387755101</v>
      </c>
      <c r="Q73" s="46">
        <f>950+40</f>
        <v>990</v>
      </c>
      <c r="R73" s="499">
        <v>40</v>
      </c>
      <c r="S73" s="499">
        <f>69-S74</f>
        <v>44</v>
      </c>
      <c r="T73" s="36">
        <f>E73*M73*O73*Q73/100000000</f>
        <v>27.330710502311696</v>
      </c>
      <c r="U73" s="36">
        <f>E73*M73*O73*(Q73-R73-S73)/100000000</f>
        <v>25.011741126357975</v>
      </c>
      <c r="V73" s="36">
        <f>E73*G73*(1-N73)*O73/100*(R73+S73)/1000000</f>
        <v>2.404942661587012</v>
      </c>
      <c r="W73" s="36">
        <f>+'17'!K12/1000</f>
        <v>28.192</v>
      </c>
      <c r="X73" s="500">
        <f>SUM(W73:W76)/SUM(K73:K76)</f>
        <v>0.8328829355437859</v>
      </c>
      <c r="Y73" s="210">
        <v>0</v>
      </c>
      <c r="Z73" s="36">
        <f>+'5'!D74/1000</f>
        <v>0</v>
      </c>
      <c r="AA73" s="48">
        <f>SUM(U73:U76)-SUM(W73:W76)-SUM(Z73:Z76)-SUM(Y73:Y76)</f>
        <v>2.4077305509923974</v>
      </c>
      <c r="AB73" s="48">
        <f>(SUM(K73:K76)-SUM(W73:W76)-SUM(Y73:Y76)-SUM(Z73:Z76)-SUM(AC73:AC76)-SUM(V73:V76))-AA73</f>
        <v>-0.1115826181659898</v>
      </c>
      <c r="AC73" s="36">
        <f>K73-T73</f>
        <v>1.0132565806780889</v>
      </c>
      <c r="AD73" s="36">
        <f>+AM73+BA73</f>
        <v>12</v>
      </c>
      <c r="AE73" s="229" t="s">
        <v>442</v>
      </c>
      <c r="AF73" s="36">
        <v>12</v>
      </c>
      <c r="AG73" s="36"/>
      <c r="AH73" s="36"/>
      <c r="AI73" s="501"/>
      <c r="AJ73" s="36"/>
      <c r="AK73" s="36"/>
      <c r="AL73" s="36"/>
      <c r="AM73" s="36">
        <f>SUM(AF73:AL73)+AT73+AV73+AX73</f>
        <v>12</v>
      </c>
      <c r="AN73" s="36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32">
        <v>6</v>
      </c>
      <c r="BC73" s="50"/>
      <c r="BD73" s="50"/>
      <c r="BE73" s="32"/>
      <c r="BF73" s="50"/>
    </row>
    <row r="74" spans="1:58" ht="12.95" customHeight="1">
      <c r="A74" s="39"/>
      <c r="B74" s="40" t="s">
        <v>7</v>
      </c>
      <c r="C74" s="413">
        <f>(M74*E74*O74*Q74)/100000000</f>
        <v>12.433753508436444</v>
      </c>
      <c r="D74" s="40" t="s">
        <v>302</v>
      </c>
      <c r="E74" s="41">
        <v>11.5</v>
      </c>
      <c r="F74" s="41">
        <v>1</v>
      </c>
      <c r="G74" s="498">
        <v>1230</v>
      </c>
      <c r="H74" s="43">
        <f>+N74</f>
        <v>0.2441045922722358</v>
      </c>
      <c r="I74" s="44">
        <v>0.88</v>
      </c>
      <c r="J74" s="81">
        <f>E74*G74*(1-H74)*1440/1000000*2.74</f>
        <v>42.186909723735276</v>
      </c>
      <c r="K74" s="81">
        <f>(IF(G74&lt;L74,L74,G74)*(1-IF(H74&lt;N74,H74,N74))*E74*O74*Q74)/100000000</f>
        <v>12.894721494024923</v>
      </c>
      <c r="L74" s="34">
        <v>1186.029246344207</v>
      </c>
      <c r="M74" s="34">
        <v>896.5140607424072</v>
      </c>
      <c r="N74" s="45">
        <f>1-(M74/L74)</f>
        <v>0.2441045922722358</v>
      </c>
      <c r="O74" s="46">
        <f>+'Trim Rwd'!H55</f>
        <v>268</v>
      </c>
      <c r="P74" s="47">
        <f>O74*(Q74-R74-S74)</f>
        <v>113900</v>
      </c>
      <c r="Q74" s="46">
        <v>450</v>
      </c>
      <c r="R74" s="499">
        <v>0</v>
      </c>
      <c r="S74" s="499">
        <v>25</v>
      </c>
      <c r="T74" s="36">
        <f>E74*M74*O74*Q74/100000000</f>
        <v>12.433753508436444</v>
      </c>
      <c r="U74" s="36">
        <f>E74*M74*O74*(Q74-R74-S74)/100000000</f>
        <v>11.742989424634422</v>
      </c>
      <c r="V74" s="36">
        <f>E74*G74*(1-N74)*O74/100*(R74+S74)/1000000</f>
        <v>0.71637341633471796</v>
      </c>
      <c r="W74" s="36">
        <f>+'17'!K14/1000</f>
        <v>6.1550000000000002</v>
      </c>
      <c r="X74" s="37"/>
      <c r="Y74" s="210"/>
      <c r="Z74" s="36"/>
      <c r="AA74" s="36"/>
      <c r="AB74" s="36"/>
      <c r="AC74" s="36">
        <f>K74-T74</f>
        <v>0.46096798558847851</v>
      </c>
      <c r="AD74" s="36">
        <f>+AM74+BA74</f>
        <v>13</v>
      </c>
      <c r="AE74" s="229" t="s">
        <v>532</v>
      </c>
      <c r="AF74" s="36"/>
      <c r="AG74" s="36">
        <v>13</v>
      </c>
      <c r="AH74" s="36"/>
      <c r="AI74" s="501"/>
      <c r="AJ74" s="36"/>
      <c r="AK74" s="36"/>
      <c r="AL74" s="36"/>
      <c r="AM74" s="36">
        <f>SUM(AF74:AL74)+AT74+AV74+AX74</f>
        <v>13</v>
      </c>
      <c r="AN74" s="82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49"/>
      <c r="BC74" s="50">
        <v>1</v>
      </c>
      <c r="BD74" s="50"/>
      <c r="BE74" s="49"/>
      <c r="BF74" s="50"/>
    </row>
    <row r="75" spans="1:58" ht="12.95" customHeight="1">
      <c r="A75" s="39"/>
      <c r="B75" s="40"/>
      <c r="C75" s="413"/>
      <c r="D75" s="40"/>
      <c r="E75" s="41"/>
      <c r="F75" s="41"/>
      <c r="G75" s="42"/>
      <c r="H75" s="43"/>
      <c r="I75" s="44"/>
      <c r="J75" s="81"/>
      <c r="K75" s="81"/>
      <c r="L75" s="34"/>
      <c r="M75" s="34"/>
      <c r="N75" s="45"/>
      <c r="O75" s="46"/>
      <c r="P75" s="47"/>
      <c r="Q75" s="46"/>
      <c r="R75" s="499"/>
      <c r="S75" s="499"/>
      <c r="T75" s="36"/>
      <c r="U75" s="36"/>
      <c r="V75" s="36"/>
      <c r="W75" s="36"/>
      <c r="X75" s="37"/>
      <c r="Y75" s="210"/>
      <c r="Z75" s="36"/>
      <c r="AA75" s="36"/>
      <c r="AB75" s="36"/>
      <c r="AC75" s="36"/>
      <c r="AD75" s="36">
        <f>+AM75+BA75</f>
        <v>44</v>
      </c>
      <c r="AE75" s="229" t="s">
        <v>498</v>
      </c>
      <c r="AF75" s="32"/>
      <c r="AG75" s="32"/>
      <c r="AH75" s="32">
        <v>44</v>
      </c>
      <c r="AJ75" s="36"/>
      <c r="AK75" s="36"/>
      <c r="AL75" s="36"/>
      <c r="AM75" s="36">
        <f>SUM(AF75:AL75)+AT75+AV75+AX75</f>
        <v>44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>
        <f>+AR75+AS75+AU75+AW75+AY75+AZ75</f>
        <v>0</v>
      </c>
      <c r="BB75" s="32"/>
      <c r="BC75" s="502"/>
      <c r="BD75" s="502"/>
      <c r="BE75" s="32"/>
      <c r="BF75" s="502"/>
    </row>
    <row r="76" spans="1:58" ht="12.95" customHeight="1">
      <c r="A76" s="39"/>
      <c r="B76" s="40"/>
      <c r="C76" s="413"/>
      <c r="D76" s="40"/>
      <c r="E76" s="41"/>
      <c r="F76" s="41"/>
      <c r="G76" s="42"/>
      <c r="H76" s="43"/>
      <c r="I76" s="44"/>
      <c r="J76" s="81"/>
      <c r="K76" s="81"/>
      <c r="L76" s="34"/>
      <c r="M76" s="34"/>
      <c r="N76" s="45"/>
      <c r="O76" s="46"/>
      <c r="P76" s="47"/>
      <c r="Q76" s="46"/>
      <c r="R76" s="499"/>
      <c r="S76" s="499"/>
      <c r="T76" s="36"/>
      <c r="U76" s="36"/>
      <c r="V76" s="36"/>
      <c r="W76" s="36"/>
      <c r="X76" s="37"/>
      <c r="Y76" s="34"/>
      <c r="Z76" s="36"/>
      <c r="AA76" s="36"/>
      <c r="AB76" s="36"/>
      <c r="AC76" s="36"/>
      <c r="AD76" s="36">
        <f>+AM76+BA76</f>
        <v>40</v>
      </c>
      <c r="AE76" s="229" t="s">
        <v>578</v>
      </c>
      <c r="AF76" s="32"/>
      <c r="AG76" s="32"/>
      <c r="AH76" s="32"/>
      <c r="AJ76" s="36"/>
      <c r="AK76" s="36"/>
      <c r="AL76" s="36"/>
      <c r="AM76" s="36">
        <f>SUM(AF76:AL76)+AT76+AV76+AX76</f>
        <v>0</v>
      </c>
      <c r="AN76" s="36"/>
      <c r="AO76" s="36"/>
      <c r="AP76" s="36">
        <v>40</v>
      </c>
      <c r="AQ76" s="36"/>
      <c r="AR76" s="36">
        <f>SUM(AN76:AQ76)</f>
        <v>40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40</v>
      </c>
      <c r="BB76" s="32"/>
      <c r="BC76" s="502"/>
      <c r="BD76" s="502"/>
      <c r="BE76" s="32"/>
      <c r="BF76" s="502"/>
    </row>
    <row r="77" spans="1:58" ht="12.95" customHeight="1">
      <c r="A77" s="39"/>
      <c r="B77" s="40"/>
      <c r="C77" s="413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499"/>
      <c r="S77" s="499"/>
      <c r="T77" s="36"/>
      <c r="U77" s="36"/>
      <c r="V77" s="36"/>
      <c r="W77" s="36"/>
      <c r="X77" s="37"/>
      <c r="Y77" s="210"/>
      <c r="Z77" s="36"/>
      <c r="AA77" s="48"/>
      <c r="AB77" s="48"/>
      <c r="AC77" s="36"/>
      <c r="AD77" s="36"/>
      <c r="AE77" s="232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2"/>
      <c r="BC77" s="50"/>
      <c r="BD77" s="50"/>
      <c r="BE77" s="50"/>
      <c r="BF77" s="50"/>
    </row>
    <row r="78" spans="1:58" ht="12.75" customHeight="1">
      <c r="A78" s="39">
        <v>46009</v>
      </c>
      <c r="B78" s="40" t="s">
        <v>7</v>
      </c>
      <c r="C78" s="413">
        <f>(M78*E78*O78*Q78)/100000000</f>
        <v>40.926888895999994</v>
      </c>
      <c r="D78" s="40" t="s">
        <v>302</v>
      </c>
      <c r="E78" s="41">
        <v>11.5</v>
      </c>
      <c r="F78" s="41">
        <v>1</v>
      </c>
      <c r="G78" s="498">
        <v>1230</v>
      </c>
      <c r="H78" s="43">
        <f>+N78</f>
        <v>0.24</v>
      </c>
      <c r="I78" s="44">
        <v>0.88</v>
      </c>
      <c r="J78" s="81">
        <f>E78*G78*(1-H78)*1440/1000000*2.74</f>
        <v>42.415989120000006</v>
      </c>
      <c r="K78" s="81">
        <f>(IF(G78&lt;L78,L78,G78)*(1-IF(H78&lt;N78,H78,N78))*E78*O78*Q78)/100000000</f>
        <v>41.487171839999995</v>
      </c>
      <c r="L78" s="34">
        <v>1213.3888888888889</v>
      </c>
      <c r="M78" s="34">
        <v>922.17555555555555</v>
      </c>
      <c r="N78" s="45">
        <f>1-(M78/L78)</f>
        <v>0.24</v>
      </c>
      <c r="O78" s="46">
        <f>+'Trim Rwd'!H57</f>
        <v>268</v>
      </c>
      <c r="P78" s="47">
        <f>O78*(Q78-R78-S78)</f>
        <v>364748</v>
      </c>
      <c r="Q78" s="46">
        <v>1440</v>
      </c>
      <c r="R78" s="499">
        <v>0</v>
      </c>
      <c r="S78" s="499">
        <v>79</v>
      </c>
      <c r="T78" s="36">
        <f>E78*M78*O78*Q78/100000000</f>
        <v>40.926888895999994</v>
      </c>
      <c r="U78" s="36">
        <f>E78*M78*O78*(Q78-R78-S78)/100000000</f>
        <v>38.681594296844438</v>
      </c>
      <c r="V78" s="36">
        <f>E78*G78*(1-N78)*O78/100*(R78+S78)/1000000</f>
        <v>2.2760323439999999</v>
      </c>
      <c r="W78" s="36">
        <f>+'18'!K14/1000</f>
        <v>35.722000000000001</v>
      </c>
      <c r="X78" s="500">
        <f>SUM(W78:W81)/SUM(K78:K81)</f>
        <v>0.86103724153012806</v>
      </c>
      <c r="Y78" s="210">
        <v>0</v>
      </c>
      <c r="Z78" s="36">
        <f>+'18'!D34/1000</f>
        <v>0.27300000000000002</v>
      </c>
      <c r="AA78" s="48">
        <f>SUM(U78:U81)-SUM(W78:W81)-SUM(Z78:Z81)-SUM(Y78:Y81)</f>
        <v>2.6865942968444361</v>
      </c>
      <c r="AB78" s="48">
        <f>(SUM(K78:K81)-SUM(W78:W81)-SUM(Y78:Y81)-SUM(Z78:Z81)-SUM(AC78:AC81)-SUM(V78:V81))-AA78</f>
        <v>-3.0737744844442805E-2</v>
      </c>
      <c r="AC78" s="36">
        <f>K78-T78</f>
        <v>0.56028294400000078</v>
      </c>
      <c r="AD78" s="36">
        <f>+AM78+BA78</f>
        <v>0</v>
      </c>
      <c r="AE78" s="229" t="s">
        <v>384</v>
      </c>
      <c r="AF78" s="36">
        <v>0</v>
      </c>
      <c r="AG78" s="36"/>
      <c r="AH78" s="36"/>
      <c r="AI78" s="501"/>
      <c r="AJ78" s="36"/>
      <c r="AK78" s="36"/>
      <c r="AL78" s="36"/>
      <c r="AM78" s="36">
        <f>SUM(AF78:AL78)+AT78+AV78+AX78</f>
        <v>0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>
        <v>0</v>
      </c>
      <c r="BC78" s="50"/>
      <c r="BD78" s="50"/>
      <c r="BE78" s="32"/>
      <c r="BF78" s="50"/>
    </row>
    <row r="79" spans="1:58" ht="12.95" customHeight="1">
      <c r="A79" s="39"/>
      <c r="B79" s="40"/>
      <c r="C79" s="413"/>
      <c r="D79" s="40"/>
      <c r="E79" s="41"/>
      <c r="F79" s="41"/>
      <c r="G79" s="498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499"/>
      <c r="S79" s="499"/>
      <c r="T79" s="36"/>
      <c r="U79" s="36"/>
      <c r="V79" s="36"/>
      <c r="W79" s="36"/>
      <c r="X79" s="37"/>
      <c r="Y79" s="210"/>
      <c r="Z79" s="36"/>
      <c r="AA79" s="36"/>
      <c r="AB79" s="36"/>
      <c r="AC79" s="36"/>
      <c r="AD79" s="36">
        <f>+AM79+BA79</f>
        <v>33</v>
      </c>
      <c r="AE79" s="229" t="s">
        <v>590</v>
      </c>
      <c r="AF79" s="36"/>
      <c r="AG79" s="36">
        <v>33</v>
      </c>
      <c r="AH79" s="36"/>
      <c r="AI79" s="501"/>
      <c r="AJ79" s="36"/>
      <c r="AK79" s="36"/>
      <c r="AL79" s="36"/>
      <c r="AM79" s="36">
        <f>SUM(AF79:AL79)+AT79+AV79+AX79</f>
        <v>33</v>
      </c>
      <c r="AN79" s="82"/>
      <c r="AO79" s="36"/>
      <c r="AP79" s="36"/>
      <c r="AQ79" s="36"/>
      <c r="AR79" s="36">
        <f>SUM(AN79:AQ79)</f>
        <v>0</v>
      </c>
      <c r="AS79" s="36"/>
      <c r="AT79" s="36"/>
      <c r="AU79" s="36"/>
      <c r="AV79" s="36"/>
      <c r="AW79" s="36"/>
      <c r="AX79" s="36"/>
      <c r="AY79" s="36"/>
      <c r="AZ79" s="36"/>
      <c r="BA79" s="36">
        <f>+AR79+AS79+AU79+AW79+AY79+AZ79</f>
        <v>0</v>
      </c>
      <c r="BB79" s="49"/>
      <c r="BC79" s="50">
        <v>13</v>
      </c>
      <c r="BD79" s="50"/>
      <c r="BE79" s="49"/>
      <c r="BF79" s="50"/>
    </row>
    <row r="80" spans="1:58" ht="12.95" customHeight="1">
      <c r="A80" s="39"/>
      <c r="B80" s="40"/>
      <c r="C80" s="413"/>
      <c r="D80" s="40"/>
      <c r="E80" s="41"/>
      <c r="F80" s="41"/>
      <c r="G80" s="42"/>
      <c r="H80" s="43"/>
      <c r="I80" s="44"/>
      <c r="J80" s="81"/>
      <c r="K80" s="81"/>
      <c r="L80" s="34"/>
      <c r="M80" s="34"/>
      <c r="N80" s="45"/>
      <c r="O80" s="46"/>
      <c r="P80" s="47"/>
      <c r="Q80" s="46"/>
      <c r="R80" s="499"/>
      <c r="S80" s="499"/>
      <c r="T80" s="36"/>
      <c r="U80" s="36"/>
      <c r="V80" s="36"/>
      <c r="W80" s="36"/>
      <c r="X80" s="37"/>
      <c r="Y80" s="210"/>
      <c r="Z80" s="36"/>
      <c r="AA80" s="36"/>
      <c r="AB80" s="36"/>
      <c r="AC80" s="36"/>
      <c r="AD80" s="36">
        <f>+AM80+BA80</f>
        <v>46</v>
      </c>
      <c r="AE80" s="229" t="s">
        <v>428</v>
      </c>
      <c r="AF80" s="32"/>
      <c r="AG80" s="32"/>
      <c r="AH80" s="32">
        <v>46</v>
      </c>
      <c r="AJ80" s="36"/>
      <c r="AK80" s="36"/>
      <c r="AL80" s="36"/>
      <c r="AM80" s="36">
        <f>SUM(AF80:AL80)+AT80+AV80+AX80</f>
        <v>46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/>
      <c r="BC80" s="502"/>
      <c r="BD80" s="502"/>
      <c r="BE80" s="32"/>
      <c r="BF80" s="502"/>
    </row>
    <row r="81" spans="1:58" ht="12.95" customHeight="1">
      <c r="A81" s="39"/>
      <c r="B81" s="40"/>
      <c r="C81" s="413"/>
      <c r="D81" s="40"/>
      <c r="E81" s="41"/>
      <c r="F81" s="41"/>
      <c r="G81" s="42"/>
      <c r="H81" s="43"/>
      <c r="I81" s="44"/>
      <c r="J81" s="81"/>
      <c r="K81" s="81"/>
      <c r="L81" s="34"/>
      <c r="M81" s="34"/>
      <c r="N81" s="45"/>
      <c r="O81" s="46"/>
      <c r="P81" s="47"/>
      <c r="Q81" s="33"/>
      <c r="R81" s="499"/>
      <c r="S81" s="499"/>
      <c r="T81" s="36"/>
      <c r="U81" s="36"/>
      <c r="V81" s="36"/>
      <c r="W81" s="36"/>
      <c r="X81" s="37"/>
      <c r="Y81" s="210"/>
      <c r="Z81" s="36"/>
      <c r="AA81" s="36"/>
      <c r="AB81" s="36"/>
      <c r="AC81" s="36"/>
      <c r="AD81" s="36"/>
      <c r="AE81" s="232"/>
      <c r="AF81" s="36"/>
      <c r="AG81" s="36"/>
      <c r="AH81" s="36"/>
      <c r="AI81" s="501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49"/>
      <c r="BC81" s="50"/>
      <c r="BD81" s="50"/>
      <c r="BE81" s="50"/>
      <c r="BF81" s="50"/>
    </row>
    <row r="82" spans="1:58" ht="12.75" customHeight="1">
      <c r="A82" s="39">
        <v>46010</v>
      </c>
      <c r="B82" s="40" t="s">
        <v>7</v>
      </c>
      <c r="C82" s="413">
        <f>(M82*E82*O82*Q82)/100000000</f>
        <v>9.1905609839999993</v>
      </c>
      <c r="D82" s="40" t="s">
        <v>302</v>
      </c>
      <c r="E82" s="41">
        <v>11.5</v>
      </c>
      <c r="F82" s="41">
        <v>1</v>
      </c>
      <c r="G82" s="498">
        <v>1230</v>
      </c>
      <c r="H82" s="43">
        <f>+N82</f>
        <v>0.24</v>
      </c>
      <c r="I82" s="44">
        <v>0.88</v>
      </c>
      <c r="J82" s="81">
        <f>E82*G82*(1-H82)*1440/1000000*2.74</f>
        <v>42.415989120000006</v>
      </c>
      <c r="K82" s="81">
        <f>(IF(G82&lt;L82,L82,G82)*(1-IF(H82&lt;N82,H82,N82))*E82*O82*Q82)/100000000</f>
        <v>9.1905609839999993</v>
      </c>
      <c r="L82" s="34">
        <v>1230</v>
      </c>
      <c r="M82" s="34">
        <v>934.8</v>
      </c>
      <c r="N82" s="45">
        <f>1-(M82/L82)</f>
        <v>0.24</v>
      </c>
      <c r="O82" s="46">
        <f>+'Trim Rwd'!H59</f>
        <v>268</v>
      </c>
      <c r="P82" s="47">
        <f>O82*(Q82-R82-S82)</f>
        <v>81204</v>
      </c>
      <c r="Q82" s="46">
        <v>319</v>
      </c>
      <c r="R82" s="499">
        <v>0</v>
      </c>
      <c r="S82" s="499">
        <v>16</v>
      </c>
      <c r="T82" s="36">
        <f>E82*M82*O82*Q82/100000000</f>
        <v>9.1905609839999993</v>
      </c>
      <c r="U82" s="36">
        <f>E82*M82*O82*(Q82-R82-S82)/100000000</f>
        <v>8.7295924079999985</v>
      </c>
      <c r="V82" s="36">
        <f>E82*G82*(1-N82)*O82/100*(R82+S82)/1000000</f>
        <v>0.46096857600000002</v>
      </c>
      <c r="W82" s="36">
        <f>+'19'!K14/1000</f>
        <v>11.568</v>
      </c>
      <c r="X82" s="500">
        <f>SUM(W82:W85)/SUM(K82:K85)</f>
        <v>0.87083435591564085</v>
      </c>
      <c r="Y82" s="210">
        <v>0</v>
      </c>
      <c r="Z82" s="36">
        <f>+'15'!D25/1000</f>
        <v>0</v>
      </c>
      <c r="AA82" s="48">
        <f>SUM(U82:U85)-SUM(W82:W85)-SUM(Z82:Z85)-SUM(Y82:Y85)</f>
        <v>2.6508000600000097</v>
      </c>
      <c r="AB82" s="48">
        <f>(SUM(K82:K85)-SUM(W82:W85)-SUM(Y82:Y85)-SUM(Z82:Z85)-SUM(AC82:AC85)-SUM(V82:V85))-AA82</f>
        <v>-3.735916800000405E-2</v>
      </c>
      <c r="AC82" s="36">
        <f>K82-T82</f>
        <v>0</v>
      </c>
      <c r="AD82" s="36">
        <f>+AM82+BA82</f>
        <v>21</v>
      </c>
      <c r="AE82" s="229" t="s">
        <v>442</v>
      </c>
      <c r="AF82" s="36">
        <v>21</v>
      </c>
      <c r="AG82" s="36"/>
      <c r="AH82" s="36"/>
      <c r="AI82" s="501"/>
      <c r="AJ82" s="36"/>
      <c r="AK82" s="36"/>
      <c r="AL82" s="36"/>
      <c r="AM82" s="36">
        <f>SUM(AF82:AL82)+AT82+AV82+AX82</f>
        <v>21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>
        <v>6</v>
      </c>
      <c r="BC82" s="50"/>
      <c r="BD82" s="50"/>
      <c r="BE82" s="32"/>
      <c r="BF82" s="50"/>
    </row>
    <row r="83" spans="1:58" ht="12.95" customHeight="1">
      <c r="A83" s="39"/>
      <c r="B83" s="40" t="s">
        <v>7</v>
      </c>
      <c r="C83" s="413">
        <f>(M83*E83*O83*Q83)/100000000</f>
        <v>6.0544494080000009</v>
      </c>
      <c r="D83" s="40" t="s">
        <v>302</v>
      </c>
      <c r="E83" s="41">
        <v>14</v>
      </c>
      <c r="F83" s="41">
        <v>1</v>
      </c>
      <c r="G83" s="498">
        <v>1230</v>
      </c>
      <c r="H83" s="43">
        <f>+N83</f>
        <v>0.24</v>
      </c>
      <c r="I83" s="44">
        <v>0.88</v>
      </c>
      <c r="J83" s="81">
        <f>E83*G83*(1-H83)*1440/1000000*2.74</f>
        <v>51.636856320000007</v>
      </c>
      <c r="K83" s="81">
        <f>(IF(G83&lt;L83,L83,G83)*(1-IF(H83&lt;N83,H83,N83))*E83*O83*Q83)/100000000</f>
        <v>6.6490828319999995</v>
      </c>
      <c r="L83" s="34">
        <v>1120</v>
      </c>
      <c r="M83" s="34">
        <v>851.2</v>
      </c>
      <c r="N83" s="45">
        <f>1-(M83/L83)</f>
        <v>0.24</v>
      </c>
      <c r="O83" s="46">
        <f>+'Trim Rwd'!H61</f>
        <v>266</v>
      </c>
      <c r="P83" s="47">
        <f>O83*(Q83-R83-S83)</f>
        <v>47614</v>
      </c>
      <c r="Q83" s="46">
        <v>191</v>
      </c>
      <c r="R83" s="499">
        <v>0</v>
      </c>
      <c r="S83" s="499">
        <f>68-S82-S84</f>
        <v>12</v>
      </c>
      <c r="T83" s="36">
        <f>E83*M83*O83*Q83/100000000</f>
        <v>6.0544494080000009</v>
      </c>
      <c r="U83" s="36">
        <f>E83*M83*O83*(Q83-R83-S83)/100000000</f>
        <v>5.6740651520000007</v>
      </c>
      <c r="V83" s="36">
        <f>E83*G83*(1-N83)*O83/100*(R83+S83)/1000000</f>
        <v>0.41774342400000003</v>
      </c>
      <c r="W83" s="36">
        <f>+'19'!K7/1000</f>
        <v>5.2439999999999998</v>
      </c>
      <c r="X83" s="37"/>
      <c r="Y83" s="210"/>
      <c r="Z83" s="36"/>
      <c r="AA83" s="36"/>
      <c r="AB83" s="36"/>
      <c r="AC83" s="36">
        <f>K83-T83</f>
        <v>0.59463342399999863</v>
      </c>
      <c r="AD83" s="36">
        <f>+AM83+BA83</f>
        <v>7</v>
      </c>
      <c r="AE83" s="229" t="s">
        <v>481</v>
      </c>
      <c r="AF83" s="36"/>
      <c r="AG83" s="36">
        <v>7</v>
      </c>
      <c r="AH83" s="36"/>
      <c r="AI83" s="501"/>
      <c r="AJ83" s="36"/>
      <c r="AK83" s="36"/>
      <c r="AL83" s="36"/>
      <c r="AM83" s="36">
        <f>SUM(AF83:AL83)+AT83+AV83+AX83</f>
        <v>7</v>
      </c>
      <c r="AN83" s="82"/>
      <c r="AO83" s="36"/>
      <c r="AP83" s="36"/>
      <c r="AQ83" s="36"/>
      <c r="AR83" s="36">
        <f>SUM(AN83:AQ83)</f>
        <v>0</v>
      </c>
      <c r="AS83" s="36"/>
      <c r="AT83" s="36"/>
      <c r="AU83" s="36"/>
      <c r="AV83" s="36"/>
      <c r="AW83" s="36"/>
      <c r="AX83" s="36"/>
      <c r="AY83" s="36"/>
      <c r="AZ83" s="36"/>
      <c r="BA83" s="36">
        <f>+AR83+AS83+AU83+AW83+AY83+AZ83</f>
        <v>0</v>
      </c>
      <c r="BB83" s="49"/>
      <c r="BC83" s="50">
        <v>3</v>
      </c>
      <c r="BD83" s="50"/>
      <c r="BE83" s="49"/>
      <c r="BF83" s="50"/>
    </row>
    <row r="84" spans="1:58" ht="12.95" customHeight="1">
      <c r="A84" s="39"/>
      <c r="B84" s="40" t="s">
        <v>464</v>
      </c>
      <c r="C84" s="413">
        <f>(M84*E84*O84*Q84)/100000000</f>
        <v>26.9032725</v>
      </c>
      <c r="D84" s="40" t="s">
        <v>302</v>
      </c>
      <c r="E84" s="41">
        <v>13</v>
      </c>
      <c r="F84" s="41">
        <v>1</v>
      </c>
      <c r="G84" s="498">
        <f>+L84</f>
        <v>1150</v>
      </c>
      <c r="H84" s="43">
        <v>0.25</v>
      </c>
      <c r="I84" s="44">
        <v>0.88</v>
      </c>
      <c r="J84" s="81">
        <f>E84*G84*(1-H84)*1440/1000000*2.74</f>
        <v>44.240040000000008</v>
      </c>
      <c r="K84" s="81">
        <f>(IF(G84&lt;L84,L84,G84)*(1-IF(H84&lt;N84,H84,N84))*E84*O84*Q84)/100000000</f>
        <v>26.9032725</v>
      </c>
      <c r="L84" s="34">
        <v>1150</v>
      </c>
      <c r="M84" s="34">
        <v>862.5</v>
      </c>
      <c r="N84" s="45">
        <f>1-(M84/L84)</f>
        <v>0.25</v>
      </c>
      <c r="O84" s="46">
        <f>+'Trim Rwd'!H60</f>
        <v>258</v>
      </c>
      <c r="P84" s="47">
        <f>O84*(Q84-R84-S84)</f>
        <v>229620</v>
      </c>
      <c r="Q84" s="46">
        <v>930</v>
      </c>
      <c r="R84" s="499">
        <v>0</v>
      </c>
      <c r="S84" s="499">
        <v>40</v>
      </c>
      <c r="T84" s="36">
        <f>E84*M84*O84*Q84/100000000</f>
        <v>26.9032725</v>
      </c>
      <c r="U84" s="36">
        <f>E84*M84*O84*(Q84-R84-S84)/100000000</f>
        <v>25.746142500000001</v>
      </c>
      <c r="V84" s="36">
        <f>E84*G84*(1-N84)*O84/100*(R84+S84)/1000000</f>
        <v>1.15713</v>
      </c>
      <c r="W84" s="36">
        <f>+'19'!K10/1000</f>
        <v>20.41</v>
      </c>
      <c r="X84" s="37"/>
      <c r="Y84" s="210"/>
      <c r="Z84" s="36">
        <f>+'19'!D25/1000</f>
        <v>0.27700000000000002</v>
      </c>
      <c r="AA84" s="36"/>
      <c r="AB84" s="36"/>
      <c r="AC84" s="36">
        <f>K84-T84</f>
        <v>0</v>
      </c>
      <c r="AD84" s="36">
        <f>+AM84+BA84</f>
        <v>40</v>
      </c>
      <c r="AE84" s="229" t="s">
        <v>599</v>
      </c>
      <c r="AF84" s="32"/>
      <c r="AG84" s="32"/>
      <c r="AH84" s="32">
        <v>40</v>
      </c>
      <c r="AJ84" s="36"/>
      <c r="AK84" s="36"/>
      <c r="AL84" s="36"/>
      <c r="AM84" s="36">
        <f>SUM(AF84:AL84)+AT84+AV84+AX84</f>
        <v>40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/>
      <c r="BC84" s="502"/>
      <c r="BD84" s="502"/>
      <c r="BE84" s="32"/>
      <c r="BF84" s="502"/>
    </row>
    <row r="85" spans="1:58" ht="12.95" customHeight="1">
      <c r="A85" s="39"/>
      <c r="B85" s="40"/>
      <c r="C85" s="413"/>
      <c r="D85" s="40"/>
      <c r="E85" s="41"/>
      <c r="F85" s="41"/>
      <c r="G85" s="42"/>
      <c r="H85" s="43"/>
      <c r="I85" s="44"/>
      <c r="J85" s="81"/>
      <c r="K85" s="81"/>
      <c r="L85" s="34"/>
      <c r="M85" s="34"/>
      <c r="N85" s="45"/>
      <c r="O85" s="46"/>
      <c r="P85" s="47"/>
      <c r="Q85" s="33"/>
      <c r="R85" s="499"/>
      <c r="S85" s="499"/>
      <c r="T85" s="36"/>
      <c r="U85" s="36"/>
      <c r="V85" s="36"/>
      <c r="W85" s="36"/>
      <c r="X85" s="37"/>
      <c r="Y85" s="210"/>
      <c r="Z85" s="36"/>
      <c r="AA85" s="36"/>
      <c r="AB85" s="36"/>
      <c r="AC85" s="36"/>
      <c r="AD85" s="36"/>
      <c r="AE85" s="232"/>
      <c r="AF85" s="36"/>
      <c r="AG85" s="36"/>
      <c r="AH85" s="36"/>
      <c r="AI85" s="501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49"/>
      <c r="BC85" s="50"/>
      <c r="BD85" s="50"/>
      <c r="BE85" s="50"/>
      <c r="BF85" s="50"/>
    </row>
    <row r="86" spans="1:58" ht="12.75" customHeight="1">
      <c r="A86" s="39">
        <v>46011</v>
      </c>
      <c r="B86" s="40" t="s">
        <v>464</v>
      </c>
      <c r="C86" s="413">
        <f>(M86*E86*O86*Q86)/100000000</f>
        <v>41.656680000000001</v>
      </c>
      <c r="D86" s="40" t="s">
        <v>302</v>
      </c>
      <c r="E86" s="41">
        <v>13</v>
      </c>
      <c r="F86" s="41">
        <v>1</v>
      </c>
      <c r="G86" s="498">
        <f>+L86</f>
        <v>1150</v>
      </c>
      <c r="H86" s="43">
        <v>0.25</v>
      </c>
      <c r="I86" s="44">
        <v>0.88</v>
      </c>
      <c r="J86" s="81">
        <f>E86*G86*(1-H86)*1440/1000000*2.74</f>
        <v>44.240040000000008</v>
      </c>
      <c r="K86" s="81">
        <f>(IF(G86&lt;L86,L86,G86)*(1-IF(H86&lt;N86,H86,N86))*E86*O86*Q86)/100000000</f>
        <v>41.656680000000001</v>
      </c>
      <c r="L86" s="34">
        <v>1150</v>
      </c>
      <c r="M86" s="34">
        <v>862.5</v>
      </c>
      <c r="N86" s="45">
        <f>1-(M86/L86)</f>
        <v>0.25</v>
      </c>
      <c r="O86" s="46">
        <f>+'Trim Rwd'!H63</f>
        <v>258</v>
      </c>
      <c r="P86" s="47">
        <f>O86*(Q86-R86-S86)</f>
        <v>355782</v>
      </c>
      <c r="Q86" s="46">
        <v>1440</v>
      </c>
      <c r="R86" s="499">
        <v>0</v>
      </c>
      <c r="S86" s="499">
        <v>61</v>
      </c>
      <c r="T86" s="36">
        <f>E86*M86*O86*Q86/100000000</f>
        <v>41.656680000000001</v>
      </c>
      <c r="U86" s="36">
        <f>E86*M86*O86*(Q86-R86-S86)/100000000</f>
        <v>39.892056750000002</v>
      </c>
      <c r="V86" s="36">
        <f>E86*G86*(1-N86)*O86/100*(R86+S86)/1000000</f>
        <v>1.7646232500000001</v>
      </c>
      <c r="W86" s="36">
        <f>+'20'!K10/1000</f>
        <v>39.682000000000002</v>
      </c>
      <c r="X86" s="500">
        <f>SUM(W86:W89)/SUM(K86:K89)</f>
        <v>0.95259631828556668</v>
      </c>
      <c r="Y86" s="210">
        <v>0</v>
      </c>
      <c r="Z86" s="36">
        <f>+'15'!D29/1000</f>
        <v>0</v>
      </c>
      <c r="AA86" s="48">
        <f>SUM(U86:U89)-SUM(W86:W89)-SUM(Z86:Z89)-SUM(Y86:Y89)</f>
        <v>0.21005674999999968</v>
      </c>
      <c r="AB86" s="48">
        <f>(SUM(K86:K89)-SUM(W86:W89)-SUM(Y86:Y89)-SUM(Z86:Z89)-SUM(AC86:AC89)-SUM(V86:V89))-AA86</f>
        <v>-4.4408920985006262E-16</v>
      </c>
      <c r="AC86" s="36">
        <f>K86-T86</f>
        <v>0</v>
      </c>
      <c r="AD86" s="36">
        <f>+AM86+BA86</f>
        <v>13</v>
      </c>
      <c r="AE86" s="229" t="s">
        <v>427</v>
      </c>
      <c r="AF86" s="36">
        <v>13</v>
      </c>
      <c r="AG86" s="36"/>
      <c r="AH86" s="36"/>
      <c r="AI86" s="501"/>
      <c r="AJ86" s="36"/>
      <c r="AK86" s="36"/>
      <c r="AL86" s="36"/>
      <c r="AM86" s="36">
        <f>SUM(AF86:AL86)+AT86+AV86+AX86</f>
        <v>13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>
        <v>5</v>
      </c>
      <c r="BC86" s="50"/>
      <c r="BD86" s="50"/>
      <c r="BE86" s="32"/>
      <c r="BF86" s="50"/>
    </row>
    <row r="87" spans="1:58" ht="12.95" customHeight="1">
      <c r="A87" s="39"/>
      <c r="B87" s="40"/>
      <c r="C87" s="413"/>
      <c r="D87" s="40"/>
      <c r="E87" s="41"/>
      <c r="F87" s="41"/>
      <c r="G87" s="498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499"/>
      <c r="S87" s="499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+AM87+BA87</f>
        <v>6</v>
      </c>
      <c r="AE87" s="229" t="s">
        <v>481</v>
      </c>
      <c r="AF87" s="36"/>
      <c r="AG87" s="36">
        <v>6</v>
      </c>
      <c r="AH87" s="36"/>
      <c r="AI87" s="501"/>
      <c r="AJ87" s="36"/>
      <c r="AK87" s="36"/>
      <c r="AL87" s="36"/>
      <c r="AM87" s="36">
        <f>SUM(AF87:AL87)+AT87+AV87+AX87</f>
        <v>6</v>
      </c>
      <c r="AN87" s="82"/>
      <c r="AO87" s="36"/>
      <c r="AP87" s="36"/>
      <c r="AQ87" s="36"/>
      <c r="AR87" s="36">
        <f>SUM(AN87:AQ87)</f>
        <v>0</v>
      </c>
      <c r="AS87" s="36"/>
      <c r="AT87" s="36"/>
      <c r="AU87" s="36"/>
      <c r="AV87" s="36"/>
      <c r="AW87" s="36"/>
      <c r="AX87" s="36"/>
      <c r="AY87" s="36"/>
      <c r="AZ87" s="36"/>
      <c r="BA87" s="36">
        <f>+AR87+AS87+AU87+AW87+AY87+AZ87</f>
        <v>0</v>
      </c>
      <c r="BB87" s="49"/>
      <c r="BC87" s="50">
        <v>3</v>
      </c>
      <c r="BD87" s="50"/>
      <c r="BE87" s="49"/>
      <c r="BF87" s="50"/>
    </row>
    <row r="88" spans="1:58" ht="12.95" customHeight="1">
      <c r="A88" s="39"/>
      <c r="B88" s="40"/>
      <c r="C88" s="413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46"/>
      <c r="R88" s="499"/>
      <c r="S88" s="499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+AM88+BA88</f>
        <v>42</v>
      </c>
      <c r="AE88" s="229" t="s">
        <v>443</v>
      </c>
      <c r="AF88" s="32"/>
      <c r="AG88" s="32"/>
      <c r="AH88" s="32">
        <v>42</v>
      </c>
      <c r="AJ88" s="36"/>
      <c r="AK88" s="36"/>
      <c r="AL88" s="36"/>
      <c r="AM88" s="36">
        <f>SUM(AF88:AL88)+AT88+AV88+AX88</f>
        <v>42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/>
      <c r="BC88" s="502"/>
      <c r="BD88" s="502"/>
      <c r="BE88" s="32"/>
      <c r="BF88" s="502"/>
    </row>
    <row r="89" spans="1:58" ht="12.95" customHeight="1">
      <c r="A89" s="39"/>
      <c r="B89" s="40"/>
      <c r="C89" s="413"/>
      <c r="D89" s="40"/>
      <c r="E89" s="41"/>
      <c r="F89" s="41"/>
      <c r="G89" s="498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499"/>
      <c r="S89" s="499"/>
      <c r="T89" s="36"/>
      <c r="U89" s="36"/>
      <c r="V89" s="36"/>
      <c r="W89" s="36"/>
      <c r="X89" s="37"/>
      <c r="Y89" s="210"/>
      <c r="Z89" s="36"/>
      <c r="AA89" s="36"/>
      <c r="AB89" s="36"/>
      <c r="AC89" s="36"/>
      <c r="AD89" s="36"/>
      <c r="AE89" s="229"/>
      <c r="AF89" s="36"/>
      <c r="AG89" s="36"/>
      <c r="AH89" s="36"/>
      <c r="AI89" s="501"/>
      <c r="AJ89" s="36"/>
      <c r="AK89" s="36"/>
      <c r="AL89" s="36"/>
      <c r="AM89" s="36"/>
      <c r="AN89" s="82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49"/>
      <c r="BC89" s="50"/>
      <c r="BD89" s="50"/>
      <c r="BE89" s="50"/>
      <c r="BF89" s="50"/>
    </row>
    <row r="90" spans="1:58" ht="12.75" customHeight="1">
      <c r="A90" s="39">
        <v>46012</v>
      </c>
      <c r="B90" s="40" t="s">
        <v>464</v>
      </c>
      <c r="C90" s="413">
        <f>(M90*E90*O90*Q90)/100000000</f>
        <v>41.656680000000001</v>
      </c>
      <c r="D90" s="40" t="s">
        <v>302</v>
      </c>
      <c r="E90" s="41">
        <v>13</v>
      </c>
      <c r="F90" s="41">
        <v>1</v>
      </c>
      <c r="G90" s="498">
        <f>+L90</f>
        <v>1150</v>
      </c>
      <c r="H90" s="43">
        <v>0.25</v>
      </c>
      <c r="I90" s="44">
        <v>0.88</v>
      </c>
      <c r="J90" s="81">
        <f>E90*G90*(1-H90)*1440/1000000*2.74</f>
        <v>44.240040000000008</v>
      </c>
      <c r="K90" s="81">
        <f>(IF(G90&lt;L90,L90,G90)*(1-IF(H90&lt;N90,H90,N90))*E90*O90*Q90)/100000000</f>
        <v>41.656680000000001</v>
      </c>
      <c r="L90" s="34">
        <v>1150</v>
      </c>
      <c r="M90" s="34">
        <v>862.5</v>
      </c>
      <c r="N90" s="45">
        <f>1-(M90/L90)</f>
        <v>0.25</v>
      </c>
      <c r="O90" s="46">
        <f>+'Trim Rwd'!H65</f>
        <v>258</v>
      </c>
      <c r="P90" s="47">
        <f>O90*(Q90-R90-S90)</f>
        <v>357072</v>
      </c>
      <c r="Q90" s="46">
        <v>1440</v>
      </c>
      <c r="R90" s="499">
        <v>0</v>
      </c>
      <c r="S90" s="499">
        <v>56</v>
      </c>
      <c r="T90" s="36">
        <f>E90*M90*O90*Q90/100000000</f>
        <v>41.656680000000001</v>
      </c>
      <c r="U90" s="36">
        <f>E90*M90*O90*(Q90-R90-S90)/100000000</f>
        <v>40.036698000000001</v>
      </c>
      <c r="V90" s="36">
        <f>E90*G90*(1-N90)*O90/100*(R90+S90)/1000000</f>
        <v>1.619982</v>
      </c>
      <c r="W90" s="36">
        <f>+'21'!K10/1000</f>
        <v>37.963999999999999</v>
      </c>
      <c r="X90" s="500">
        <f>SUM(W90:W93)/SUM(K90:K93)</f>
        <v>0.91135443343060463</v>
      </c>
      <c r="Y90" s="210">
        <v>0</v>
      </c>
      <c r="Z90" s="36">
        <f>+'15'!D33/1000</f>
        <v>0</v>
      </c>
      <c r="AA90" s="48">
        <f>SUM(U90:U93)-SUM(W90:W93)-SUM(Z90:Z93)-SUM(Y90:Y93)</f>
        <v>2.0726980000000026</v>
      </c>
      <c r="AB90" s="48">
        <f>(SUM(K90:K93)-SUM(W90:W93)-SUM(Y90:Y93)-SUM(Z90:Z93)-SUM(AC90:AC93)-SUM(V90:V93))-AA90</f>
        <v>0</v>
      </c>
      <c r="AC90" s="36">
        <f>K90-T90</f>
        <v>0</v>
      </c>
      <c r="AD90" s="36">
        <f>+AM90+BA90</f>
        <v>8</v>
      </c>
      <c r="AE90" s="229" t="s">
        <v>602</v>
      </c>
      <c r="AF90" s="36">
        <v>8</v>
      </c>
      <c r="AG90" s="36"/>
      <c r="AH90" s="36"/>
      <c r="AI90" s="501"/>
      <c r="AJ90" s="36"/>
      <c r="AK90" s="36"/>
      <c r="AL90" s="36"/>
      <c r="AM90" s="36">
        <f>SUM(AF90:AL90)+AT90+AV90+AX90</f>
        <v>8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>
        <v>4</v>
      </c>
      <c r="BC90" s="50"/>
      <c r="BD90" s="50"/>
      <c r="BE90" s="32"/>
      <c r="BF90" s="50"/>
    </row>
    <row r="91" spans="1:58" ht="12.95" customHeight="1">
      <c r="A91" s="39"/>
      <c r="B91" s="40"/>
      <c r="C91" s="413"/>
      <c r="D91" s="40"/>
      <c r="E91" s="41"/>
      <c r="F91" s="41"/>
      <c r="G91" s="498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499"/>
      <c r="S91" s="499"/>
      <c r="T91" s="36"/>
      <c r="U91" s="36"/>
      <c r="V91" s="36"/>
      <c r="W91" s="36"/>
      <c r="X91" s="37"/>
      <c r="Y91" s="210"/>
      <c r="Z91" s="36"/>
      <c r="AA91" s="36"/>
      <c r="AB91" s="36"/>
      <c r="AC91" s="36"/>
      <c r="AD91" s="36">
        <f>+AM91+BA91</f>
        <v>10</v>
      </c>
      <c r="AE91" s="229" t="s">
        <v>603</v>
      </c>
      <c r="AF91" s="36"/>
      <c r="AG91" s="36">
        <v>10</v>
      </c>
      <c r="AH91" s="36"/>
      <c r="AI91" s="501"/>
      <c r="AJ91" s="36"/>
      <c r="AK91" s="36"/>
      <c r="AL91" s="36"/>
      <c r="AM91" s="36">
        <f>SUM(AF91:AL91)+AT91+AV91+AX91</f>
        <v>10</v>
      </c>
      <c r="AN91" s="82"/>
      <c r="AO91" s="36"/>
      <c r="AP91" s="36"/>
      <c r="AQ91" s="36"/>
      <c r="AR91" s="36">
        <f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49"/>
      <c r="BC91" s="50">
        <v>7</v>
      </c>
      <c r="BD91" s="50"/>
      <c r="BE91" s="49"/>
      <c r="BF91" s="50"/>
    </row>
    <row r="92" spans="1:58" ht="12.95" customHeight="1">
      <c r="A92" s="39"/>
      <c r="B92" s="40"/>
      <c r="C92" s="413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499"/>
      <c r="S92" s="499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+AM92+BA92</f>
        <v>38</v>
      </c>
      <c r="AE92" s="229" t="s">
        <v>437</v>
      </c>
      <c r="AF92" s="32"/>
      <c r="AG92" s="32"/>
      <c r="AH92" s="32">
        <v>38</v>
      </c>
      <c r="AJ92" s="36"/>
      <c r="AK92" s="36"/>
      <c r="AL92" s="36"/>
      <c r="AM92" s="36">
        <f>SUM(AF92:AL92)+AT92+AV92+AX92</f>
        <v>38</v>
      </c>
      <c r="AN92" s="36"/>
      <c r="AO92" s="36"/>
      <c r="AP92" s="36"/>
      <c r="AQ92" s="36"/>
      <c r="AR92" s="36">
        <f>SUM(AN92:AQ92)</f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/>
      <c r="BC92" s="502"/>
      <c r="BD92" s="502"/>
      <c r="BE92" s="32"/>
      <c r="BF92" s="502"/>
    </row>
    <row r="93" spans="1:58" ht="13.5" customHeight="1">
      <c r="A93" s="39"/>
      <c r="B93" s="40"/>
      <c r="C93" s="413"/>
      <c r="D93" s="40"/>
      <c r="E93" s="41"/>
      <c r="F93" s="41"/>
      <c r="G93" s="498"/>
      <c r="H93" s="43"/>
      <c r="I93" s="44"/>
      <c r="J93" s="81"/>
      <c r="K93" s="81"/>
      <c r="L93" s="34"/>
      <c r="M93" s="34"/>
      <c r="N93" s="45"/>
      <c r="O93" s="46"/>
      <c r="P93" s="47"/>
      <c r="Q93" s="46"/>
      <c r="R93" s="499"/>
      <c r="S93" s="499"/>
      <c r="T93" s="36"/>
      <c r="U93" s="36"/>
      <c r="V93" s="36"/>
      <c r="W93" s="36"/>
      <c r="X93" s="500"/>
      <c r="Y93" s="210"/>
      <c r="Z93" s="36"/>
      <c r="AA93" s="48"/>
      <c r="AB93" s="48"/>
      <c r="AC93" s="36"/>
      <c r="AD93" s="36"/>
      <c r="AE93" s="229"/>
      <c r="AF93" s="36"/>
      <c r="AG93" s="36"/>
      <c r="AH93" s="36"/>
      <c r="AI93" s="501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2"/>
      <c r="BC93" s="50"/>
      <c r="BD93" s="50"/>
      <c r="BE93" s="50"/>
      <c r="BF93" s="50"/>
    </row>
    <row r="94" spans="1:58" ht="12.75" customHeight="1">
      <c r="A94" s="39">
        <v>46013</v>
      </c>
      <c r="B94" s="40" t="s">
        <v>464</v>
      </c>
      <c r="C94" s="413">
        <f>(M94*E94*O94*Q94)/100000000</f>
        <v>22.798296160714287</v>
      </c>
      <c r="D94" s="40" t="s">
        <v>302</v>
      </c>
      <c r="E94" s="41">
        <v>13</v>
      </c>
      <c r="F94" s="41">
        <v>1</v>
      </c>
      <c r="G94" s="498">
        <f>+L94</f>
        <v>1150</v>
      </c>
      <c r="H94" s="43">
        <v>0.25</v>
      </c>
      <c r="I94" s="44">
        <v>0.88</v>
      </c>
      <c r="J94" s="81">
        <f>E94*G94*(1-H94)*1440/1000000*2.74</f>
        <v>44.240040000000008</v>
      </c>
      <c r="K94" s="81">
        <f>(IF(G94&lt;L94,L94,G94)*(1-IF(H94&lt;N94,H94,N94))*E94*O94*Q94)/100000000</f>
        <v>22.798296160714287</v>
      </c>
      <c r="L94" s="34">
        <v>1150</v>
      </c>
      <c r="M94" s="34">
        <v>862.5</v>
      </c>
      <c r="N94" s="45">
        <f>1-(M94/L94)</f>
        <v>0.25</v>
      </c>
      <c r="O94" s="46">
        <f>+'Trim Rwd'!H67</f>
        <v>260.67857142857144</v>
      </c>
      <c r="P94" s="47">
        <f>O94*(Q94-R94-S94)</f>
        <v>194726.89285714287</v>
      </c>
      <c r="Q94" s="46">
        <v>780</v>
      </c>
      <c r="R94" s="499">
        <v>0</v>
      </c>
      <c r="S94" s="499">
        <v>33</v>
      </c>
      <c r="T94" s="36">
        <f>E94*M94*O94*Q94/100000000</f>
        <v>22.798296160714287</v>
      </c>
      <c r="U94" s="36">
        <f>E94*M94*O94*(Q94-R94-S94)/100000000</f>
        <v>21.833752861607142</v>
      </c>
      <c r="V94" s="36">
        <f>E94*G94*(1-N94)*O94/100*(R94+S94)/1000000</f>
        <v>0.96454329910714287</v>
      </c>
      <c r="W94" s="36">
        <f>+'22'!K10/1000</f>
        <v>24.704000000000001</v>
      </c>
      <c r="X94" s="500">
        <f>SUM(W94:W97)/SUM(K94:K97)</f>
        <v>0.92596175841528305</v>
      </c>
      <c r="Y94" s="210">
        <v>0</v>
      </c>
      <c r="Z94" s="36">
        <v>0</v>
      </c>
      <c r="AA94" s="48">
        <f>SUM(U94:U97)-SUM(W94:W97)-SUM(Z94:Z97)-SUM(Y94:Y97)</f>
        <v>1.311388111607144</v>
      </c>
      <c r="AB94" s="48">
        <f>(SUM(K94:K97)-SUM(W94:W97)-SUM(Y94:Y97)-SUM(Z94:Z97)-SUM(AC94:AC97)-SUM(V94:V97))-AA94</f>
        <v>2.886579864025407E-15</v>
      </c>
      <c r="AC94" s="36">
        <f>K94-T94</f>
        <v>0</v>
      </c>
      <c r="AD94" s="36">
        <f>+AM94+BA94</f>
        <v>9</v>
      </c>
      <c r="AE94" s="229" t="s">
        <v>423</v>
      </c>
      <c r="AF94" s="36">
        <v>9</v>
      </c>
      <c r="AG94" s="36"/>
      <c r="AH94" s="36"/>
      <c r="AI94" s="501"/>
      <c r="AJ94" s="36"/>
      <c r="AK94" s="36"/>
      <c r="AL94" s="36"/>
      <c r="AM94" s="36">
        <f>SUM(AF94:AL94)+AT94+AV94+AX94</f>
        <v>9</v>
      </c>
      <c r="AN94" s="36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32">
        <v>3</v>
      </c>
      <c r="BC94" s="50"/>
      <c r="BD94" s="50"/>
      <c r="BE94" s="32"/>
      <c r="BF94" s="50"/>
    </row>
    <row r="95" spans="1:58" ht="12.95" customHeight="1">
      <c r="A95" s="39"/>
      <c r="B95" s="40" t="s">
        <v>464</v>
      </c>
      <c r="C95" s="413">
        <f>(M95*E95*O95*Q95)/100000000</f>
        <v>20.5706655</v>
      </c>
      <c r="D95" s="40" t="s">
        <v>302</v>
      </c>
      <c r="E95" s="41">
        <v>15</v>
      </c>
      <c r="F95" s="41">
        <v>1</v>
      </c>
      <c r="G95" s="498">
        <f>+L95</f>
        <v>1050</v>
      </c>
      <c r="H95" s="43">
        <f>+N95</f>
        <v>0.22999999999999998</v>
      </c>
      <c r="I95" s="44">
        <v>0.88</v>
      </c>
      <c r="J95" s="81">
        <f>E95*G95*(1-H95)*1440/1000000*2.74</f>
        <v>47.850264000000003</v>
      </c>
      <c r="K95" s="81">
        <f>(IF(G95&lt;L95,L95,G95)*(1-IF(H95&lt;N95,H95,N95))*E95*O95*Q95)/100000000</f>
        <v>20.5706655</v>
      </c>
      <c r="L95" s="34">
        <v>1050</v>
      </c>
      <c r="M95" s="34">
        <v>808.5</v>
      </c>
      <c r="N95" s="45">
        <f>1-(M95/L95)</f>
        <v>0.22999999999999998</v>
      </c>
      <c r="O95" s="46">
        <f>+'Trim Rwd'!H69</f>
        <v>257</v>
      </c>
      <c r="P95" s="47">
        <f>O95*(Q95-R95-S95)</f>
        <v>161910</v>
      </c>
      <c r="Q95" s="46">
        <v>660</v>
      </c>
      <c r="R95" s="499">
        <v>0</v>
      </c>
      <c r="S95" s="499">
        <v>30</v>
      </c>
      <c r="T95" s="36">
        <f>E95*M95*O95*Q95/100000000</f>
        <v>20.5706655</v>
      </c>
      <c r="U95" s="36">
        <f>E95*M95*O95*(Q95-R95-S95)/100000000</f>
        <v>19.63563525</v>
      </c>
      <c r="V95" s="36">
        <f>E95*G95*(1-N95)*O95/100*(R95+S95)/1000000</f>
        <v>0.93503024999999995</v>
      </c>
      <c r="W95" s="36">
        <f>+'22'!K11/1000</f>
        <v>15.454000000000001</v>
      </c>
      <c r="X95" s="37"/>
      <c r="Y95" s="210"/>
      <c r="Z95" s="36"/>
      <c r="AA95" s="36"/>
      <c r="AB95" s="36"/>
      <c r="AC95" s="36">
        <f>K95-T95</f>
        <v>0</v>
      </c>
      <c r="AD95" s="36">
        <f>+AM95+BA95</f>
        <v>17</v>
      </c>
      <c r="AE95" s="229" t="s">
        <v>603</v>
      </c>
      <c r="AF95" s="36"/>
      <c r="AG95" s="36">
        <v>17</v>
      </c>
      <c r="AH95" s="36"/>
      <c r="AI95" s="501"/>
      <c r="AJ95" s="36"/>
      <c r="AK95" s="36"/>
      <c r="AL95" s="36"/>
      <c r="AM95" s="36">
        <f>SUM(AF95:AL95)+AT95+AV95+AX95</f>
        <v>17</v>
      </c>
      <c r="AN95" s="82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49"/>
      <c r="BC95" s="50">
        <v>7</v>
      </c>
      <c r="BD95" s="50"/>
      <c r="BE95" s="49"/>
      <c r="BF95" s="50"/>
    </row>
    <row r="96" spans="1:58" ht="12.95" customHeight="1">
      <c r="A96" s="39"/>
      <c r="B96" s="40"/>
      <c r="C96" s="413"/>
      <c r="D96" s="40"/>
      <c r="E96" s="41"/>
      <c r="F96" s="41"/>
      <c r="G96" s="42"/>
      <c r="H96" s="43"/>
      <c r="I96" s="44"/>
      <c r="J96" s="81"/>
      <c r="K96" s="81"/>
      <c r="L96" s="34"/>
      <c r="M96" s="34"/>
      <c r="N96" s="45"/>
      <c r="O96" s="46"/>
      <c r="P96" s="47"/>
      <c r="Q96" s="46"/>
      <c r="R96" s="499"/>
      <c r="S96" s="499"/>
      <c r="T96" s="36"/>
      <c r="U96" s="36"/>
      <c r="V96" s="36"/>
      <c r="W96" s="36"/>
      <c r="X96" s="37"/>
      <c r="Y96" s="210"/>
      <c r="Z96" s="36"/>
      <c r="AA96" s="36"/>
      <c r="AB96" s="36"/>
      <c r="AC96" s="36"/>
      <c r="AD96" s="36">
        <f>+AM96+BA96</f>
        <v>37</v>
      </c>
      <c r="AE96" s="229" t="s">
        <v>428</v>
      </c>
      <c r="AF96" s="32"/>
      <c r="AG96" s="32"/>
      <c r="AH96" s="32">
        <v>37</v>
      </c>
      <c r="AJ96" s="36"/>
      <c r="AK96" s="36"/>
      <c r="AL96" s="36"/>
      <c r="AM96" s="36">
        <f>SUM(AF96:AL96)+AT96+AV96+AX96</f>
        <v>37</v>
      </c>
      <c r="AN96" s="36"/>
      <c r="AO96" s="36"/>
      <c r="AP96" s="36"/>
      <c r="AQ96" s="36"/>
      <c r="AR96" s="36">
        <f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32"/>
      <c r="BC96" s="502"/>
      <c r="BD96" s="502"/>
      <c r="BE96" s="32"/>
      <c r="BF96" s="502"/>
    </row>
    <row r="97" spans="1:58" ht="12.95" customHeight="1">
      <c r="A97" s="39"/>
      <c r="B97" s="40"/>
      <c r="C97" s="413"/>
      <c r="D97" s="40"/>
      <c r="E97" s="41"/>
      <c r="F97" s="41"/>
      <c r="G97" s="498"/>
      <c r="H97" s="43"/>
      <c r="I97" s="44"/>
      <c r="J97" s="81"/>
      <c r="K97" s="81"/>
      <c r="L97" s="34"/>
      <c r="M97" s="34"/>
      <c r="N97" s="45"/>
      <c r="O97" s="46"/>
      <c r="P97" s="47"/>
      <c r="Q97" s="46"/>
      <c r="R97" s="499"/>
      <c r="S97" s="499"/>
      <c r="T97" s="36"/>
      <c r="U97" s="36"/>
      <c r="V97" s="36"/>
      <c r="W97" s="36"/>
      <c r="X97" s="500"/>
      <c r="Y97" s="210"/>
      <c r="Z97" s="36"/>
      <c r="AA97" s="48"/>
      <c r="AB97" s="48"/>
      <c r="AC97" s="36"/>
      <c r="AD97" s="36"/>
      <c r="AE97" s="229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2"/>
      <c r="BC97" s="50"/>
      <c r="BD97" s="50"/>
      <c r="BE97" s="50"/>
      <c r="BF97" s="50"/>
    </row>
    <row r="98" spans="1:58" ht="12.75" customHeight="1">
      <c r="A98" s="39">
        <v>46014</v>
      </c>
      <c r="B98" s="40" t="s">
        <v>464</v>
      </c>
      <c r="C98" s="413">
        <f>(M98*E98*O98*Q98)/100000000</f>
        <v>37.245371624999997</v>
      </c>
      <c r="D98" s="40" t="s">
        <v>302</v>
      </c>
      <c r="E98" s="41">
        <v>15</v>
      </c>
      <c r="F98" s="41">
        <v>1</v>
      </c>
      <c r="G98" s="498">
        <f>+L98</f>
        <v>1050</v>
      </c>
      <c r="H98" s="43">
        <f>+N98</f>
        <v>0.22999999999999998</v>
      </c>
      <c r="I98" s="44">
        <v>0.88</v>
      </c>
      <c r="J98" s="81">
        <f>E98*G98*(1-H98)*1440/1000000*2.74</f>
        <v>47.850264000000003</v>
      </c>
      <c r="K98" s="81">
        <f>(IF(G98&lt;L98,L98,G98)*(1-IF(H98&lt;N98,H98,N98))*E98*O98*Q98)/100000000</f>
        <v>37.245371624999997</v>
      </c>
      <c r="L98" s="34">
        <v>1050</v>
      </c>
      <c r="M98" s="34">
        <v>808.5</v>
      </c>
      <c r="N98" s="45">
        <f>1-(M98/L98)</f>
        <v>0.22999999999999998</v>
      </c>
      <c r="O98" s="46">
        <f>+'Trim Rwd'!H71</f>
        <v>257</v>
      </c>
      <c r="P98" s="47">
        <f>O98*(Q98-R98-S98)</f>
        <v>295550</v>
      </c>
      <c r="Q98" s="46">
        <v>1195</v>
      </c>
      <c r="R98" s="499">
        <v>0</v>
      </c>
      <c r="S98" s="499">
        <v>45</v>
      </c>
      <c r="T98" s="36">
        <f>E98*M98*O98*Q98/100000000</f>
        <v>37.245371624999997</v>
      </c>
      <c r="U98" s="36">
        <f>E98*M98*O98*(Q98-R98-S98)/100000000</f>
        <v>35.842826250000002</v>
      </c>
      <c r="V98" s="36">
        <f>E98*G98*(1-N98)*O98/100*(R98+S98)/1000000</f>
        <v>1.4025453750000001</v>
      </c>
      <c r="W98" s="36">
        <f>+'23'!K11/1000</f>
        <v>37.981000000000002</v>
      </c>
      <c r="X98" s="500">
        <f>SUM(W98:W101)/SUM(K98:K101)</f>
        <v>0.9327958207639484</v>
      </c>
      <c r="Y98" s="210">
        <v>0</v>
      </c>
      <c r="Z98" s="36">
        <f>+'23'!D16/1000</f>
        <v>0.26</v>
      </c>
      <c r="AA98" s="48">
        <f>SUM(U98:U101)-SUM(W98:W101)-SUM(Z98:Z101)-SUM(Y98:Y101)</f>
        <v>0.73570870000000155</v>
      </c>
      <c r="AB98" s="48">
        <f>(SUM(K98:K101)-SUM(W98:W101)-SUM(Y98:Y101)-SUM(Z98:Z101)-SUM(AC98:AC101)-SUM(V98:V101))-AA98</f>
        <v>-4.6629367034256575E-15</v>
      </c>
      <c r="AC98" s="36">
        <f>K98-T98</f>
        <v>0</v>
      </c>
      <c r="AD98" s="36">
        <f>+AM98+BA98</f>
        <v>9</v>
      </c>
      <c r="AE98" s="229" t="s">
        <v>423</v>
      </c>
      <c r="AF98" s="36">
        <v>9</v>
      </c>
      <c r="AG98" s="36"/>
      <c r="AH98" s="36"/>
      <c r="AI98" s="501"/>
      <c r="AJ98" s="36"/>
      <c r="AK98" s="36"/>
      <c r="AL98" s="36"/>
      <c r="AM98" s="36">
        <f>SUM(AF98:AL98)+AT98+AV98+AX98</f>
        <v>9</v>
      </c>
      <c r="AN98" s="36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>
        <v>3</v>
      </c>
      <c r="BC98" s="50"/>
      <c r="BD98" s="50"/>
      <c r="BE98" s="32"/>
      <c r="BF98" s="50"/>
    </row>
    <row r="99" spans="1:58" ht="12.95" customHeight="1">
      <c r="A99" s="39"/>
      <c r="B99" s="40" t="s">
        <v>464</v>
      </c>
      <c r="C99" s="413">
        <f>(M99*E99*O99*Q99)/100000000</f>
        <v>7.26276089</v>
      </c>
      <c r="D99" s="40" t="s">
        <v>302</v>
      </c>
      <c r="E99" s="41">
        <v>14</v>
      </c>
      <c r="F99" s="41">
        <v>1</v>
      </c>
      <c r="G99" s="498">
        <f>+L99</f>
        <v>1070</v>
      </c>
      <c r="H99" s="43">
        <f>+N99</f>
        <v>0.22999999999999998</v>
      </c>
      <c r="I99" s="44">
        <v>0.88</v>
      </c>
      <c r="J99" s="81">
        <f>E99*G99*(1-H99)*1440/1000000*2.74</f>
        <v>45.510917760000005</v>
      </c>
      <c r="K99" s="81">
        <f>(IF(G99&lt;L99,L99,G99)*(1-IF(H99&lt;N99,H99,N99))*E99*O99*Q99)/100000000</f>
        <v>7.26276089</v>
      </c>
      <c r="L99" s="34">
        <v>1070</v>
      </c>
      <c r="M99" s="34">
        <v>823.9</v>
      </c>
      <c r="N99" s="45">
        <f>1-(M99/L99)</f>
        <v>0.22999999999999998</v>
      </c>
      <c r="O99" s="46">
        <f>+'Trim Rwd'!H72</f>
        <v>257</v>
      </c>
      <c r="P99" s="47">
        <f>O99*(Q99-R99-S99)</f>
        <v>57825</v>
      </c>
      <c r="Q99" s="46">
        <v>245</v>
      </c>
      <c r="R99" s="499">
        <v>0</v>
      </c>
      <c r="S99" s="499">
        <v>20</v>
      </c>
      <c r="T99" s="36">
        <f>E99*M99*O99*Q99/100000000</f>
        <v>7.26276089</v>
      </c>
      <c r="U99" s="36">
        <f>E99*M99*O99*(Q99-R99-S99)/100000000</f>
        <v>6.6698824500000002</v>
      </c>
      <c r="V99" s="36">
        <f>E99*G99*(1-N99)*O99/100*(R99+S99)/1000000</f>
        <v>0.59287844000000001</v>
      </c>
      <c r="W99" s="36">
        <f>+'23'!K15/1000</f>
        <v>3.536</v>
      </c>
      <c r="X99" s="37"/>
      <c r="Y99" s="210"/>
      <c r="Z99" s="36"/>
      <c r="AA99" s="36"/>
      <c r="AB99" s="36"/>
      <c r="AC99" s="36">
        <f>K99-T99</f>
        <v>0</v>
      </c>
      <c r="AD99" s="36">
        <f>+AM99+BA99</f>
        <v>17</v>
      </c>
      <c r="AE99" s="229" t="s">
        <v>603</v>
      </c>
      <c r="AF99" s="36"/>
      <c r="AG99" s="36">
        <v>17</v>
      </c>
      <c r="AH99" s="36"/>
      <c r="AI99" s="501"/>
      <c r="AJ99" s="36"/>
      <c r="AK99" s="36"/>
      <c r="AL99" s="36"/>
      <c r="AM99" s="36">
        <f>SUM(AF99:AL99)+AT99+AV99+AX99</f>
        <v>17</v>
      </c>
      <c r="AN99" s="82"/>
      <c r="AO99" s="36"/>
      <c r="AP99" s="36"/>
      <c r="AQ99" s="36"/>
      <c r="AR99" s="36">
        <f>SUM(AN99:AQ99)</f>
        <v>0</v>
      </c>
      <c r="AS99" s="36"/>
      <c r="AT99" s="36"/>
      <c r="AU99" s="36"/>
      <c r="AV99" s="36"/>
      <c r="AW99" s="36"/>
      <c r="AX99" s="36"/>
      <c r="AY99" s="36"/>
      <c r="AZ99" s="36"/>
      <c r="BA99" s="36">
        <f>+AR99+AS99+AU99+AW99+AY99+AZ99</f>
        <v>0</v>
      </c>
      <c r="BB99" s="49"/>
      <c r="BC99" s="50">
        <v>7</v>
      </c>
      <c r="BD99" s="50"/>
      <c r="BE99" s="49"/>
      <c r="BF99" s="50"/>
    </row>
    <row r="100" spans="1:58" ht="12.95" customHeight="1">
      <c r="A100" s="39"/>
      <c r="B100" s="40"/>
      <c r="C100" s="413"/>
      <c r="D100" s="40"/>
      <c r="E100" s="41"/>
      <c r="F100" s="41"/>
      <c r="G100" s="42"/>
      <c r="H100" s="43"/>
      <c r="I100" s="44"/>
      <c r="J100" s="81"/>
      <c r="K100" s="81"/>
      <c r="L100" s="34"/>
      <c r="M100" s="34"/>
      <c r="N100" s="45"/>
      <c r="O100" s="46"/>
      <c r="P100" s="47"/>
      <c r="Q100" s="46"/>
      <c r="R100" s="499"/>
      <c r="S100" s="499"/>
      <c r="T100" s="36"/>
      <c r="U100" s="36"/>
      <c r="V100" s="36"/>
      <c r="W100" s="36"/>
      <c r="X100" s="37"/>
      <c r="Y100" s="210"/>
      <c r="Z100" s="36"/>
      <c r="AA100" s="36"/>
      <c r="AB100" s="36"/>
      <c r="AC100" s="36"/>
      <c r="AD100" s="36">
        <f>+AM100+BA100</f>
        <v>39</v>
      </c>
      <c r="AE100" s="229" t="s">
        <v>443</v>
      </c>
      <c r="AF100" s="32"/>
      <c r="AG100" s="32"/>
      <c r="AH100" s="32">
        <v>39</v>
      </c>
      <c r="AJ100" s="36"/>
      <c r="AK100" s="36"/>
      <c r="AL100" s="36"/>
      <c r="AM100" s="36">
        <f>SUM(AF100:AL100)+AT100+AV100+AX100</f>
        <v>39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/>
      <c r="BC100" s="502"/>
      <c r="BD100" s="502"/>
      <c r="BE100" s="32"/>
      <c r="BF100" s="502"/>
    </row>
    <row r="101" spans="1:58" ht="12.95" customHeight="1">
      <c r="A101" s="39"/>
      <c r="B101" s="40"/>
      <c r="C101" s="413"/>
      <c r="D101" s="40"/>
      <c r="E101" s="41"/>
      <c r="F101" s="41"/>
      <c r="G101" s="498"/>
      <c r="H101" s="43"/>
      <c r="I101" s="44"/>
      <c r="J101" s="81"/>
      <c r="K101" s="81"/>
      <c r="L101" s="34"/>
      <c r="M101" s="34"/>
      <c r="N101" s="45"/>
      <c r="O101" s="46"/>
      <c r="P101" s="47"/>
      <c r="Q101" s="46"/>
      <c r="R101" s="499"/>
      <c r="S101" s="499"/>
      <c r="T101" s="36"/>
      <c r="U101" s="36"/>
      <c r="V101" s="36"/>
      <c r="W101" s="36"/>
      <c r="X101" s="500"/>
      <c r="Y101" s="210"/>
      <c r="Z101" s="36"/>
      <c r="AA101" s="48"/>
      <c r="AB101" s="48"/>
      <c r="AC101" s="36"/>
      <c r="AD101" s="36"/>
      <c r="AE101" s="229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2"/>
      <c r="BC101" s="50"/>
      <c r="BD101" s="50"/>
      <c r="BE101" s="50"/>
      <c r="BF101" s="50"/>
    </row>
    <row r="102" spans="1:58" ht="12.75" customHeight="1">
      <c r="A102" s="39">
        <v>46015</v>
      </c>
      <c r="B102" s="40" t="s">
        <v>464</v>
      </c>
      <c r="C102" s="413">
        <f>(M102*E102*O102*Q102)/100000000</f>
        <v>43.734481559999999</v>
      </c>
      <c r="D102" s="40" t="s">
        <v>302</v>
      </c>
      <c r="E102" s="41">
        <v>14</v>
      </c>
      <c r="F102" s="41">
        <v>1</v>
      </c>
      <c r="G102" s="498">
        <f>+L102</f>
        <v>1096.25</v>
      </c>
      <c r="H102" s="43">
        <f>+N102</f>
        <v>0.23000000000000009</v>
      </c>
      <c r="I102" s="44">
        <v>0.88</v>
      </c>
      <c r="J102" s="81">
        <f>E102*G102*(1-H102)*1440/1000000*2.74</f>
        <v>46.627423920000005</v>
      </c>
      <c r="K102" s="81">
        <f>(IF(G102&lt;L102,L102,G102)*(1-IF(H102&lt;N102,H102,N102))*E102*O102*Q102)/100000000</f>
        <v>43.734481559999999</v>
      </c>
      <c r="L102" s="34">
        <v>1096.25</v>
      </c>
      <c r="M102" s="34">
        <v>844.11249999999995</v>
      </c>
      <c r="N102" s="45">
        <f>1-(M102/L102)</f>
        <v>0.23000000000000009</v>
      </c>
      <c r="O102" s="46">
        <f>+'Trim Rwd'!H74</f>
        <v>257</v>
      </c>
      <c r="P102" s="47">
        <f>O102*(Q102-R102-S102)</f>
        <v>353375</v>
      </c>
      <c r="Q102" s="46">
        <v>1440</v>
      </c>
      <c r="R102" s="499">
        <v>0</v>
      </c>
      <c r="S102" s="499">
        <v>65</v>
      </c>
      <c r="T102" s="36">
        <f>E102*M102*O102*Q102/100000000</f>
        <v>43.734481559999999</v>
      </c>
      <c r="U102" s="36">
        <f>E102*M102*O102*(Q102-R102-S102)/100000000</f>
        <v>41.760355656249999</v>
      </c>
      <c r="V102" s="36">
        <f>E102*G102*(1-N102)*O102/100*(R102+S102)/1000000</f>
        <v>1.9741259037500001</v>
      </c>
      <c r="W102" s="36">
        <f>+'24'!K15/1000</f>
        <v>40.146000000000001</v>
      </c>
      <c r="X102" s="500">
        <f>SUM(W102:W105)/SUM(K102:K105)</f>
        <v>0.91794846007087327</v>
      </c>
      <c r="Y102" s="210">
        <v>0</v>
      </c>
      <c r="Z102" s="36">
        <f>+'24'!D34/1000</f>
        <v>0.56399999999999995</v>
      </c>
      <c r="AA102" s="48">
        <f>SUM(U102:U105)-SUM(W102:W105)-SUM(Z102:Z105)-SUM(Y102:Y105)</f>
        <v>1.050355656249998</v>
      </c>
      <c r="AB102" s="48">
        <f>(SUM(K102:K105)-SUM(W102:W105)-SUM(Y102:Y105)-SUM(Z102:Z105)-SUM(AC102:AC105)-SUM(V102:V105))-AA102</f>
        <v>0</v>
      </c>
      <c r="AC102" s="36">
        <f>K102-T102</f>
        <v>0</v>
      </c>
      <c r="AD102" s="36">
        <f>+AM102+BA102</f>
        <v>25</v>
      </c>
      <c r="AE102" s="229" t="s">
        <v>633</v>
      </c>
      <c r="AF102" s="36">
        <v>25</v>
      </c>
      <c r="AG102" s="36"/>
      <c r="AH102" s="36"/>
      <c r="AI102" s="501"/>
      <c r="AJ102" s="36"/>
      <c r="AK102" s="36"/>
      <c r="AL102" s="36"/>
      <c r="AM102" s="36">
        <f>SUM(AF102:AL102)+AT102+AV102+AX102</f>
        <v>25</v>
      </c>
      <c r="AN102" s="36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>
        <v>7</v>
      </c>
      <c r="BC102" s="50"/>
      <c r="BD102" s="50"/>
      <c r="BE102" s="32"/>
      <c r="BF102" s="50"/>
    </row>
    <row r="103" spans="1:58" ht="12.95" customHeight="1">
      <c r="A103" s="39"/>
      <c r="B103" s="40"/>
      <c r="C103" s="413"/>
      <c r="D103" s="40"/>
      <c r="E103" s="41"/>
      <c r="F103" s="41"/>
      <c r="G103" s="498"/>
      <c r="H103" s="43"/>
      <c r="I103" s="44"/>
      <c r="J103" s="81"/>
      <c r="K103" s="81"/>
      <c r="L103" s="34"/>
      <c r="M103" s="34"/>
      <c r="N103" s="45"/>
      <c r="O103" s="46"/>
      <c r="P103" s="47"/>
      <c r="Q103" s="46"/>
      <c r="R103" s="499"/>
      <c r="S103" s="499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+AM103+BA103</f>
        <v>8</v>
      </c>
      <c r="AE103" s="229" t="s">
        <v>407</v>
      </c>
      <c r="AF103" s="36"/>
      <c r="AG103" s="36">
        <v>8</v>
      </c>
      <c r="AH103" s="36"/>
      <c r="AI103" s="501"/>
      <c r="AJ103" s="36"/>
      <c r="AK103" s="36"/>
      <c r="AL103" s="36"/>
      <c r="AM103" s="36">
        <f>SUM(AF103:AL103)+AT103+AV103+AX103</f>
        <v>8</v>
      </c>
      <c r="AN103" s="82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49"/>
      <c r="BC103" s="50">
        <v>4</v>
      </c>
      <c r="BD103" s="50"/>
      <c r="BE103" s="49"/>
      <c r="BF103" s="50"/>
    </row>
    <row r="104" spans="1:58" ht="12.95" customHeight="1">
      <c r="A104" s="39"/>
      <c r="B104" s="40"/>
      <c r="C104" s="413"/>
      <c r="D104" s="40"/>
      <c r="E104" s="41"/>
      <c r="F104" s="41"/>
      <c r="G104" s="42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499"/>
      <c r="S104" s="499"/>
      <c r="T104" s="36"/>
      <c r="U104" s="36"/>
      <c r="V104" s="36"/>
      <c r="W104" s="36"/>
      <c r="X104" s="37"/>
      <c r="Y104" s="210"/>
      <c r="Z104" s="36"/>
      <c r="AA104" s="36"/>
      <c r="AB104" s="36"/>
      <c r="AC104" s="36"/>
      <c r="AD104" s="36">
        <f>+AM104+BA104</f>
        <v>32</v>
      </c>
      <c r="AE104" s="229" t="s">
        <v>443</v>
      </c>
      <c r="AF104" s="32"/>
      <c r="AG104" s="32"/>
      <c r="AH104" s="32">
        <v>32</v>
      </c>
      <c r="AJ104" s="36"/>
      <c r="AK104" s="36"/>
      <c r="AL104" s="36"/>
      <c r="AM104" s="36">
        <f>SUM(AF104:AL104)+AT104+AV104+AX104</f>
        <v>32</v>
      </c>
      <c r="AN104" s="36"/>
      <c r="AO104" s="36"/>
      <c r="AP104" s="36"/>
      <c r="AQ104" s="36"/>
      <c r="AR104" s="36">
        <f>SUM(AN104:AQ104)</f>
        <v>0</v>
      </c>
      <c r="AS104" s="36"/>
      <c r="AT104" s="36"/>
      <c r="AU104" s="36"/>
      <c r="AV104" s="36"/>
      <c r="AW104" s="36"/>
      <c r="AX104" s="36"/>
      <c r="AY104" s="36"/>
      <c r="AZ104" s="36"/>
      <c r="BA104" s="36">
        <f>+AR104+AS104+AU104+AW104+AY104+AZ104</f>
        <v>0</v>
      </c>
      <c r="BB104" s="32"/>
      <c r="BC104" s="502"/>
      <c r="BD104" s="502"/>
      <c r="BE104" s="32"/>
      <c r="BF104" s="502"/>
    </row>
    <row r="105" spans="1:58" ht="12.95" customHeight="1">
      <c r="A105" s="39"/>
      <c r="B105" s="40"/>
      <c r="C105" s="413"/>
      <c r="D105" s="40"/>
      <c r="E105" s="41"/>
      <c r="F105" s="41"/>
      <c r="G105" s="498"/>
      <c r="H105" s="43"/>
      <c r="I105" s="44"/>
      <c r="J105" s="81"/>
      <c r="K105" s="81"/>
      <c r="L105" s="34"/>
      <c r="M105" s="34"/>
      <c r="N105" s="45"/>
      <c r="O105" s="46"/>
      <c r="P105" s="47"/>
      <c r="Q105" s="46"/>
      <c r="R105" s="499"/>
      <c r="S105" s="499"/>
      <c r="T105" s="36"/>
      <c r="U105" s="36"/>
      <c r="V105" s="36"/>
      <c r="W105" s="36"/>
      <c r="X105" s="500"/>
      <c r="Y105" s="210"/>
      <c r="Z105" s="36"/>
      <c r="AA105" s="48"/>
      <c r="AB105" s="48"/>
      <c r="AC105" s="36"/>
      <c r="AD105" s="36"/>
      <c r="AE105" s="229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2"/>
      <c r="BC105" s="50"/>
      <c r="BD105" s="50"/>
      <c r="BE105" s="50"/>
      <c r="BF105" s="50"/>
    </row>
    <row r="106" spans="1:58" ht="12.75" customHeight="1">
      <c r="A106" s="39">
        <v>46016</v>
      </c>
      <c r="B106" s="40" t="s">
        <v>464</v>
      </c>
      <c r="C106" s="413">
        <f>(M106*E106*O106*Q106)/100000000</f>
        <v>10.9710216</v>
      </c>
      <c r="D106" s="40" t="s">
        <v>302</v>
      </c>
      <c r="E106" s="41">
        <v>14</v>
      </c>
      <c r="F106" s="41">
        <v>1</v>
      </c>
      <c r="G106" s="498">
        <f>+L106</f>
        <v>1100</v>
      </c>
      <c r="H106" s="43">
        <f>+N106</f>
        <v>0.22999999999999998</v>
      </c>
      <c r="I106" s="44">
        <v>0.88</v>
      </c>
      <c r="J106" s="81">
        <f>E106*G106*(1-H106)*1440/1000000*2.74</f>
        <v>46.786924800000008</v>
      </c>
      <c r="K106" s="81">
        <f>(IF(G106&lt;L106,L106,G106)*(1-IF(H106&lt;N106,H106,N106))*E106*O106*Q106)/100000000</f>
        <v>10.9710216</v>
      </c>
      <c r="L106" s="34">
        <v>1100</v>
      </c>
      <c r="M106" s="34">
        <v>847</v>
      </c>
      <c r="N106" s="45">
        <f>1-(M106/L106)</f>
        <v>0.22999999999999998</v>
      </c>
      <c r="O106" s="46">
        <f>+'Trim Rwd'!H76</f>
        <v>257</v>
      </c>
      <c r="P106" s="47">
        <f>O106*(Q106-R106-S106)</f>
        <v>89693</v>
      </c>
      <c r="Q106" s="46">
        <v>360</v>
      </c>
      <c r="R106" s="499">
        <v>0</v>
      </c>
      <c r="S106" s="499">
        <v>11</v>
      </c>
      <c r="T106" s="36">
        <f>E106*M106*O106*Q106/100000000</f>
        <v>10.9710216</v>
      </c>
      <c r="U106" s="36">
        <f>E106*M106*O106*(Q106-R106-S106)/100000000</f>
        <v>10.63579594</v>
      </c>
      <c r="V106" s="36">
        <f>E106*G106*(1-N106)*O106/100*(R106+S106)/1000000</f>
        <v>0.33522566000000004</v>
      </c>
      <c r="W106" s="36">
        <f>+'25'!K15/1000</f>
        <v>13.125</v>
      </c>
      <c r="X106" s="500">
        <f>SUM(W106:W109)/SUM(K106:K109)</f>
        <v>0.93150628866277796</v>
      </c>
      <c r="Y106" s="210">
        <v>0</v>
      </c>
      <c r="Z106" s="36">
        <v>0</v>
      </c>
      <c r="AA106" s="48">
        <f>SUM(U106:U109)-SUM(W106:W109)-SUM(Z106:Z109)-SUM(Y106:Y109)</f>
        <v>1.2002863080000026</v>
      </c>
      <c r="AB106" s="48">
        <f>(SUM(K106:K109)-SUM(W106:W109)-SUM(Y106:Y109)-SUM(Z106:Z109)-SUM(AC106:AC109)-SUM(V106:V109))-AA106</f>
        <v>-4.6629367034256575E-15</v>
      </c>
      <c r="AC106" s="36">
        <f>K106-T106</f>
        <v>0</v>
      </c>
      <c r="AD106" s="36">
        <f>+AM106+BA106</f>
        <v>9</v>
      </c>
      <c r="AE106" s="229" t="s">
        <v>423</v>
      </c>
      <c r="AF106" s="36">
        <v>9</v>
      </c>
      <c r="AG106" s="36"/>
      <c r="AH106" s="36"/>
      <c r="AI106" s="501"/>
      <c r="AJ106" s="36"/>
      <c r="AK106" s="36"/>
      <c r="AL106" s="36"/>
      <c r="AM106" s="36">
        <f>SUM(AF106:AL106)+AT106+AV106+AX106</f>
        <v>9</v>
      </c>
      <c r="AN106" s="36"/>
      <c r="AO106" s="36"/>
      <c r="AP106" s="36"/>
      <c r="AQ106" s="36"/>
      <c r="AR106" s="36">
        <f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32">
        <v>3</v>
      </c>
      <c r="BC106" s="50"/>
      <c r="BD106" s="50"/>
      <c r="BE106" s="32"/>
      <c r="BF106" s="50"/>
    </row>
    <row r="107" spans="1:58" ht="12.95" customHeight="1">
      <c r="A107" s="39"/>
      <c r="B107" s="40" t="s">
        <v>464</v>
      </c>
      <c r="C107" s="413">
        <f>(M107*E107*O107*Q107)/100000000</f>
        <v>32.602489919999996</v>
      </c>
      <c r="D107" s="40" t="s">
        <v>302</v>
      </c>
      <c r="E107" s="41">
        <v>13</v>
      </c>
      <c r="F107" s="41">
        <v>1</v>
      </c>
      <c r="G107" s="498">
        <f>+L107</f>
        <v>1168.8888888888889</v>
      </c>
      <c r="H107" s="43">
        <f>+N107</f>
        <v>0.22999999999999998</v>
      </c>
      <c r="I107" s="44">
        <v>0.88</v>
      </c>
      <c r="J107" s="81">
        <f>E107*G107*(1-H107)*1440/1000000*2.74</f>
        <v>46.165799680000006</v>
      </c>
      <c r="K107" s="81">
        <f>(IF(G107&lt;L107,L107,G107)*(1-IF(H107&lt;N107,H107,N107))*E107*O107*Q107)/100000000</f>
        <v>32.602489919999996</v>
      </c>
      <c r="L107" s="34">
        <v>1168.8888888888889</v>
      </c>
      <c r="M107" s="34">
        <v>900.04444444444448</v>
      </c>
      <c r="N107" s="45">
        <f>1-(M107/L107)</f>
        <v>0.22999999999999998</v>
      </c>
      <c r="O107" s="46">
        <f>+'Trim Rwd'!H77</f>
        <v>258</v>
      </c>
      <c r="P107" s="47">
        <f>O107*(Q107-R107-S107)</f>
        <v>266256</v>
      </c>
      <c r="Q107" s="46">
        <v>1080</v>
      </c>
      <c r="R107" s="499">
        <v>0</v>
      </c>
      <c r="S107" s="499">
        <v>48</v>
      </c>
      <c r="T107" s="36">
        <f>E107*M107*O107*Q107/100000000</f>
        <v>32.602489919999996</v>
      </c>
      <c r="U107" s="36">
        <f>E107*M107*O107*(Q107-R107-S107)/100000000</f>
        <v>31.153490368000003</v>
      </c>
      <c r="V107" s="36">
        <f>E107*G107*(1-N107)*O107/100*(R107+S107)/1000000</f>
        <v>1.4489995520000001</v>
      </c>
      <c r="W107" s="36">
        <f>+'25'!K10/1000</f>
        <v>27.463999999999999</v>
      </c>
      <c r="X107" s="37"/>
      <c r="Y107" s="210"/>
      <c r="Z107" s="36"/>
      <c r="AA107" s="36"/>
      <c r="AB107" s="36"/>
      <c r="AC107" s="36">
        <f>K107-T107</f>
        <v>0</v>
      </c>
      <c r="AD107" s="36">
        <f>+AM107+BA107</f>
        <v>11</v>
      </c>
      <c r="AE107" s="229" t="s">
        <v>549</v>
      </c>
      <c r="AF107" s="36"/>
      <c r="AG107" s="36">
        <v>11</v>
      </c>
      <c r="AH107" s="36"/>
      <c r="AI107" s="501"/>
      <c r="AJ107" s="36"/>
      <c r="AK107" s="36"/>
      <c r="AL107" s="36"/>
      <c r="AM107" s="36">
        <f>SUM(AF107:AL107)+AT107+AV107+AX107</f>
        <v>11</v>
      </c>
      <c r="AN107" s="82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49"/>
      <c r="BC107" s="50">
        <v>6</v>
      </c>
      <c r="BD107" s="50"/>
      <c r="BE107" s="49"/>
      <c r="BF107" s="50"/>
    </row>
    <row r="108" spans="1:58" ht="12.95" customHeight="1">
      <c r="A108" s="39"/>
      <c r="B108" s="40"/>
      <c r="C108" s="413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46"/>
      <c r="R108" s="499"/>
      <c r="S108" s="499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+AM108+BA108</f>
        <v>39</v>
      </c>
      <c r="AE108" s="229" t="s">
        <v>443</v>
      </c>
      <c r="AF108" s="32"/>
      <c r="AG108" s="32"/>
      <c r="AH108" s="32">
        <v>39</v>
      </c>
      <c r="AJ108" s="36"/>
      <c r="AK108" s="36"/>
      <c r="AL108" s="36"/>
      <c r="AM108" s="36">
        <f>SUM(AF108:AL108)+AT108+AV108+AX108</f>
        <v>39</v>
      </c>
      <c r="AN108" s="36"/>
      <c r="AO108" s="36"/>
      <c r="AP108" s="36"/>
      <c r="AQ108" s="36"/>
      <c r="AR108" s="36">
        <f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32"/>
      <c r="BC108" s="502"/>
      <c r="BD108" s="502"/>
      <c r="BE108" s="32"/>
      <c r="BF108" s="502"/>
    </row>
    <row r="109" spans="1:58" ht="12.95" customHeight="1">
      <c r="A109" s="39"/>
      <c r="B109" s="40"/>
      <c r="C109" s="413"/>
      <c r="D109" s="40"/>
      <c r="E109" s="41"/>
      <c r="F109" s="41"/>
      <c r="G109" s="498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499"/>
      <c r="S109" s="499"/>
      <c r="T109" s="36"/>
      <c r="U109" s="36"/>
      <c r="V109" s="36"/>
      <c r="W109" s="36"/>
      <c r="X109" s="37"/>
      <c r="Y109" s="210"/>
      <c r="Z109" s="36"/>
      <c r="AA109" s="36"/>
      <c r="AB109" s="36"/>
      <c r="AC109" s="36"/>
      <c r="AD109" s="36"/>
      <c r="AE109" s="229"/>
      <c r="AF109" s="36"/>
      <c r="AG109" s="36"/>
      <c r="AH109" s="36"/>
      <c r="AI109" s="501"/>
      <c r="AJ109" s="36"/>
      <c r="AK109" s="36"/>
      <c r="AL109" s="36"/>
      <c r="AM109" s="36"/>
      <c r="AN109" s="82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49"/>
      <c r="BC109" s="50"/>
      <c r="BD109" s="50"/>
      <c r="BE109" s="50"/>
      <c r="BF109" s="50"/>
    </row>
    <row r="110" spans="1:58" ht="12.75" customHeight="1">
      <c r="A110" s="39">
        <v>46017</v>
      </c>
      <c r="B110" s="40" t="s">
        <v>464</v>
      </c>
      <c r="C110" s="413">
        <f>(M110*E110*O110*Q110)/100000000</f>
        <v>43.785061319999997</v>
      </c>
      <c r="D110" s="40" t="s">
        <v>302</v>
      </c>
      <c r="E110" s="41">
        <v>13</v>
      </c>
      <c r="F110" s="41">
        <v>1</v>
      </c>
      <c r="G110" s="498">
        <f>+L110</f>
        <v>1177.3611111111111</v>
      </c>
      <c r="H110" s="43">
        <f>+N110</f>
        <v>0.22999999999999998</v>
      </c>
      <c r="I110" s="44">
        <v>0.88</v>
      </c>
      <c r="J110" s="81">
        <f>E110*G110*(1-H110)*1440/1000000*2.74</f>
        <v>46.500413960000003</v>
      </c>
      <c r="K110" s="81">
        <f>(IF(G110&lt;L110,L110,G110)*(1-IF(H110&lt;N110,H110,N110))*E110*O110*Q110)/100000000</f>
        <v>43.785061319999997</v>
      </c>
      <c r="L110" s="34">
        <v>1177.3611111111111</v>
      </c>
      <c r="M110" s="34">
        <v>906.56805555555559</v>
      </c>
      <c r="N110" s="45">
        <f>1-(M110/L110)</f>
        <v>0.22999999999999998</v>
      </c>
      <c r="O110" s="46">
        <f>+'Trim Rwd'!H79</f>
        <v>258</v>
      </c>
      <c r="P110" s="47">
        <f>O110*(Q110-R110-S110)</f>
        <v>357588</v>
      </c>
      <c r="Q110" s="46">
        <v>1440</v>
      </c>
      <c r="R110" s="499">
        <v>0</v>
      </c>
      <c r="S110" s="499">
        <v>54</v>
      </c>
      <c r="T110" s="36">
        <f>E110*M110*O110*Q110/100000000</f>
        <v>43.785061319999997</v>
      </c>
      <c r="U110" s="36">
        <f>E110*M110*O110*(Q110-R110-S110)/100000000</f>
        <v>42.143121520500003</v>
      </c>
      <c r="V110" s="36">
        <f>E110*G110*(1-N110)*O110/100*(R110+S110)/1000000</f>
        <v>1.6419397994999998</v>
      </c>
      <c r="W110" s="36">
        <f>+'26'!K10/1000</f>
        <v>38.847999999999999</v>
      </c>
      <c r="X110" s="500">
        <f>SUM(W110:W113)/SUM(K110:K113)</f>
        <v>0.88724324755610506</v>
      </c>
      <c r="Y110" s="210">
        <v>0</v>
      </c>
      <c r="Z110" s="36">
        <v>0</v>
      </c>
      <c r="AA110" s="48">
        <f>SUM(U110:U113)-SUM(W110:W113)-SUM(Z110:Z113)-SUM(Y110:Y113)</f>
        <v>3.295121520500004</v>
      </c>
      <c r="AB110" s="48">
        <f>(SUM(K110:K113)-SUM(W110:W113)-SUM(Y110:Y113)-SUM(Z110:Z113)-SUM(AC110:AC113)-SUM(V110:V113))-AA110</f>
        <v>-5.773159728050814E-15</v>
      </c>
      <c r="AC110" s="36">
        <f>K110-T110</f>
        <v>0</v>
      </c>
      <c r="AD110" s="36">
        <f>+AM110+BA110</f>
        <v>9</v>
      </c>
      <c r="AE110" s="229" t="s">
        <v>423</v>
      </c>
      <c r="AF110" s="36">
        <v>9</v>
      </c>
      <c r="AG110" s="36"/>
      <c r="AH110" s="36"/>
      <c r="AI110" s="501"/>
      <c r="AJ110" s="36"/>
      <c r="AK110" s="36"/>
      <c r="AL110" s="36"/>
      <c r="AM110" s="36">
        <f>SUM(AF110:AL110)+AT110+AV110+AX110</f>
        <v>9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32">
        <v>3</v>
      </c>
      <c r="BC110" s="50"/>
      <c r="BD110" s="50"/>
      <c r="BE110" s="32"/>
      <c r="BF110" s="50"/>
    </row>
    <row r="111" spans="1:58" ht="12.95" customHeight="1">
      <c r="A111" s="39"/>
      <c r="B111" s="40"/>
      <c r="C111" s="413"/>
      <c r="D111" s="40"/>
      <c r="E111" s="41"/>
      <c r="F111" s="41"/>
      <c r="G111" s="498"/>
      <c r="H111" s="43"/>
      <c r="I111" s="44"/>
      <c r="J111" s="81"/>
      <c r="K111" s="81"/>
      <c r="L111" s="34"/>
      <c r="M111" s="34"/>
      <c r="N111" s="45"/>
      <c r="O111" s="46"/>
      <c r="P111" s="47"/>
      <c r="Q111" s="46"/>
      <c r="R111" s="499"/>
      <c r="S111" s="499"/>
      <c r="T111" s="36"/>
      <c r="U111" s="36"/>
      <c r="V111" s="36"/>
      <c r="W111" s="36"/>
      <c r="X111" s="37"/>
      <c r="Y111" s="210"/>
      <c r="Z111" s="36"/>
      <c r="AA111" s="36"/>
      <c r="AB111" s="36"/>
      <c r="AC111" s="36"/>
      <c r="AD111" s="36">
        <f>+AM111+BA111</f>
        <v>16</v>
      </c>
      <c r="AE111" s="229" t="s">
        <v>435</v>
      </c>
      <c r="AF111" s="36"/>
      <c r="AG111" s="36">
        <v>16</v>
      </c>
      <c r="AH111" s="36"/>
      <c r="AI111" s="501"/>
      <c r="AJ111" s="36"/>
      <c r="AK111" s="36"/>
      <c r="AL111" s="36"/>
      <c r="AM111" s="36">
        <f>SUM(AF111:AL111)+AT111+AV111+AX111</f>
        <v>16</v>
      </c>
      <c r="AN111" s="82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49"/>
      <c r="BC111" s="50">
        <v>10</v>
      </c>
      <c r="BD111" s="50"/>
      <c r="BE111" s="49"/>
      <c r="BF111" s="50"/>
    </row>
    <row r="112" spans="1:58" ht="12.95" customHeight="1">
      <c r="A112" s="39"/>
      <c r="B112" s="40"/>
      <c r="C112" s="413"/>
      <c r="D112" s="40"/>
      <c r="E112" s="41"/>
      <c r="F112" s="41"/>
      <c r="G112" s="42"/>
      <c r="H112" s="43"/>
      <c r="I112" s="44"/>
      <c r="J112" s="81"/>
      <c r="K112" s="81"/>
      <c r="L112" s="34"/>
      <c r="M112" s="34"/>
      <c r="N112" s="45"/>
      <c r="O112" s="46"/>
      <c r="P112" s="47"/>
      <c r="Q112" s="46"/>
      <c r="R112" s="499"/>
      <c r="S112" s="499"/>
      <c r="T112" s="36"/>
      <c r="U112" s="36"/>
      <c r="V112" s="36"/>
      <c r="W112" s="36"/>
      <c r="X112" s="37"/>
      <c r="Y112" s="210"/>
      <c r="Z112" s="36"/>
      <c r="AA112" s="36"/>
      <c r="AB112" s="36"/>
      <c r="AC112" s="36"/>
      <c r="AD112" s="36">
        <f>+AM112+BA112</f>
        <v>29</v>
      </c>
      <c r="AE112" s="229" t="s">
        <v>443</v>
      </c>
      <c r="AF112" s="32"/>
      <c r="AG112" s="32"/>
      <c r="AH112" s="32">
        <v>29</v>
      </c>
      <c r="AJ112" s="36"/>
      <c r="AK112" s="36"/>
      <c r="AL112" s="36"/>
      <c r="AM112" s="36">
        <f>SUM(AF112:AL112)+AT112+AV112+AX112</f>
        <v>29</v>
      </c>
      <c r="AN112" s="36"/>
      <c r="AO112" s="36"/>
      <c r="AP112" s="36"/>
      <c r="AQ112" s="36"/>
      <c r="AR112" s="36">
        <f>SUM(AN112:AQ112)</f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32"/>
      <c r="BC112" s="502"/>
      <c r="BD112" s="502"/>
      <c r="BE112" s="32"/>
      <c r="BF112" s="502"/>
    </row>
    <row r="113" spans="1:58" ht="16.5" customHeight="1">
      <c r="A113" s="39"/>
      <c r="B113" s="40"/>
      <c r="C113" s="413"/>
      <c r="D113" s="40"/>
      <c r="E113" s="41"/>
      <c r="F113" s="41"/>
      <c r="G113" s="498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499"/>
      <c r="S113" s="499"/>
      <c r="T113" s="36"/>
      <c r="U113" s="36"/>
      <c r="V113" s="36"/>
      <c r="W113" s="36"/>
      <c r="X113" s="500"/>
      <c r="Y113" s="210"/>
      <c r="Z113" s="36"/>
      <c r="AA113" s="48"/>
      <c r="AB113" s="48"/>
      <c r="AC113" s="36"/>
      <c r="AD113" s="36"/>
      <c r="AE113" s="229"/>
      <c r="AF113" s="36"/>
      <c r="AG113" s="36"/>
      <c r="AH113" s="36"/>
      <c r="AI113" s="501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2"/>
      <c r="BC113" s="50"/>
      <c r="BD113" s="50"/>
      <c r="BE113" s="50"/>
      <c r="BF113" s="50"/>
    </row>
    <row r="114" spans="1:58" ht="12" customHeight="1">
      <c r="A114" s="39">
        <v>46018</v>
      </c>
      <c r="B114" s="40" t="s">
        <v>464</v>
      </c>
      <c r="C114" s="413">
        <f>(M114*E114*O114*Q114)/100000000</f>
        <v>44.007163200000001</v>
      </c>
      <c r="D114" s="40" t="s">
        <v>302</v>
      </c>
      <c r="E114" s="41">
        <v>13</v>
      </c>
      <c r="F114" s="41">
        <v>1</v>
      </c>
      <c r="G114" s="498">
        <f>+L114</f>
        <v>1183.3333333333333</v>
      </c>
      <c r="H114" s="43">
        <f>+N114</f>
        <v>0.22999999999999998</v>
      </c>
      <c r="I114" s="44">
        <v>0.88</v>
      </c>
      <c r="J114" s="81">
        <f>E114*G114*(1-H114)*1440/1000000*2.74</f>
        <v>46.736289600000006</v>
      </c>
      <c r="K114" s="81">
        <f>(IF(G114&lt;L114,L114,G114)*(1-IF(H114&lt;N114,H114,N114))*E114*O114*Q114)/100000000</f>
        <v>44.007163200000001</v>
      </c>
      <c r="L114" s="34">
        <v>1183.3333333333333</v>
      </c>
      <c r="M114" s="34">
        <v>911.16666666666663</v>
      </c>
      <c r="N114" s="45">
        <f>1-(M114/L114)</f>
        <v>0.22999999999999998</v>
      </c>
      <c r="O114" s="46">
        <f>+'Trim Rwd'!H81</f>
        <v>258</v>
      </c>
      <c r="P114" s="47">
        <f>O114*(Q114-R114-S114)</f>
        <v>356298</v>
      </c>
      <c r="Q114" s="46">
        <v>1440</v>
      </c>
      <c r="R114" s="499">
        <v>0</v>
      </c>
      <c r="S114" s="499">
        <v>59</v>
      </c>
      <c r="T114" s="36">
        <f>E114*M114*O114*Q114/100000000</f>
        <v>44.007163200000001</v>
      </c>
      <c r="U114" s="36">
        <f>E114*M114*O114*(Q114-R114-S114)/100000000</f>
        <v>42.204091929999997</v>
      </c>
      <c r="V114" s="36">
        <f>E114*G114*(1-N114)*O114/100*(R114+S114)/1000000</f>
        <v>1.80307127</v>
      </c>
      <c r="W114" s="36">
        <f>+'27'!K10/1000</f>
        <v>42.837000000000003</v>
      </c>
      <c r="X114" s="500">
        <f>SUM(W114:W117)/SUM(K114:K117)</f>
        <v>0.97340971071727711</v>
      </c>
      <c r="Y114" s="210">
        <v>0</v>
      </c>
      <c r="Z114" s="36">
        <f>+'27'!D16/1000</f>
        <v>0.57799999999999996</v>
      </c>
      <c r="AA114" s="48">
        <f>SUM(U114:U117)-SUM(W114:W117)-SUM(Z114:Z117)-SUM(Y114:Y117)</f>
        <v>-1.2109080700000061</v>
      </c>
      <c r="AB114" s="48">
        <f>(SUM(K114:K117)-SUM(W114:W117)-SUM(Y114:Y117)-SUM(Z114:Z117)-SUM(AC114:AC117)-SUM(V114:V117))-AA114</f>
        <v>3.5527136788005009E-15</v>
      </c>
      <c r="AC114" s="36">
        <f>K114-T114</f>
        <v>0</v>
      </c>
      <c r="AD114" s="36">
        <f>+AM114+BA114</f>
        <v>9</v>
      </c>
      <c r="AE114" s="229" t="s">
        <v>423</v>
      </c>
      <c r="AF114" s="36">
        <v>9</v>
      </c>
      <c r="AG114" s="36"/>
      <c r="AH114" s="36"/>
      <c r="AI114" s="501"/>
      <c r="AJ114" s="36"/>
      <c r="AK114" s="36"/>
      <c r="AL114" s="36"/>
      <c r="AM114" s="36">
        <f>SUM(AF114:AL114)+AT114+AV114+AX114</f>
        <v>9</v>
      </c>
      <c r="AN114" s="36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>
        <f>+AR114+AS114+AU114+AW114+AY114+AZ114</f>
        <v>0</v>
      </c>
      <c r="BB114" s="32">
        <v>3</v>
      </c>
      <c r="BC114" s="50"/>
      <c r="BD114" s="50"/>
      <c r="BE114" s="32"/>
      <c r="BF114" s="50"/>
    </row>
    <row r="115" spans="1:58" ht="12.95" customHeight="1">
      <c r="A115" s="39"/>
      <c r="B115" s="40"/>
      <c r="C115" s="413"/>
      <c r="D115" s="40"/>
      <c r="E115" s="41"/>
      <c r="F115" s="41"/>
      <c r="G115" s="498"/>
      <c r="H115" s="43"/>
      <c r="I115" s="44"/>
      <c r="J115" s="81"/>
      <c r="K115" s="81"/>
      <c r="L115" s="34"/>
      <c r="M115" s="34"/>
      <c r="N115" s="45"/>
      <c r="O115" s="46"/>
      <c r="P115" s="47"/>
      <c r="Q115" s="46"/>
      <c r="R115" s="499"/>
      <c r="S115" s="499"/>
      <c r="T115" s="36"/>
      <c r="U115" s="36"/>
      <c r="V115" s="36"/>
      <c r="W115" s="36"/>
      <c r="X115" s="37"/>
      <c r="Y115" s="210"/>
      <c r="Z115" s="36"/>
      <c r="AA115" s="36"/>
      <c r="AB115" s="36"/>
      <c r="AC115" s="36"/>
      <c r="AD115" s="36">
        <f>+AM115+BA115</f>
        <v>8</v>
      </c>
      <c r="AE115" s="229" t="s">
        <v>407</v>
      </c>
      <c r="AF115" s="36"/>
      <c r="AG115" s="36">
        <v>8</v>
      </c>
      <c r="AH115" s="36"/>
      <c r="AI115" s="501"/>
      <c r="AJ115" s="36"/>
      <c r="AK115" s="36"/>
      <c r="AL115" s="36"/>
      <c r="AM115" s="36">
        <f>SUM(AF115:AL115)+AT115+AV115+AX115</f>
        <v>8</v>
      </c>
      <c r="AN115" s="82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49"/>
      <c r="BC115" s="50">
        <v>4</v>
      </c>
      <c r="BD115" s="50"/>
      <c r="BE115" s="49"/>
      <c r="BF115" s="50"/>
    </row>
    <row r="116" spans="1:58" ht="12.95" customHeight="1">
      <c r="A116" s="39"/>
      <c r="B116" s="40"/>
      <c r="C116" s="413"/>
      <c r="D116" s="40"/>
      <c r="E116" s="41"/>
      <c r="F116" s="41"/>
      <c r="G116" s="42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499"/>
      <c r="S116" s="499"/>
      <c r="T116" s="36"/>
      <c r="U116" s="36"/>
      <c r="V116" s="36"/>
      <c r="W116" s="36"/>
      <c r="X116" s="37"/>
      <c r="Y116" s="210"/>
      <c r="Z116" s="36"/>
      <c r="AA116" s="36"/>
      <c r="AB116" s="36"/>
      <c r="AC116" s="36"/>
      <c r="AD116" s="36">
        <f>+AM116+BA116</f>
        <v>42</v>
      </c>
      <c r="AE116" s="229" t="s">
        <v>443</v>
      </c>
      <c r="AF116" s="32"/>
      <c r="AG116" s="32"/>
      <c r="AH116" s="32">
        <v>42</v>
      </c>
      <c r="AJ116" s="36"/>
      <c r="AK116" s="36"/>
      <c r="AL116" s="36"/>
      <c r="AM116" s="36">
        <f>SUM(AF116:AL116)+AT116+AV116+AX116</f>
        <v>42</v>
      </c>
      <c r="AN116" s="36"/>
      <c r="AO116" s="36"/>
      <c r="AP116" s="36"/>
      <c r="AQ116" s="36"/>
      <c r="AR116" s="36">
        <f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32"/>
      <c r="BC116" s="502"/>
      <c r="BD116" s="502"/>
      <c r="BE116" s="32"/>
      <c r="BF116" s="502"/>
    </row>
    <row r="117" spans="1:58" ht="16.5" customHeight="1">
      <c r="A117" s="39"/>
      <c r="B117" s="40"/>
      <c r="C117" s="413"/>
      <c r="D117" s="40"/>
      <c r="E117" s="41"/>
      <c r="F117" s="41"/>
      <c r="G117" s="498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499"/>
      <c r="S117" s="499"/>
      <c r="T117" s="36"/>
      <c r="U117" s="36"/>
      <c r="V117" s="36"/>
      <c r="W117" s="36"/>
      <c r="X117" s="500"/>
      <c r="Y117" s="210"/>
      <c r="Z117" s="36"/>
      <c r="AA117" s="48"/>
      <c r="AB117" s="48"/>
      <c r="AC117" s="36"/>
      <c r="AD117" s="36"/>
      <c r="AE117" s="229"/>
      <c r="AF117" s="36"/>
      <c r="AG117" s="36"/>
      <c r="AH117" s="36"/>
      <c r="AI117" s="501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2"/>
      <c r="BC117" s="50"/>
      <c r="BD117" s="50"/>
      <c r="BE117" s="50"/>
      <c r="BF117" s="50"/>
    </row>
    <row r="118" spans="1:58" ht="12" customHeight="1">
      <c r="A118" s="39">
        <v>46019</v>
      </c>
      <c r="B118" s="40" t="s">
        <v>464</v>
      </c>
      <c r="C118" s="413">
        <f>(M118*E118*O118*Q118)/100000000</f>
        <v>5.8392133800000003</v>
      </c>
      <c r="D118" s="40" t="s">
        <v>302</v>
      </c>
      <c r="E118" s="41">
        <v>13</v>
      </c>
      <c r="F118" s="41">
        <v>1</v>
      </c>
      <c r="G118" s="498">
        <f>+L118</f>
        <v>1190</v>
      </c>
      <c r="H118" s="43">
        <f>+N118</f>
        <v>0.23000000000000009</v>
      </c>
      <c r="I118" s="44">
        <v>0.88</v>
      </c>
      <c r="J118" s="81">
        <f>E118*G118*(1-H118)*1440/1000000*2.74</f>
        <v>46.999592639999996</v>
      </c>
      <c r="K118" s="81">
        <f>(IF(G118&lt;L118,L118,G118)*(1-IF(H118&lt;N118,H118,N118))*E118*O118*Q118)/100000000</f>
        <v>5.8392133799999986</v>
      </c>
      <c r="L118" s="34">
        <v>1190</v>
      </c>
      <c r="M118" s="34">
        <v>916.3</v>
      </c>
      <c r="N118" s="45">
        <f>1-(M118/L118)</f>
        <v>0.23000000000000009</v>
      </c>
      <c r="O118" s="46">
        <f>+'Trim Rwd'!H83</f>
        <v>258</v>
      </c>
      <c r="P118" s="47">
        <f>O118*(Q118-R118-S118)</f>
        <v>45408</v>
      </c>
      <c r="Q118" s="46">
        <v>190</v>
      </c>
      <c r="R118" s="499">
        <v>0</v>
      </c>
      <c r="S118" s="499">
        <v>14</v>
      </c>
      <c r="T118" s="36">
        <f>E118*M118*O118*Q118/100000000</f>
        <v>5.8392133800000003</v>
      </c>
      <c r="U118" s="36">
        <f>E118*M118*O118*(Q118-R118-S118)/100000000</f>
        <v>5.4089555519999992</v>
      </c>
      <c r="V118" s="36">
        <f>E118*G118*(1-N118)*O118/100*(R118+S118)/1000000</f>
        <v>0.4302578279999999</v>
      </c>
      <c r="W118" s="36">
        <f>+'28'!K10/1000</f>
        <v>5.5129999999999999</v>
      </c>
      <c r="X118" s="500">
        <f>SUM(W118:W121)/SUM(K118:K121)</f>
        <v>0.88688930805291077</v>
      </c>
      <c r="Y118" s="210">
        <v>0</v>
      </c>
      <c r="Z118" s="36">
        <f>+'28'!D7/1000</f>
        <v>0.57799999999999996</v>
      </c>
      <c r="AA118" s="48">
        <f>SUM(U118:U121)-SUM(W118:W121)-SUM(Z118:Z121)-SUM(Y118:Y121)</f>
        <v>0.97834819200000156</v>
      </c>
      <c r="AB118" s="48">
        <f>(SUM(K118:K121)-SUM(W118:W121)-SUM(Y118:Y121)-SUM(Z118:Z121)-SUM(AC118:AC121)-SUM(V118:V121))-AA118</f>
        <v>-4.9525760000011299E-2</v>
      </c>
      <c r="AC118" s="36">
        <f>K118-T118</f>
        <v>0</v>
      </c>
      <c r="AD118" s="36">
        <f>+AM118+BA118</f>
        <v>12</v>
      </c>
      <c r="AE118" s="229" t="s">
        <v>427</v>
      </c>
      <c r="AF118" s="36">
        <v>12</v>
      </c>
      <c r="AG118" s="36"/>
      <c r="AH118" s="36"/>
      <c r="AI118" s="501"/>
      <c r="AJ118" s="36"/>
      <c r="AK118" s="36"/>
      <c r="AL118" s="36"/>
      <c r="AM118" s="36">
        <f>SUM(AF118:AL118)+AT118+AV118+AX118</f>
        <v>12</v>
      </c>
      <c r="AN118" s="36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32">
        <v>5</v>
      </c>
      <c r="BC118" s="50"/>
      <c r="BD118" s="50"/>
      <c r="BE118" s="32"/>
      <c r="BF118" s="50"/>
    </row>
    <row r="119" spans="1:58" ht="12.95" customHeight="1">
      <c r="A119" s="39"/>
      <c r="B119" s="40" t="s">
        <v>464</v>
      </c>
      <c r="C119" s="413">
        <f>(M119*E119*O119*Q119)/100000000</f>
        <v>36.834783999999992</v>
      </c>
      <c r="D119" s="40" t="s">
        <v>302</v>
      </c>
      <c r="E119" s="41">
        <v>12.5</v>
      </c>
      <c r="F119" s="41">
        <v>1</v>
      </c>
      <c r="G119" s="498">
        <v>1230</v>
      </c>
      <c r="H119" s="43">
        <v>0.22</v>
      </c>
      <c r="I119" s="44">
        <v>0.88</v>
      </c>
      <c r="J119" s="81">
        <f>E119*G119*(1-H119)*1440/1000000*2.74</f>
        <v>47.317608000000007</v>
      </c>
      <c r="K119" s="81">
        <f>(IF(G119&lt;L119,L119,G119)*(1-IF(H119&lt;N119,H119,N119))*E119*O119*Q119)/100000000</f>
        <v>38.375999999999998</v>
      </c>
      <c r="L119" s="34">
        <v>1190</v>
      </c>
      <c r="M119" s="34">
        <v>920.86959999999999</v>
      </c>
      <c r="N119" s="45">
        <f>1-(M119/L119)</f>
        <v>0.22616000000000003</v>
      </c>
      <c r="O119" s="46">
        <f>+'Trim Rwd'!H84</f>
        <v>256</v>
      </c>
      <c r="P119" s="47">
        <f>O119*(Q119-R119-S119)</f>
        <v>307200</v>
      </c>
      <c r="Q119" s="46">
        <v>1250</v>
      </c>
      <c r="R119" s="499">
        <v>0</v>
      </c>
      <c r="S119" s="499">
        <v>50</v>
      </c>
      <c r="T119" s="36">
        <f>E119*M119*O119*Q119/100000000</f>
        <v>36.834783999999992</v>
      </c>
      <c r="U119" s="36">
        <f>E119*M119*O119*(Q119-R119-S119)/100000000</f>
        <v>35.361392639999998</v>
      </c>
      <c r="V119" s="36">
        <f>E119*G119*(1-N119)*O119/100*(R119+S119)/1000000</f>
        <v>1.5229171199999998</v>
      </c>
      <c r="W119" s="36">
        <f>+'28'!K16/1000</f>
        <v>33.701000000000001</v>
      </c>
      <c r="X119" s="37"/>
      <c r="Y119" s="210"/>
      <c r="Z119" s="36"/>
      <c r="AA119" s="36"/>
      <c r="AB119" s="36"/>
      <c r="AC119" s="36">
        <f>K119-T119</f>
        <v>1.5412160000000057</v>
      </c>
      <c r="AD119" s="36">
        <f>+AM119+BA119</f>
        <v>8</v>
      </c>
      <c r="AE119" s="229" t="s">
        <v>386</v>
      </c>
      <c r="AF119" s="36"/>
      <c r="AG119" s="36">
        <v>8</v>
      </c>
      <c r="AH119" s="36"/>
      <c r="AI119" s="501"/>
      <c r="AJ119" s="36"/>
      <c r="AK119" s="36"/>
      <c r="AL119" s="36"/>
      <c r="AM119" s="36">
        <f>SUM(AF119:AL119)+AT119+AV119+AX119</f>
        <v>8</v>
      </c>
      <c r="AN119" s="82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49"/>
      <c r="BC119" s="50">
        <v>5</v>
      </c>
      <c r="BD119" s="50"/>
      <c r="BE119" s="49"/>
      <c r="BF119" s="50"/>
    </row>
    <row r="120" spans="1:58" ht="12.95" customHeight="1">
      <c r="A120" s="39"/>
      <c r="B120" s="40"/>
      <c r="C120" s="413"/>
      <c r="D120" s="40"/>
      <c r="E120" s="41"/>
      <c r="F120" s="41"/>
      <c r="G120" s="42"/>
      <c r="H120" s="43"/>
      <c r="I120" s="44"/>
      <c r="J120" s="81"/>
      <c r="K120" s="81"/>
      <c r="L120" s="34"/>
      <c r="M120" s="34"/>
      <c r="N120" s="45"/>
      <c r="O120" s="46"/>
      <c r="P120" s="47"/>
      <c r="Q120" s="46"/>
      <c r="R120" s="499"/>
      <c r="S120" s="499"/>
      <c r="T120" s="36"/>
      <c r="U120" s="36"/>
      <c r="V120" s="36"/>
      <c r="W120" s="36"/>
      <c r="X120" s="37"/>
      <c r="Y120" s="210"/>
      <c r="Z120" s="36"/>
      <c r="AA120" s="36"/>
      <c r="AB120" s="36"/>
      <c r="AC120" s="36"/>
      <c r="AD120" s="36">
        <f>+AM120+BA120</f>
        <v>44</v>
      </c>
      <c r="AE120" s="229" t="s">
        <v>428</v>
      </c>
      <c r="AF120" s="32"/>
      <c r="AG120" s="32"/>
      <c r="AH120" s="32">
        <v>44</v>
      </c>
      <c r="AJ120" s="36"/>
      <c r="AK120" s="36"/>
      <c r="AL120" s="36"/>
      <c r="AM120" s="36">
        <f>SUM(AF120:AL120)+AT120+AV120+AX120</f>
        <v>44</v>
      </c>
      <c r="AN120" s="36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32"/>
      <c r="BC120" s="502"/>
      <c r="BD120" s="502"/>
      <c r="BE120" s="32"/>
      <c r="BF120" s="502"/>
    </row>
    <row r="121" spans="1:58" ht="12.95" customHeight="1">
      <c r="A121" s="39"/>
      <c r="B121" s="40"/>
      <c r="C121" s="413"/>
      <c r="D121" s="40"/>
      <c r="E121" s="41"/>
      <c r="F121" s="41"/>
      <c r="G121" s="42"/>
      <c r="H121" s="43"/>
      <c r="I121" s="44"/>
      <c r="J121" s="81"/>
      <c r="K121" s="81"/>
      <c r="L121" s="34"/>
      <c r="M121" s="34"/>
      <c r="N121" s="45"/>
      <c r="O121" s="46"/>
      <c r="P121" s="47"/>
      <c r="Q121" s="33"/>
      <c r="R121" s="499"/>
      <c r="S121" s="499"/>
      <c r="T121" s="36"/>
      <c r="U121" s="36"/>
      <c r="V121" s="36"/>
      <c r="W121" s="36"/>
      <c r="X121" s="37"/>
      <c r="Y121" s="210"/>
      <c r="Z121" s="36"/>
      <c r="AA121" s="36"/>
      <c r="AB121" s="36"/>
      <c r="AC121" s="36"/>
      <c r="AD121" s="36"/>
      <c r="AE121" s="232"/>
      <c r="AF121" s="36"/>
      <c r="AG121" s="36"/>
      <c r="AH121" s="36"/>
      <c r="AI121" s="501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49"/>
      <c r="BC121" s="50"/>
      <c r="BD121" s="50"/>
      <c r="BE121" s="50"/>
      <c r="BF121" s="50"/>
    </row>
    <row r="122" spans="1:58" ht="12" customHeight="1">
      <c r="A122" s="39">
        <v>46020</v>
      </c>
      <c r="B122" s="40" t="s">
        <v>464</v>
      </c>
      <c r="C122" s="413">
        <f>(M122*E122*O122*Q122)/100000000</f>
        <v>40.009132800000003</v>
      </c>
      <c r="D122" s="40" t="s">
        <v>302</v>
      </c>
      <c r="E122" s="41">
        <v>12.5</v>
      </c>
      <c r="F122" s="41">
        <v>1</v>
      </c>
      <c r="G122" s="498">
        <v>1230</v>
      </c>
      <c r="H122" s="43">
        <v>0.22</v>
      </c>
      <c r="I122" s="44">
        <v>0.88</v>
      </c>
      <c r="J122" s="81">
        <f>E122*G122*(1-H122)*1440/1000000*2.74</f>
        <v>47.317608000000007</v>
      </c>
      <c r="K122" s="81">
        <f>(IF(G122&lt;L122,L122,G122)*(1-IF(H122&lt;N122,H122,N122))*E122*O122*Q122)/100000000</f>
        <v>41.3539776</v>
      </c>
      <c r="L122" s="34">
        <v>1190</v>
      </c>
      <c r="M122" s="34">
        <v>928.2</v>
      </c>
      <c r="N122" s="45">
        <f>1-(M122/L122)</f>
        <v>0.21999999999999997</v>
      </c>
      <c r="O122" s="46">
        <f>+'Trim Rwd'!H86</f>
        <v>256</v>
      </c>
      <c r="P122" s="47">
        <f>O122*(Q122-R122-S122)</f>
        <v>330752</v>
      </c>
      <c r="Q122" s="46">
        <v>1347</v>
      </c>
      <c r="R122" s="499">
        <v>0</v>
      </c>
      <c r="S122" s="499">
        <v>55</v>
      </c>
      <c r="T122" s="36">
        <f>E122*M122*O122*Q122/100000000</f>
        <v>40.009132800000003</v>
      </c>
      <c r="U122" s="36">
        <f>E122*M122*O122*(Q122-R122-S122)/100000000</f>
        <v>38.375500799999998</v>
      </c>
      <c r="V122" s="36">
        <f>E122*G122*(1-N122)*O122/100*(R122+S122)/1000000</f>
        <v>1.688544</v>
      </c>
      <c r="W122" s="36">
        <f>+'29'!K16/1000</f>
        <v>40.776000000000003</v>
      </c>
      <c r="X122" s="500">
        <f>SUM(W122:W125)/SUM(K122:K125)</f>
        <v>0.92305602365425232</v>
      </c>
      <c r="Y122" s="210">
        <f>+SUM(RBP!AG15:AG16)</f>
        <v>0</v>
      </c>
      <c r="Z122" s="36">
        <v>0</v>
      </c>
      <c r="AA122" s="48">
        <f>SUM(U122:U125)-SUM(W122:W125)-SUM(Z122:Z125)-SUM(Y122:Y125)</f>
        <v>0.11718760799999473</v>
      </c>
      <c r="AB122" s="48">
        <f>(SUM(K122:K125)-SUM(W122:W125)-SUM(Y122:Y125)-SUM(Z122:Z125)-SUM(AC122:AC125)-SUM(V122:V125))-AA122</f>
        <v>-5.4911999999998518E-2</v>
      </c>
      <c r="AC122" s="36">
        <f>K122-T122</f>
        <v>1.3448447999999971</v>
      </c>
      <c r="AD122" s="36">
        <f>+AM122+BA122</f>
        <v>18</v>
      </c>
      <c r="AE122" s="229" t="s">
        <v>442</v>
      </c>
      <c r="AF122" s="36">
        <v>18</v>
      </c>
      <c r="AG122" s="36"/>
      <c r="AH122" s="36"/>
      <c r="AI122" s="501"/>
      <c r="AJ122" s="36"/>
      <c r="AK122" s="36"/>
      <c r="AL122" s="36"/>
      <c r="AM122" s="36">
        <f>SUM(AF122:AL122)+AT122+AV122+AX122</f>
        <v>18</v>
      </c>
      <c r="AN122" s="36"/>
      <c r="AO122" s="36"/>
      <c r="AP122" s="36"/>
      <c r="AQ122" s="36"/>
      <c r="AR122" s="36">
        <f>SUM(AN122:AQ122)</f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32">
        <v>6</v>
      </c>
      <c r="BC122" s="50"/>
      <c r="BD122" s="50"/>
      <c r="BE122" s="32"/>
      <c r="BF122" s="50"/>
    </row>
    <row r="123" spans="1:58" ht="12.95" customHeight="1">
      <c r="A123" s="39"/>
      <c r="B123" s="40" t="s">
        <v>464</v>
      </c>
      <c r="C123" s="413">
        <f>(M123*E123*O123*Q123)/100000000</f>
        <v>2.8210225680000001</v>
      </c>
      <c r="D123" s="40" t="s">
        <v>302</v>
      </c>
      <c r="E123" s="41">
        <v>13</v>
      </c>
      <c r="F123" s="41">
        <v>1</v>
      </c>
      <c r="G123" s="498">
        <f>+L123</f>
        <v>1190</v>
      </c>
      <c r="H123" s="43">
        <v>0.24</v>
      </c>
      <c r="I123" s="44">
        <v>0.88</v>
      </c>
      <c r="J123" s="81">
        <f>E123*G123*(1-H123)*1440/1000000*2.74</f>
        <v>46.389208320000009</v>
      </c>
      <c r="K123" s="81">
        <f>(IF(G123&lt;L123,L123,G123)*(1-IF(H123&lt;N123,H123,N123))*E123*O123*Q123)/100000000</f>
        <v>2.8210225680000001</v>
      </c>
      <c r="L123" s="34">
        <v>1190</v>
      </c>
      <c r="M123" s="34">
        <v>904.40000000000009</v>
      </c>
      <c r="N123" s="45">
        <f>1-(M123/L123)</f>
        <v>0.23999999999999988</v>
      </c>
      <c r="O123" s="46">
        <f>+'Trim Rwd'!H87</f>
        <v>258</v>
      </c>
      <c r="P123" s="47">
        <f>O123*(Q123-R123-S123)</f>
        <v>21414</v>
      </c>
      <c r="Q123" s="46">
        <v>93</v>
      </c>
      <c r="R123" s="499">
        <v>0</v>
      </c>
      <c r="S123" s="499">
        <v>10</v>
      </c>
      <c r="T123" s="36">
        <f>E123*M123*O123*Q123/100000000</f>
        <v>2.8210225680000001</v>
      </c>
      <c r="U123" s="36">
        <f>E123*M123*O123*(Q123-R123-S123)/100000000</f>
        <v>2.5176868080000001</v>
      </c>
      <c r="V123" s="36">
        <f>E123*G123*(1-N123)*O123/100*(R123+S123)/1000000</f>
        <v>0.30333576000000007</v>
      </c>
      <c r="W123" s="36">
        <f>+'28'!K20/1000</f>
        <v>0</v>
      </c>
      <c r="X123" s="37"/>
      <c r="Y123" s="210"/>
      <c r="Z123" s="36"/>
      <c r="AA123" s="36"/>
      <c r="AB123" s="36"/>
      <c r="AC123" s="36">
        <f>K123-T123</f>
        <v>0</v>
      </c>
      <c r="AD123" s="36">
        <f>+AM123+BA123</f>
        <v>6</v>
      </c>
      <c r="AE123" s="229" t="s">
        <v>659</v>
      </c>
      <c r="AF123" s="36"/>
      <c r="AG123" s="36">
        <v>6</v>
      </c>
      <c r="AH123" s="36"/>
      <c r="AI123" s="501"/>
      <c r="AJ123" s="36"/>
      <c r="AK123" s="36"/>
      <c r="AL123" s="36"/>
      <c r="AM123" s="36">
        <f>SUM(AF123:AL123)+AT123+AV123+AX123</f>
        <v>6</v>
      </c>
      <c r="AN123" s="82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49"/>
      <c r="BC123" s="50">
        <v>2</v>
      </c>
      <c r="BD123" s="50"/>
      <c r="BE123" s="49"/>
      <c r="BF123" s="50"/>
    </row>
    <row r="124" spans="1:58" ht="12.95" customHeight="1">
      <c r="A124" s="39"/>
      <c r="B124" s="40"/>
      <c r="C124" s="413"/>
      <c r="D124" s="40"/>
      <c r="E124" s="41"/>
      <c r="F124" s="41"/>
      <c r="G124" s="42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499"/>
      <c r="S124" s="499"/>
      <c r="T124" s="36"/>
      <c r="U124" s="36"/>
      <c r="V124" s="36"/>
      <c r="W124" s="36"/>
      <c r="X124" s="37"/>
      <c r="Y124" s="210"/>
      <c r="Z124" s="36"/>
      <c r="AA124" s="36"/>
      <c r="AB124" s="36"/>
      <c r="AC124" s="36"/>
      <c r="AD124" s="36">
        <f>+AM124+BA124</f>
        <v>41</v>
      </c>
      <c r="AE124" s="229" t="s">
        <v>661</v>
      </c>
      <c r="AF124" s="32"/>
      <c r="AG124" s="32"/>
      <c r="AH124" s="32">
        <v>41</v>
      </c>
      <c r="AJ124" s="36"/>
      <c r="AK124" s="36"/>
      <c r="AL124" s="36"/>
      <c r="AM124" s="36">
        <f>SUM(AF124:AL124)+AT124+AV124+AX124</f>
        <v>41</v>
      </c>
      <c r="AN124" s="36"/>
      <c r="AO124" s="36"/>
      <c r="AP124" s="36"/>
      <c r="AQ124" s="36"/>
      <c r="AR124" s="36">
        <f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0</v>
      </c>
      <c r="BB124" s="32"/>
      <c r="BC124" s="502"/>
      <c r="BD124" s="502"/>
      <c r="BE124" s="32"/>
      <c r="BF124" s="502"/>
    </row>
    <row r="125" spans="1:58" ht="12.95" customHeight="1">
      <c r="A125" s="39"/>
      <c r="B125" s="40"/>
      <c r="C125" s="413"/>
      <c r="D125" s="40"/>
      <c r="E125" s="41"/>
      <c r="F125" s="41"/>
      <c r="G125" s="42"/>
      <c r="H125" s="43"/>
      <c r="I125" s="44"/>
      <c r="J125" s="81"/>
      <c r="K125" s="81"/>
      <c r="L125" s="34"/>
      <c r="M125" s="34"/>
      <c r="N125" s="45"/>
      <c r="O125" s="46"/>
      <c r="P125" s="47"/>
      <c r="Q125" s="33"/>
      <c r="R125" s="499"/>
      <c r="S125" s="499"/>
      <c r="T125" s="36"/>
      <c r="U125" s="36"/>
      <c r="V125" s="36"/>
      <c r="W125" s="36"/>
      <c r="X125" s="37"/>
      <c r="Y125" s="210"/>
      <c r="Z125" s="36"/>
      <c r="AA125" s="36"/>
      <c r="AB125" s="36"/>
      <c r="AC125" s="36"/>
      <c r="AD125" s="36"/>
      <c r="AE125" s="232"/>
      <c r="AF125" s="36"/>
      <c r="AG125" s="36"/>
      <c r="AH125" s="36"/>
      <c r="AI125" s="501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49"/>
      <c r="BC125" s="50"/>
      <c r="BD125" s="50"/>
      <c r="BE125" s="50"/>
      <c r="BF125" s="50"/>
    </row>
    <row r="126" spans="1:58" ht="12" customHeight="1">
      <c r="A126" s="39">
        <v>46021</v>
      </c>
      <c r="B126" s="40" t="s">
        <v>464</v>
      </c>
      <c r="C126" s="413">
        <f>(M126*E126*O126*Q126)/100000000</f>
        <v>43.313287680000002</v>
      </c>
      <c r="D126" s="40" t="s">
        <v>302</v>
      </c>
      <c r="E126" s="41">
        <v>13</v>
      </c>
      <c r="F126" s="41">
        <v>1</v>
      </c>
      <c r="G126" s="498">
        <f>+L126</f>
        <v>1180</v>
      </c>
      <c r="H126" s="43">
        <v>0.24</v>
      </c>
      <c r="I126" s="44">
        <v>0.88</v>
      </c>
      <c r="J126" s="81">
        <f>E126*G126*(1-H126)*1440/1000000*2.74</f>
        <v>45.999383040000005</v>
      </c>
      <c r="K126" s="81">
        <f>(IF(G126&lt;L126,L126,G126)*(1-IF(H126&lt;N126,H126,N126))*E126*O126*Q126)/100000000</f>
        <v>43.313287680000002</v>
      </c>
      <c r="L126" s="34">
        <v>1180</v>
      </c>
      <c r="M126" s="34">
        <v>896.8</v>
      </c>
      <c r="N126" s="45">
        <f>1-(M126/L126)</f>
        <v>0.24</v>
      </c>
      <c r="O126" s="46">
        <f>+'Trim Rwd'!H90</f>
        <v>258</v>
      </c>
      <c r="P126" s="47">
        <f>O126*(Q126-R126-S126)</f>
        <v>352944</v>
      </c>
      <c r="Q126" s="46">
        <v>1440</v>
      </c>
      <c r="R126" s="499">
        <v>0</v>
      </c>
      <c r="S126" s="499">
        <v>72</v>
      </c>
      <c r="T126" s="36">
        <f>E126*M126*O126*Q126/100000000</f>
        <v>43.313287680000002</v>
      </c>
      <c r="U126" s="36">
        <f>E126*M126*O126*(Q126-R126-S126)/100000000</f>
        <v>41.147623295999992</v>
      </c>
      <c r="V126" s="36">
        <f>E126*G126*(1-N126)*O126/100*(R126+S126)/1000000</f>
        <v>2.1656643840000003</v>
      </c>
      <c r="W126" s="36">
        <f>+'30'!K10/1000</f>
        <v>38.384999999999998</v>
      </c>
      <c r="X126" s="500">
        <f>SUM(W126:W129)/SUM(K126:K129)</f>
        <v>0.90385657836075861</v>
      </c>
      <c r="Y126" s="210">
        <v>0</v>
      </c>
      <c r="Z126" s="36">
        <v>0</v>
      </c>
      <c r="AA126" s="48">
        <f>SUM(U126:U129)-SUM(W126:W129)-SUM(Z126:Z129)-SUM(Y126:Y129)</f>
        <v>1.998623295999991</v>
      </c>
      <c r="AB126" s="48">
        <f>(SUM(K126:K129)-SUM(W126:W129)-SUM(Y126:Y129)-SUM(Z126:Z129)-SUM(AC126:AC129)-SUM(V126:V129))-AA126</f>
        <v>9.7699626167013776E-15</v>
      </c>
      <c r="AC126" s="36">
        <f>K126-T126</f>
        <v>0</v>
      </c>
      <c r="AD126" s="36">
        <f>+AM126+BA126</f>
        <v>27</v>
      </c>
      <c r="AE126" s="229" t="s">
        <v>436</v>
      </c>
      <c r="AF126" s="36">
        <v>27</v>
      </c>
      <c r="AG126" s="36"/>
      <c r="AH126" s="36"/>
      <c r="AI126" s="501"/>
      <c r="AJ126" s="36"/>
      <c r="AK126" s="36"/>
      <c r="AL126" s="36"/>
      <c r="AM126" s="36">
        <f>SUM(AF126:AL126)+AT126+AV126+AX126</f>
        <v>27</v>
      </c>
      <c r="AN126" s="36"/>
      <c r="AO126" s="36"/>
      <c r="AP126" s="36"/>
      <c r="AQ126" s="36"/>
      <c r="AR126" s="36">
        <f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32">
        <v>9</v>
      </c>
      <c r="BC126" s="50"/>
      <c r="BD126" s="50"/>
      <c r="BE126" s="32"/>
      <c r="BF126" s="50"/>
    </row>
    <row r="127" spans="1:58" ht="12.95" customHeight="1">
      <c r="A127" s="39"/>
      <c r="B127" s="40" t="s">
        <v>464</v>
      </c>
      <c r="C127" s="413"/>
      <c r="D127" s="40"/>
      <c r="E127" s="41">
        <v>12.5</v>
      </c>
      <c r="F127" s="41"/>
      <c r="G127" s="498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499"/>
      <c r="S127" s="499"/>
      <c r="T127" s="36"/>
      <c r="U127" s="36"/>
      <c r="V127" s="36"/>
      <c r="W127" s="36">
        <f>+'30'!K16/1000</f>
        <v>0.76400000000000001</v>
      </c>
      <c r="X127" s="37"/>
      <c r="Y127" s="210"/>
      <c r="Z127" s="36"/>
      <c r="AA127" s="36"/>
      <c r="AB127" s="36"/>
      <c r="AC127" s="36">
        <f>K127-T127</f>
        <v>0</v>
      </c>
      <c r="AD127" s="36">
        <f>+AM127+BA127</f>
        <v>0</v>
      </c>
      <c r="AE127" s="229" t="s">
        <v>284</v>
      </c>
      <c r="AF127" s="36"/>
      <c r="AG127" s="36">
        <v>0</v>
      </c>
      <c r="AH127" s="36"/>
      <c r="AI127" s="501"/>
      <c r="AJ127" s="36"/>
      <c r="AK127" s="36"/>
      <c r="AL127" s="36"/>
      <c r="AM127" s="36">
        <f>SUM(AF127:AL127)+AT127+AV127+AX127</f>
        <v>0</v>
      </c>
      <c r="AN127" s="82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49"/>
      <c r="BC127" s="50">
        <v>0</v>
      </c>
      <c r="BD127" s="50"/>
      <c r="BE127" s="49"/>
      <c r="BF127" s="50"/>
    </row>
    <row r="128" spans="1:58" ht="12.95" customHeight="1">
      <c r="A128" s="39"/>
      <c r="B128" s="40"/>
      <c r="C128" s="413"/>
      <c r="D128" s="40"/>
      <c r="E128" s="41"/>
      <c r="F128" s="41"/>
      <c r="G128" s="42"/>
      <c r="H128" s="43"/>
      <c r="I128" s="44"/>
      <c r="J128" s="81"/>
      <c r="K128" s="81"/>
      <c r="L128" s="34"/>
      <c r="M128" s="34"/>
      <c r="N128" s="45"/>
      <c r="O128" s="46"/>
      <c r="P128" s="47"/>
      <c r="Q128" s="46"/>
      <c r="R128" s="499"/>
      <c r="S128" s="499"/>
      <c r="T128" s="36"/>
      <c r="U128" s="36"/>
      <c r="V128" s="36"/>
      <c r="W128" s="36"/>
      <c r="X128" s="37"/>
      <c r="Y128" s="210"/>
      <c r="Z128" s="36"/>
      <c r="AA128" s="36"/>
      <c r="AB128" s="36"/>
      <c r="AC128" s="36"/>
      <c r="AD128" s="36">
        <f>+AM128+BA128</f>
        <v>45</v>
      </c>
      <c r="AE128" s="229" t="s">
        <v>667</v>
      </c>
      <c r="AF128" s="32"/>
      <c r="AG128" s="32"/>
      <c r="AH128" s="32">
        <v>45</v>
      </c>
      <c r="AJ128" s="36"/>
      <c r="AK128" s="36"/>
      <c r="AL128" s="36"/>
      <c r="AM128" s="36">
        <f>SUM(AF128:AL128)+AT128+AV128+AX128</f>
        <v>45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02"/>
      <c r="BD128" s="502"/>
      <c r="BE128" s="32"/>
      <c r="BF128" s="502"/>
    </row>
    <row r="129" spans="1:58" ht="16.5" customHeight="1">
      <c r="A129" s="39"/>
      <c r="B129" s="40"/>
      <c r="C129" s="413"/>
      <c r="D129" s="40"/>
      <c r="E129" s="41"/>
      <c r="F129" s="41"/>
      <c r="G129" s="498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499"/>
      <c r="S129" s="499"/>
      <c r="T129" s="36"/>
      <c r="U129" s="36"/>
      <c r="V129" s="36"/>
      <c r="W129" s="36"/>
      <c r="X129" s="500"/>
      <c r="Y129" s="210"/>
      <c r="Z129" s="36"/>
      <c r="AA129" s="48"/>
      <c r="AB129" s="48"/>
      <c r="AC129" s="36"/>
      <c r="AD129" s="36"/>
      <c r="AE129" s="229"/>
      <c r="AF129" s="36"/>
      <c r="AG129" s="36"/>
      <c r="AH129" s="36"/>
      <c r="AI129" s="501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2"/>
      <c r="BC129" s="50"/>
      <c r="BD129" s="50"/>
      <c r="BE129" s="50"/>
      <c r="BF129" s="50"/>
    </row>
    <row r="130" spans="1:58" ht="12" customHeight="1">
      <c r="A130" s="39">
        <v>46387</v>
      </c>
      <c r="B130" s="40" t="s">
        <v>464</v>
      </c>
      <c r="C130" s="413">
        <f>(M130*E130*O130*Q130)/100000000</f>
        <v>43.042069824000009</v>
      </c>
      <c r="D130" s="40" t="s">
        <v>302</v>
      </c>
      <c r="E130" s="41">
        <v>13</v>
      </c>
      <c r="F130" s="41">
        <v>1</v>
      </c>
      <c r="G130" s="498">
        <f>+L130</f>
        <v>1172.6111111111111</v>
      </c>
      <c r="H130" s="43">
        <v>0.24</v>
      </c>
      <c r="I130" s="44">
        <v>0.88</v>
      </c>
      <c r="J130" s="81">
        <f>E130*G130*(1-H130)*1440/1000000*2.74</f>
        <v>45.711345471999998</v>
      </c>
      <c r="K130" s="81">
        <f>(IF(G130&lt;L130,L130,G130)*(1-IF(H130&lt;N130,H130,N130))*E130*O130*Q130)/100000000</f>
        <v>43.042069824000009</v>
      </c>
      <c r="L130" s="34">
        <v>1172.6111111111111</v>
      </c>
      <c r="M130" s="34">
        <v>891.18444444444447</v>
      </c>
      <c r="N130" s="45">
        <f>1-(M130/L130)</f>
        <v>0.24</v>
      </c>
      <c r="O130" s="46">
        <f>+'Trim Rwd'!H92</f>
        <v>258</v>
      </c>
      <c r="P130" s="47">
        <f>O130*(Q130-R130-S130)</f>
        <v>354750</v>
      </c>
      <c r="Q130" s="46">
        <v>1440</v>
      </c>
      <c r="R130" s="499">
        <v>0</v>
      </c>
      <c r="S130" s="499">
        <v>65</v>
      </c>
      <c r="T130" s="36">
        <f>E130*M130*O130*Q130/100000000</f>
        <v>43.042069824000009</v>
      </c>
      <c r="U130" s="36">
        <f>E130*M130*O130*(Q130-R130-S130)/100000000</f>
        <v>41.099198616666669</v>
      </c>
      <c r="V130" s="36">
        <f>E130*G130*(1-N130)*O130/100*(R130+S130)/1000000</f>
        <v>1.9428712073333332</v>
      </c>
      <c r="W130" s="36">
        <f>+'31'!K10/1000</f>
        <v>40.225999999999999</v>
      </c>
      <c r="X130" s="500">
        <f>SUM(W130:W133)/SUM(K130:K133)</f>
        <v>0.93457401478332747</v>
      </c>
      <c r="Y130" s="210">
        <f>+SUM(RBP!AG3:AG4)</f>
        <v>3.52</v>
      </c>
      <c r="Z130" s="36">
        <f>+'31'!D7/1000</f>
        <v>0.26</v>
      </c>
      <c r="AA130" s="48">
        <f>SUM(U130:U133)-SUM(W130:W133)-SUM(Z130:Z133)-SUM(Y130:Y133)</f>
        <v>-2.9068013833333302</v>
      </c>
      <c r="AB130" s="48">
        <f>(SUM(K130:K133)-SUM(W130:W133)-SUM(Y130:Y133)-SUM(Z130:Z133)-SUM(AC130:AC133)-SUM(V130:V133))-AA130</f>
        <v>7.1054273576010019E-15</v>
      </c>
      <c r="AC130" s="36">
        <f>K130-T130</f>
        <v>0</v>
      </c>
      <c r="AD130" s="36">
        <f>+AM130+BA130</f>
        <v>15</v>
      </c>
      <c r="AE130" s="229" t="s">
        <v>442</v>
      </c>
      <c r="AF130" s="36">
        <v>15</v>
      </c>
      <c r="AG130" s="36"/>
      <c r="AH130" s="36"/>
      <c r="AI130" s="501"/>
      <c r="AJ130" s="36"/>
      <c r="AK130" s="36"/>
      <c r="AL130" s="36"/>
      <c r="AM130" s="36">
        <f>SUM(AF130:AL130)+AT130+AV130+AX130</f>
        <v>15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32">
        <v>6</v>
      </c>
      <c r="BC130" s="50"/>
      <c r="BD130" s="50"/>
      <c r="BE130" s="32"/>
      <c r="BF130" s="50"/>
    </row>
    <row r="131" spans="1:58" ht="12.95" customHeight="1">
      <c r="A131" s="39"/>
      <c r="B131" s="40"/>
      <c r="C131" s="413"/>
      <c r="D131" s="40"/>
      <c r="E131" s="41"/>
      <c r="F131" s="41"/>
      <c r="G131" s="498"/>
      <c r="H131" s="43"/>
      <c r="I131" s="44"/>
      <c r="J131" s="81"/>
      <c r="K131" s="81"/>
      <c r="L131" s="34"/>
      <c r="M131" s="34"/>
      <c r="N131" s="45"/>
      <c r="O131" s="46"/>
      <c r="P131" s="47"/>
      <c r="Q131" s="46"/>
      <c r="R131" s="499"/>
      <c r="S131" s="499"/>
      <c r="T131" s="36"/>
      <c r="U131" s="36"/>
      <c r="V131" s="36"/>
      <c r="W131" s="36"/>
      <c r="X131" s="37"/>
      <c r="Y131" s="210"/>
      <c r="Z131" s="36"/>
      <c r="AA131" s="36"/>
      <c r="AB131" s="36"/>
      <c r="AC131" s="36"/>
      <c r="AD131" s="36">
        <f>+AM131+BA131</f>
        <v>8</v>
      </c>
      <c r="AE131" s="229" t="s">
        <v>407</v>
      </c>
      <c r="AF131" s="36"/>
      <c r="AG131" s="36">
        <v>8</v>
      </c>
      <c r="AH131" s="36"/>
      <c r="AI131" s="501"/>
      <c r="AJ131" s="36"/>
      <c r="AK131" s="36"/>
      <c r="AL131" s="36"/>
      <c r="AM131" s="36">
        <f>SUM(AF131:AL131)+AT131+AV131+AX131</f>
        <v>8</v>
      </c>
      <c r="AN131" s="82"/>
      <c r="AO131" s="36"/>
      <c r="AP131" s="36"/>
      <c r="AQ131" s="36"/>
      <c r="AR131" s="36">
        <f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49"/>
      <c r="BC131" s="50">
        <v>4</v>
      </c>
      <c r="BD131" s="50"/>
      <c r="BE131" s="49"/>
      <c r="BF131" s="50"/>
    </row>
    <row r="132" spans="1:58" ht="12.95" customHeight="1">
      <c r="A132" s="39"/>
      <c r="B132" s="40"/>
      <c r="C132" s="413"/>
      <c r="D132" s="40"/>
      <c r="E132" s="41"/>
      <c r="F132" s="41"/>
      <c r="G132" s="42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499"/>
      <c r="S132" s="499"/>
      <c r="T132" s="36"/>
      <c r="U132" s="36"/>
      <c r="V132" s="36"/>
      <c r="W132" s="36"/>
      <c r="X132" s="37"/>
      <c r="Y132" s="210"/>
      <c r="Z132" s="36"/>
      <c r="AA132" s="36"/>
      <c r="AB132" s="36"/>
      <c r="AC132" s="36"/>
      <c r="AD132" s="36">
        <f>+AM132+BA132</f>
        <v>42</v>
      </c>
      <c r="AE132" s="229" t="s">
        <v>428</v>
      </c>
      <c r="AF132" s="32"/>
      <c r="AG132" s="32"/>
      <c r="AH132" s="32">
        <v>42</v>
      </c>
      <c r="AJ132" s="36"/>
      <c r="AK132" s="36"/>
      <c r="AL132" s="36"/>
      <c r="AM132" s="36">
        <f>SUM(AF132:AL132)+AT132+AV132+AX132</f>
        <v>42</v>
      </c>
      <c r="AN132" s="36"/>
      <c r="AO132" s="36"/>
      <c r="AP132" s="36"/>
      <c r="AQ132" s="36"/>
      <c r="AR132" s="36">
        <f>SUM(AN132:AQ132)</f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/>
      <c r="BC132" s="502"/>
      <c r="BD132" s="502"/>
      <c r="BE132" s="32"/>
      <c r="BF132" s="502"/>
    </row>
    <row r="133" spans="1:58" ht="16.5" customHeight="1">
      <c r="A133" s="39"/>
      <c r="B133" s="40"/>
      <c r="C133" s="413"/>
      <c r="D133" s="40"/>
      <c r="E133" s="41"/>
      <c r="F133" s="41"/>
      <c r="G133" s="498"/>
      <c r="H133" s="43"/>
      <c r="I133" s="44"/>
      <c r="J133" s="81"/>
      <c r="K133" s="81"/>
      <c r="L133" s="34"/>
      <c r="M133" s="34"/>
      <c r="N133" s="45"/>
      <c r="O133" s="46"/>
      <c r="P133" s="47"/>
      <c r="Q133" s="46"/>
      <c r="R133" s="499"/>
      <c r="S133" s="499"/>
      <c r="T133" s="36"/>
      <c r="U133" s="36"/>
      <c r="V133" s="36"/>
      <c r="W133" s="36"/>
      <c r="X133" s="500"/>
      <c r="Y133" s="210"/>
      <c r="Z133" s="36"/>
      <c r="AA133" s="48"/>
      <c r="AB133" s="48"/>
      <c r="AC133" s="36"/>
      <c r="AD133" s="36"/>
      <c r="AE133" s="229"/>
      <c r="AF133" s="36"/>
      <c r="AG133" s="36"/>
      <c r="AH133" s="36"/>
      <c r="AI133" s="501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2"/>
      <c r="BC133" s="50"/>
      <c r="BD133" s="502"/>
      <c r="BE133" s="32"/>
      <c r="BF133" s="502"/>
    </row>
    <row r="134" spans="1:58">
      <c r="R134" s="503"/>
      <c r="S134" s="503"/>
      <c r="AA134" s="246">
        <f>U134-W134-Z134</f>
        <v>0</v>
      </c>
      <c r="AB134" s="246"/>
      <c r="AC134" s="247">
        <f>K134-T134</f>
        <v>0</v>
      </c>
      <c r="AD134" s="36"/>
      <c r="AF134" s="51"/>
      <c r="AG134" s="51"/>
      <c r="AH134" s="51"/>
      <c r="AI134" s="51"/>
      <c r="AJ134" s="51"/>
      <c r="AK134" s="51"/>
      <c r="AL134" s="51"/>
      <c r="AM134" s="36">
        <f t="shared" ref="AM134" si="1">SUM(AF134:AL134)</f>
        <v>0</v>
      </c>
      <c r="AN134" s="51"/>
      <c r="AO134" s="51"/>
      <c r="AP134" s="51"/>
      <c r="AQ134" s="51"/>
      <c r="AR134" s="36">
        <f t="shared" ref="AR134" si="2">SUM(AN134:AQ134)</f>
        <v>0</v>
      </c>
      <c r="AS134" s="51"/>
      <c r="AT134" s="51"/>
      <c r="AU134" s="51"/>
      <c r="AV134" s="51"/>
      <c r="AW134" s="51"/>
      <c r="AX134" s="51"/>
      <c r="AY134" s="51"/>
      <c r="AZ134" s="51"/>
      <c r="BA134" s="36"/>
      <c r="BB134" s="32"/>
      <c r="BC134" s="50"/>
      <c r="BD134" s="50"/>
      <c r="BE134" s="50"/>
      <c r="BF134" s="50"/>
    </row>
    <row r="135" spans="1:58" s="26" customFormat="1" ht="12.95" customHeight="1">
      <c r="A135" s="55"/>
      <c r="B135" s="56"/>
      <c r="C135" s="414">
        <f>SUM(C6:C133)</f>
        <v>1322.1829234940601</v>
      </c>
      <c r="D135" s="56"/>
      <c r="E135" s="57"/>
      <c r="F135" s="57"/>
      <c r="G135" s="58"/>
      <c r="H135" s="58"/>
      <c r="I135" s="59">
        <v>0.85</v>
      </c>
      <c r="J135" s="81"/>
      <c r="K135" s="83">
        <f>SUM(K6:K133)</f>
        <v>1338.5638624724063</v>
      </c>
      <c r="L135" s="61"/>
      <c r="M135" s="61"/>
      <c r="N135" s="62"/>
      <c r="O135" s="63">
        <f>P135/(Q135-R135-S135)</f>
        <v>258.58717684212269</v>
      </c>
      <c r="P135" s="60">
        <f>SUM(P6:P133)</f>
        <v>10818253.130367044</v>
      </c>
      <c r="Q135" s="332">
        <f>SUM(Q6:Q134)</f>
        <v>44640</v>
      </c>
      <c r="R135" s="60">
        <f t="shared" ref="R135:W135" si="3">SUM(R6:R133)</f>
        <v>721</v>
      </c>
      <c r="S135" s="60">
        <f t="shared" si="3"/>
        <v>2083</v>
      </c>
      <c r="T135" s="60">
        <f t="shared" si="3"/>
        <v>1322.1829234940601</v>
      </c>
      <c r="U135" s="60">
        <f t="shared" si="3"/>
        <v>1238.3510437672928</v>
      </c>
      <c r="V135" s="356">
        <f t="shared" si="3"/>
        <v>84.610836393091915</v>
      </c>
      <c r="W135" s="445">
        <f t="shared" si="3"/>
        <v>1188.8969999999995</v>
      </c>
      <c r="X135" s="494">
        <f>W135/K135</f>
        <v>0.88818847821278901</v>
      </c>
      <c r="Y135" s="357">
        <f>SUM(Y6:Y133)</f>
        <v>3.52</v>
      </c>
      <c r="Z135" s="445">
        <f>SUM(Z6:Z133)</f>
        <v>4.7749999999999995</v>
      </c>
      <c r="AA135" s="60">
        <f>SUM(AA6:AA133)</f>
        <v>41.1590437672928</v>
      </c>
      <c r="AB135" s="60">
        <f>SUM(AB6:AB133)</f>
        <v>-0.77895666632450811</v>
      </c>
      <c r="AC135" s="60">
        <f>SUM(AC6:AC133)</f>
        <v>16.380938978346077</v>
      </c>
      <c r="AD135" s="36">
        <f>SUM(AD6:AD134)</f>
        <v>2804</v>
      </c>
      <c r="AE135" s="64"/>
      <c r="AF135" s="60">
        <f t="shared" ref="AF135:BF135" si="4">SUM(AF6:AF134)</f>
        <v>506</v>
      </c>
      <c r="AG135" s="60">
        <f t="shared" si="4"/>
        <v>299</v>
      </c>
      <c r="AH135" s="60">
        <f t="shared" si="4"/>
        <v>1278</v>
      </c>
      <c r="AI135" s="60">
        <f t="shared" si="4"/>
        <v>0</v>
      </c>
      <c r="AJ135" s="60">
        <f t="shared" si="4"/>
        <v>0</v>
      </c>
      <c r="AK135" s="60">
        <f t="shared" si="4"/>
        <v>0</v>
      </c>
      <c r="AL135" s="60">
        <f t="shared" si="4"/>
        <v>0</v>
      </c>
      <c r="AM135" s="60">
        <f t="shared" si="4"/>
        <v>2083</v>
      </c>
      <c r="AN135" s="51">
        <f t="shared" si="4"/>
        <v>0</v>
      </c>
      <c r="AO135" s="51">
        <f t="shared" si="4"/>
        <v>481</v>
      </c>
      <c r="AP135" s="51">
        <f t="shared" si="4"/>
        <v>240</v>
      </c>
      <c r="AQ135" s="51">
        <f t="shared" si="4"/>
        <v>0</v>
      </c>
      <c r="AR135" s="60">
        <f t="shared" si="4"/>
        <v>721</v>
      </c>
      <c r="AS135" s="60">
        <f t="shared" si="4"/>
        <v>0</v>
      </c>
      <c r="AT135" s="60">
        <f t="shared" si="4"/>
        <v>0</v>
      </c>
      <c r="AU135" s="60">
        <f t="shared" si="4"/>
        <v>0</v>
      </c>
      <c r="AV135" s="60">
        <f t="shared" si="4"/>
        <v>0</v>
      </c>
      <c r="AW135" s="60">
        <f t="shared" si="4"/>
        <v>0</v>
      </c>
      <c r="AX135" s="60">
        <f t="shared" si="4"/>
        <v>0</v>
      </c>
      <c r="AY135" s="60">
        <f t="shared" si="4"/>
        <v>0</v>
      </c>
      <c r="AZ135" s="60">
        <f t="shared" si="4"/>
        <v>0</v>
      </c>
      <c r="BA135" s="60">
        <f t="shared" si="4"/>
        <v>721</v>
      </c>
      <c r="BB135" s="51">
        <f t="shared" si="4"/>
        <v>168</v>
      </c>
      <c r="BC135" s="51">
        <f t="shared" si="4"/>
        <v>162</v>
      </c>
      <c r="BD135" s="51">
        <f t="shared" si="4"/>
        <v>0</v>
      </c>
      <c r="BE135" s="51">
        <f t="shared" si="4"/>
        <v>0</v>
      </c>
      <c r="BF135" s="51">
        <f t="shared" si="4"/>
        <v>0</v>
      </c>
    </row>
    <row r="136" spans="1:58" s="26" customFormat="1" ht="12.95" customHeight="1">
      <c r="A136" s="55"/>
      <c r="B136" s="56"/>
      <c r="C136" s="56"/>
      <c r="D136" s="56"/>
      <c r="E136" s="57"/>
      <c r="F136" s="57"/>
      <c r="G136" s="58"/>
      <c r="H136" s="58"/>
      <c r="I136" s="58"/>
      <c r="J136" s="84"/>
      <c r="K136" s="84"/>
      <c r="L136" s="61"/>
      <c r="M136" s="61"/>
      <c r="N136" s="62"/>
      <c r="O136" s="674"/>
      <c r="P136" s="675"/>
      <c r="Q136" s="58">
        <f>31*1440-Q135</f>
        <v>0</v>
      </c>
      <c r="R136" s="65">
        <f>R135/Q135</f>
        <v>1.6151433691756274E-2</v>
      </c>
      <c r="S136" s="65">
        <f>S135/Q135</f>
        <v>4.6662186379928312E-2</v>
      </c>
      <c r="T136" s="343"/>
      <c r="U136" s="343"/>
      <c r="V136" s="345">
        <f>V135/K135</f>
        <v>6.3210160355599856E-2</v>
      </c>
      <c r="W136" s="361" t="s">
        <v>169</v>
      </c>
      <c r="X136" s="495">
        <v>0.85</v>
      </c>
      <c r="Y136" s="358">
        <f>Y135/K135</f>
        <v>2.6296840208268829E-3</v>
      </c>
      <c r="Z136" s="66">
        <f>Z135/K135</f>
        <v>3.5672560225705578E-3</v>
      </c>
      <c r="AA136" s="66">
        <f>AA135/K135</f>
        <v>3.0748659007773915E-2</v>
      </c>
      <c r="AB136" s="66">
        <f>AB135/K135</f>
        <v>-5.8193463021310706E-4</v>
      </c>
      <c r="AC136" s="496">
        <f>AC135/K135</f>
        <v>1.2237697010652535E-2</v>
      </c>
      <c r="AD136" s="346"/>
      <c r="AE136" s="38"/>
      <c r="AF136" s="66">
        <f>AF135/$AD$135*$V$136</f>
        <v>1.1406683716096122E-2</v>
      </c>
      <c r="AG136" s="66">
        <f>AG135/$AD$135*$V$136</f>
        <v>6.7403131049658905E-3</v>
      </c>
      <c r="AH136" s="66">
        <f>AH135/$AD$135*$V$136</f>
        <v>2.8809766381760561E-2</v>
      </c>
      <c r="AI136" s="66">
        <f>AI135/$AD$135*$V$136</f>
        <v>0</v>
      </c>
      <c r="AJ136" s="66">
        <f t="shared" ref="AJ136:BA136" si="5">AJ135/$AD$135*$V$136</f>
        <v>0</v>
      </c>
      <c r="AK136" s="66">
        <f t="shared" si="5"/>
        <v>0</v>
      </c>
      <c r="AL136" s="66">
        <f t="shared" si="5"/>
        <v>0</v>
      </c>
      <c r="AM136" s="66">
        <f t="shared" si="5"/>
        <v>4.695676320282257E-2</v>
      </c>
      <c r="AN136" s="66">
        <f t="shared" si="5"/>
        <v>0</v>
      </c>
      <c r="AO136" s="66">
        <f t="shared" si="5"/>
        <v>1.0843112386249477E-2</v>
      </c>
      <c r="AP136" s="66">
        <f t="shared" si="5"/>
        <v>5.4102847665278052E-3</v>
      </c>
      <c r="AQ136" s="66">
        <f t="shared" si="5"/>
        <v>0</v>
      </c>
      <c r="AR136" s="66">
        <f t="shared" si="5"/>
        <v>1.625339715277728E-2</v>
      </c>
      <c r="AS136" s="66">
        <f t="shared" si="5"/>
        <v>0</v>
      </c>
      <c r="AT136" s="66">
        <f t="shared" si="5"/>
        <v>0</v>
      </c>
      <c r="AU136" s="66">
        <f t="shared" si="5"/>
        <v>0</v>
      </c>
      <c r="AV136" s="66">
        <f>AV135/$AD$135*$V$136</f>
        <v>0</v>
      </c>
      <c r="AW136" s="66">
        <f>AW135/$AD$135*$V$136</f>
        <v>0</v>
      </c>
      <c r="AX136" s="66">
        <f>AX135/$AD$135*$V$136</f>
        <v>0</v>
      </c>
      <c r="AY136" s="66">
        <f>AY135/$AD$135*$V$136</f>
        <v>0</v>
      </c>
      <c r="AZ136" s="66">
        <f>AZ135/$AD$135*$V$136</f>
        <v>0</v>
      </c>
      <c r="BA136" s="66">
        <f t="shared" si="5"/>
        <v>1.625339715277728E-2</v>
      </c>
      <c r="BB136" s="33" t="s">
        <v>168</v>
      </c>
      <c r="BC136" s="33" t="s">
        <v>168</v>
      </c>
      <c r="BD136" s="33" t="s">
        <v>397</v>
      </c>
      <c r="BE136" s="33" t="s">
        <v>397</v>
      </c>
      <c r="BF136" s="33" t="s">
        <v>397</v>
      </c>
    </row>
    <row r="137" spans="1:58" ht="12.95" customHeight="1">
      <c r="A137" s="55"/>
      <c r="B137" s="56"/>
      <c r="C137" s="56"/>
      <c r="D137" s="56"/>
      <c r="E137" s="57"/>
      <c r="F137" s="57"/>
      <c r="G137" s="33"/>
      <c r="H137" s="33"/>
      <c r="I137" s="33"/>
      <c r="J137" s="81"/>
      <c r="K137" s="81"/>
      <c r="L137" s="34"/>
      <c r="M137" s="34"/>
      <c r="N137" s="32"/>
      <c r="O137" s="35"/>
      <c r="P137" s="27"/>
      <c r="Q137" s="33"/>
      <c r="R137" s="36">
        <f>R135-(BA135)</f>
        <v>0</v>
      </c>
      <c r="S137" s="36">
        <f>S135-SUM(AF135:AL135)</f>
        <v>0</v>
      </c>
      <c r="T137" s="32"/>
      <c r="U137" s="32"/>
      <c r="V137" s="32"/>
      <c r="W137" s="359"/>
      <c r="X137" s="360"/>
      <c r="Y137" s="67">
        <f>+Y135-(SUM(RBP!AG3:AG4))</f>
        <v>0</v>
      </c>
      <c r="Z137" s="36"/>
      <c r="AA137" s="32"/>
      <c r="AB137" s="32"/>
      <c r="AC137" s="32"/>
      <c r="AD137" s="32"/>
      <c r="AE137" s="38"/>
      <c r="AF137" s="333"/>
      <c r="AG137" s="333"/>
      <c r="AH137" s="333"/>
      <c r="AI137" s="333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504">
        <f>BB135/($Q$135/1440)/2</f>
        <v>2.7096774193548385</v>
      </c>
      <c r="BC137" s="504">
        <f>BC135/($Q$135/1440)/2</f>
        <v>2.6129032258064515</v>
      </c>
      <c r="BD137" s="504">
        <f>BD135/($Q$135/1440)</f>
        <v>0</v>
      </c>
      <c r="BE137" s="504">
        <f>BE135/($Q$135/1440)</f>
        <v>0</v>
      </c>
      <c r="BF137" s="504">
        <f>BF135/($Q$135/1440)</f>
        <v>0</v>
      </c>
    </row>
    <row r="138" spans="1:58">
      <c r="A138" s="68"/>
      <c r="B138" s="69"/>
      <c r="C138" s="69"/>
      <c r="D138" s="69"/>
      <c r="E138" s="70"/>
      <c r="F138" s="70"/>
      <c r="G138" s="71"/>
      <c r="H138" s="71"/>
      <c r="I138" s="71"/>
      <c r="J138" s="85"/>
      <c r="K138" s="85"/>
      <c r="O138" s="72"/>
      <c r="P138" s="73"/>
      <c r="Q138" s="71"/>
      <c r="R138" s="52"/>
      <c r="S138" s="52"/>
      <c r="U138" s="74"/>
      <c r="V138" s="74"/>
      <c r="W138" s="75" t="s">
        <v>119</v>
      </c>
      <c r="X138" s="497">
        <f>W135/U135</f>
        <v>0.96006460040858443</v>
      </c>
      <c r="Y138" s="497"/>
      <c r="Z138" s="52"/>
      <c r="AD138" s="82"/>
      <c r="AE138" s="77"/>
      <c r="AF138" s="78"/>
      <c r="AG138" s="78"/>
      <c r="AH138" s="78"/>
      <c r="AI138" s="78"/>
      <c r="AJ138" s="78"/>
      <c r="AK138" s="78"/>
      <c r="AL138" s="78"/>
      <c r="AM138" s="78"/>
      <c r="AN138" s="76"/>
      <c r="AO138" s="76"/>
      <c r="AP138" s="76"/>
      <c r="AQ138" s="76"/>
      <c r="AR138" s="76"/>
      <c r="AS138" s="78"/>
      <c r="AT138" s="78"/>
      <c r="AU138" s="78"/>
      <c r="AV138" s="78"/>
      <c r="AW138" s="78"/>
      <c r="AX138" s="78"/>
      <c r="AY138" s="78"/>
      <c r="AZ138" s="78"/>
      <c r="BA138" s="76"/>
      <c r="BB138" s="26"/>
      <c r="BC138" s="76"/>
      <c r="BD138" s="76"/>
      <c r="BE138" s="26"/>
      <c r="BF138" s="76"/>
    </row>
    <row r="139" spans="1:58">
      <c r="A139" s="68"/>
      <c r="B139" s="69"/>
      <c r="C139" s="69"/>
      <c r="D139" s="69"/>
      <c r="E139" s="70"/>
      <c r="F139" s="70"/>
      <c r="G139" s="71"/>
      <c r="H139" s="71"/>
      <c r="I139" s="71"/>
      <c r="J139" s="85"/>
      <c r="K139" s="85"/>
      <c r="O139" s="72"/>
      <c r="P139" s="73"/>
      <c r="Q139" s="71"/>
      <c r="R139" s="52"/>
      <c r="S139" s="52"/>
      <c r="U139" s="74"/>
      <c r="V139" s="74"/>
      <c r="W139" s="75"/>
      <c r="X139" s="76"/>
      <c r="Y139" s="76"/>
      <c r="Z139" s="52"/>
      <c r="AA139" s="88"/>
      <c r="AB139" s="88"/>
      <c r="AD139" s="82"/>
      <c r="AE139" s="77"/>
      <c r="AF139" s="78"/>
      <c r="AG139" s="78"/>
      <c r="AH139" s="78"/>
      <c r="AI139" s="78"/>
      <c r="AJ139" s="78"/>
      <c r="AK139" s="78"/>
      <c r="AL139" s="78"/>
      <c r="AM139" s="78"/>
      <c r="AN139" s="78"/>
      <c r="AO139" s="76"/>
      <c r="AP139" s="76"/>
      <c r="AQ139" s="76"/>
      <c r="AR139" s="78"/>
      <c r="AS139" s="76"/>
      <c r="AT139" s="76"/>
      <c r="AU139" s="76"/>
      <c r="AV139" s="76"/>
      <c r="AW139" s="76"/>
      <c r="AX139" s="76"/>
      <c r="AY139" s="76"/>
      <c r="AZ139" s="76"/>
      <c r="BA139" s="76"/>
      <c r="BB139" s="26"/>
      <c r="BC139" s="76"/>
      <c r="BD139" s="76"/>
      <c r="BE139" s="26"/>
      <c r="BF139" s="76"/>
    </row>
    <row r="140" spans="1:58">
      <c r="A140" s="68"/>
      <c r="B140" s="69"/>
      <c r="C140" s="69"/>
      <c r="D140" s="69"/>
      <c r="E140" s="70"/>
      <c r="F140" s="70"/>
      <c r="G140" s="71"/>
      <c r="H140" s="71"/>
      <c r="I140" s="71"/>
      <c r="J140" s="85"/>
      <c r="K140" s="85"/>
      <c r="O140" s="72"/>
      <c r="P140" s="73"/>
      <c r="Q140" s="71"/>
      <c r="R140" s="344"/>
      <c r="S140" s="52"/>
      <c r="U140" s="74"/>
      <c r="V140" s="74"/>
      <c r="W140" s="75" t="s">
        <v>143</v>
      </c>
      <c r="X140" s="333">
        <f>+W135+Y135</f>
        <v>1192.4169999999995</v>
      </c>
      <c r="Y140" s="76"/>
      <c r="Z140" s="52"/>
      <c r="AD140" s="82"/>
      <c r="AE140" s="77"/>
      <c r="AF140" s="82"/>
      <c r="AG140" s="82"/>
      <c r="AH140" s="82"/>
      <c r="AI140" s="82"/>
      <c r="AJ140" s="76"/>
      <c r="AK140" s="76"/>
      <c r="AL140" s="76"/>
      <c r="AM140" s="78"/>
      <c r="AN140" s="76"/>
      <c r="AO140" s="76"/>
      <c r="AP140" s="76"/>
      <c r="AQ140" s="76"/>
      <c r="AR140" s="78"/>
      <c r="AS140" s="76"/>
      <c r="AT140" s="76"/>
      <c r="AU140" s="76"/>
      <c r="AV140" s="76"/>
      <c r="AW140" s="76"/>
      <c r="AX140" s="76"/>
      <c r="AY140" s="76"/>
      <c r="AZ140" s="76"/>
      <c r="BA140" s="76"/>
      <c r="BB140" s="26"/>
      <c r="BC140" s="76"/>
      <c r="BD140" s="76"/>
      <c r="BE140" s="26"/>
      <c r="BF140" s="76"/>
    </row>
    <row r="141" spans="1:58">
      <c r="A141" s="68"/>
      <c r="C141" s="69" t="s">
        <v>298</v>
      </c>
      <c r="D141" s="69"/>
      <c r="E141" s="70"/>
      <c r="F141" s="70"/>
      <c r="G141" s="71"/>
      <c r="H141" s="71"/>
      <c r="I141" s="71"/>
      <c r="J141" s="85"/>
      <c r="K141" s="85"/>
      <c r="O141" s="72"/>
      <c r="P141" s="73"/>
      <c r="Q141" s="71"/>
      <c r="R141" s="344"/>
      <c r="S141" s="52"/>
      <c r="U141" s="74"/>
      <c r="V141" s="354"/>
      <c r="W141" s="355"/>
      <c r="X141" s="349"/>
      <c r="Y141" s="355"/>
      <c r="Z141" s="349"/>
      <c r="AD141" s="342"/>
      <c r="AE141" s="77"/>
      <c r="AF141" s="342"/>
      <c r="AG141" s="342"/>
      <c r="AH141" s="342"/>
      <c r="AI141" s="342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26"/>
      <c r="BC141" s="76"/>
      <c r="BD141" s="76"/>
      <c r="BE141" s="26"/>
      <c r="BF141" s="76"/>
    </row>
    <row r="142" spans="1:58">
      <c r="A142" s="68"/>
      <c r="B142" s="69"/>
      <c r="C142" s="69" t="s">
        <v>299</v>
      </c>
      <c r="D142" s="69"/>
      <c r="E142" s="70"/>
      <c r="F142" s="70"/>
      <c r="G142" s="71"/>
      <c r="H142" s="71"/>
      <c r="I142" s="71"/>
      <c r="J142" s="85"/>
      <c r="K142" s="85"/>
      <c r="O142" s="72"/>
      <c r="P142" s="73"/>
      <c r="Q142" s="71"/>
      <c r="R142" s="344"/>
      <c r="S142" s="52"/>
      <c r="V142" s="347"/>
      <c r="W142" s="348" t="s">
        <v>305</v>
      </c>
      <c r="X142" s="347"/>
      <c r="Y142" s="347"/>
      <c r="Z142" s="349"/>
      <c r="AE142" s="77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26"/>
      <c r="BE142" s="26"/>
    </row>
    <row r="143" spans="1:58">
      <c r="A143" s="68"/>
      <c r="B143" s="69"/>
      <c r="C143" s="69"/>
      <c r="D143" s="69"/>
      <c r="E143" s="70"/>
      <c r="F143" s="70"/>
      <c r="G143" s="71"/>
      <c r="H143" s="71"/>
      <c r="I143" s="71"/>
      <c r="J143" s="85"/>
      <c r="K143" s="85"/>
      <c r="O143" s="72"/>
      <c r="P143" s="73"/>
      <c r="Q143" s="71"/>
      <c r="R143" s="344"/>
      <c r="S143" s="52"/>
      <c r="V143" s="347"/>
      <c r="W143" s="350" t="s">
        <v>294</v>
      </c>
      <c r="X143" s="505">
        <f>Y136</f>
        <v>2.6296840208268829E-3</v>
      </c>
      <c r="Y143" s="351"/>
      <c r="Z143" s="349"/>
      <c r="AE143" s="77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26"/>
      <c r="BE143" s="26"/>
    </row>
    <row r="144" spans="1:58">
      <c r="R144" s="88"/>
      <c r="V144" s="347"/>
      <c r="W144" s="350" t="s">
        <v>148</v>
      </c>
      <c r="X144" s="353">
        <f>Z136</f>
        <v>3.5672560225705578E-3</v>
      </c>
      <c r="Y144" s="352"/>
      <c r="Z144" s="347"/>
    </row>
    <row r="145" spans="18:26">
      <c r="R145" s="88"/>
      <c r="V145" s="347"/>
      <c r="W145" s="350" t="s">
        <v>149</v>
      </c>
      <c r="X145" s="353">
        <f>AC136</f>
        <v>1.2237697010652535E-2</v>
      </c>
      <c r="Y145" s="353"/>
      <c r="Z145" s="347"/>
    </row>
    <row r="146" spans="18:26">
      <c r="R146" s="88"/>
      <c r="V146" s="347"/>
      <c r="W146" s="350" t="s">
        <v>150</v>
      </c>
      <c r="X146" s="353">
        <f>AA136</f>
        <v>3.0748659007773915E-2</v>
      </c>
      <c r="Y146" s="352"/>
      <c r="Z146" s="347"/>
    </row>
    <row r="147" spans="18:26">
      <c r="V147" s="347"/>
      <c r="W147" s="350" t="s">
        <v>166</v>
      </c>
      <c r="X147" s="353">
        <f>AB136</f>
        <v>-5.8193463021310706E-4</v>
      </c>
      <c r="Y147" s="352" t="s">
        <v>164</v>
      </c>
      <c r="Z147" s="347"/>
    </row>
    <row r="148" spans="18:26">
      <c r="V148" s="347"/>
      <c r="W148" s="350" t="s">
        <v>221</v>
      </c>
      <c r="X148" s="353">
        <f>AF136</f>
        <v>1.1406683716096122E-2</v>
      </c>
      <c r="Y148" s="352"/>
      <c r="Z148" s="347"/>
    </row>
    <row r="149" spans="18:26">
      <c r="V149" s="347"/>
      <c r="W149" s="350" t="s">
        <v>222</v>
      </c>
      <c r="X149" s="353">
        <f>+AG136</f>
        <v>6.7403131049658905E-3</v>
      </c>
      <c r="Y149" s="352"/>
      <c r="Z149" s="347"/>
    </row>
    <row r="150" spans="18:26">
      <c r="V150" s="347"/>
      <c r="W150" s="350" t="s">
        <v>300</v>
      </c>
      <c r="X150" s="353">
        <f>+AH136</f>
        <v>2.8809766381760561E-2</v>
      </c>
      <c r="Y150" s="352"/>
      <c r="Z150" s="347"/>
    </row>
    <row r="151" spans="18:26">
      <c r="V151" s="347"/>
      <c r="W151" s="350" t="s">
        <v>223</v>
      </c>
      <c r="X151" s="353">
        <f>+AI136</f>
        <v>0</v>
      </c>
      <c r="Y151" s="352"/>
      <c r="Z151" s="347"/>
    </row>
    <row r="152" spans="18:26">
      <c r="V152" s="347"/>
      <c r="W152" s="350" t="s">
        <v>157</v>
      </c>
      <c r="X152" s="353">
        <f>+AJ136</f>
        <v>0</v>
      </c>
      <c r="Y152" s="352"/>
      <c r="Z152" s="347"/>
    </row>
    <row r="153" spans="18:26">
      <c r="V153" s="347"/>
      <c r="W153" s="350" t="s">
        <v>159</v>
      </c>
      <c r="X153" s="353">
        <f>+AK136</f>
        <v>0</v>
      </c>
      <c r="Y153" s="352"/>
      <c r="Z153" s="347"/>
    </row>
    <row r="154" spans="18:26">
      <c r="V154" s="347"/>
      <c r="W154" s="350" t="s">
        <v>158</v>
      </c>
      <c r="X154" s="353">
        <f>+AL136</f>
        <v>0</v>
      </c>
      <c r="Y154" s="352"/>
      <c r="Z154" s="347"/>
    </row>
    <row r="155" spans="18:26">
      <c r="V155" s="347"/>
      <c r="W155" s="350" t="s">
        <v>151</v>
      </c>
      <c r="X155" s="353">
        <f>+AN136</f>
        <v>0</v>
      </c>
      <c r="Y155" s="352"/>
      <c r="Z155" s="347"/>
    </row>
    <row r="156" spans="18:26">
      <c r="V156" s="347"/>
      <c r="W156" s="350" t="s">
        <v>161</v>
      </c>
      <c r="X156" s="353">
        <f>+AO136</f>
        <v>1.0843112386249477E-2</v>
      </c>
      <c r="Y156" s="352"/>
      <c r="Z156" s="347"/>
    </row>
    <row r="157" spans="18:26">
      <c r="V157" s="347"/>
      <c r="W157" s="350" t="s">
        <v>152</v>
      </c>
      <c r="X157" s="353">
        <f>+AP136</f>
        <v>5.4102847665278052E-3</v>
      </c>
      <c r="Y157" s="352"/>
      <c r="Z157" s="347"/>
    </row>
    <row r="158" spans="18:26">
      <c r="V158" s="347"/>
      <c r="W158" s="350" t="s">
        <v>160</v>
      </c>
      <c r="X158" s="353">
        <f>+AQ136</f>
        <v>0</v>
      </c>
      <c r="Y158" s="352"/>
      <c r="Z158" s="347"/>
    </row>
    <row r="159" spans="18:26">
      <c r="V159" s="347"/>
      <c r="W159" s="350" t="s">
        <v>163</v>
      </c>
      <c r="X159" s="353">
        <f>+AS136</f>
        <v>0</v>
      </c>
      <c r="Y159" s="352"/>
      <c r="Z159" s="347"/>
    </row>
    <row r="160" spans="18:26">
      <c r="V160" s="347"/>
      <c r="W160" s="350" t="s">
        <v>301</v>
      </c>
      <c r="X160" s="353">
        <f>+AT136</f>
        <v>0</v>
      </c>
      <c r="Y160" s="352"/>
      <c r="Z160" s="347"/>
    </row>
    <row r="161" spans="22:26">
      <c r="V161" s="347"/>
      <c r="W161" s="350" t="s">
        <v>237</v>
      </c>
      <c r="X161" s="353">
        <f>+AU136</f>
        <v>0</v>
      </c>
      <c r="Y161" s="352"/>
      <c r="Z161" s="347"/>
    </row>
    <row r="162" spans="22:26">
      <c r="V162" s="347"/>
      <c r="W162" s="350" t="s">
        <v>307</v>
      </c>
      <c r="X162" s="353">
        <f>+AW136</f>
        <v>0</v>
      </c>
      <c r="Y162" s="352"/>
      <c r="Z162" s="347"/>
    </row>
    <row r="163" spans="22:26">
      <c r="V163" s="347"/>
      <c r="W163" s="350" t="s">
        <v>308</v>
      </c>
      <c r="X163" s="353">
        <f>+AV136</f>
        <v>0</v>
      </c>
      <c r="Y163" s="352"/>
      <c r="Z163" s="347"/>
    </row>
    <row r="164" spans="22:26">
      <c r="V164" s="347"/>
      <c r="W164" s="347" t="s">
        <v>162</v>
      </c>
      <c r="X164" s="353">
        <f>+AX136+AY136</f>
        <v>0</v>
      </c>
      <c r="Y164" s="353"/>
      <c r="Z164" s="347"/>
    </row>
    <row r="165" spans="22:26">
      <c r="V165" s="347"/>
      <c r="W165" s="347" t="s">
        <v>306</v>
      </c>
      <c r="X165" s="353">
        <f>+AZ136</f>
        <v>0</v>
      </c>
      <c r="Y165" s="347"/>
      <c r="Z165" s="347"/>
    </row>
    <row r="166" spans="22:26">
      <c r="V166" s="347"/>
      <c r="W166" s="347"/>
      <c r="X166" s="518">
        <f>SUM(X143:X165)</f>
        <v>0.11181152178721064</v>
      </c>
      <c r="Y166" s="347"/>
      <c r="Z166" s="347"/>
    </row>
    <row r="169" spans="22:26">
      <c r="X169" s="88">
        <f>+X166+X135</f>
        <v>0.99999999999999967</v>
      </c>
    </row>
  </sheetData>
  <mergeCells count="50">
    <mergeCell ref="AJ4:AJ5"/>
    <mergeCell ref="V3:V5"/>
    <mergeCell ref="U3:U5"/>
    <mergeCell ref="AV3:AW3"/>
    <mergeCell ref="AX3:AY3"/>
    <mergeCell ref="AN3:AR3"/>
    <mergeCell ref="AS3:AS5"/>
    <mergeCell ref="AQ4:AQ5"/>
    <mergeCell ref="AZ3:AZ5"/>
    <mergeCell ref="O136:P136"/>
    <mergeCell ref="BA3:BA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3:A5"/>
    <mergeCell ref="B3:B5"/>
    <mergeCell ref="D3:D5"/>
    <mergeCell ref="E3:E5"/>
    <mergeCell ref="F3:F5"/>
    <mergeCell ref="G3:K4"/>
    <mergeCell ref="C3:C5"/>
    <mergeCell ref="L3:N4"/>
    <mergeCell ref="O3:O5"/>
    <mergeCell ref="R3:R5"/>
    <mergeCell ref="BD3:BD5"/>
    <mergeCell ref="BE3:BE5"/>
    <mergeCell ref="BF3:BF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B3:BB5"/>
    <mergeCell ref="BC3:BC5"/>
    <mergeCell ref="AN4:AN5"/>
    <mergeCell ref="AP4:AP5"/>
  </mergeCells>
  <phoneticPr fontId="32" type="noConversion"/>
  <conditionalFormatting sqref="B6:C6 B8:C8 B27:C27 B77:C77 C136 B10:C10 C134 B134:B136">
    <cfRule type="cellIs" dxfId="257" priority="2291" stopIfTrue="1" operator="equal">
      <formula>"Towel"</formula>
    </cfRule>
    <cfRule type="cellIs" dxfId="256" priority="2292" stopIfTrue="1" operator="equal">
      <formula>"Napkin Hs"</formula>
    </cfRule>
  </conditionalFormatting>
  <conditionalFormatting sqref="C6 C8 C27 C77 C10">
    <cfRule type="cellIs" dxfId="255" priority="2290" stopIfTrue="1" operator="equal">
      <formula>"Napkin Hs"</formula>
    </cfRule>
  </conditionalFormatting>
  <conditionalFormatting sqref="C15">
    <cfRule type="cellIs" dxfId="254" priority="1812" stopIfTrue="1" operator="equal">
      <formula>"Napkin Hs"</formula>
    </cfRule>
  </conditionalFormatting>
  <conditionalFormatting sqref="C9">
    <cfRule type="cellIs" dxfId="253" priority="1802" stopIfTrue="1" operator="equal">
      <formula>"Napkin Hs"</formula>
    </cfRule>
  </conditionalFormatting>
  <conditionalFormatting sqref="C47">
    <cfRule type="cellIs" dxfId="252" priority="1740" stopIfTrue="1" operator="equal">
      <formula>"Napkin Hs"</formula>
    </cfRule>
  </conditionalFormatting>
  <conditionalFormatting sqref="C50">
    <cfRule type="cellIs" dxfId="251" priority="1714" stopIfTrue="1" operator="equal">
      <formula>"Napkin Hs"</formula>
    </cfRule>
  </conditionalFormatting>
  <conditionalFormatting sqref="C55">
    <cfRule type="cellIs" dxfId="250" priority="1698" stopIfTrue="1" operator="equal">
      <formula>"Napkin Hs"</formula>
    </cfRule>
  </conditionalFormatting>
  <conditionalFormatting sqref="C63">
    <cfRule type="cellIs" dxfId="249" priority="1692" stopIfTrue="1" operator="equal">
      <formula>"Napkin Hs"</formula>
    </cfRule>
  </conditionalFormatting>
  <conditionalFormatting sqref="C81">
    <cfRule type="cellIs" dxfId="248" priority="1626" stopIfTrue="1" operator="equal">
      <formula>"Napkin Hs"</formula>
    </cfRule>
  </conditionalFormatting>
  <conditionalFormatting sqref="C89">
    <cfRule type="cellIs" dxfId="247" priority="1560" stopIfTrue="1" operator="equal">
      <formula>"Napkin Hs"</formula>
    </cfRule>
  </conditionalFormatting>
  <conditionalFormatting sqref="C93">
    <cfRule type="cellIs" dxfId="246" priority="1530" stopIfTrue="1" operator="equal">
      <formula>"Napkin Hs"</formula>
    </cfRule>
  </conditionalFormatting>
  <conditionalFormatting sqref="C109">
    <cfRule type="cellIs" dxfId="245" priority="1482" stopIfTrue="1" operator="equal">
      <formula>"Napkin Hs"</formula>
    </cfRule>
  </conditionalFormatting>
  <conditionalFormatting sqref="C113">
    <cfRule type="cellIs" dxfId="244" priority="1452" stopIfTrue="1" operator="equal">
      <formula>"Napkin Hs"</formula>
    </cfRule>
  </conditionalFormatting>
  <conditionalFormatting sqref="C121">
    <cfRule type="cellIs" dxfId="243" priority="1446" stopIfTrue="1" operator="equal">
      <formula>"Napkin Hs"</formula>
    </cfRule>
  </conditionalFormatting>
  <conditionalFormatting sqref="C133">
    <cfRule type="cellIs" dxfId="242" priority="1368" stopIfTrue="1" operator="equal">
      <formula>"Napkin Hs"</formula>
    </cfRule>
  </conditionalFormatting>
  <conditionalFormatting sqref="C15">
    <cfRule type="cellIs" dxfId="241" priority="1252" stopIfTrue="1" operator="equal">
      <formula>"Napkin Hs"</formula>
    </cfRule>
  </conditionalFormatting>
  <conditionalFormatting sqref="C23">
    <cfRule type="cellIs" dxfId="240" priority="1194" stopIfTrue="1" operator="equal">
      <formula>"Napkin Hs"</formula>
    </cfRule>
  </conditionalFormatting>
  <conditionalFormatting sqref="C23">
    <cfRule type="cellIs" dxfId="239" priority="1188" stopIfTrue="1" operator="equal">
      <formula>"Napkin Hs"</formula>
    </cfRule>
  </conditionalFormatting>
  <conditionalFormatting sqref="C12:C14">
    <cfRule type="cellIs" dxfId="238" priority="1076" stopIfTrue="1" operator="equal">
      <formula>"Napkin Hs"</formula>
    </cfRule>
  </conditionalFormatting>
  <conditionalFormatting sqref="C19">
    <cfRule type="cellIs" dxfId="237" priority="1066" stopIfTrue="1" operator="equal">
      <formula>"Napkin Hs"</formula>
    </cfRule>
  </conditionalFormatting>
  <conditionalFormatting sqref="C19">
    <cfRule type="cellIs" dxfId="236" priority="1060" stopIfTrue="1" operator="equal">
      <formula>"Napkin Hs"</formula>
    </cfRule>
  </conditionalFormatting>
  <conditionalFormatting sqref="C17:C18">
    <cfRule type="cellIs" dxfId="235" priority="1054" stopIfTrue="1" operator="equal">
      <formula>"Napkin Hs"</formula>
    </cfRule>
  </conditionalFormatting>
  <conditionalFormatting sqref="C16">
    <cfRule type="cellIs" dxfId="234" priority="1048" stopIfTrue="1" operator="equal">
      <formula>"Napkin Hs"</formula>
    </cfRule>
  </conditionalFormatting>
  <conditionalFormatting sqref="C22">
    <cfRule type="cellIs" dxfId="233" priority="1042" stopIfTrue="1" operator="equal">
      <formula>"Napkin Hs"</formula>
    </cfRule>
  </conditionalFormatting>
  <conditionalFormatting sqref="C20">
    <cfRule type="cellIs" dxfId="232" priority="1036" stopIfTrue="1" operator="equal">
      <formula>"Napkin Hs"</formula>
    </cfRule>
  </conditionalFormatting>
  <conditionalFormatting sqref="C21">
    <cfRule type="cellIs" dxfId="231" priority="1030" stopIfTrue="1" operator="equal">
      <formula>"Napkin Hs"</formula>
    </cfRule>
  </conditionalFormatting>
  <conditionalFormatting sqref="C25:C26">
    <cfRule type="cellIs" dxfId="230" priority="1024" stopIfTrue="1" operator="equal">
      <formula>"Napkin Hs"</formula>
    </cfRule>
  </conditionalFormatting>
  <conditionalFormatting sqref="C24">
    <cfRule type="cellIs" dxfId="229" priority="1012" stopIfTrue="1" operator="equal">
      <formula>"Napkin Hs"</formula>
    </cfRule>
  </conditionalFormatting>
  <conditionalFormatting sqref="C31">
    <cfRule type="cellIs" dxfId="228" priority="1006" stopIfTrue="1" operator="equal">
      <formula>"Napkin Hs"</formula>
    </cfRule>
  </conditionalFormatting>
  <conditionalFormatting sqref="C29:C30">
    <cfRule type="cellIs" dxfId="227" priority="1000" stopIfTrue="1" operator="equal">
      <formula>"Napkin Hs"</formula>
    </cfRule>
  </conditionalFormatting>
  <conditionalFormatting sqref="C28">
    <cfRule type="cellIs" dxfId="226" priority="994" stopIfTrue="1" operator="equal">
      <formula>"Napkin Hs"</formula>
    </cfRule>
  </conditionalFormatting>
  <conditionalFormatting sqref="C35">
    <cfRule type="cellIs" dxfId="225" priority="988" stopIfTrue="1" operator="equal">
      <formula>"Napkin Hs"</formula>
    </cfRule>
  </conditionalFormatting>
  <conditionalFormatting sqref="C33:C34">
    <cfRule type="cellIs" dxfId="224" priority="982" stopIfTrue="1" operator="equal">
      <formula>"Napkin Hs"</formula>
    </cfRule>
  </conditionalFormatting>
  <conditionalFormatting sqref="C32">
    <cfRule type="cellIs" dxfId="223" priority="976" stopIfTrue="1" operator="equal">
      <formula>"Napkin Hs"</formula>
    </cfRule>
  </conditionalFormatting>
  <conditionalFormatting sqref="C39">
    <cfRule type="cellIs" dxfId="222" priority="970" stopIfTrue="1" operator="equal">
      <formula>"Napkin Hs"</formula>
    </cfRule>
  </conditionalFormatting>
  <conditionalFormatting sqref="C36:C38">
    <cfRule type="cellIs" dxfId="221" priority="958" stopIfTrue="1" operator="equal">
      <formula>"Napkin Hs"</formula>
    </cfRule>
  </conditionalFormatting>
  <conditionalFormatting sqref="C43">
    <cfRule type="cellIs" dxfId="220" priority="952" stopIfTrue="1" operator="equal">
      <formula>"Napkin Hs"</formula>
    </cfRule>
  </conditionalFormatting>
  <conditionalFormatting sqref="C41:C42">
    <cfRule type="cellIs" dxfId="219" priority="946" stopIfTrue="1" operator="equal">
      <formula>"Napkin Hs"</formula>
    </cfRule>
  </conditionalFormatting>
  <conditionalFormatting sqref="C40">
    <cfRule type="cellIs" dxfId="218" priority="934" stopIfTrue="1" operator="equal">
      <formula>"Napkin Hs"</formula>
    </cfRule>
  </conditionalFormatting>
  <conditionalFormatting sqref="C45:C46">
    <cfRule type="cellIs" dxfId="217" priority="928" stopIfTrue="1" operator="equal">
      <formula>"Napkin Hs"</formula>
    </cfRule>
  </conditionalFormatting>
  <conditionalFormatting sqref="C44">
    <cfRule type="cellIs" dxfId="216" priority="922" stopIfTrue="1" operator="equal">
      <formula>"Napkin Hs"</formula>
    </cfRule>
  </conditionalFormatting>
  <conditionalFormatting sqref="C51">
    <cfRule type="cellIs" dxfId="215" priority="906" stopIfTrue="1" operator="equal">
      <formula>"Napkin Hs"</formula>
    </cfRule>
  </conditionalFormatting>
  <conditionalFormatting sqref="C50">
    <cfRule type="cellIs" dxfId="214" priority="894" stopIfTrue="1" operator="equal">
      <formula>"Napkin Hs"</formula>
    </cfRule>
  </conditionalFormatting>
  <conditionalFormatting sqref="C48:C49">
    <cfRule type="cellIs" dxfId="213" priority="888" stopIfTrue="1" operator="equal">
      <formula>"Napkin Hs"</formula>
    </cfRule>
  </conditionalFormatting>
  <conditionalFormatting sqref="C54">
    <cfRule type="cellIs" dxfId="212" priority="876" stopIfTrue="1" operator="equal">
      <formula>"Napkin Hs"</formula>
    </cfRule>
  </conditionalFormatting>
  <conditionalFormatting sqref="C54">
    <cfRule type="cellIs" dxfId="211" priority="870" stopIfTrue="1" operator="equal">
      <formula>"Napkin Hs"</formula>
    </cfRule>
  </conditionalFormatting>
  <conditionalFormatting sqref="C52">
    <cfRule type="cellIs" dxfId="210" priority="852" stopIfTrue="1" operator="equal">
      <formula>"Napkin Hs"</formula>
    </cfRule>
  </conditionalFormatting>
  <conditionalFormatting sqref="C53">
    <cfRule type="cellIs" dxfId="209" priority="846" stopIfTrue="1" operator="equal">
      <formula>"Napkin Hs"</formula>
    </cfRule>
  </conditionalFormatting>
  <conditionalFormatting sqref="C58">
    <cfRule type="cellIs" dxfId="208" priority="828" stopIfTrue="1" operator="equal">
      <formula>"Napkin Hs"</formula>
    </cfRule>
  </conditionalFormatting>
  <conditionalFormatting sqref="C59">
    <cfRule type="cellIs" dxfId="207" priority="822" stopIfTrue="1" operator="equal">
      <formula>"Napkin Hs"</formula>
    </cfRule>
  </conditionalFormatting>
  <conditionalFormatting sqref="C58">
    <cfRule type="cellIs" dxfId="206" priority="816" stopIfTrue="1" operator="equal">
      <formula>"Napkin Hs"</formula>
    </cfRule>
  </conditionalFormatting>
  <conditionalFormatting sqref="C57">
    <cfRule type="cellIs" dxfId="205" priority="810" stopIfTrue="1" operator="equal">
      <formula>"Napkin Hs"</formula>
    </cfRule>
  </conditionalFormatting>
  <conditionalFormatting sqref="C62">
    <cfRule type="cellIs" dxfId="204" priority="798" stopIfTrue="1" operator="equal">
      <formula>"Napkin Hs"</formula>
    </cfRule>
  </conditionalFormatting>
  <conditionalFormatting sqref="C62">
    <cfRule type="cellIs" dxfId="203" priority="792" stopIfTrue="1" operator="equal">
      <formula>"Napkin Hs"</formula>
    </cfRule>
  </conditionalFormatting>
  <conditionalFormatting sqref="C61">
    <cfRule type="cellIs" dxfId="202" priority="786" stopIfTrue="1" operator="equal">
      <formula>"Napkin Hs"</formula>
    </cfRule>
  </conditionalFormatting>
  <conditionalFormatting sqref="C56">
    <cfRule type="cellIs" dxfId="201" priority="780" stopIfTrue="1" operator="equal">
      <formula>"Napkin Hs"</formula>
    </cfRule>
  </conditionalFormatting>
  <conditionalFormatting sqref="C60">
    <cfRule type="cellIs" dxfId="200" priority="768" stopIfTrue="1" operator="equal">
      <formula>"Napkin Hs"</formula>
    </cfRule>
  </conditionalFormatting>
  <conditionalFormatting sqref="C67">
    <cfRule type="cellIs" dxfId="199" priority="762" stopIfTrue="1" operator="equal">
      <formula>"Napkin Hs"</formula>
    </cfRule>
  </conditionalFormatting>
  <conditionalFormatting sqref="C66">
    <cfRule type="cellIs" dxfId="198" priority="750" stopIfTrue="1" operator="equal">
      <formula>"Napkin Hs"</formula>
    </cfRule>
  </conditionalFormatting>
  <conditionalFormatting sqref="C66">
    <cfRule type="cellIs" dxfId="197" priority="744" stopIfTrue="1" operator="equal">
      <formula>"Napkin Hs"</formula>
    </cfRule>
  </conditionalFormatting>
  <conditionalFormatting sqref="C64:C65">
    <cfRule type="cellIs" dxfId="196" priority="726" stopIfTrue="1" operator="equal">
      <formula>"Napkin Hs"</formula>
    </cfRule>
  </conditionalFormatting>
  <conditionalFormatting sqref="C70">
    <cfRule type="cellIs" dxfId="195" priority="714" stopIfTrue="1" operator="equal">
      <formula>"Napkin Hs"</formula>
    </cfRule>
  </conditionalFormatting>
  <conditionalFormatting sqref="C70">
    <cfRule type="cellIs" dxfId="194" priority="708" stopIfTrue="1" operator="equal">
      <formula>"Napkin Hs"</formula>
    </cfRule>
  </conditionalFormatting>
  <conditionalFormatting sqref="C68">
    <cfRule type="cellIs" dxfId="193" priority="684" stopIfTrue="1" operator="equal">
      <formula>"Napkin Hs"</formula>
    </cfRule>
  </conditionalFormatting>
  <conditionalFormatting sqref="C69">
    <cfRule type="cellIs" dxfId="192" priority="672" stopIfTrue="1" operator="equal">
      <formula>"Napkin Hs"</formula>
    </cfRule>
  </conditionalFormatting>
  <conditionalFormatting sqref="C71">
    <cfRule type="cellIs" dxfId="191" priority="666" stopIfTrue="1" operator="equal">
      <formula>"Napkin Hs"</formula>
    </cfRule>
  </conditionalFormatting>
  <conditionalFormatting sqref="C75">
    <cfRule type="cellIs" dxfId="190" priority="654" stopIfTrue="1" operator="equal">
      <formula>"Napkin Hs"</formula>
    </cfRule>
  </conditionalFormatting>
  <conditionalFormatting sqref="C75">
    <cfRule type="cellIs" dxfId="189" priority="648" stopIfTrue="1" operator="equal">
      <formula>"Napkin Hs"</formula>
    </cfRule>
  </conditionalFormatting>
  <conditionalFormatting sqref="C73:C74">
    <cfRule type="cellIs" dxfId="188" priority="618" stopIfTrue="1" operator="equal">
      <formula>"Napkin Hs"</formula>
    </cfRule>
  </conditionalFormatting>
  <conditionalFormatting sqref="C76">
    <cfRule type="cellIs" dxfId="187" priority="612" stopIfTrue="1" operator="equal">
      <formula>"Napkin Hs"</formula>
    </cfRule>
  </conditionalFormatting>
  <conditionalFormatting sqref="C80">
    <cfRule type="cellIs" dxfId="186" priority="606" stopIfTrue="1" operator="equal">
      <formula>"Napkin Hs"</formula>
    </cfRule>
  </conditionalFormatting>
  <conditionalFormatting sqref="C80">
    <cfRule type="cellIs" dxfId="185" priority="600" stopIfTrue="1" operator="equal">
      <formula>"Napkin Hs"</formula>
    </cfRule>
  </conditionalFormatting>
  <conditionalFormatting sqref="C79">
    <cfRule type="cellIs" dxfId="184" priority="588" stopIfTrue="1" operator="equal">
      <formula>"Napkin Hs"</formula>
    </cfRule>
  </conditionalFormatting>
  <conditionalFormatting sqref="C78">
    <cfRule type="cellIs" dxfId="183" priority="576" stopIfTrue="1" operator="equal">
      <formula>"Napkin Hs"</formula>
    </cfRule>
  </conditionalFormatting>
  <conditionalFormatting sqref="C85">
    <cfRule type="cellIs" dxfId="182" priority="570" stopIfTrue="1" operator="equal">
      <formula>"Napkin Hs"</formula>
    </cfRule>
  </conditionalFormatting>
  <conditionalFormatting sqref="C82:C84">
    <cfRule type="cellIs" dxfId="181" priority="534" stopIfTrue="1" operator="equal">
      <formula>"Napkin Hs"</formula>
    </cfRule>
  </conditionalFormatting>
  <conditionalFormatting sqref="C88">
    <cfRule type="cellIs" dxfId="180" priority="528" stopIfTrue="1" operator="equal">
      <formula>"Napkin Hs"</formula>
    </cfRule>
  </conditionalFormatting>
  <conditionalFormatting sqref="C88">
    <cfRule type="cellIs" dxfId="179" priority="522" stopIfTrue="1" operator="equal">
      <formula>"Napkin Hs"</formula>
    </cfRule>
  </conditionalFormatting>
  <conditionalFormatting sqref="C87">
    <cfRule type="cellIs" dxfId="178" priority="510" stopIfTrue="1" operator="equal">
      <formula>"Napkin Hs"</formula>
    </cfRule>
  </conditionalFormatting>
  <conditionalFormatting sqref="C86">
    <cfRule type="cellIs" dxfId="177" priority="486" stopIfTrue="1" operator="equal">
      <formula>"Napkin Hs"</formula>
    </cfRule>
  </conditionalFormatting>
  <conditionalFormatting sqref="C92">
    <cfRule type="cellIs" dxfId="176" priority="480" stopIfTrue="1" operator="equal">
      <formula>"Napkin Hs"</formula>
    </cfRule>
  </conditionalFormatting>
  <conditionalFormatting sqref="C92">
    <cfRule type="cellIs" dxfId="175" priority="474" stopIfTrue="1" operator="equal">
      <formula>"Napkin Hs"</formula>
    </cfRule>
  </conditionalFormatting>
  <conditionalFormatting sqref="C91">
    <cfRule type="cellIs" dxfId="174" priority="462" stopIfTrue="1" operator="equal">
      <formula>"Napkin Hs"</formula>
    </cfRule>
  </conditionalFormatting>
  <conditionalFormatting sqref="C90">
    <cfRule type="cellIs" dxfId="173" priority="450" stopIfTrue="1" operator="equal">
      <formula>"Napkin Hs"</formula>
    </cfRule>
  </conditionalFormatting>
  <conditionalFormatting sqref="C96">
    <cfRule type="cellIs" dxfId="172" priority="444" stopIfTrue="1" operator="equal">
      <formula>"Napkin Hs"</formula>
    </cfRule>
  </conditionalFormatting>
  <conditionalFormatting sqref="C96">
    <cfRule type="cellIs" dxfId="171" priority="438" stopIfTrue="1" operator="equal">
      <formula>"Napkin Hs"</formula>
    </cfRule>
  </conditionalFormatting>
  <conditionalFormatting sqref="C94:C95">
    <cfRule type="cellIs" dxfId="170" priority="414" stopIfTrue="1" operator="equal">
      <formula>"Napkin Hs"</formula>
    </cfRule>
  </conditionalFormatting>
  <conditionalFormatting sqref="C100">
    <cfRule type="cellIs" dxfId="169" priority="402" stopIfTrue="1" operator="equal">
      <formula>"Napkin Hs"</formula>
    </cfRule>
  </conditionalFormatting>
  <conditionalFormatting sqref="C100">
    <cfRule type="cellIs" dxfId="168" priority="396" stopIfTrue="1" operator="equal">
      <formula>"Napkin Hs"</formula>
    </cfRule>
  </conditionalFormatting>
  <conditionalFormatting sqref="C99">
    <cfRule type="cellIs" dxfId="167" priority="384" stopIfTrue="1" operator="equal">
      <formula>"Napkin Hs"</formula>
    </cfRule>
  </conditionalFormatting>
  <conditionalFormatting sqref="C98">
    <cfRule type="cellIs" dxfId="166" priority="372" stopIfTrue="1" operator="equal">
      <formula>"Napkin Hs"</formula>
    </cfRule>
  </conditionalFormatting>
  <conditionalFormatting sqref="C104">
    <cfRule type="cellIs" dxfId="165" priority="360" stopIfTrue="1" operator="equal">
      <formula>"Napkin Hs"</formula>
    </cfRule>
  </conditionalFormatting>
  <conditionalFormatting sqref="C104">
    <cfRule type="cellIs" dxfId="164" priority="354" stopIfTrue="1" operator="equal">
      <formula>"Napkin Hs"</formula>
    </cfRule>
  </conditionalFormatting>
  <conditionalFormatting sqref="C103">
    <cfRule type="cellIs" dxfId="163" priority="342" stopIfTrue="1" operator="equal">
      <formula>"Napkin Hs"</formula>
    </cfRule>
  </conditionalFormatting>
  <conditionalFormatting sqref="C108">
    <cfRule type="cellIs" dxfId="162" priority="324" stopIfTrue="1" operator="equal">
      <formula>"Napkin Hs"</formula>
    </cfRule>
  </conditionalFormatting>
  <conditionalFormatting sqref="C108">
    <cfRule type="cellIs" dxfId="161" priority="318" stopIfTrue="1" operator="equal">
      <formula>"Napkin Hs"</formula>
    </cfRule>
  </conditionalFormatting>
  <conditionalFormatting sqref="C107">
    <cfRule type="cellIs" dxfId="160" priority="282" stopIfTrue="1" operator="equal">
      <formula>"Napkin Hs"</formula>
    </cfRule>
  </conditionalFormatting>
  <conditionalFormatting sqref="C102">
    <cfRule type="cellIs" dxfId="159" priority="270" stopIfTrue="1" operator="equal">
      <formula>"Napkin Hs"</formula>
    </cfRule>
  </conditionalFormatting>
  <conditionalFormatting sqref="C106">
    <cfRule type="cellIs" dxfId="158" priority="254" stopIfTrue="1" operator="equal">
      <formula>"Napkin Hs"</formula>
    </cfRule>
  </conditionalFormatting>
  <conditionalFormatting sqref="C112">
    <cfRule type="cellIs" dxfId="157" priority="244" stopIfTrue="1" operator="equal">
      <formula>"Napkin Hs"</formula>
    </cfRule>
  </conditionalFormatting>
  <conditionalFormatting sqref="C112">
    <cfRule type="cellIs" dxfId="156" priority="238" stopIfTrue="1" operator="equal">
      <formula>"Napkin Hs"</formula>
    </cfRule>
  </conditionalFormatting>
  <conditionalFormatting sqref="C111">
    <cfRule type="cellIs" dxfId="155" priority="226" stopIfTrue="1" operator="equal">
      <formula>"Napkin Hs"</formula>
    </cfRule>
  </conditionalFormatting>
  <conditionalFormatting sqref="C110">
    <cfRule type="cellIs" dxfId="154" priority="202" stopIfTrue="1" operator="equal">
      <formula>"Napkin Hs"</formula>
    </cfRule>
  </conditionalFormatting>
  <conditionalFormatting sqref="C117">
    <cfRule type="cellIs" dxfId="153" priority="196" stopIfTrue="1" operator="equal">
      <formula>"Napkin Hs"</formula>
    </cfRule>
  </conditionalFormatting>
  <conditionalFormatting sqref="C116">
    <cfRule type="cellIs" dxfId="152" priority="190" stopIfTrue="1" operator="equal">
      <formula>"Napkin Hs"</formula>
    </cfRule>
  </conditionalFormatting>
  <conditionalFormatting sqref="C116">
    <cfRule type="cellIs" dxfId="151" priority="184" stopIfTrue="1" operator="equal">
      <formula>"Napkin Hs"</formula>
    </cfRule>
  </conditionalFormatting>
  <conditionalFormatting sqref="C115">
    <cfRule type="cellIs" dxfId="150" priority="172" stopIfTrue="1" operator="equal">
      <formula>"Napkin Hs"</formula>
    </cfRule>
  </conditionalFormatting>
  <conditionalFormatting sqref="C114">
    <cfRule type="cellIs" dxfId="149" priority="160" stopIfTrue="1" operator="equal">
      <formula>"Napkin Hs"</formula>
    </cfRule>
  </conditionalFormatting>
  <conditionalFormatting sqref="C120">
    <cfRule type="cellIs" dxfId="148" priority="154" stopIfTrue="1" operator="equal">
      <formula>"Napkin Hs"</formula>
    </cfRule>
  </conditionalFormatting>
  <conditionalFormatting sqref="C120">
    <cfRule type="cellIs" dxfId="147" priority="148" stopIfTrue="1" operator="equal">
      <formula>"Napkin Hs"</formula>
    </cfRule>
  </conditionalFormatting>
  <conditionalFormatting sqref="C118:C119">
    <cfRule type="cellIs" dxfId="146" priority="124" stopIfTrue="1" operator="equal">
      <formula>"Napkin Hs"</formula>
    </cfRule>
  </conditionalFormatting>
  <conditionalFormatting sqref="C125">
    <cfRule type="cellIs" dxfId="145" priority="118" stopIfTrue="1" operator="equal">
      <formula>"Napkin Hs"</formula>
    </cfRule>
  </conditionalFormatting>
  <conditionalFormatting sqref="C124">
    <cfRule type="cellIs" dxfId="144" priority="112" stopIfTrue="1" operator="equal">
      <formula>"Napkin Hs"</formula>
    </cfRule>
  </conditionalFormatting>
  <conditionalFormatting sqref="C124">
    <cfRule type="cellIs" dxfId="143" priority="106" stopIfTrue="1" operator="equal">
      <formula>"Napkin Hs"</formula>
    </cfRule>
  </conditionalFormatting>
  <conditionalFormatting sqref="C122:C123">
    <cfRule type="cellIs" dxfId="142" priority="94" stopIfTrue="1" operator="equal">
      <formula>"Napkin Hs"</formula>
    </cfRule>
  </conditionalFormatting>
  <conditionalFormatting sqref="C129">
    <cfRule type="cellIs" dxfId="141" priority="88" stopIfTrue="1" operator="equal">
      <formula>"Napkin Hs"</formula>
    </cfRule>
  </conditionalFormatting>
  <conditionalFormatting sqref="C128">
    <cfRule type="cellIs" dxfId="140" priority="82" stopIfTrue="1" operator="equal">
      <formula>"Napkin Hs"</formula>
    </cfRule>
  </conditionalFormatting>
  <conditionalFormatting sqref="C128">
    <cfRule type="cellIs" dxfId="139" priority="76" stopIfTrue="1" operator="equal">
      <formula>"Napkin Hs"</formula>
    </cfRule>
  </conditionalFormatting>
  <conditionalFormatting sqref="C127">
    <cfRule type="cellIs" dxfId="138" priority="64" stopIfTrue="1" operator="equal">
      <formula>"Napkin Hs"</formula>
    </cfRule>
  </conditionalFormatting>
  <conditionalFormatting sqref="C126">
    <cfRule type="cellIs" dxfId="137" priority="52" stopIfTrue="1" operator="equal">
      <formula>"Napkin Hs"</formula>
    </cfRule>
  </conditionalFormatting>
  <conditionalFormatting sqref="C132">
    <cfRule type="cellIs" dxfId="136" priority="46" stopIfTrue="1" operator="equal">
      <formula>"Napkin Hs"</formula>
    </cfRule>
  </conditionalFormatting>
  <conditionalFormatting sqref="C132">
    <cfRule type="cellIs" dxfId="135" priority="40" stopIfTrue="1" operator="equal">
      <formula>"Napkin Hs"</formula>
    </cfRule>
  </conditionalFormatting>
  <conditionalFormatting sqref="C131">
    <cfRule type="cellIs" dxfId="134" priority="28" stopIfTrue="1" operator="equal">
      <formula>"Napkin Hs"</formula>
    </cfRule>
  </conditionalFormatting>
  <conditionalFormatting sqref="C130">
    <cfRule type="cellIs" dxfId="133" priority="4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169"/>
  <sheetViews>
    <sheetView zoomScale="90" zoomScaleNormal="90" workbookViewId="0">
      <pane xSplit="6" ySplit="6" topLeftCell="Q122" activePane="bottomRight" state="frozen"/>
      <selection pane="topRight" activeCell="F1" sqref="F1"/>
      <selection pane="bottomLeft" activeCell="A7" sqref="A7"/>
      <selection pane="bottomRight" activeCell="T143" sqref="A1:XFD1048576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0" width="10.28515625" style="82" customWidth="1"/>
    <col min="11" max="11" width="15.28515625" style="82" bestFit="1" customWidth="1"/>
    <col min="12" max="13" width="12.7109375" style="54" customWidth="1"/>
    <col min="14" max="15" width="10.28515625" style="28" customWidth="1"/>
    <col min="16" max="16" width="16.85546875" style="28" bestFit="1" customWidth="1"/>
    <col min="17" max="17" width="12.7109375" style="331" customWidth="1"/>
    <col min="18" max="18" width="10.28515625" style="28" customWidth="1"/>
    <col min="19" max="19" width="12" style="28" bestFit="1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bestFit="1" customWidth="1"/>
    <col min="45" max="16384" width="10.28515625" style="28"/>
  </cols>
  <sheetData>
    <row r="1" spans="1:58" s="21" customFormat="1" ht="15.75">
      <c r="A1" s="20" t="s">
        <v>393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44" t="s">
        <v>8</v>
      </c>
      <c r="B3" s="644" t="s">
        <v>9</v>
      </c>
      <c r="C3" s="644" t="s">
        <v>182</v>
      </c>
      <c r="D3" s="644" t="s">
        <v>91</v>
      </c>
      <c r="E3" s="644" t="s">
        <v>92</v>
      </c>
      <c r="F3" s="644" t="s">
        <v>93</v>
      </c>
      <c r="G3" s="657" t="s">
        <v>94</v>
      </c>
      <c r="H3" s="658"/>
      <c r="I3" s="658"/>
      <c r="J3" s="658"/>
      <c r="K3" s="659"/>
      <c r="L3" s="663" t="s">
        <v>95</v>
      </c>
      <c r="M3" s="664"/>
      <c r="N3" s="665"/>
      <c r="O3" s="669" t="s">
        <v>96</v>
      </c>
      <c r="P3" s="656" t="s">
        <v>108</v>
      </c>
      <c r="Q3" s="669" t="s">
        <v>97</v>
      </c>
      <c r="R3" s="642" t="s">
        <v>98</v>
      </c>
      <c r="S3" s="642" t="s">
        <v>99</v>
      </c>
      <c r="T3" s="644" t="s">
        <v>154</v>
      </c>
      <c r="U3" s="644" t="s">
        <v>153</v>
      </c>
      <c r="V3" s="644" t="s">
        <v>155</v>
      </c>
      <c r="W3" s="642" t="s">
        <v>144</v>
      </c>
      <c r="X3" s="649" t="s">
        <v>101</v>
      </c>
      <c r="Y3" s="649" t="s">
        <v>294</v>
      </c>
      <c r="Z3" s="642" t="s">
        <v>102</v>
      </c>
      <c r="AA3" s="644" t="s">
        <v>156</v>
      </c>
      <c r="AB3" s="644" t="s">
        <v>167</v>
      </c>
      <c r="AC3" s="644" t="s">
        <v>165</v>
      </c>
      <c r="AD3" s="644" t="s">
        <v>126</v>
      </c>
      <c r="AE3" s="644" t="s">
        <v>127</v>
      </c>
      <c r="AF3" s="684" t="s">
        <v>128</v>
      </c>
      <c r="AG3" s="684"/>
      <c r="AH3" s="684"/>
      <c r="AI3" s="684"/>
      <c r="AJ3" s="684"/>
      <c r="AK3" s="684"/>
      <c r="AL3" s="684"/>
      <c r="AM3" s="681" t="s">
        <v>129</v>
      </c>
      <c r="AN3" s="689" t="s">
        <v>103</v>
      </c>
      <c r="AO3" s="689"/>
      <c r="AP3" s="689"/>
      <c r="AQ3" s="689"/>
      <c r="AR3" s="689"/>
      <c r="AS3" s="690" t="s">
        <v>104</v>
      </c>
      <c r="AT3" s="677" t="s">
        <v>290</v>
      </c>
      <c r="AU3" s="678"/>
      <c r="AV3" s="685" t="s">
        <v>130</v>
      </c>
      <c r="AW3" s="686"/>
      <c r="AX3" s="687" t="s">
        <v>130</v>
      </c>
      <c r="AY3" s="688"/>
      <c r="AZ3" s="671" t="s">
        <v>306</v>
      </c>
      <c r="BA3" s="676" t="s">
        <v>105</v>
      </c>
      <c r="BB3" s="640" t="s">
        <v>106</v>
      </c>
      <c r="BC3" s="640" t="s">
        <v>107</v>
      </c>
      <c r="BD3" s="634" t="s">
        <v>394</v>
      </c>
      <c r="BE3" s="637" t="s">
        <v>395</v>
      </c>
      <c r="BF3" s="640" t="s">
        <v>396</v>
      </c>
    </row>
    <row r="4" spans="1:58" ht="12" customHeight="1">
      <c r="A4" s="645"/>
      <c r="B4" s="645"/>
      <c r="C4" s="645"/>
      <c r="D4" s="645"/>
      <c r="E4" s="645"/>
      <c r="F4" s="645"/>
      <c r="G4" s="660"/>
      <c r="H4" s="661"/>
      <c r="I4" s="661"/>
      <c r="J4" s="661"/>
      <c r="K4" s="662"/>
      <c r="L4" s="666"/>
      <c r="M4" s="667"/>
      <c r="N4" s="668"/>
      <c r="O4" s="670"/>
      <c r="P4" s="652"/>
      <c r="Q4" s="670"/>
      <c r="R4" s="643"/>
      <c r="S4" s="643"/>
      <c r="T4" s="645"/>
      <c r="U4" s="645"/>
      <c r="V4" s="645"/>
      <c r="W4" s="643"/>
      <c r="X4" s="650"/>
      <c r="Y4" s="650"/>
      <c r="Z4" s="643"/>
      <c r="AA4" s="645"/>
      <c r="AB4" s="645"/>
      <c r="AC4" s="645"/>
      <c r="AD4" s="645"/>
      <c r="AE4" s="645"/>
      <c r="AF4" s="646" t="s">
        <v>131</v>
      </c>
      <c r="AG4" s="647"/>
      <c r="AH4" s="648"/>
      <c r="AI4" s="652" t="s">
        <v>220</v>
      </c>
      <c r="AJ4" s="652" t="s">
        <v>15</v>
      </c>
      <c r="AK4" s="652" t="s">
        <v>132</v>
      </c>
      <c r="AL4" s="652" t="s">
        <v>18</v>
      </c>
      <c r="AM4" s="682"/>
      <c r="AN4" s="655" t="s">
        <v>109</v>
      </c>
      <c r="AO4" s="655" t="s">
        <v>15</v>
      </c>
      <c r="AP4" s="655" t="s">
        <v>110</v>
      </c>
      <c r="AQ4" s="655" t="s">
        <v>18</v>
      </c>
      <c r="AR4" s="676" t="s">
        <v>111</v>
      </c>
      <c r="AS4" s="690"/>
      <c r="AT4" s="679"/>
      <c r="AU4" s="680"/>
      <c r="AV4" s="512" t="s">
        <v>6</v>
      </c>
      <c r="AW4" s="512" t="s">
        <v>133</v>
      </c>
      <c r="AX4" s="513" t="s">
        <v>6</v>
      </c>
      <c r="AY4" s="514" t="s">
        <v>133</v>
      </c>
      <c r="AZ4" s="672"/>
      <c r="BA4" s="676"/>
      <c r="BB4" s="640"/>
      <c r="BC4" s="640"/>
      <c r="BD4" s="635"/>
      <c r="BE4" s="638"/>
      <c r="BF4" s="640"/>
    </row>
    <row r="5" spans="1:58" s="31" customFormat="1" ht="36">
      <c r="A5" s="645"/>
      <c r="B5" s="645"/>
      <c r="C5" s="654"/>
      <c r="D5" s="645"/>
      <c r="E5" s="645"/>
      <c r="F5" s="645"/>
      <c r="G5" s="530" t="s">
        <v>112</v>
      </c>
      <c r="H5" s="529" t="s">
        <v>113</v>
      </c>
      <c r="I5" s="29" t="s">
        <v>114</v>
      </c>
      <c r="J5" s="80" t="s">
        <v>115</v>
      </c>
      <c r="K5" s="80" t="s">
        <v>100</v>
      </c>
      <c r="L5" s="30" t="s">
        <v>116</v>
      </c>
      <c r="M5" s="30" t="s">
        <v>117</v>
      </c>
      <c r="N5" s="529" t="s">
        <v>118</v>
      </c>
      <c r="O5" s="670"/>
      <c r="P5" s="653"/>
      <c r="Q5" s="670"/>
      <c r="R5" s="643"/>
      <c r="S5" s="643"/>
      <c r="T5" s="645"/>
      <c r="U5" s="645"/>
      <c r="V5" s="645"/>
      <c r="W5" s="643"/>
      <c r="X5" s="650"/>
      <c r="Y5" s="651"/>
      <c r="Z5" s="643"/>
      <c r="AA5" s="645"/>
      <c r="AB5" s="654"/>
      <c r="AC5" s="645"/>
      <c r="AD5" s="654"/>
      <c r="AE5" s="645"/>
      <c r="AF5" s="442" t="s">
        <v>295</v>
      </c>
      <c r="AG5" s="528" t="s">
        <v>296</v>
      </c>
      <c r="AH5" s="528" t="s">
        <v>297</v>
      </c>
      <c r="AI5" s="653"/>
      <c r="AJ5" s="653"/>
      <c r="AK5" s="653"/>
      <c r="AL5" s="653"/>
      <c r="AM5" s="683"/>
      <c r="AN5" s="656"/>
      <c r="AO5" s="656"/>
      <c r="AP5" s="656"/>
      <c r="AQ5" s="656"/>
      <c r="AR5" s="642"/>
      <c r="AS5" s="691"/>
      <c r="AT5" s="531" t="s">
        <v>291</v>
      </c>
      <c r="AU5" s="531" t="s">
        <v>292</v>
      </c>
      <c r="AV5" s="515" t="s">
        <v>293</v>
      </c>
      <c r="AW5" s="515" t="s">
        <v>293</v>
      </c>
      <c r="AX5" s="513" t="s">
        <v>17</v>
      </c>
      <c r="AY5" s="513" t="s">
        <v>17</v>
      </c>
      <c r="AZ5" s="673"/>
      <c r="BA5" s="642"/>
      <c r="BB5" s="644"/>
      <c r="BC5" s="644"/>
      <c r="BD5" s="636"/>
      <c r="BE5" s="639"/>
      <c r="BF5" s="641"/>
    </row>
    <row r="6" spans="1:58" ht="12.75" customHeight="1">
      <c r="A6" s="39">
        <f>+Report1!A9</f>
        <v>45992</v>
      </c>
      <c r="B6" s="40" t="s">
        <v>7</v>
      </c>
      <c r="C6" s="413">
        <f>(M6*E6*O6*Q6)/100000000</f>
        <v>45.611265023999998</v>
      </c>
      <c r="D6" s="40" t="s">
        <v>302</v>
      </c>
      <c r="E6" s="41">
        <v>14</v>
      </c>
      <c r="F6" s="41">
        <v>1</v>
      </c>
      <c r="G6" s="498">
        <f>+L6</f>
        <v>1144.9714285714285</v>
      </c>
      <c r="H6" s="43">
        <v>0.24</v>
      </c>
      <c r="I6" s="44">
        <v>0.88</v>
      </c>
      <c r="J6" s="81">
        <f>E6*G6*(1-H6)*1440/1000000*2.74</f>
        <v>48.067256217600004</v>
      </c>
      <c r="K6" s="81">
        <f>(IF(G6&lt;L6,L6,G6)*(1-IF(H6&lt;N6,H6,N6))*E6*O6*Q6)/100000000</f>
        <v>45.611265023999998</v>
      </c>
      <c r="L6" s="34">
        <v>1144.9714285714285</v>
      </c>
      <c r="M6" s="34">
        <v>870.17828571428572</v>
      </c>
      <c r="N6" s="45">
        <f>1-(M6/L6)</f>
        <v>0.24</v>
      </c>
      <c r="O6" s="46">
        <f>+'Trim Rwd'!H4</f>
        <v>260</v>
      </c>
      <c r="P6" s="47">
        <f>O6*(Q6-R6-S6)</f>
        <v>217620</v>
      </c>
      <c r="Q6" s="46">
        <v>1440</v>
      </c>
      <c r="R6" s="499">
        <f>505+60</f>
        <v>565</v>
      </c>
      <c r="S6" s="499">
        <v>38</v>
      </c>
      <c r="T6" s="36">
        <f>E6*M6*O6*Q6/100000000</f>
        <v>45.611265023999998</v>
      </c>
      <c r="U6" s="36">
        <f>E6*M6*O6*(Q6-R6-S6)/100000000</f>
        <v>26.511547795199998</v>
      </c>
      <c r="V6" s="36">
        <f>E6*G6*(1-N6)*O6/100*(R6+S6)/1000000</f>
        <v>19.099717228799999</v>
      </c>
      <c r="W6" s="36">
        <f>+'1'!C34/1000</f>
        <v>23.289000000000001</v>
      </c>
      <c r="X6" s="500">
        <f>SUM(W6:W10)/SUM(K6:K10)</f>
        <v>0.51059754619271491</v>
      </c>
      <c r="Y6" s="210">
        <v>0</v>
      </c>
      <c r="Z6" s="36">
        <f>+'1'!D16/1000</f>
        <v>0.69199999999999995</v>
      </c>
      <c r="AA6" s="48">
        <f>SUM(U6:U10)-SUM(W6:W10)-SUM(Z6:Z10)-SUM(Y6:Y10)</f>
        <v>2.5305477951999968</v>
      </c>
      <c r="AB6" s="48">
        <f>(SUM(K6:K10)-SUM(W6:W10)-SUM(Y6:Y10)-SUM(Z6:Z10)-SUM(AC6:AC10)-SUM(V6:V10))-AA6</f>
        <v>0</v>
      </c>
      <c r="AC6" s="36">
        <f>K6-T6</f>
        <v>0</v>
      </c>
      <c r="AD6" s="36">
        <f>+AM6+BA6</f>
        <v>0</v>
      </c>
      <c r="AE6" s="229" t="s">
        <v>384</v>
      </c>
      <c r="AF6" s="36">
        <v>0</v>
      </c>
      <c r="AG6" s="36"/>
      <c r="AH6" s="36"/>
      <c r="AI6" s="501"/>
      <c r="AJ6" s="36"/>
      <c r="AK6" s="36"/>
      <c r="AL6" s="36"/>
      <c r="AM6" s="36">
        <f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0</v>
      </c>
      <c r="BC6" s="50"/>
      <c r="BD6" s="50"/>
      <c r="BE6" s="32"/>
      <c r="BF6" s="50"/>
    </row>
    <row r="7" spans="1:58" ht="12.95" customHeight="1">
      <c r="A7" s="39"/>
      <c r="B7" s="40"/>
      <c r="C7" s="413"/>
      <c r="D7" s="40"/>
      <c r="E7" s="41"/>
      <c r="F7" s="41"/>
      <c r="G7" s="498"/>
      <c r="H7" s="43"/>
      <c r="I7" s="44"/>
      <c r="J7" s="81"/>
      <c r="K7" s="81"/>
      <c r="L7" s="34"/>
      <c r="M7" s="34"/>
      <c r="N7" s="45"/>
      <c r="O7" s="46"/>
      <c r="P7" s="47"/>
      <c r="Q7" s="46"/>
      <c r="R7" s="499"/>
      <c r="S7" s="499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+AM7+BA7</f>
        <v>15</v>
      </c>
      <c r="AE7" s="229" t="s">
        <v>412</v>
      </c>
      <c r="AF7" s="36"/>
      <c r="AG7" s="36">
        <v>15</v>
      </c>
      <c r="AH7" s="36"/>
      <c r="AI7" s="501"/>
      <c r="AJ7" s="36"/>
      <c r="AK7" s="36"/>
      <c r="AL7" s="36"/>
      <c r="AM7" s="36">
        <f t="shared" ref="AM7:AM14" si="0">SUM(AF7:AL7)+AT7+AV7+AX7</f>
        <v>15</v>
      </c>
      <c r="AN7" s="82"/>
      <c r="AO7" s="36"/>
      <c r="AP7" s="36"/>
      <c r="AQ7" s="36"/>
      <c r="AR7" s="36">
        <f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9</v>
      </c>
      <c r="BD7" s="50"/>
      <c r="BE7" s="49"/>
      <c r="BF7" s="50"/>
    </row>
    <row r="8" spans="1:58" ht="12.95" customHeight="1">
      <c r="A8" s="39"/>
      <c r="B8" s="40"/>
      <c r="C8" s="413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499"/>
      <c r="S8" s="499"/>
      <c r="T8" s="36"/>
      <c r="U8" s="36"/>
      <c r="V8" s="36"/>
      <c r="W8" s="36"/>
      <c r="X8" s="37"/>
      <c r="Y8" s="210"/>
      <c r="Z8" s="36"/>
      <c r="AA8" s="36"/>
      <c r="AB8" s="36"/>
      <c r="AC8" s="36"/>
      <c r="AD8" s="36">
        <f>+AM8+BA8</f>
        <v>23</v>
      </c>
      <c r="AE8" s="229" t="s">
        <v>413</v>
      </c>
      <c r="AF8" s="32"/>
      <c r="AG8" s="32"/>
      <c r="AH8" s="32">
        <v>23</v>
      </c>
      <c r="AJ8" s="36"/>
      <c r="AK8" s="36"/>
      <c r="AL8" s="36"/>
      <c r="AM8" s="36">
        <f t="shared" si="0"/>
        <v>23</v>
      </c>
      <c r="AN8" s="36"/>
      <c r="AO8" s="36"/>
      <c r="AP8" s="36"/>
      <c r="AQ8" s="36"/>
      <c r="AR8" s="36">
        <f>SUM(AN8:AQ8)</f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02"/>
      <c r="BD8" s="502"/>
      <c r="BE8" s="32"/>
      <c r="BF8" s="502"/>
    </row>
    <row r="9" spans="1:58" ht="12.95" customHeight="1">
      <c r="A9" s="39"/>
      <c r="B9" s="40"/>
      <c r="C9" s="413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499"/>
      <c r="S9" s="499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+AM9+BA9</f>
        <v>481</v>
      </c>
      <c r="AE9" s="232" t="s">
        <v>411</v>
      </c>
      <c r="AF9" s="36"/>
      <c r="AG9" s="36"/>
      <c r="AH9" s="36"/>
      <c r="AI9" s="501">
        <v>0</v>
      </c>
      <c r="AJ9" s="36"/>
      <c r="AK9" s="36"/>
      <c r="AL9" s="36"/>
      <c r="AM9" s="36">
        <f t="shared" si="0"/>
        <v>0</v>
      </c>
      <c r="AN9" s="36"/>
      <c r="AO9" s="36">
        <v>481</v>
      </c>
      <c r="AP9" s="36"/>
      <c r="AQ9" s="36"/>
      <c r="AR9" s="36">
        <f>SUM(AN9:AQ9)</f>
        <v>481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481</v>
      </c>
      <c r="BB9" s="49"/>
      <c r="BC9" s="50"/>
      <c r="BD9" s="50"/>
      <c r="BE9" s="49"/>
      <c r="BF9" s="50"/>
    </row>
    <row r="10" spans="1:58" ht="12.95" customHeight="1">
      <c r="A10" s="39"/>
      <c r="B10" s="40"/>
      <c r="C10" s="413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499"/>
      <c r="S10" s="499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>
        <f>+AM10+BA10</f>
        <v>84</v>
      </c>
      <c r="AE10" s="232" t="s">
        <v>414</v>
      </c>
      <c r="AF10" s="36"/>
      <c r="AG10" s="36"/>
      <c r="AH10" s="36"/>
      <c r="AI10" s="501"/>
      <c r="AJ10" s="36"/>
      <c r="AK10" s="36"/>
      <c r="AL10" s="36"/>
      <c r="AM10" s="36">
        <f t="shared" si="0"/>
        <v>0</v>
      </c>
      <c r="AN10" s="36"/>
      <c r="AO10" s="36"/>
      <c r="AP10" s="36">
        <v>84</v>
      </c>
      <c r="AQ10" s="36"/>
      <c r="AR10" s="36">
        <f>SUM(AN10:AQ10)</f>
        <v>84</v>
      </c>
      <c r="AS10" s="36"/>
      <c r="AT10" s="36"/>
      <c r="AU10" s="36"/>
      <c r="AV10" s="36"/>
      <c r="AW10" s="36"/>
      <c r="AX10" s="36"/>
      <c r="AY10" s="36"/>
      <c r="AZ10" s="36"/>
      <c r="BA10" s="36">
        <f>+AR10+AS10+AU10+AW10+AY10+AZ10</f>
        <v>84</v>
      </c>
      <c r="BB10" s="49"/>
      <c r="BC10" s="50"/>
      <c r="BD10" s="50"/>
      <c r="BE10" s="32"/>
      <c r="BF10" s="50"/>
    </row>
    <row r="11" spans="1:58" ht="12.95" customHeight="1">
      <c r="A11" s="39"/>
      <c r="B11" s="40"/>
      <c r="C11" s="413"/>
      <c r="D11" s="40"/>
      <c r="E11" s="41"/>
      <c r="F11" s="41"/>
      <c r="G11" s="498"/>
      <c r="H11" s="43"/>
      <c r="I11" s="44"/>
      <c r="J11" s="81"/>
      <c r="K11" s="81"/>
      <c r="L11" s="34"/>
      <c r="M11" s="34"/>
      <c r="N11" s="45"/>
      <c r="O11" s="46"/>
      <c r="P11" s="47"/>
      <c r="Q11" s="46"/>
      <c r="R11" s="499"/>
      <c r="S11" s="499"/>
      <c r="T11" s="36"/>
      <c r="U11" s="36"/>
      <c r="V11" s="36"/>
      <c r="W11" s="36"/>
      <c r="X11" s="500"/>
      <c r="Y11" s="210"/>
      <c r="Z11" s="36"/>
      <c r="AA11" s="48"/>
      <c r="AB11" s="48"/>
      <c r="AC11" s="36"/>
      <c r="AD11" s="36"/>
      <c r="AE11" s="229"/>
      <c r="AF11" s="36"/>
      <c r="AG11" s="36"/>
      <c r="AH11" s="36"/>
      <c r="AI11" s="501"/>
      <c r="AJ11" s="36"/>
      <c r="AK11" s="36"/>
      <c r="AL11" s="36"/>
      <c r="AM11" s="36">
        <f t="shared" si="0"/>
        <v>0</v>
      </c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2"/>
      <c r="BC11" s="50"/>
      <c r="BD11" s="50"/>
      <c r="BE11" s="49"/>
      <c r="BF11" s="50"/>
    </row>
    <row r="12" spans="1:58" ht="12.75" customHeight="1">
      <c r="A12" s="39">
        <v>45993</v>
      </c>
      <c r="B12" s="40" t="s">
        <v>7</v>
      </c>
      <c r="C12" s="413">
        <f>(M12*E12*O12*Q12)/100000000</f>
        <v>8.7141599999999997</v>
      </c>
      <c r="D12" s="40" t="s">
        <v>302</v>
      </c>
      <c r="E12" s="41">
        <v>14</v>
      </c>
      <c r="F12" s="41">
        <v>1</v>
      </c>
      <c r="G12" s="498">
        <f>+L12</f>
        <v>1166.6666666666667</v>
      </c>
      <c r="H12" s="43">
        <v>0.24</v>
      </c>
      <c r="I12" s="44">
        <v>0.88</v>
      </c>
      <c r="J12" s="81">
        <f>E12*G12*(1-H12)*1440/1000000*2.74</f>
        <v>48.978048000000001</v>
      </c>
      <c r="K12" s="81">
        <f>(IF(G12&lt;L12,L12,G12)*(1-IF(H12&lt;N12,H12,N12))*E12*O12*Q12)/100000000</f>
        <v>8.7141599999999997</v>
      </c>
      <c r="L12" s="34">
        <v>1166.6666666666667</v>
      </c>
      <c r="M12" s="34">
        <v>886.66666666666663</v>
      </c>
      <c r="N12" s="45">
        <f>1-(M12/L12)</f>
        <v>0.2400000000000001</v>
      </c>
      <c r="O12" s="46">
        <f>+'Trim Rwd'!H6</f>
        <v>260</v>
      </c>
      <c r="P12" s="47">
        <f>O12*(Q12-R12-S12)</f>
        <v>65260</v>
      </c>
      <c r="Q12" s="46">
        <v>270</v>
      </c>
      <c r="R12" s="499">
        <v>0</v>
      </c>
      <c r="S12" s="499">
        <v>19</v>
      </c>
      <c r="T12" s="36">
        <f>E12*M12*O12*Q12/100000000</f>
        <v>8.7141599999999997</v>
      </c>
      <c r="U12" s="36">
        <f>E12*M12*O12*(Q12-R12-S12)/100000000</f>
        <v>8.1009413333333331</v>
      </c>
      <c r="V12" s="36">
        <f>E12*G12*(1-N12)*O12/100*(R12+S12)/1000000</f>
        <v>0.61321866666666658</v>
      </c>
      <c r="W12" s="36">
        <f>+'2'!K7/1000</f>
        <v>11.259</v>
      </c>
      <c r="X12" s="500">
        <f>SUM(W12:W15)/SUM(K12:K15)</f>
        <v>0.91595943603145025</v>
      </c>
      <c r="Y12" s="210">
        <v>0</v>
      </c>
      <c r="Z12" s="36">
        <f>+'1'!D31/1000</f>
        <v>0</v>
      </c>
      <c r="AA12" s="48">
        <f>SUM(U12:U15)-SUM(W12:W15)-SUM(Z12:Z15)-SUM(Y12:Y15)</f>
        <v>1.6691051487179394</v>
      </c>
      <c r="AB12" s="48">
        <f>(SUM(K12:K15)-SUM(W12:W15)-SUM(Y12:Y15)-SUM(Z12:Z15)-SUM(AC12:AC15)-SUM(V12:V15))-AA12</f>
        <v>6.2172489379008766E-15</v>
      </c>
      <c r="AC12" s="36">
        <f>K12-T12</f>
        <v>0</v>
      </c>
      <c r="AD12" s="36">
        <f>+AM12+BA12</f>
        <v>14</v>
      </c>
      <c r="AE12" s="229" t="s">
        <v>427</v>
      </c>
      <c r="AF12" s="36">
        <v>14</v>
      </c>
      <c r="AG12" s="36"/>
      <c r="AH12" s="36"/>
      <c r="AI12" s="501"/>
      <c r="AJ12" s="36"/>
      <c r="AK12" s="36"/>
      <c r="AL12" s="36"/>
      <c r="AM12" s="36">
        <f t="shared" si="0"/>
        <v>14</v>
      </c>
      <c r="AN12" s="36"/>
      <c r="AO12" s="36"/>
      <c r="AP12" s="36"/>
      <c r="AQ12" s="36"/>
      <c r="AR12" s="36">
        <f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32">
        <v>5</v>
      </c>
      <c r="BC12" s="50"/>
      <c r="BD12" s="50"/>
      <c r="BE12" s="32"/>
      <c r="BF12" s="50"/>
    </row>
    <row r="13" spans="1:58" ht="12.95" customHeight="1">
      <c r="A13" s="39"/>
      <c r="B13" s="40" t="s">
        <v>7</v>
      </c>
      <c r="C13" s="413">
        <f>(M13*E13*O13*Q13)/100000000</f>
        <v>37.524787199999999</v>
      </c>
      <c r="D13" s="40" t="s">
        <v>302</v>
      </c>
      <c r="E13" s="41">
        <v>15</v>
      </c>
      <c r="F13" s="41">
        <v>1</v>
      </c>
      <c r="G13" s="498">
        <f>+L13</f>
        <v>1098.9743589743589</v>
      </c>
      <c r="H13" s="43">
        <v>0.24</v>
      </c>
      <c r="I13" s="44">
        <v>0.88</v>
      </c>
      <c r="J13" s="81">
        <f>E13*G13*(1-H13)*1440/1000000*2.74</f>
        <v>49.431690830769234</v>
      </c>
      <c r="K13" s="81">
        <f>(IF(G13&lt;L13,L13,G13)*(1-IF(H13&lt;N13,H13,N13))*E13*O13*Q13)/100000000</f>
        <v>37.524787199999999</v>
      </c>
      <c r="L13" s="34">
        <v>1098.9743589743589</v>
      </c>
      <c r="M13" s="34">
        <v>835.22051282051279</v>
      </c>
      <c r="N13" s="45">
        <f>1-(M13/L13)</f>
        <v>0.24</v>
      </c>
      <c r="O13" s="46">
        <f>+'Trim Rwd'!H7</f>
        <v>256</v>
      </c>
      <c r="P13" s="47">
        <f>O13*(Q13-R13-S13)</f>
        <v>286720</v>
      </c>
      <c r="Q13" s="46">
        <v>1170</v>
      </c>
      <c r="R13" s="499">
        <v>0</v>
      </c>
      <c r="S13" s="499">
        <v>50</v>
      </c>
      <c r="T13" s="36">
        <f>E13*M13*O13*Q13/100000000</f>
        <v>37.524787199999999</v>
      </c>
      <c r="U13" s="36">
        <f>E13*M13*O13*(Q13-R13-S13)/100000000</f>
        <v>35.92116381538461</v>
      </c>
      <c r="V13" s="36">
        <f>E13*G13*(1-N13)*O13/100*(R13+S13)/1000000</f>
        <v>1.6036233846153845</v>
      </c>
      <c r="W13" s="36">
        <f>+'2'!K8/1000</f>
        <v>31.094000000000001</v>
      </c>
      <c r="X13" s="37"/>
      <c r="Y13" s="210"/>
      <c r="Z13" s="36"/>
      <c r="AA13" s="36"/>
      <c r="AB13" s="36"/>
      <c r="AC13" s="36">
        <f>K13-T13</f>
        <v>0</v>
      </c>
      <c r="AD13" s="36">
        <f>+AM13+BA13</f>
        <v>8</v>
      </c>
      <c r="AE13" s="229" t="s">
        <v>424</v>
      </c>
      <c r="AF13" s="36"/>
      <c r="AG13" s="36">
        <v>8</v>
      </c>
      <c r="AH13" s="36"/>
      <c r="AI13" s="501"/>
      <c r="AJ13" s="36"/>
      <c r="AK13" s="36"/>
      <c r="AL13" s="36"/>
      <c r="AM13" s="36">
        <f t="shared" si="0"/>
        <v>8</v>
      </c>
      <c r="AN13" s="82"/>
      <c r="AO13" s="36"/>
      <c r="AP13" s="36"/>
      <c r="AQ13" s="36"/>
      <c r="AR13" s="36">
        <f>SUM(AN13:AQ13)</f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49"/>
      <c r="BC13" s="50">
        <v>8</v>
      </c>
      <c r="BD13" s="50"/>
      <c r="BE13" s="49"/>
      <c r="BF13" s="50"/>
    </row>
    <row r="14" spans="1:58" ht="12.95" customHeight="1">
      <c r="A14" s="39"/>
      <c r="B14" s="40"/>
      <c r="C14" s="413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46"/>
      <c r="R14" s="499"/>
      <c r="S14" s="499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+AM14+BA14</f>
        <v>47</v>
      </c>
      <c r="AE14" s="229" t="s">
        <v>428</v>
      </c>
      <c r="AF14" s="32"/>
      <c r="AG14" s="32"/>
      <c r="AH14" s="32">
        <v>47</v>
      </c>
      <c r="AJ14" s="36"/>
      <c r="AK14" s="36"/>
      <c r="AL14" s="36"/>
      <c r="AM14" s="36">
        <f t="shared" si="0"/>
        <v>47</v>
      </c>
      <c r="AN14" s="36"/>
      <c r="AO14" s="36"/>
      <c r="AP14" s="36"/>
      <c r="AQ14" s="36"/>
      <c r="AR14" s="36">
        <f>SUM(AN14:AQ14)</f>
        <v>0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0</v>
      </c>
      <c r="BB14" s="32"/>
      <c r="BC14" s="502"/>
      <c r="BD14" s="502"/>
      <c r="BE14" s="32"/>
      <c r="BF14" s="502"/>
    </row>
    <row r="15" spans="1:58" ht="12.95" customHeight="1">
      <c r="A15" s="39"/>
      <c r="B15" s="40"/>
      <c r="C15" s="413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499"/>
      <c r="S15" s="499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2"/>
      <c r="AF15" s="36"/>
      <c r="AG15" s="36"/>
      <c r="AH15" s="36"/>
      <c r="AI15" s="501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75" customHeight="1">
      <c r="A16" s="39">
        <v>45994</v>
      </c>
      <c r="B16" s="40" t="s">
        <v>7</v>
      </c>
      <c r="C16" s="413">
        <f>(M16*E16*O16*Q16)/100000000</f>
        <v>45.807206400000013</v>
      </c>
      <c r="D16" s="40" t="s">
        <v>302</v>
      </c>
      <c r="E16" s="41">
        <v>15</v>
      </c>
      <c r="F16" s="41">
        <v>1</v>
      </c>
      <c r="G16" s="498">
        <f>+L16</f>
        <v>1090</v>
      </c>
      <c r="H16" s="43">
        <v>0.24</v>
      </c>
      <c r="I16" s="44">
        <v>0.88</v>
      </c>
      <c r="J16" s="81">
        <f>E16*G16*(1-H16)*1440/1000000*2.74</f>
        <v>49.028025599999999</v>
      </c>
      <c r="K16" s="81">
        <f>(IF(G16&lt;L16,L16,G16)*(1-IF(H16&lt;N16,H16,N16))*E16*O16*Q16)/100000000</f>
        <v>45.807206400000013</v>
      </c>
      <c r="L16" s="34">
        <v>1090</v>
      </c>
      <c r="M16" s="34">
        <v>828.4000000000002</v>
      </c>
      <c r="N16" s="45">
        <f>1-(M16/L16)</f>
        <v>0.23999999999999977</v>
      </c>
      <c r="O16" s="46">
        <f>+'Trim Rwd'!H9</f>
        <v>256</v>
      </c>
      <c r="P16" s="47">
        <f>O16*(Q16-R16-S16)</f>
        <v>351488</v>
      </c>
      <c r="Q16" s="46">
        <v>1440</v>
      </c>
      <c r="R16" s="499">
        <v>0</v>
      </c>
      <c r="S16" s="499">
        <v>67</v>
      </c>
      <c r="T16" s="36">
        <f>E16*M16*O16*Q16/100000000</f>
        <v>45.807206400000013</v>
      </c>
      <c r="U16" s="36">
        <f>E16*M16*O16*(Q16-R16-S16)/100000000</f>
        <v>43.675898880000013</v>
      </c>
      <c r="V16" s="36">
        <f>E16*G16*(1-N16)*O16/100*(R16+S16)/1000000</f>
        <v>2.1313075200000005</v>
      </c>
      <c r="W16" s="36">
        <f>+'3'!K8/1000</f>
        <v>41.976999999999997</v>
      </c>
      <c r="X16" s="500">
        <f>SUM(W16:W19)/SUM(K16:K19)</f>
        <v>0.91638419582819142</v>
      </c>
      <c r="Y16" s="210">
        <v>0</v>
      </c>
      <c r="Z16" s="36">
        <v>0</v>
      </c>
      <c r="AA16" s="48">
        <f>SUM(U16:U19)-SUM(W16:W19)-SUM(Z16:Z19)-SUM(Y16:Y19)</f>
        <v>1.6988988800000158</v>
      </c>
      <c r="AB16" s="48">
        <f>(SUM(K16:K19)-SUM(W16:W19)-SUM(Y16:Y19)-SUM(Z16:Z19)-SUM(AC16:AC19)-SUM(V16:V19))-AA16</f>
        <v>0</v>
      </c>
      <c r="AC16" s="36">
        <f>K16-T16</f>
        <v>0</v>
      </c>
      <c r="AD16" s="36">
        <f>+AM16+BA16</f>
        <v>18</v>
      </c>
      <c r="AE16" s="229" t="s">
        <v>436</v>
      </c>
      <c r="AF16" s="36">
        <v>18</v>
      </c>
      <c r="AG16" s="36"/>
      <c r="AH16" s="36"/>
      <c r="AI16" s="501"/>
      <c r="AJ16" s="36"/>
      <c r="AK16" s="36"/>
      <c r="AL16" s="36"/>
      <c r="AM16" s="36">
        <f>SUM(AF16:AL16)+AT16+AV16+AX16</f>
        <v>18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9</v>
      </c>
      <c r="BC16" s="50"/>
      <c r="BD16" s="50"/>
      <c r="BE16" s="32"/>
      <c r="BF16" s="50"/>
    </row>
    <row r="17" spans="1:58" ht="12.95" customHeight="1">
      <c r="A17" s="39"/>
      <c r="B17" s="40"/>
      <c r="C17" s="413"/>
      <c r="D17" s="40"/>
      <c r="E17" s="41"/>
      <c r="F17" s="41"/>
      <c r="G17" s="498"/>
      <c r="H17" s="43"/>
      <c r="I17" s="44"/>
      <c r="J17" s="81"/>
      <c r="K17" s="81"/>
      <c r="L17" s="34"/>
      <c r="M17" s="34"/>
      <c r="N17" s="45"/>
      <c r="O17" s="46"/>
      <c r="P17" s="47"/>
      <c r="Q17" s="46"/>
      <c r="R17" s="499"/>
      <c r="S17" s="499"/>
      <c r="T17" s="36"/>
      <c r="U17" s="36"/>
      <c r="V17" s="36"/>
      <c r="W17" s="36"/>
      <c r="X17" s="37"/>
      <c r="Y17" s="210"/>
      <c r="Z17" s="36"/>
      <c r="AA17" s="36"/>
      <c r="AB17" s="36"/>
      <c r="AC17" s="36"/>
      <c r="AD17" s="36">
        <f>+AM17+BA17</f>
        <v>10</v>
      </c>
      <c r="AE17" s="229" t="s">
        <v>435</v>
      </c>
      <c r="AF17" s="36"/>
      <c r="AG17" s="36">
        <v>10</v>
      </c>
      <c r="AH17" s="36"/>
      <c r="AI17" s="501"/>
      <c r="AJ17" s="36"/>
      <c r="AK17" s="36"/>
      <c r="AL17" s="36"/>
      <c r="AM17" s="36">
        <f>SUM(AF17:AL17)+AT17+AV17+AX17</f>
        <v>10</v>
      </c>
      <c r="AN17" s="82"/>
      <c r="AO17" s="36"/>
      <c r="AP17" s="36"/>
      <c r="AQ17" s="36"/>
      <c r="AR17" s="36">
        <f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10</v>
      </c>
      <c r="BD17" s="50"/>
      <c r="BE17" s="49"/>
      <c r="BF17" s="50"/>
    </row>
    <row r="18" spans="1:58" ht="12.95" customHeight="1">
      <c r="A18" s="39"/>
      <c r="B18" s="40"/>
      <c r="C18" s="413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499"/>
      <c r="S18" s="499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+AM18+BA18</f>
        <v>39</v>
      </c>
      <c r="AE18" s="229" t="s">
        <v>437</v>
      </c>
      <c r="AF18" s="32"/>
      <c r="AG18" s="32"/>
      <c r="AH18" s="32">
        <v>39</v>
      </c>
      <c r="AJ18" s="36"/>
      <c r="AK18" s="36"/>
      <c r="AL18" s="36"/>
      <c r="AM18" s="36">
        <f>SUM(AF18:AL18)+AT18+AV18+AX18</f>
        <v>39</v>
      </c>
      <c r="AN18" s="36"/>
      <c r="AO18" s="36"/>
      <c r="AP18" s="36"/>
      <c r="AQ18" s="36"/>
      <c r="AR18" s="36">
        <f>SUM(AN18:AQ18)</f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02"/>
      <c r="BD18" s="502"/>
      <c r="BE18" s="32"/>
      <c r="BF18" s="502"/>
    </row>
    <row r="19" spans="1:58" ht="12.95" customHeight="1">
      <c r="A19" s="39"/>
      <c r="B19" s="40"/>
      <c r="C19" s="413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499"/>
      <c r="S19" s="499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/>
      <c r="AE19" s="232"/>
      <c r="AF19" s="36"/>
      <c r="AG19" s="36"/>
      <c r="AH19" s="36"/>
      <c r="AI19" s="501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49"/>
      <c r="BC19" s="50"/>
      <c r="BD19" s="50"/>
      <c r="BE19" s="49"/>
      <c r="BF19" s="50"/>
    </row>
    <row r="20" spans="1:58" ht="12.75" customHeight="1">
      <c r="A20" s="39">
        <v>45995</v>
      </c>
      <c r="B20" s="40" t="s">
        <v>7</v>
      </c>
      <c r="C20" s="413">
        <f>(M20*E20*O20*Q20)/100000000</f>
        <v>20.040652800000004</v>
      </c>
      <c r="D20" s="40" t="s">
        <v>302</v>
      </c>
      <c r="E20" s="41">
        <v>15</v>
      </c>
      <c r="F20" s="41">
        <v>1</v>
      </c>
      <c r="G20" s="498">
        <f>+L20</f>
        <v>1090</v>
      </c>
      <c r="H20" s="43">
        <v>0.24</v>
      </c>
      <c r="I20" s="44">
        <v>0.88</v>
      </c>
      <c r="J20" s="81">
        <f>E20*G20*(1-H20)*1440/1000000*2.74</f>
        <v>49.028025599999999</v>
      </c>
      <c r="K20" s="81">
        <f>(IF(G20&lt;L20,L20,G20)*(1-IF(H20&lt;N20,H20,N20))*E20*O20*Q20)/100000000</f>
        <v>20.040652800000004</v>
      </c>
      <c r="L20" s="34">
        <v>1090</v>
      </c>
      <c r="M20" s="34">
        <v>828.40000000000009</v>
      </c>
      <c r="N20" s="45">
        <f>1-(M20/L20)</f>
        <v>0.23999999999999988</v>
      </c>
      <c r="O20" s="46">
        <f>+'Trim Rwd'!H11</f>
        <v>256</v>
      </c>
      <c r="P20" s="47">
        <f>O20*(Q20-R20-S20)</f>
        <v>151808</v>
      </c>
      <c r="Q20" s="46">
        <v>630</v>
      </c>
      <c r="R20" s="499">
        <v>0</v>
      </c>
      <c r="S20" s="499">
        <v>37</v>
      </c>
      <c r="T20" s="36">
        <f>E20*M20*O20*Q20/100000000</f>
        <v>20.040652800000004</v>
      </c>
      <c r="U20" s="36">
        <f>E20*M20*O20*(Q20-R20-S20)/100000000</f>
        <v>18.863662080000001</v>
      </c>
      <c r="V20" s="36">
        <f>E20*G20*(1-N20)*O20/100*(R20+S20)/1000000</f>
        <v>1.1769907200000003</v>
      </c>
      <c r="W20" s="36">
        <f>+'4'!K8/1000</f>
        <v>22.475000000000001</v>
      </c>
      <c r="X20" s="500">
        <f>SUM(W20:W23)/SUM(K20:K23)</f>
        <v>0.89503757401699113</v>
      </c>
      <c r="Y20" s="210">
        <v>0</v>
      </c>
      <c r="Z20" s="36">
        <f>+'1'!D39/1000</f>
        <v>0</v>
      </c>
      <c r="AA20" s="48">
        <f>SUM(U20:U23)-SUM(W20:W23)-SUM(Z20:Z23)-SUM(Y20:Y23)</f>
        <v>2.306636065185188</v>
      </c>
      <c r="AB20" s="48">
        <f>(SUM(K20:K23)-SUM(W20:W23)-SUM(Y20:Y23)-SUM(Z20:Z23)-SUM(AC20:AC23)-SUM(V20:V23))-AA20</f>
        <v>-6.2172489379008766E-15</v>
      </c>
      <c r="AC20" s="36">
        <f>K20-T20</f>
        <v>0</v>
      </c>
      <c r="AD20" s="36">
        <f>+AM20+BA20</f>
        <v>21</v>
      </c>
      <c r="AE20" s="229" t="s">
        <v>442</v>
      </c>
      <c r="AF20" s="36">
        <v>21</v>
      </c>
      <c r="AG20" s="36"/>
      <c r="AH20" s="36"/>
      <c r="AI20" s="501"/>
      <c r="AJ20" s="36"/>
      <c r="AK20" s="36"/>
      <c r="AL20" s="36"/>
      <c r="AM20" s="36">
        <f>SUM(AF20:AL20)+AT20+AV20+AX20</f>
        <v>21</v>
      </c>
      <c r="AN20" s="36"/>
      <c r="AO20" s="36"/>
      <c r="AP20" s="36"/>
      <c r="AQ20" s="36"/>
      <c r="AR20" s="36">
        <f>SUM(AN20:AQ20)</f>
        <v>0</v>
      </c>
      <c r="AS20" s="36"/>
      <c r="AT20" s="36"/>
      <c r="AU20" s="36"/>
      <c r="AV20" s="36"/>
      <c r="AW20" s="36"/>
      <c r="AX20" s="36"/>
      <c r="AY20" s="36"/>
      <c r="AZ20" s="36"/>
      <c r="BA20" s="36">
        <f>+AR20+AS20+AU20+AW20+AY20+AZ20</f>
        <v>0</v>
      </c>
      <c r="BB20" s="32">
        <v>6</v>
      </c>
      <c r="BC20" s="50"/>
      <c r="BD20" s="50"/>
      <c r="BE20" s="32"/>
      <c r="BF20" s="50"/>
    </row>
    <row r="21" spans="1:58" ht="12.95" customHeight="1">
      <c r="A21" s="39"/>
      <c r="B21" s="40" t="s">
        <v>7</v>
      </c>
      <c r="C21" s="413">
        <f>(M21*E21*O21*Q21)/100000000</f>
        <v>24.831206399999999</v>
      </c>
      <c r="D21" s="40" t="s">
        <v>302</v>
      </c>
      <c r="E21" s="41">
        <v>14</v>
      </c>
      <c r="F21" s="41">
        <v>1</v>
      </c>
      <c r="G21" s="498">
        <f>+L21</f>
        <v>1108.148148148148</v>
      </c>
      <c r="H21" s="43">
        <v>0.24</v>
      </c>
      <c r="I21" s="44">
        <v>0.88</v>
      </c>
      <c r="J21" s="81">
        <f>E21*G21*(1-H21)*1440/1000000*2.74</f>
        <v>46.521371306666659</v>
      </c>
      <c r="K21" s="81">
        <f>(IF(G21&lt;L21,L21,G21)*(1-IF(H21&lt;N21,H21,N21))*E21*O21*Q21)/100000000</f>
        <v>24.831206399999999</v>
      </c>
      <c r="L21" s="34">
        <v>1108.148148148148</v>
      </c>
      <c r="M21" s="34">
        <v>842.19259259259263</v>
      </c>
      <c r="N21" s="45">
        <f>1-(M21/L21)</f>
        <v>0.23999999999999988</v>
      </c>
      <c r="O21" s="46">
        <f>+'Trim Rwd'!H12</f>
        <v>260</v>
      </c>
      <c r="P21" s="47">
        <f>O21*(Q21-R21-S21)</f>
        <v>200200</v>
      </c>
      <c r="Q21" s="46">
        <v>810</v>
      </c>
      <c r="R21" s="499">
        <v>0</v>
      </c>
      <c r="S21" s="499">
        <v>40</v>
      </c>
      <c r="T21" s="36">
        <f>E21*M21*O21*Q21/100000000</f>
        <v>24.831206399999999</v>
      </c>
      <c r="U21" s="36">
        <f>E21*M21*O21*(Q21-R21-S21)/100000000</f>
        <v>23.60497398518519</v>
      </c>
      <c r="V21" s="36">
        <f>E21*G21*(1-N21)*O21/100*(R21+S21)/1000000</f>
        <v>1.2262324148148149</v>
      </c>
      <c r="W21" s="36">
        <f>+'4'!K7/1000</f>
        <v>17.687000000000001</v>
      </c>
      <c r="X21" s="37"/>
      <c r="Y21" s="210"/>
      <c r="Z21" s="36"/>
      <c r="AA21" s="36"/>
      <c r="AB21" s="36"/>
      <c r="AC21" s="36">
        <f>K21-T21</f>
        <v>0</v>
      </c>
      <c r="AD21" s="36">
        <f>+AM21+BA21</f>
        <v>9</v>
      </c>
      <c r="AE21" s="229" t="s">
        <v>412</v>
      </c>
      <c r="AF21" s="36"/>
      <c r="AG21" s="36">
        <v>9</v>
      </c>
      <c r="AH21" s="36"/>
      <c r="AI21" s="501"/>
      <c r="AJ21" s="36"/>
      <c r="AK21" s="36"/>
      <c r="AL21" s="36"/>
      <c r="AM21" s="36">
        <f>SUM(AF21:AL21)+AT21+AV21+AX21</f>
        <v>9</v>
      </c>
      <c r="AN21" s="82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49"/>
      <c r="BC21" s="50">
        <v>9</v>
      </c>
      <c r="BD21" s="50"/>
      <c r="BE21" s="49"/>
      <c r="BF21" s="50"/>
    </row>
    <row r="22" spans="1:58" ht="12.95" customHeight="1">
      <c r="A22" s="39"/>
      <c r="B22" s="40"/>
      <c r="C22" s="413"/>
      <c r="D22" s="40"/>
      <c r="E22" s="41"/>
      <c r="F22" s="41"/>
      <c r="G22" s="42"/>
      <c r="H22" s="43"/>
      <c r="I22" s="44"/>
      <c r="J22" s="81"/>
      <c r="K22" s="81"/>
      <c r="L22" s="34"/>
      <c r="M22" s="34"/>
      <c r="N22" s="45"/>
      <c r="O22" s="46"/>
      <c r="P22" s="47"/>
      <c r="Q22" s="46"/>
      <c r="R22" s="499"/>
      <c r="S22" s="499"/>
      <c r="T22" s="36"/>
      <c r="U22" s="36"/>
      <c r="V22" s="36"/>
      <c r="W22" s="36"/>
      <c r="X22" s="37"/>
      <c r="Y22" s="210"/>
      <c r="Z22" s="36"/>
      <c r="AA22" s="36"/>
      <c r="AB22" s="36"/>
      <c r="AC22" s="36"/>
      <c r="AD22" s="36">
        <f>+AM22+BA22</f>
        <v>47</v>
      </c>
      <c r="AE22" s="229" t="s">
        <v>443</v>
      </c>
      <c r="AF22" s="32"/>
      <c r="AG22" s="32"/>
      <c r="AH22" s="32">
        <v>47</v>
      </c>
      <c r="AJ22" s="36"/>
      <c r="AK22" s="36"/>
      <c r="AL22" s="36"/>
      <c r="AM22" s="36">
        <f>SUM(AF22:AL22)+AT22+AV22+AX22</f>
        <v>47</v>
      </c>
      <c r="AN22" s="36"/>
      <c r="AO22" s="36"/>
      <c r="AP22" s="36"/>
      <c r="AQ22" s="36"/>
      <c r="AR22" s="36">
        <f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32"/>
      <c r="BC22" s="502"/>
      <c r="BD22" s="502"/>
      <c r="BE22" s="32"/>
      <c r="BF22" s="502"/>
    </row>
    <row r="23" spans="1:58" ht="12.75" customHeight="1">
      <c r="A23" s="39"/>
      <c r="B23" s="40"/>
      <c r="C23" s="413"/>
      <c r="D23" s="40"/>
      <c r="E23" s="41"/>
      <c r="F23" s="41"/>
      <c r="G23" s="498"/>
      <c r="H23" s="43"/>
      <c r="I23" s="44"/>
      <c r="J23" s="36"/>
      <c r="K23" s="81"/>
      <c r="L23" s="34"/>
      <c r="M23" s="34"/>
      <c r="N23" s="45"/>
      <c r="O23" s="46"/>
      <c r="P23" s="47"/>
      <c r="Q23" s="46"/>
      <c r="R23" s="499"/>
      <c r="S23" s="499"/>
      <c r="T23" s="36"/>
      <c r="U23" s="36"/>
      <c r="V23" s="36"/>
      <c r="W23" s="36"/>
      <c r="X23" s="500"/>
      <c r="Y23" s="210"/>
      <c r="Z23" s="36"/>
      <c r="AA23" s="48"/>
      <c r="AB23" s="48"/>
      <c r="AC23" s="36"/>
      <c r="AD23" s="36"/>
      <c r="AF23" s="36"/>
      <c r="AG23" s="36"/>
      <c r="AH23" s="36"/>
      <c r="AI23" s="501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2"/>
      <c r="BC23" s="50"/>
      <c r="BD23" s="50"/>
      <c r="BE23" s="49"/>
      <c r="BF23" s="50"/>
    </row>
    <row r="24" spans="1:58" ht="12.75" customHeight="1">
      <c r="A24" s="39">
        <v>45996</v>
      </c>
      <c r="B24" s="40" t="s">
        <v>7</v>
      </c>
      <c r="C24" s="413">
        <f>(M24*E24*O24*Q24)/100000000</f>
        <v>43.678908752238804</v>
      </c>
      <c r="D24" s="40" t="s">
        <v>302</v>
      </c>
      <c r="E24" s="41">
        <v>14</v>
      </c>
      <c r="F24" s="41">
        <v>1</v>
      </c>
      <c r="G24" s="498">
        <f>+L24</f>
        <v>1100</v>
      </c>
      <c r="H24" s="43">
        <v>0.24</v>
      </c>
      <c r="I24" s="44">
        <v>0.88</v>
      </c>
      <c r="J24" s="81">
        <f>E24*G24*(1-H24)*1440/1000000*2.74</f>
        <v>46.179302400000005</v>
      </c>
      <c r="K24" s="81">
        <f>(IF(G24&lt;L24,L24,G24)*(1-IF(H24&lt;N24,H24,N24))*E24*O24*Q24)/100000000</f>
        <v>43.678908752238804</v>
      </c>
      <c r="L24" s="34">
        <v>1100</v>
      </c>
      <c r="M24" s="34">
        <v>836</v>
      </c>
      <c r="N24" s="45">
        <f>1-(M24/L24)</f>
        <v>0.24</v>
      </c>
      <c r="O24" s="46">
        <f>+'Trim Rwd'!H14</f>
        <v>259.16417910447763</v>
      </c>
      <c r="P24" s="47">
        <f>O24*(Q24-R24-S24)</f>
        <v>354018.26865671645</v>
      </c>
      <c r="Q24" s="46">
        <v>1440</v>
      </c>
      <c r="R24" s="499">
        <v>0</v>
      </c>
      <c r="S24" s="499">
        <v>74</v>
      </c>
      <c r="T24" s="36">
        <f>E24*M24*O24*Q24/100000000</f>
        <v>43.678908752238804</v>
      </c>
      <c r="U24" s="36">
        <f>E24*M24*O24*(Q24-R24-S24)/100000000</f>
        <v>41.434298163582092</v>
      </c>
      <c r="V24" s="36">
        <f>E24*G24*(1-N24)*O24/100*(R24+S24)/1000000</f>
        <v>2.2446105886567165</v>
      </c>
      <c r="W24" s="36">
        <f>+'5'!K7/1000</f>
        <v>45.195999999999998</v>
      </c>
      <c r="X24" s="500">
        <f>SUM(W24:W27)/SUM(K24:K27)</f>
        <v>1.0347328102074764</v>
      </c>
      <c r="Y24" s="210">
        <v>0</v>
      </c>
      <c r="Z24" s="36">
        <f>+'5'!D25/1000</f>
        <v>0.22500000000000001</v>
      </c>
      <c r="AA24" s="48">
        <f>SUM(U24:U27)-SUM(W24:W27)-SUM(Z24:Z27)-SUM(Y24:Y27)</f>
        <v>-3.9867018364179061</v>
      </c>
      <c r="AB24" s="48">
        <f>(SUM(K24:K27)-SUM(W24:W27)-SUM(Y24:Y27)-SUM(Z24:Z27)-SUM(AC24:AC27)-SUM(V24:V27))-AA24</f>
        <v>-3.9968028886505635E-15</v>
      </c>
      <c r="AC24" s="36">
        <f>K24-T24</f>
        <v>0</v>
      </c>
      <c r="AD24" s="36">
        <f>+AM24+BA24</f>
        <v>27</v>
      </c>
      <c r="AE24" s="229" t="s">
        <v>436</v>
      </c>
      <c r="AF24" s="36">
        <v>27</v>
      </c>
      <c r="AG24" s="36"/>
      <c r="AH24" s="36"/>
      <c r="AI24" s="501"/>
      <c r="AJ24" s="36"/>
      <c r="AK24" s="36"/>
      <c r="AL24" s="36"/>
      <c r="AM24" s="36">
        <f>SUM(AF24:AL24)+AT24+AV24+AX24</f>
        <v>27</v>
      </c>
      <c r="AN24" s="36"/>
      <c r="AO24" s="36"/>
      <c r="AP24" s="36"/>
      <c r="AQ24" s="36"/>
      <c r="AR24" s="36">
        <f>SUM(AN24:AQ24)</f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32">
        <v>9</v>
      </c>
      <c r="BC24" s="50"/>
      <c r="BD24" s="50"/>
      <c r="BE24" s="32"/>
      <c r="BF24" s="50"/>
    </row>
    <row r="25" spans="1:58" ht="12.95" customHeight="1">
      <c r="A25" s="39"/>
      <c r="B25" s="40"/>
      <c r="C25" s="413"/>
      <c r="D25" s="40"/>
      <c r="E25" s="41"/>
      <c r="F25" s="41"/>
      <c r="G25" s="498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499"/>
      <c r="S25" s="499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>
        <f>+AM25+BA25</f>
        <v>0</v>
      </c>
      <c r="AE25" s="229" t="s">
        <v>284</v>
      </c>
      <c r="AF25" s="36"/>
      <c r="AG25" s="36">
        <v>0</v>
      </c>
      <c r="AH25" s="36"/>
      <c r="AI25" s="501"/>
      <c r="AJ25" s="36"/>
      <c r="AK25" s="36"/>
      <c r="AL25" s="36"/>
      <c r="AM25" s="36">
        <f>SUM(AF25:AL25)+AT25+AV25+AX25</f>
        <v>0</v>
      </c>
      <c r="AN25" s="82"/>
      <c r="AO25" s="36"/>
      <c r="AP25" s="36"/>
      <c r="AQ25" s="36"/>
      <c r="AR25" s="36">
        <f>SUM(AN25:AQ25)</f>
        <v>0</v>
      </c>
      <c r="AS25" s="36"/>
      <c r="AT25" s="36"/>
      <c r="AU25" s="36"/>
      <c r="AV25" s="36"/>
      <c r="AW25" s="36"/>
      <c r="AX25" s="36"/>
      <c r="AY25" s="36"/>
      <c r="AZ25" s="36"/>
      <c r="BA25" s="36">
        <f>+AR25+AS25+AU25+AW25+AY25+AZ25</f>
        <v>0</v>
      </c>
      <c r="BB25" s="49"/>
      <c r="BC25" s="50">
        <v>0</v>
      </c>
      <c r="BD25" s="50"/>
      <c r="BE25" s="49"/>
      <c r="BF25" s="50"/>
    </row>
    <row r="26" spans="1:58" ht="12.95" customHeight="1">
      <c r="A26" s="39"/>
      <c r="B26" s="40"/>
      <c r="C26" s="413"/>
      <c r="D26" s="40"/>
      <c r="E26" s="41"/>
      <c r="F26" s="41"/>
      <c r="G26" s="42"/>
      <c r="H26" s="43"/>
      <c r="I26" s="44"/>
      <c r="J26" s="81"/>
      <c r="K26" s="81"/>
      <c r="L26" s="34"/>
      <c r="M26" s="34"/>
      <c r="N26" s="45"/>
      <c r="O26" s="46"/>
      <c r="P26" s="47"/>
      <c r="Q26" s="46"/>
      <c r="R26" s="499"/>
      <c r="S26" s="499"/>
      <c r="T26" s="36"/>
      <c r="U26" s="36"/>
      <c r="V26" s="36"/>
      <c r="W26" s="36"/>
      <c r="X26" s="37"/>
      <c r="Y26" s="210"/>
      <c r="Z26" s="36"/>
      <c r="AA26" s="36"/>
      <c r="AB26" s="36"/>
      <c r="AC26" s="36"/>
      <c r="AD26" s="36">
        <f>+AM26+BA26</f>
        <v>47</v>
      </c>
      <c r="AE26" s="229" t="s">
        <v>428</v>
      </c>
      <c r="AF26" s="32"/>
      <c r="AG26" s="32"/>
      <c r="AH26" s="32">
        <v>47</v>
      </c>
      <c r="AJ26" s="36"/>
      <c r="AK26" s="36"/>
      <c r="AL26" s="36"/>
      <c r="AM26" s="36">
        <f>SUM(AF26:AL26)+AT26+AV26+AX26</f>
        <v>47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32"/>
      <c r="BC26" s="502"/>
      <c r="BD26" s="502"/>
      <c r="BE26" s="32"/>
      <c r="BF26" s="502"/>
    </row>
    <row r="27" spans="1:58" ht="12.95" customHeight="1">
      <c r="A27" s="39"/>
      <c r="B27" s="40"/>
      <c r="C27" s="413"/>
      <c r="D27" s="40"/>
      <c r="E27" s="41"/>
      <c r="F27" s="41"/>
      <c r="G27" s="42"/>
      <c r="H27" s="43"/>
      <c r="I27" s="44"/>
      <c r="J27" s="81"/>
      <c r="K27" s="81"/>
      <c r="L27" s="34"/>
      <c r="M27" s="34"/>
      <c r="N27" s="45"/>
      <c r="O27" s="46"/>
      <c r="P27" s="47"/>
      <c r="Q27" s="46"/>
      <c r="R27" s="499"/>
      <c r="S27" s="499"/>
      <c r="T27" s="36"/>
      <c r="U27" s="36"/>
      <c r="V27" s="36"/>
      <c r="W27" s="36"/>
      <c r="X27" s="37"/>
      <c r="Y27" s="210"/>
      <c r="Z27" s="36"/>
      <c r="AA27" s="36"/>
      <c r="AB27" s="36"/>
      <c r="AC27" s="36"/>
      <c r="AD27" s="36"/>
      <c r="AE27" s="229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49"/>
      <c r="BC27" s="50"/>
      <c r="BD27" s="50"/>
      <c r="BE27" s="49"/>
      <c r="BF27" s="50"/>
    </row>
    <row r="28" spans="1:58" ht="12.75" customHeight="1">
      <c r="A28" s="39">
        <v>45997</v>
      </c>
      <c r="B28" s="40" t="s">
        <v>7</v>
      </c>
      <c r="C28" s="413">
        <f>(M28*E28*O28*Q28)/100000000</f>
        <v>43.464959999999998</v>
      </c>
      <c r="D28" s="40" t="s">
        <v>302</v>
      </c>
      <c r="E28" s="41">
        <v>14</v>
      </c>
      <c r="F28" s="41">
        <v>1</v>
      </c>
      <c r="G28" s="498">
        <f>+L28</f>
        <v>1100</v>
      </c>
      <c r="H28" s="43">
        <v>0.24</v>
      </c>
      <c r="I28" s="44">
        <v>0.88</v>
      </c>
      <c r="J28" s="81">
        <f>E28*G28*(1-H28)*1440/1000000*2.74</f>
        <v>46.179302400000005</v>
      </c>
      <c r="K28" s="81">
        <f>(IF(G28&lt;L28,L28,G28)*(1-IF(H28&lt;N28,H28,N28))*E28*O28*Q28)/100000000</f>
        <v>43.464959999999998</v>
      </c>
      <c r="L28" s="34">
        <v>1100</v>
      </c>
      <c r="M28" s="34">
        <v>836</v>
      </c>
      <c r="N28" s="45">
        <f>1-(M28/L28)</f>
        <v>0.24</v>
      </c>
      <c r="O28" s="46">
        <f>+'Trim Rwd'!H17</f>
        <v>257.89473684210526</v>
      </c>
      <c r="P28" s="47">
        <f>O28*(Q28-R28-S28)</f>
        <v>350736.84210526315</v>
      </c>
      <c r="Q28" s="46">
        <v>1440</v>
      </c>
      <c r="R28" s="499">
        <v>0</v>
      </c>
      <c r="S28" s="499">
        <v>80</v>
      </c>
      <c r="T28" s="36">
        <f>E28*M28*O28*Q28/100000000</f>
        <v>43.464959999999998</v>
      </c>
      <c r="U28" s="36">
        <f>E28*M28*O28*(Q28-R28-S28)/100000000</f>
        <v>41.050240000000002</v>
      </c>
      <c r="V28" s="36">
        <f>E28*G28*(1-N28)*O28/100*(R28+S28)/1000000</f>
        <v>2.41472</v>
      </c>
      <c r="W28" s="36">
        <f>+'6'!K7/1000</f>
        <v>40.381999999999998</v>
      </c>
      <c r="X28" s="500">
        <f>SUM(W28:W31)/SUM(K28:K31)</f>
        <v>0.92907022116205784</v>
      </c>
      <c r="Y28" s="210">
        <v>0</v>
      </c>
      <c r="Z28" s="36">
        <f>+'5'!D29/1000</f>
        <v>0</v>
      </c>
      <c r="AA28" s="48">
        <f>SUM(U28:U31)-SUM(W28:W31)-SUM(Z28:Z31)-SUM(Y28:Y31)</f>
        <v>0.66824000000000439</v>
      </c>
      <c r="AB28" s="48">
        <f>(SUM(K28:K31)-SUM(W28:W31)-SUM(Y28:Y31)-SUM(Z28:Z31)-SUM(AC28:AC31)-SUM(V28:V31))-AA28</f>
        <v>-4.4408920985006262E-15</v>
      </c>
      <c r="AC28" s="36">
        <f>K28-T28</f>
        <v>0</v>
      </c>
      <c r="AD28" s="36">
        <f>+AM28+BA28</f>
        <v>30</v>
      </c>
      <c r="AE28" s="229" t="s">
        <v>436</v>
      </c>
      <c r="AF28" s="36">
        <v>30</v>
      </c>
      <c r="AG28" s="36"/>
      <c r="AH28" s="36"/>
      <c r="AI28" s="501"/>
      <c r="AJ28" s="36"/>
      <c r="AK28" s="36"/>
      <c r="AL28" s="36"/>
      <c r="AM28" s="36">
        <f>SUM(AF28:AL28)+AT28+AV28+AX28</f>
        <v>30</v>
      </c>
      <c r="AN28" s="36"/>
      <c r="AO28" s="36"/>
      <c r="AP28" s="36"/>
      <c r="AQ28" s="36"/>
      <c r="AR28" s="36">
        <f>SUM(AN28:AQ28)</f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>
        <v>9</v>
      </c>
      <c r="BC28" s="50"/>
      <c r="BD28" s="50"/>
      <c r="BE28" s="32"/>
      <c r="BF28" s="50"/>
    </row>
    <row r="29" spans="1:58" ht="12.95" customHeight="1">
      <c r="A29" s="39"/>
      <c r="B29" s="40"/>
      <c r="C29" s="413"/>
      <c r="D29" s="40"/>
      <c r="E29" s="41"/>
      <c r="F29" s="41"/>
      <c r="G29" s="498"/>
      <c r="H29" s="43"/>
      <c r="I29" s="44"/>
      <c r="J29" s="81"/>
      <c r="K29" s="81"/>
      <c r="L29" s="34"/>
      <c r="M29" s="34"/>
      <c r="N29" s="45"/>
      <c r="O29" s="46"/>
      <c r="P29" s="47"/>
      <c r="Q29" s="46"/>
      <c r="R29" s="499"/>
      <c r="S29" s="499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+AM29+BA29</f>
        <v>0</v>
      </c>
      <c r="AE29" s="229" t="s">
        <v>284</v>
      </c>
      <c r="AF29" s="36"/>
      <c r="AG29" s="36">
        <v>0</v>
      </c>
      <c r="AH29" s="36"/>
      <c r="AI29" s="501"/>
      <c r="AJ29" s="36"/>
      <c r="AK29" s="36"/>
      <c r="AL29" s="36"/>
      <c r="AM29" s="36">
        <f>SUM(AF29:AL29)+AT29+AV29+AX29</f>
        <v>0</v>
      </c>
      <c r="AN29" s="82"/>
      <c r="AO29" s="36"/>
      <c r="AP29" s="36"/>
      <c r="AQ29" s="36"/>
      <c r="AR29" s="36">
        <f>SUM(AN29:AQ29)</f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>
        <v>0</v>
      </c>
      <c r="BD29" s="50"/>
      <c r="BE29" s="49"/>
      <c r="BF29" s="50"/>
    </row>
    <row r="30" spans="1:58" ht="12.95" customHeight="1">
      <c r="A30" s="39"/>
      <c r="B30" s="40"/>
      <c r="C30" s="413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499"/>
      <c r="S30" s="499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>
        <f>+AM30+BA30</f>
        <v>50</v>
      </c>
      <c r="AE30" s="229" t="s">
        <v>428</v>
      </c>
      <c r="AF30" s="32"/>
      <c r="AG30" s="32"/>
      <c r="AH30" s="32">
        <v>50</v>
      </c>
      <c r="AJ30" s="36"/>
      <c r="AK30" s="36"/>
      <c r="AL30" s="36"/>
      <c r="AM30" s="36">
        <f>SUM(AF30:AL30)+AT30+AV30+AX30</f>
        <v>50</v>
      </c>
      <c r="AN30" s="36"/>
      <c r="AO30" s="36"/>
      <c r="AP30" s="36"/>
      <c r="AQ30" s="36"/>
      <c r="AR30" s="36">
        <f>SUM(AN30:AQ30)</f>
        <v>0</v>
      </c>
      <c r="AS30" s="36"/>
      <c r="AT30" s="36"/>
      <c r="AU30" s="36"/>
      <c r="AV30" s="36"/>
      <c r="AW30" s="36"/>
      <c r="AX30" s="36"/>
      <c r="AY30" s="36"/>
      <c r="AZ30" s="36"/>
      <c r="BA30" s="36">
        <f>+AR30+AS30+AU30+AW30+AY30+AZ30</f>
        <v>0</v>
      </c>
      <c r="BB30" s="32"/>
      <c r="BC30" s="502"/>
      <c r="BD30" s="502"/>
      <c r="BE30" s="32"/>
      <c r="BF30" s="502"/>
    </row>
    <row r="31" spans="1:58" ht="12.95" customHeight="1">
      <c r="A31" s="39"/>
      <c r="B31" s="40"/>
      <c r="C31" s="413"/>
      <c r="D31" s="40"/>
      <c r="E31" s="41"/>
      <c r="F31" s="41"/>
      <c r="G31" s="42"/>
      <c r="H31" s="43"/>
      <c r="I31" s="44"/>
      <c r="J31" s="81"/>
      <c r="K31" s="81"/>
      <c r="L31" s="34"/>
      <c r="M31" s="34"/>
      <c r="N31" s="45"/>
      <c r="O31" s="46"/>
      <c r="P31" s="47"/>
      <c r="Q31" s="46"/>
      <c r="R31" s="499"/>
      <c r="S31" s="499"/>
      <c r="T31" s="36"/>
      <c r="U31" s="36"/>
      <c r="V31" s="36"/>
      <c r="W31" s="36"/>
      <c r="X31" s="37"/>
      <c r="Y31" s="210"/>
      <c r="Z31" s="36"/>
      <c r="AA31" s="36"/>
      <c r="AB31" s="36"/>
      <c r="AC31" s="36"/>
      <c r="AD31" s="36"/>
      <c r="AE31" s="229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49"/>
      <c r="BC31" s="50"/>
      <c r="BD31" s="50"/>
      <c r="BE31" s="49"/>
      <c r="BF31" s="50"/>
    </row>
    <row r="32" spans="1:58" ht="12.75" customHeight="1">
      <c r="A32" s="39">
        <v>45998</v>
      </c>
      <c r="B32" s="40" t="s">
        <v>7</v>
      </c>
      <c r="C32" s="413">
        <f>(M32*E32*O32*Q32)/100000000</f>
        <v>42.665633919999998</v>
      </c>
      <c r="D32" s="40" t="s">
        <v>302</v>
      </c>
      <c r="E32" s="41">
        <v>14</v>
      </c>
      <c r="F32" s="41">
        <v>1</v>
      </c>
      <c r="G32" s="498">
        <f>+L32</f>
        <v>1071.0277777777778</v>
      </c>
      <c r="H32" s="43">
        <v>0.24</v>
      </c>
      <c r="I32" s="44">
        <v>0.88</v>
      </c>
      <c r="J32" s="81">
        <f>E32*G32*(1-H32)*1440/1000000*2.74</f>
        <v>44.963014208000004</v>
      </c>
      <c r="K32" s="81">
        <f>(IF(G32&lt;L32,L32,G32)*(1-IF(H32&lt;N32,H32,N32))*E32*O32*Q32)/100000000</f>
        <v>42.665633919999998</v>
      </c>
      <c r="L32" s="34">
        <v>1071.0277777777778</v>
      </c>
      <c r="M32" s="34">
        <v>813.98111111111109</v>
      </c>
      <c r="N32" s="45">
        <f>1-(M32/L32)</f>
        <v>0.2400000000000001</v>
      </c>
      <c r="O32" s="46">
        <f>+'Trim Rwd'!H20</f>
        <v>260</v>
      </c>
      <c r="P32" s="47">
        <f>O32*(Q32-R32-S32)</f>
        <v>354900</v>
      </c>
      <c r="Q32" s="46">
        <v>1440</v>
      </c>
      <c r="R32" s="499">
        <v>0</v>
      </c>
      <c r="S32" s="499">
        <v>75</v>
      </c>
      <c r="T32" s="36">
        <f>E32*M32*O32*Q32/100000000</f>
        <v>42.665633919999998</v>
      </c>
      <c r="U32" s="36">
        <f>E32*M32*O32*(Q32-R32-S32)/100000000</f>
        <v>40.443465486666668</v>
      </c>
      <c r="V32" s="36">
        <f>E32*G32*(1-N32)*O32/100*(R32+S32)/1000000</f>
        <v>2.2221684333333331</v>
      </c>
      <c r="W32" s="36">
        <f>+'7'!K7/1000</f>
        <v>41.706000000000003</v>
      </c>
      <c r="X32" s="500">
        <f>SUM(W32:W35)/SUM(K32:K35)</f>
        <v>0.97750803558200139</v>
      </c>
      <c r="Y32" s="210">
        <v>0</v>
      </c>
      <c r="Z32" s="36">
        <v>0</v>
      </c>
      <c r="AA32" s="48">
        <f>SUM(U32:U35)-SUM(W32:W35)-SUM(Z32:Z35)-SUM(Y32:Y35)</f>
        <v>-1.2625345133333354</v>
      </c>
      <c r="AB32" s="48">
        <f>(SUM(K32:K35)-SUM(W32:W35)-SUM(Y32:Y35)-SUM(Z32:Z35)-SUM(AC32:AC35)-SUM(V32:V35))-AA32</f>
        <v>-3.1086244689504383E-15</v>
      </c>
      <c r="AC32" s="36">
        <f>K32-T32</f>
        <v>0</v>
      </c>
      <c r="AD32" s="36">
        <f>+AM32+BA32</f>
        <v>21</v>
      </c>
      <c r="AE32" s="229" t="s">
        <v>442</v>
      </c>
      <c r="AF32" s="36">
        <v>21</v>
      </c>
      <c r="AG32" s="36"/>
      <c r="AH32" s="36"/>
      <c r="AI32" s="501"/>
      <c r="AJ32" s="36"/>
      <c r="AK32" s="36"/>
      <c r="AL32" s="36"/>
      <c r="AM32" s="36">
        <f>SUM(AF32:AL32)+AT32+AV32+AX32</f>
        <v>21</v>
      </c>
      <c r="AN32" s="36"/>
      <c r="AO32" s="36"/>
      <c r="AP32" s="36"/>
      <c r="AQ32" s="36"/>
      <c r="AR32" s="36">
        <f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32">
        <v>6</v>
      </c>
      <c r="BC32" s="50"/>
      <c r="BD32" s="50"/>
      <c r="BE32" s="32"/>
      <c r="BF32" s="50"/>
    </row>
    <row r="33" spans="1:58" ht="12.95" customHeight="1">
      <c r="A33" s="39"/>
      <c r="B33" s="40"/>
      <c r="C33" s="413"/>
      <c r="D33" s="40"/>
      <c r="E33" s="41"/>
      <c r="F33" s="41"/>
      <c r="G33" s="498"/>
      <c r="H33" s="43"/>
      <c r="I33" s="44"/>
      <c r="J33" s="81"/>
      <c r="K33" s="81"/>
      <c r="L33" s="34"/>
      <c r="M33" s="34"/>
      <c r="N33" s="45"/>
      <c r="O33" s="46"/>
      <c r="P33" s="47"/>
      <c r="Q33" s="46"/>
      <c r="R33" s="499"/>
      <c r="S33" s="499"/>
      <c r="T33" s="36"/>
      <c r="U33" s="36"/>
      <c r="V33" s="36"/>
      <c r="W33" s="36"/>
      <c r="X33" s="37"/>
      <c r="Y33" s="210"/>
      <c r="Z33" s="36"/>
      <c r="AA33" s="36"/>
      <c r="AB33" s="36"/>
      <c r="AC33" s="36"/>
      <c r="AD33" s="36">
        <f>+AM33+BA33</f>
        <v>9</v>
      </c>
      <c r="AE33" s="229" t="s">
        <v>424</v>
      </c>
      <c r="AF33" s="36"/>
      <c r="AG33" s="36">
        <v>9</v>
      </c>
      <c r="AH33" s="36"/>
      <c r="AI33" s="501"/>
      <c r="AJ33" s="36"/>
      <c r="AK33" s="36"/>
      <c r="AL33" s="36"/>
      <c r="AM33" s="36">
        <f>SUM(AF33:AL33)+AT33+AV33+AX33</f>
        <v>9</v>
      </c>
      <c r="AN33" s="82"/>
      <c r="AO33" s="36"/>
      <c r="AP33" s="36"/>
      <c r="AQ33" s="36"/>
      <c r="AR33" s="36">
        <f>SUM(AN33:AQ33)</f>
        <v>0</v>
      </c>
      <c r="AS33" s="36"/>
      <c r="AT33" s="36"/>
      <c r="AU33" s="36"/>
      <c r="AV33" s="36"/>
      <c r="AW33" s="36"/>
      <c r="AX33" s="36"/>
      <c r="AY33" s="36"/>
      <c r="AZ33" s="36"/>
      <c r="BA33" s="36">
        <f>+AR33+AS33+AU33+AW33+AY33+AZ33</f>
        <v>0</v>
      </c>
      <c r="BB33" s="49"/>
      <c r="BC33" s="50">
        <v>8</v>
      </c>
      <c r="BD33" s="50"/>
      <c r="BE33" s="49"/>
      <c r="BF33" s="50"/>
    </row>
    <row r="34" spans="1:58" ht="12.95" customHeight="1">
      <c r="A34" s="39"/>
      <c r="B34" s="40"/>
      <c r="C34" s="413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46"/>
      <c r="R34" s="499"/>
      <c r="S34" s="499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+AM34+BA34</f>
        <v>45</v>
      </c>
      <c r="AE34" s="229" t="s">
        <v>437</v>
      </c>
      <c r="AF34" s="32"/>
      <c r="AG34" s="32"/>
      <c r="AH34" s="32">
        <v>45</v>
      </c>
      <c r="AJ34" s="36"/>
      <c r="AK34" s="36"/>
      <c r="AL34" s="36"/>
      <c r="AM34" s="36">
        <f>SUM(AF34:AL34)+AT34+AV34+AX34</f>
        <v>45</v>
      </c>
      <c r="AN34" s="36"/>
      <c r="AO34" s="36"/>
      <c r="AP34" s="36"/>
      <c r="AQ34" s="36"/>
      <c r="AR34" s="36">
        <f>SUM(AN34:AQ34)</f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32"/>
      <c r="BC34" s="502"/>
      <c r="BD34" s="502"/>
      <c r="BE34" s="32"/>
      <c r="BF34" s="502"/>
    </row>
    <row r="35" spans="1:58" ht="12.95" customHeight="1">
      <c r="A35" s="39"/>
      <c r="B35" s="40"/>
      <c r="C35" s="413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499"/>
      <c r="S35" s="499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9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49"/>
      <c r="BC35" s="50"/>
      <c r="BD35" s="50"/>
      <c r="BE35" s="49"/>
      <c r="BF35" s="50"/>
    </row>
    <row r="36" spans="1:58" ht="12.75" customHeight="1">
      <c r="A36" s="39">
        <v>45999</v>
      </c>
      <c r="B36" s="40" t="s">
        <v>7</v>
      </c>
      <c r="C36" s="413">
        <f>(M36*E36*O36*Q36)/100000000</f>
        <v>5.0611128400000007</v>
      </c>
      <c r="D36" s="40" t="s">
        <v>302</v>
      </c>
      <c r="E36" s="41">
        <v>14</v>
      </c>
      <c r="F36" s="41">
        <v>1</v>
      </c>
      <c r="G36" s="498">
        <f>+L36</f>
        <v>1070</v>
      </c>
      <c r="H36" s="43">
        <v>0.24</v>
      </c>
      <c r="I36" s="44">
        <v>0.88</v>
      </c>
      <c r="J36" s="81">
        <f>E36*G36*(1-H36)*1440/1000000*2.74</f>
        <v>44.919866880000001</v>
      </c>
      <c r="K36" s="81">
        <f>(IF(G36&lt;L36,L36,G36)*(1-IF(H36&lt;N36,H36,N36))*E36*O36*Q36)/100000000</f>
        <v>5.0611128400000007</v>
      </c>
      <c r="L36" s="34">
        <v>1070</v>
      </c>
      <c r="M36" s="34">
        <v>813.2</v>
      </c>
      <c r="N36" s="45">
        <f>1-(M36/L36)</f>
        <v>0.24</v>
      </c>
      <c r="O36" s="46">
        <f>+'Trim Rwd'!H22</f>
        <v>261.5</v>
      </c>
      <c r="P36" s="47">
        <f>O36*(Q36-R36-S36)</f>
        <v>41055.5</v>
      </c>
      <c r="Q36" s="46">
        <v>170</v>
      </c>
      <c r="R36" s="499">
        <v>0</v>
      </c>
      <c r="S36" s="499">
        <v>13</v>
      </c>
      <c r="T36" s="36">
        <f>E36*M36*O36*Q36/100000000</f>
        <v>5.0611128400000007</v>
      </c>
      <c r="U36" s="36">
        <f>E36*M36*O36*(Q36-R36-S36)/100000000</f>
        <v>4.6740865640000004</v>
      </c>
      <c r="V36" s="36">
        <f>E36*G36*(1-N36)*O36/100*(R36+S36)/1000000</f>
        <v>0.38702627599999995</v>
      </c>
      <c r="W36" s="36">
        <f>+'8'!K7/1000</f>
        <v>5.9569999999999999</v>
      </c>
      <c r="X36" s="500">
        <f>SUM(W36:W39)/SUM(K36:K39)</f>
        <v>0.85490801596503918</v>
      </c>
      <c r="Y36" s="210">
        <v>0</v>
      </c>
      <c r="Z36" s="36">
        <v>0</v>
      </c>
      <c r="AA36" s="48">
        <f>SUM(U36:U39)-SUM(W36:W39)-SUM(Z36:Z39)-SUM(Y36:Y39)</f>
        <v>3.1737547189044619</v>
      </c>
      <c r="AB36" s="48">
        <f>(SUM(K36:K39)-SUM(W36:W39)-SUM(Y36:Y39)-SUM(Z36:Z39)-SUM(AC36:AC39)-SUM(V36:V39))-AA36</f>
        <v>-4.1784861027569509E-2</v>
      </c>
      <c r="AC36" s="36">
        <f>K36-T36</f>
        <v>0</v>
      </c>
      <c r="AD36" s="36">
        <f>+AM36+BA36</f>
        <v>12</v>
      </c>
      <c r="AE36" s="229" t="s">
        <v>442</v>
      </c>
      <c r="AF36" s="36">
        <v>12</v>
      </c>
      <c r="AG36" s="36"/>
      <c r="AH36" s="36"/>
      <c r="AI36" s="501"/>
      <c r="AJ36" s="36"/>
      <c r="AK36" s="36"/>
      <c r="AL36" s="36"/>
      <c r="AM36" s="36">
        <f>SUM(AF36:AL36)+AT36+AV36+AX36</f>
        <v>12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>
        <v>6</v>
      </c>
      <c r="BC36" s="50"/>
      <c r="BD36" s="50"/>
      <c r="BE36" s="32"/>
      <c r="BF36" s="50"/>
    </row>
    <row r="37" spans="1:58" ht="12.95" customHeight="1">
      <c r="A37" s="39"/>
      <c r="B37" s="40" t="s">
        <v>464</v>
      </c>
      <c r="C37" s="413">
        <f>(M37*E37*O37*Q37)/100000000</f>
        <v>27.721829280000001</v>
      </c>
      <c r="D37" s="40" t="s">
        <v>302</v>
      </c>
      <c r="E37" s="41">
        <v>12</v>
      </c>
      <c r="F37" s="41">
        <v>1</v>
      </c>
      <c r="G37" s="498">
        <v>1230</v>
      </c>
      <c r="H37" s="43">
        <f>+N37</f>
        <v>0.18747898400072316</v>
      </c>
      <c r="I37" s="44">
        <v>0.88</v>
      </c>
      <c r="J37" s="81">
        <f>E37*G37*(1-H37)*1440/1000000*2.74</f>
        <v>47.318831909926786</v>
      </c>
      <c r="K37" s="81">
        <f>(IF(G37&lt;L37,L37,G37)*(1-IF(H37&lt;N37,H37,N37))*E37*O37*Q37)/100000000</f>
        <v>29.033873916265751</v>
      </c>
      <c r="L37" s="34">
        <v>1174.4161358811041</v>
      </c>
      <c r="M37" s="34">
        <v>954.23779193205939</v>
      </c>
      <c r="N37" s="45">
        <f>1-(M37/L37)</f>
        <v>0.18747898400072316</v>
      </c>
      <c r="O37" s="46">
        <f>+'Trim Rwd'!H24</f>
        <v>257</v>
      </c>
      <c r="P37" s="47">
        <f>O37*(Q37-R37-S37)</f>
        <v>234384</v>
      </c>
      <c r="Q37" s="46">
        <v>942</v>
      </c>
      <c r="R37" s="499">
        <v>0</v>
      </c>
      <c r="S37" s="499">
        <v>30</v>
      </c>
      <c r="T37" s="36">
        <f>E37*M37*O37*Q37/100000000</f>
        <v>27.721829280000001</v>
      </c>
      <c r="U37" s="36">
        <f>E37*M37*O37*(Q37-R37-S37)/100000000</f>
        <v>26.838968474904462</v>
      </c>
      <c r="V37" s="36">
        <f>E37*G37*(1-N37)*O37/100*(R37+S37)/1000000</f>
        <v>0.92464566612311305</v>
      </c>
      <c r="W37" s="36">
        <f>+'8'!K9/1000</f>
        <v>26.466999999999999</v>
      </c>
      <c r="X37" s="37"/>
      <c r="Y37" s="210"/>
      <c r="Z37" s="36"/>
      <c r="AA37" s="36"/>
      <c r="AB37" s="36"/>
      <c r="AC37" s="36">
        <f>K37-T37</f>
        <v>1.3120446362657496</v>
      </c>
      <c r="AD37" s="36">
        <f>+AM37+BA37</f>
        <v>8</v>
      </c>
      <c r="AE37" s="229" t="s">
        <v>407</v>
      </c>
      <c r="AF37" s="36"/>
      <c r="AG37" s="36">
        <v>8</v>
      </c>
      <c r="AH37" s="36"/>
      <c r="AI37" s="501"/>
      <c r="AJ37" s="36"/>
      <c r="AK37" s="36"/>
      <c r="AL37" s="36"/>
      <c r="AM37" s="36">
        <f>SUM(AF37:AL37)+AT37+AV37+AX37</f>
        <v>8</v>
      </c>
      <c r="AN37" s="82"/>
      <c r="AO37" s="36"/>
      <c r="AP37" s="36"/>
      <c r="AQ37" s="36"/>
      <c r="AR37" s="36">
        <f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>
        <f>+AR37+AS37+AU37+AW37+AY37+AZ37</f>
        <v>0</v>
      </c>
      <c r="BB37" s="49"/>
      <c r="BC37" s="50">
        <v>4</v>
      </c>
      <c r="BD37" s="50"/>
      <c r="BE37" s="49"/>
      <c r="BF37" s="50"/>
    </row>
    <row r="38" spans="1:58" ht="12.95" customHeight="1">
      <c r="A38" s="39"/>
      <c r="B38" s="40" t="s">
        <v>464</v>
      </c>
      <c r="C38" s="413">
        <f>(M38*E38*O38*Q38)/100000000</f>
        <v>9.6149788800000007</v>
      </c>
      <c r="D38" s="40" t="s">
        <v>302</v>
      </c>
      <c r="E38" s="41">
        <v>13</v>
      </c>
      <c r="F38" s="41">
        <v>1</v>
      </c>
      <c r="G38" s="498">
        <f>+L38</f>
        <v>1150</v>
      </c>
      <c r="H38" s="43">
        <f>+N38</f>
        <v>0.24</v>
      </c>
      <c r="I38" s="44">
        <v>0.88</v>
      </c>
      <c r="J38" s="81">
        <f>E38*G38*(1-H38)*1440/1000000*2.74</f>
        <v>44.829907200000008</v>
      </c>
      <c r="K38" s="81">
        <f>(IF(G38&lt;L38,L38,G38)*(1-IF(H38&lt;N38,H38,N38))*E38*O38*Q38)/100000000</f>
        <v>9.6149788800000007</v>
      </c>
      <c r="L38" s="34">
        <v>1150</v>
      </c>
      <c r="M38" s="34">
        <v>874</v>
      </c>
      <c r="N38" s="45">
        <f>1-(M38/L38)</f>
        <v>0.24</v>
      </c>
      <c r="O38" s="46">
        <f>+'Trim Rwd'!H25</f>
        <v>258</v>
      </c>
      <c r="P38" s="47">
        <f>O38*(Q38-R38-S38)</f>
        <v>79464</v>
      </c>
      <c r="Q38" s="46">
        <v>328</v>
      </c>
      <c r="R38" s="499">
        <v>0</v>
      </c>
      <c r="S38" s="499">
        <f>63-S35-S36-S37</f>
        <v>20</v>
      </c>
      <c r="T38" s="36">
        <f>E38*M38*O38*Q38/100000000</f>
        <v>9.6149788800000007</v>
      </c>
      <c r="U38" s="36">
        <f>E38*M38*O38*(Q38-R38-S38)/100000000</f>
        <v>9.0286996800000008</v>
      </c>
      <c r="V38" s="36">
        <f>E38*G38*(1-N38)*O38/100*(R38+S38)/1000000</f>
        <v>0.5862792</v>
      </c>
      <c r="W38" s="36">
        <f>+'8'!K10/1000</f>
        <v>4.944</v>
      </c>
      <c r="X38" s="37"/>
      <c r="Y38" s="210"/>
      <c r="Z38" s="36"/>
      <c r="AA38" s="36"/>
      <c r="AB38" s="36"/>
      <c r="AC38" s="36">
        <f>K38-T38</f>
        <v>0</v>
      </c>
      <c r="AD38" s="36">
        <f>+AM38+BA38</f>
        <v>43</v>
      </c>
      <c r="AE38" s="229" t="s">
        <v>437</v>
      </c>
      <c r="AF38" s="32"/>
      <c r="AG38" s="32"/>
      <c r="AH38" s="32">
        <v>43</v>
      </c>
      <c r="AJ38" s="36"/>
      <c r="AK38" s="36"/>
      <c r="AL38" s="36"/>
      <c r="AM38" s="36">
        <f>SUM(AF38:AL38)+AT38+AV38+AX38</f>
        <v>43</v>
      </c>
      <c r="AN38" s="36"/>
      <c r="AO38" s="36"/>
      <c r="AP38" s="36"/>
      <c r="AQ38" s="36"/>
      <c r="AR38" s="36">
        <f>SUM(AN38:AQ38)</f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/>
      <c r="BC38" s="502"/>
      <c r="BD38" s="502"/>
      <c r="BE38" s="32"/>
      <c r="BF38" s="502"/>
    </row>
    <row r="39" spans="1:58" ht="12.95" customHeight="1">
      <c r="A39" s="39"/>
      <c r="B39" s="40"/>
      <c r="C39" s="413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46"/>
      <c r="R39" s="499"/>
      <c r="S39" s="499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/>
      <c r="AE39" s="229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49"/>
      <c r="BC39" s="50"/>
      <c r="BD39" s="50"/>
      <c r="BE39" s="49"/>
      <c r="BF39" s="50"/>
    </row>
    <row r="40" spans="1:58" ht="12.75" customHeight="1">
      <c r="A40" s="39">
        <v>46000</v>
      </c>
      <c r="B40" s="40" t="s">
        <v>464</v>
      </c>
      <c r="C40" s="413">
        <f>(M40*E40*O40*Q40)/100000000</f>
        <v>40.864948175999992</v>
      </c>
      <c r="D40" s="40" t="s">
        <v>302</v>
      </c>
      <c r="E40" s="41">
        <v>13</v>
      </c>
      <c r="F40" s="41">
        <v>1</v>
      </c>
      <c r="G40" s="498">
        <f>+L40</f>
        <v>1112.4652777777778</v>
      </c>
      <c r="H40" s="43">
        <f>+N40</f>
        <v>0.23943044414619696</v>
      </c>
      <c r="I40" s="44">
        <v>0.88</v>
      </c>
      <c r="J40" s="81">
        <f>E40*G40*(1-H40)*1440/1000000*2.74</f>
        <v>43.399208528000003</v>
      </c>
      <c r="K40" s="81">
        <f>(IF(G40&lt;L40,L40,G40)*(1-IF(H40&lt;N40,H40,N40))*E40*O40*Q40)/100000000</f>
        <v>40.864948175999992</v>
      </c>
      <c r="L40" s="34">
        <v>1112.4652777777778</v>
      </c>
      <c r="M40" s="34">
        <v>846.10722222222216</v>
      </c>
      <c r="N40" s="45">
        <f>1-(M40/L40)</f>
        <v>0.23943044414619696</v>
      </c>
      <c r="O40" s="46">
        <f>+'Trim Rwd'!H27</f>
        <v>258</v>
      </c>
      <c r="P40" s="47">
        <f>O40*(Q40-R40-S40)</f>
        <v>354492</v>
      </c>
      <c r="Q40" s="46">
        <v>1440</v>
      </c>
      <c r="R40" s="499">
        <v>0</v>
      </c>
      <c r="S40" s="499">
        <v>66</v>
      </c>
      <c r="T40" s="36">
        <f>E40*M40*O40*Q40/100000000</f>
        <v>40.864948175999992</v>
      </c>
      <c r="U40" s="36">
        <f>E40*M40*O40*(Q40-R40-S40)/100000000</f>
        <v>38.991971384599992</v>
      </c>
      <c r="V40" s="36">
        <f>E40*G40*(1-N40)*O40/100*(R40+S40)/1000000</f>
        <v>1.8729767913999997</v>
      </c>
      <c r="W40" s="36">
        <f>+'9'!K10/1000</f>
        <v>37.177999999999997</v>
      </c>
      <c r="X40" s="500">
        <f>SUM(W40:W43)/SUM(K40:K43)</f>
        <v>0.90977724576767383</v>
      </c>
      <c r="Y40" s="210">
        <v>0</v>
      </c>
      <c r="Z40" s="36">
        <v>0</v>
      </c>
      <c r="AA40" s="48">
        <f>SUM(U40:U43)-SUM(W40:W43)-SUM(Z40:Z43)-SUM(Y40:Y43)</f>
        <v>1.813971384599995</v>
      </c>
      <c r="AB40" s="48">
        <f>(SUM(K40:K43)-SUM(W40:W43)-SUM(Y40:Y43)-SUM(Z40:Z43)-SUM(AC40:AC43)-SUM(V40:V43))-AA40</f>
        <v>0</v>
      </c>
      <c r="AC40" s="36">
        <f>K40-T40</f>
        <v>0</v>
      </c>
      <c r="AD40" s="36">
        <f>+AM40+BA40</f>
        <v>9</v>
      </c>
      <c r="AE40" s="229" t="s">
        <v>423</v>
      </c>
      <c r="AF40" s="36">
        <v>9</v>
      </c>
      <c r="AG40" s="36"/>
      <c r="AH40" s="36"/>
      <c r="AI40" s="501"/>
      <c r="AJ40" s="36"/>
      <c r="AK40" s="36"/>
      <c r="AL40" s="36"/>
      <c r="AM40" s="36">
        <f>SUM(AF40:AL40)+AT40+AV40+AX40</f>
        <v>9</v>
      </c>
      <c r="AN40" s="36"/>
      <c r="AO40" s="36"/>
      <c r="AP40" s="36"/>
      <c r="AQ40" s="36"/>
      <c r="AR40" s="36">
        <f>SUM(AN40:AQ40)</f>
        <v>0</v>
      </c>
      <c r="AS40" s="36"/>
      <c r="AT40" s="36"/>
      <c r="AU40" s="36"/>
      <c r="AV40" s="36"/>
      <c r="AW40" s="36"/>
      <c r="AX40" s="36"/>
      <c r="AY40" s="36"/>
      <c r="AZ40" s="36"/>
      <c r="BA40" s="36">
        <f>+AR40+AS40+AU40+AW40+AY40+AZ40</f>
        <v>0</v>
      </c>
      <c r="BB40" s="32">
        <v>3</v>
      </c>
      <c r="BC40" s="50"/>
      <c r="BD40" s="50"/>
      <c r="BE40" s="32"/>
      <c r="BF40" s="50"/>
    </row>
    <row r="41" spans="1:58" ht="12.95" customHeight="1">
      <c r="A41" s="39"/>
      <c r="B41" s="40"/>
      <c r="C41" s="413"/>
      <c r="D41" s="40"/>
      <c r="E41" s="41"/>
      <c r="F41" s="41"/>
      <c r="G41" s="498"/>
      <c r="H41" s="43"/>
      <c r="I41" s="44"/>
      <c r="J41" s="81"/>
      <c r="K41" s="81"/>
      <c r="L41" s="34"/>
      <c r="M41" s="34"/>
      <c r="N41" s="45"/>
      <c r="O41" s="46"/>
      <c r="P41" s="47"/>
      <c r="Q41" s="46"/>
      <c r="R41" s="499"/>
      <c r="S41" s="499"/>
      <c r="T41" s="36"/>
      <c r="U41" s="36"/>
      <c r="V41" s="36"/>
      <c r="W41" s="36"/>
      <c r="X41" s="37"/>
      <c r="Y41" s="210"/>
      <c r="Z41" s="36"/>
      <c r="AA41" s="36"/>
      <c r="AB41" s="36"/>
      <c r="AC41" s="36"/>
      <c r="AD41" s="36">
        <f>+AM41+BA41</f>
        <v>19</v>
      </c>
      <c r="AE41" s="229" t="s">
        <v>424</v>
      </c>
      <c r="AF41" s="36"/>
      <c r="AG41" s="36">
        <v>19</v>
      </c>
      <c r="AH41" s="36"/>
      <c r="AI41" s="501"/>
      <c r="AJ41" s="36"/>
      <c r="AK41" s="36"/>
      <c r="AL41" s="36"/>
      <c r="AM41" s="36">
        <f>SUM(AF41:AL41)+AT41+AV41+AX41</f>
        <v>19</v>
      </c>
      <c r="AN41" s="82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0</v>
      </c>
      <c r="BB41" s="49"/>
      <c r="BC41" s="50">
        <v>8</v>
      </c>
      <c r="BD41" s="50"/>
      <c r="BE41" s="49"/>
      <c r="BF41" s="50"/>
    </row>
    <row r="42" spans="1:58" ht="12.95" customHeight="1">
      <c r="A42" s="39"/>
      <c r="B42" s="40"/>
      <c r="C42" s="413"/>
      <c r="D42" s="40"/>
      <c r="E42" s="41"/>
      <c r="F42" s="41"/>
      <c r="G42" s="42"/>
      <c r="H42" s="43"/>
      <c r="I42" s="44"/>
      <c r="J42" s="81"/>
      <c r="K42" s="81"/>
      <c r="L42" s="34"/>
      <c r="M42" s="34"/>
      <c r="N42" s="45"/>
      <c r="O42" s="46"/>
      <c r="P42" s="47"/>
      <c r="Q42" s="46"/>
      <c r="R42" s="499"/>
      <c r="S42" s="499"/>
      <c r="T42" s="36"/>
      <c r="U42" s="36"/>
      <c r="V42" s="36"/>
      <c r="W42" s="36"/>
      <c r="X42" s="37"/>
      <c r="Y42" s="210"/>
      <c r="Z42" s="36"/>
      <c r="AA42" s="36"/>
      <c r="AB42" s="36"/>
      <c r="AC42" s="36"/>
      <c r="AD42" s="36">
        <f>+AM42+BA42</f>
        <v>38</v>
      </c>
      <c r="AE42" s="229" t="s">
        <v>483</v>
      </c>
      <c r="AF42" s="32"/>
      <c r="AG42" s="32"/>
      <c r="AH42" s="32">
        <v>38</v>
      </c>
      <c r="AJ42" s="36"/>
      <c r="AK42" s="36"/>
      <c r="AL42" s="36"/>
      <c r="AM42" s="36">
        <f>SUM(AF42:AL42)+AT42+AV42+AX42</f>
        <v>38</v>
      </c>
      <c r="AN42" s="36"/>
      <c r="AO42" s="36"/>
      <c r="AP42" s="36"/>
      <c r="AQ42" s="36"/>
      <c r="AR42" s="36">
        <f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32"/>
      <c r="BC42" s="502"/>
      <c r="BD42" s="502"/>
      <c r="BE42" s="32"/>
      <c r="BF42" s="502"/>
    </row>
    <row r="43" spans="1:58" ht="12.95" customHeight="1">
      <c r="A43" s="39"/>
      <c r="B43" s="40"/>
      <c r="C43" s="413"/>
      <c r="D43" s="40"/>
      <c r="E43" s="41"/>
      <c r="F43" s="41"/>
      <c r="G43" s="42"/>
      <c r="H43" s="43"/>
      <c r="I43" s="44"/>
      <c r="J43" s="81"/>
      <c r="K43" s="81"/>
      <c r="L43" s="34"/>
      <c r="M43" s="34"/>
      <c r="N43" s="45"/>
      <c r="O43" s="46"/>
      <c r="P43" s="47"/>
      <c r="Q43" s="46"/>
      <c r="R43" s="499"/>
      <c r="S43" s="499"/>
      <c r="T43" s="36"/>
      <c r="U43" s="36"/>
      <c r="V43" s="36"/>
      <c r="W43" s="36"/>
      <c r="X43" s="37"/>
      <c r="Y43" s="210"/>
      <c r="Z43" s="36"/>
      <c r="AA43" s="36"/>
      <c r="AB43" s="36"/>
      <c r="AC43" s="36"/>
      <c r="AD43" s="36"/>
      <c r="AE43" s="229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49"/>
      <c r="BC43" s="50"/>
      <c r="BD43" s="50"/>
      <c r="BE43" s="49"/>
      <c r="BF43" s="50"/>
    </row>
    <row r="44" spans="1:58" ht="12.75" customHeight="1">
      <c r="A44" s="39">
        <v>46001</v>
      </c>
      <c r="B44" s="40" t="s">
        <v>464</v>
      </c>
      <c r="C44" s="413">
        <f>(M44*E44*O44*Q44)/100000000</f>
        <v>40.853329919999993</v>
      </c>
      <c r="D44" s="40" t="s">
        <v>302</v>
      </c>
      <c r="E44" s="41">
        <v>13</v>
      </c>
      <c r="F44" s="41">
        <v>1</v>
      </c>
      <c r="G44" s="498">
        <f>+L44</f>
        <v>1103.3333333333333</v>
      </c>
      <c r="H44" s="43">
        <f>+N44</f>
        <v>0.23335347432024167</v>
      </c>
      <c r="I44" s="44">
        <v>0.88</v>
      </c>
      <c r="J44" s="81">
        <f>E44*G44*(1-H44)*1440/1000000*2.74</f>
        <v>43.386869760000003</v>
      </c>
      <c r="K44" s="81">
        <f>(IF(G44&lt;L44,L44,G44)*(1-IF(H44&lt;N44,H44,N44))*E44*O44*Q44)/100000000</f>
        <v>40.853329919999993</v>
      </c>
      <c r="L44" s="34">
        <v>1103.3333333333333</v>
      </c>
      <c r="M44" s="34">
        <v>845.86666666666667</v>
      </c>
      <c r="N44" s="45">
        <f>1-(M44/L44)</f>
        <v>0.23335347432024167</v>
      </c>
      <c r="O44" s="46">
        <f>+'Trim Rwd'!H29</f>
        <v>258</v>
      </c>
      <c r="P44" s="47">
        <f>O44*(Q44-R44-S44)</f>
        <v>356298</v>
      </c>
      <c r="Q44" s="46">
        <v>1440</v>
      </c>
      <c r="R44" s="499">
        <v>0</v>
      </c>
      <c r="S44" s="499">
        <v>59</v>
      </c>
      <c r="T44" s="36">
        <f>E44*M44*O44*Q44/100000000</f>
        <v>40.853329919999993</v>
      </c>
      <c r="U44" s="36">
        <f>E44*M44*O44*(Q44-R44-S44)/100000000</f>
        <v>39.179478207999999</v>
      </c>
      <c r="V44" s="36">
        <f>E44*G44*(1-N44)*O44/100*(R44+S44)/1000000</f>
        <v>1.6738517119999998</v>
      </c>
      <c r="W44" s="36">
        <f>+'10'!K10/1000</f>
        <v>37.624000000000002</v>
      </c>
      <c r="X44" s="500">
        <f>SUM(W44:W47)/SUM(K44:K47)</f>
        <v>0.92095307955743766</v>
      </c>
      <c r="Y44" s="210">
        <v>0</v>
      </c>
      <c r="Z44" s="36">
        <f>+'5'!D45/1000</f>
        <v>0</v>
      </c>
      <c r="AA44" s="48">
        <f>SUM(U44:U47)-SUM(W44:W47)-SUM(Z44:Z47)-SUM(Y44:Y47)</f>
        <v>1.5554782079999967</v>
      </c>
      <c r="AB44" s="48">
        <f>(SUM(K44:K47)-SUM(W44:W47)-SUM(Y44:Y47)-SUM(Z44:Z47)-SUM(AC44:AC47)-SUM(V44:V47))-AA44</f>
        <v>-5.773159728050814E-15</v>
      </c>
      <c r="AC44" s="36">
        <f>K44-T44</f>
        <v>0</v>
      </c>
      <c r="AD44" s="36">
        <f>+AM44+BA44</f>
        <v>6</v>
      </c>
      <c r="AE44" s="229" t="s">
        <v>423</v>
      </c>
      <c r="AF44" s="36">
        <v>6</v>
      </c>
      <c r="AG44" s="36"/>
      <c r="AH44" s="36"/>
      <c r="AI44" s="501"/>
      <c r="AJ44" s="36"/>
      <c r="AK44" s="36"/>
      <c r="AL44" s="36"/>
      <c r="AM44" s="36">
        <f>SUM(AF44:AL44)+AT44+AV44+AX44</f>
        <v>6</v>
      </c>
      <c r="AN44" s="36"/>
      <c r="AO44" s="36"/>
      <c r="AP44" s="36"/>
      <c r="AQ44" s="36"/>
      <c r="AR44" s="36">
        <f>SUM(AN44:AQ44)</f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32">
        <v>3</v>
      </c>
      <c r="BC44" s="50"/>
      <c r="BD44" s="50"/>
      <c r="BE44" s="32"/>
      <c r="BF44" s="50"/>
    </row>
    <row r="45" spans="1:58" ht="12.95" customHeight="1">
      <c r="A45" s="39"/>
      <c r="B45" s="40"/>
      <c r="C45" s="413"/>
      <c r="D45" s="40"/>
      <c r="E45" s="41"/>
      <c r="F45" s="41"/>
      <c r="G45" s="498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499"/>
      <c r="S45" s="499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>
        <f>+AM45+BA45</f>
        <v>16</v>
      </c>
      <c r="AE45" s="229" t="s">
        <v>424</v>
      </c>
      <c r="AF45" s="36"/>
      <c r="AG45" s="36">
        <v>16</v>
      </c>
      <c r="AH45" s="36"/>
      <c r="AI45" s="501"/>
      <c r="AJ45" s="36"/>
      <c r="AK45" s="36"/>
      <c r="AL45" s="36"/>
      <c r="AM45" s="36">
        <f>SUM(AF45:AL45)+AT45+AV45+AX45</f>
        <v>16</v>
      </c>
      <c r="AN45" s="82"/>
      <c r="AO45" s="36"/>
      <c r="AP45" s="36"/>
      <c r="AQ45" s="36"/>
      <c r="AR45" s="36">
        <f>SUM(AN45:AQ45)</f>
        <v>0</v>
      </c>
      <c r="AS45" s="36"/>
      <c r="AT45" s="36"/>
      <c r="AU45" s="36"/>
      <c r="AV45" s="36"/>
      <c r="AW45" s="36"/>
      <c r="AX45" s="36"/>
      <c r="AY45" s="36"/>
      <c r="AZ45" s="36"/>
      <c r="BA45" s="36">
        <f>+AR45+AS45+AU45+AW45+AY45+AZ45</f>
        <v>0</v>
      </c>
      <c r="BB45" s="49"/>
      <c r="BC45" s="50">
        <v>8</v>
      </c>
      <c r="BD45" s="50"/>
      <c r="BE45" s="49"/>
      <c r="BF45" s="50"/>
    </row>
    <row r="46" spans="1:58" ht="12.95" customHeight="1">
      <c r="A46" s="39"/>
      <c r="B46" s="40"/>
      <c r="C46" s="413"/>
      <c r="D46" s="40"/>
      <c r="E46" s="41"/>
      <c r="F46" s="41"/>
      <c r="G46" s="42"/>
      <c r="H46" s="43"/>
      <c r="I46" s="44"/>
      <c r="J46" s="81"/>
      <c r="K46" s="81"/>
      <c r="L46" s="34"/>
      <c r="M46" s="34"/>
      <c r="N46" s="45"/>
      <c r="O46" s="46"/>
      <c r="P46" s="47"/>
      <c r="Q46" s="46"/>
      <c r="R46" s="499"/>
      <c r="S46" s="499"/>
      <c r="T46" s="36"/>
      <c r="U46" s="36"/>
      <c r="V46" s="36"/>
      <c r="W46" s="36"/>
      <c r="X46" s="37"/>
      <c r="Y46" s="210"/>
      <c r="Z46" s="36"/>
      <c r="AA46" s="36"/>
      <c r="AB46" s="36"/>
      <c r="AC46" s="36"/>
      <c r="AD46" s="36">
        <f>+AM46+BA46</f>
        <v>37</v>
      </c>
      <c r="AE46" s="229" t="s">
        <v>483</v>
      </c>
      <c r="AF46" s="32"/>
      <c r="AG46" s="32"/>
      <c r="AH46" s="32">
        <v>37</v>
      </c>
      <c r="AJ46" s="36"/>
      <c r="AK46" s="36"/>
      <c r="AL46" s="36"/>
      <c r="AM46" s="36">
        <f>SUM(AF46:AL46)+AT46+AV46+AX46</f>
        <v>37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/>
      <c r="BC46" s="502"/>
      <c r="BD46" s="502"/>
      <c r="BE46" s="32"/>
      <c r="BF46" s="502"/>
    </row>
    <row r="47" spans="1:58" ht="12.95" customHeight="1">
      <c r="A47" s="39"/>
      <c r="B47" s="40"/>
      <c r="C47" s="413"/>
      <c r="D47" s="40"/>
      <c r="E47" s="41"/>
      <c r="F47" s="41"/>
      <c r="G47" s="42"/>
      <c r="H47" s="43"/>
      <c r="I47" s="44"/>
      <c r="J47" s="81"/>
      <c r="K47" s="81"/>
      <c r="L47" s="34"/>
      <c r="M47" s="34"/>
      <c r="N47" s="45"/>
      <c r="O47" s="46"/>
      <c r="P47" s="47"/>
      <c r="Q47" s="33"/>
      <c r="R47" s="499"/>
      <c r="S47" s="499"/>
      <c r="T47" s="36"/>
      <c r="U47" s="36"/>
      <c r="V47" s="36"/>
      <c r="W47" s="36"/>
      <c r="X47" s="37"/>
      <c r="Y47" s="210"/>
      <c r="Z47" s="36"/>
      <c r="AA47" s="36"/>
      <c r="AB47" s="36"/>
      <c r="AC47" s="36"/>
      <c r="AD47" s="36"/>
      <c r="AE47" s="232"/>
      <c r="AF47" s="36"/>
      <c r="AG47" s="36"/>
      <c r="AH47" s="36"/>
      <c r="AI47" s="501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49"/>
      <c r="BC47" s="50"/>
      <c r="BD47" s="50"/>
      <c r="BE47" s="50"/>
      <c r="BF47" s="50"/>
    </row>
    <row r="48" spans="1:58" ht="12.75" customHeight="1">
      <c r="A48" s="39">
        <v>46002</v>
      </c>
      <c r="B48" s="40" t="s">
        <v>464</v>
      </c>
      <c r="C48" s="413">
        <f>(M48*E48*O48*Q48)/100000000</f>
        <v>38.969213712000006</v>
      </c>
      <c r="D48" s="40" t="s">
        <v>302</v>
      </c>
      <c r="E48" s="41">
        <v>13</v>
      </c>
      <c r="F48" s="41">
        <v>1</v>
      </c>
      <c r="G48" s="498">
        <f>+L48</f>
        <v>1103.8122743682311</v>
      </c>
      <c r="H48" s="43">
        <f>+N48</f>
        <v>0.24</v>
      </c>
      <c r="I48" s="44">
        <v>0.88</v>
      </c>
      <c r="J48" s="81">
        <f>E48*G48*(1-H48)*1440/1000000*2.74</f>
        <v>43.02939289230325</v>
      </c>
      <c r="K48" s="81">
        <f>(IF(G48&lt;L48,L48,G48)*(1-IF(H48&lt;N48,H48,N48))*E48*O48*Q48)/100000000</f>
        <v>38.969213712000006</v>
      </c>
      <c r="L48" s="34">
        <v>1103.8122743682311</v>
      </c>
      <c r="M48" s="34">
        <v>838.89732851985559</v>
      </c>
      <c r="N48" s="45">
        <f>1-(M48/L48)</f>
        <v>0.24</v>
      </c>
      <c r="O48" s="46">
        <f>+'Trim Rwd'!H31</f>
        <v>258</v>
      </c>
      <c r="P48" s="47">
        <f>O48*(Q48-R48-S48)</f>
        <v>342882</v>
      </c>
      <c r="Q48" s="46">
        <v>1385</v>
      </c>
      <c r="R48" s="499">
        <v>0</v>
      </c>
      <c r="S48" s="499">
        <v>56</v>
      </c>
      <c r="T48" s="36">
        <f>E48*M48*O48*Q48/100000000</f>
        <v>38.969213712000006</v>
      </c>
      <c r="U48" s="36">
        <f>E48*M48*O48*(Q48-R48-S48)/100000000</f>
        <v>37.393563193680869</v>
      </c>
      <c r="V48" s="36">
        <f>E48*G48*(1-N48)*O48/100*(R48+S48)/1000000</f>
        <v>1.5756505183191336</v>
      </c>
      <c r="W48" s="36">
        <f>+'11'!K10/1000</f>
        <v>36.598999999999997</v>
      </c>
      <c r="X48" s="500">
        <f>SUM(W48:W51)/SUM(K48:K51)</f>
        <v>0.89961008897425399</v>
      </c>
      <c r="Y48" s="210">
        <v>0</v>
      </c>
      <c r="Z48" s="36">
        <f>+'5'!D49/1000</f>
        <v>0</v>
      </c>
      <c r="AA48" s="48">
        <f>SUM(U48:U51)-SUM(W48:W51)-SUM(Z48:Z51)-SUM(Y48:Y51)</f>
        <v>2.1968999936808729</v>
      </c>
      <c r="AB48" s="48">
        <f>(SUM(K48:K51)-SUM(W48:W51)-SUM(Y48:Y51)-SUM(Z48:Z51)-SUM(AC48:AC51)-SUM(V48:V51))-AA48</f>
        <v>0</v>
      </c>
      <c r="AC48" s="36">
        <f>K48-T48</f>
        <v>0</v>
      </c>
      <c r="AD48" s="36">
        <f>+AM48+BA48</f>
        <v>18</v>
      </c>
      <c r="AE48" s="229" t="s">
        <v>442</v>
      </c>
      <c r="AF48" s="36">
        <v>18</v>
      </c>
      <c r="AG48" s="36"/>
      <c r="AH48" s="36"/>
      <c r="AI48" s="501"/>
      <c r="AJ48" s="36"/>
      <c r="AK48" s="36"/>
      <c r="AL48" s="36"/>
      <c r="AM48" s="36">
        <f>SUM(AF48:AL48)+AT48+AV48+AX48</f>
        <v>18</v>
      </c>
      <c r="AN48" s="36"/>
      <c r="AO48" s="36"/>
      <c r="AP48" s="36"/>
      <c r="AQ48" s="36"/>
      <c r="AR48" s="36">
        <f>SUM(AN48:AQ48)</f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>
        <v>6</v>
      </c>
      <c r="BC48" s="50"/>
      <c r="BD48" s="50"/>
      <c r="BE48" s="32"/>
      <c r="BF48" s="50"/>
    </row>
    <row r="49" spans="1:58" ht="12.95" customHeight="1">
      <c r="A49" s="39"/>
      <c r="B49" s="40" t="s">
        <v>464</v>
      </c>
      <c r="C49" s="413">
        <f>(M49*E49*O49*Q49)/100000000</f>
        <v>1.7139671999999999</v>
      </c>
      <c r="D49" s="40" t="s">
        <v>302</v>
      </c>
      <c r="E49" s="41">
        <v>15</v>
      </c>
      <c r="F49" s="41">
        <v>1</v>
      </c>
      <c r="G49" s="498">
        <f>+L49</f>
        <v>1020</v>
      </c>
      <c r="H49" s="43">
        <f>+N49</f>
        <v>0.24</v>
      </c>
      <c r="I49" s="44">
        <v>0.88</v>
      </c>
      <c r="J49" s="81">
        <f>E49*G49*(1-H49)*1440/1000000*2.74</f>
        <v>45.879436800000001</v>
      </c>
      <c r="K49" s="81">
        <f>(IF(G49&lt;L49,L49,G49)*(1-IF(H49&lt;N49,H49,N49))*E49*O49*Q49)/100000000</f>
        <v>1.7139671999999999</v>
      </c>
      <c r="L49" s="34">
        <v>1020</v>
      </c>
      <c r="M49" s="34">
        <v>775.2</v>
      </c>
      <c r="N49" s="45">
        <f>1-(M49/L49)</f>
        <v>0.24</v>
      </c>
      <c r="O49" s="46">
        <f>+'Trim Rwd'!H32</f>
        <v>268</v>
      </c>
      <c r="P49" s="47">
        <f>O49*(Q49-R49-S49)</f>
        <v>12060</v>
      </c>
      <c r="Q49" s="46">
        <v>55</v>
      </c>
      <c r="R49" s="499">
        <v>0</v>
      </c>
      <c r="S49" s="499">
        <v>10</v>
      </c>
      <c r="T49" s="36">
        <f>E49*M49*O49*Q49/100000000</f>
        <v>1.7139671999999999</v>
      </c>
      <c r="U49" s="36">
        <f>E49*M49*O49*(Q49-R49-S49)/100000000</f>
        <v>1.4023368</v>
      </c>
      <c r="V49" s="36">
        <f>E49*G49*(1-N49)*O49/100*(R49+S49)/1000000</f>
        <v>0.31163040000000003</v>
      </c>
      <c r="W49" s="36">
        <f>+'10'!K15/1000</f>
        <v>0</v>
      </c>
      <c r="X49" s="37"/>
      <c r="Y49" s="210"/>
      <c r="Z49" s="36"/>
      <c r="AA49" s="36"/>
      <c r="AB49" s="36"/>
      <c r="AC49" s="36"/>
      <c r="AD49" s="36">
        <f>+AM49+BA49</f>
        <v>8</v>
      </c>
      <c r="AE49" s="229" t="s">
        <v>407</v>
      </c>
      <c r="AF49" s="36"/>
      <c r="AG49" s="36">
        <v>8</v>
      </c>
      <c r="AH49" s="36"/>
      <c r="AI49" s="501"/>
      <c r="AJ49" s="36"/>
      <c r="AK49" s="36"/>
      <c r="AL49" s="36"/>
      <c r="AM49" s="36">
        <f>SUM(AF49:AL49)+AT49+AV49+AX49</f>
        <v>8</v>
      </c>
      <c r="AN49" s="82"/>
      <c r="AO49" s="36"/>
      <c r="AP49" s="36"/>
      <c r="AQ49" s="36"/>
      <c r="AR49" s="36">
        <f>SUM(AN49:AQ49)</f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>
        <v>4</v>
      </c>
      <c r="BD49" s="50"/>
      <c r="BE49" s="49"/>
      <c r="BF49" s="50"/>
    </row>
    <row r="50" spans="1:58" ht="12.95" customHeight="1">
      <c r="A50" s="39"/>
      <c r="B50" s="40"/>
      <c r="C50" s="413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46"/>
      <c r="R50" s="499"/>
      <c r="S50" s="499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>+AM50+BA50</f>
        <v>40</v>
      </c>
      <c r="AE50" s="229" t="s">
        <v>498</v>
      </c>
      <c r="AF50" s="32"/>
      <c r="AG50" s="32"/>
      <c r="AH50" s="32">
        <v>40</v>
      </c>
      <c r="AJ50" s="36"/>
      <c r="AK50" s="36"/>
      <c r="AL50" s="36"/>
      <c r="AM50" s="36">
        <f>SUM(AF50:AL50)+AT50+AV50+AX50</f>
        <v>40</v>
      </c>
      <c r="AN50" s="36"/>
      <c r="AO50" s="36"/>
      <c r="AP50" s="36"/>
      <c r="AQ50" s="36"/>
      <c r="AR50" s="36">
        <f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+AR50+AS50+AU50+AW50+AY50+AZ50</f>
        <v>0</v>
      </c>
      <c r="BB50" s="32"/>
      <c r="BC50" s="502"/>
      <c r="BD50" s="502"/>
      <c r="BE50" s="32"/>
      <c r="BF50" s="502"/>
    </row>
    <row r="51" spans="1:58" ht="12.95" customHeight="1">
      <c r="A51" s="39"/>
      <c r="B51" s="40"/>
      <c r="C51" s="413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33"/>
      <c r="R51" s="499"/>
      <c r="S51" s="499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/>
      <c r="AE51" s="232"/>
      <c r="AF51" s="36"/>
      <c r="AG51" s="36"/>
      <c r="AH51" s="36"/>
      <c r="AI51" s="501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49"/>
      <c r="BC51" s="50"/>
      <c r="BD51" s="50"/>
      <c r="BE51" s="50"/>
      <c r="BF51" s="50"/>
    </row>
    <row r="52" spans="1:58" ht="12.75" customHeight="1">
      <c r="A52" s="39">
        <v>46003</v>
      </c>
      <c r="B52" s="40" t="s">
        <v>464</v>
      </c>
      <c r="C52" s="413">
        <f>(M52*E52*O52*Q52)/100000000</f>
        <v>25.28781</v>
      </c>
      <c r="D52" s="40" t="s">
        <v>302</v>
      </c>
      <c r="E52" s="41">
        <v>15</v>
      </c>
      <c r="F52" s="41">
        <v>1</v>
      </c>
      <c r="G52" s="498">
        <f>+L52</f>
        <v>1000</v>
      </c>
      <c r="H52" s="43">
        <f>+N52</f>
        <v>0.24210843373493984</v>
      </c>
      <c r="I52" s="44">
        <v>0.88</v>
      </c>
      <c r="J52" s="81">
        <f>E52*G52*(1-H52)*1440/1000000*2.74</f>
        <v>44.855054457831315</v>
      </c>
      <c r="K52" s="81">
        <f>(IF(G52&lt;L52,L52,G52)*(1-IF(H52&lt;N52,H52,N52))*E52*O52*Q52)/100000000</f>
        <v>25.28781</v>
      </c>
      <c r="L52" s="34">
        <v>1000</v>
      </c>
      <c r="M52" s="34">
        <v>757.89156626506019</v>
      </c>
      <c r="N52" s="45">
        <f>1-(M52/L52)</f>
        <v>0.24210843373493984</v>
      </c>
      <c r="O52" s="46">
        <f>+'Trim Rwd'!H34</f>
        <v>268</v>
      </c>
      <c r="P52" s="47">
        <f>O52*(Q52-R52-S52)</f>
        <v>210380</v>
      </c>
      <c r="Q52" s="46">
        <v>830</v>
      </c>
      <c r="R52" s="499">
        <v>0</v>
      </c>
      <c r="S52" s="499">
        <v>45</v>
      </c>
      <c r="T52" s="36">
        <f>E52*M52*O52*Q52/100000000</f>
        <v>25.28781</v>
      </c>
      <c r="U52" s="36">
        <f>E52*M52*O52*(Q52-R52-S52)/100000000</f>
        <v>23.916784156626505</v>
      </c>
      <c r="V52" s="36">
        <f>E52*G52*(1-N52)*O52/100*(R52+S52)/1000000</f>
        <v>1.3710258433734934</v>
      </c>
      <c r="W52" s="36">
        <f>+'12'!K11/1000</f>
        <v>25.864000000000001</v>
      </c>
      <c r="X52" s="500">
        <f>SUM(W52:W55)/SUM(K52:K55)</f>
        <v>0.96351061102185942</v>
      </c>
      <c r="Y52" s="210">
        <v>0</v>
      </c>
      <c r="Z52" s="36">
        <v>0</v>
      </c>
      <c r="AA52" s="48">
        <f>SUM(U52:U55)-SUM(W52:W55)-SUM(Z52:Z55)-SUM(Y52:Y55)</f>
        <v>-1.2155249581275953</v>
      </c>
      <c r="AB52" s="48">
        <f>(SUM(K52:K55)-SUM(W52:W55)-SUM(Y52:Y55)-SUM(Z52:Z55)-SUM(AC52:AC55)-SUM(V52:V55))-AA52</f>
        <v>-2.4081285245898698E-2</v>
      </c>
      <c r="AC52" s="36">
        <f>K52-T52</f>
        <v>0</v>
      </c>
      <c r="AD52" s="36">
        <f>+AM52+BA52</f>
        <v>30</v>
      </c>
      <c r="AE52" s="229" t="s">
        <v>436</v>
      </c>
      <c r="AF52" s="36">
        <v>30</v>
      </c>
      <c r="AG52" s="36"/>
      <c r="AH52" s="36"/>
      <c r="AI52" s="501"/>
      <c r="AJ52" s="36"/>
      <c r="AK52" s="36"/>
      <c r="AL52" s="36"/>
      <c r="AM52" s="36">
        <f>SUM(AF52:AL52)+AT52+AV52+AX52</f>
        <v>30</v>
      </c>
      <c r="AN52" s="36"/>
      <c r="AO52" s="36"/>
      <c r="AP52" s="36"/>
      <c r="AQ52" s="36"/>
      <c r="AR52" s="36">
        <f>SUM(AN52:AQ52)</f>
        <v>0</v>
      </c>
      <c r="AS52" s="36"/>
      <c r="AT52" s="36"/>
      <c r="AU52" s="36"/>
      <c r="AV52" s="36"/>
      <c r="AW52" s="36"/>
      <c r="AX52" s="36"/>
      <c r="AY52" s="36"/>
      <c r="AZ52" s="36"/>
      <c r="BA52" s="36">
        <f>+AR52+AS52+AU52+AW52+AY52+AZ52</f>
        <v>0</v>
      </c>
      <c r="BB52" s="32">
        <v>9</v>
      </c>
      <c r="BC52" s="50"/>
      <c r="BD52" s="50"/>
      <c r="BE52" s="32"/>
      <c r="BF52" s="50"/>
    </row>
    <row r="53" spans="1:58" ht="12.95" customHeight="1">
      <c r="A53" s="39"/>
      <c r="B53" s="40" t="s">
        <v>464</v>
      </c>
      <c r="C53" s="413">
        <f>(M53*E53*O53*Q53)/100000000</f>
        <v>17.371411200000001</v>
      </c>
      <c r="D53" s="40" t="s">
        <v>302</v>
      </c>
      <c r="E53" s="41">
        <v>12</v>
      </c>
      <c r="F53" s="41">
        <v>1</v>
      </c>
      <c r="G53" s="498">
        <v>1230</v>
      </c>
      <c r="H53" s="43">
        <f>+N53</f>
        <v>0.24</v>
      </c>
      <c r="I53" s="44">
        <v>0.88</v>
      </c>
      <c r="J53" s="81">
        <f>E53*G53*(1-H53)*1440/1000000*2.74</f>
        <v>44.260162560000005</v>
      </c>
      <c r="K53" s="81">
        <f>(IF(G53&lt;L53,L53,G53)*(1-IF(H53&lt;N53,H53,N53))*E53*O53*Q53)/100000000</f>
        <v>17.791113599999999</v>
      </c>
      <c r="L53" s="34">
        <v>1200.983606557377</v>
      </c>
      <c r="M53" s="34">
        <v>912.74754098360654</v>
      </c>
      <c r="N53" s="45">
        <f>1-(M53/L53)</f>
        <v>0.24</v>
      </c>
      <c r="O53" s="46">
        <f>+'Trim Rwd'!H36</f>
        <v>260</v>
      </c>
      <c r="P53" s="47">
        <f>O53*(Q53-R53-S53)</f>
        <v>149500</v>
      </c>
      <c r="Q53" s="46">
        <v>610</v>
      </c>
      <c r="R53" s="499">
        <v>0</v>
      </c>
      <c r="S53" s="499">
        <f>80-S52</f>
        <v>35</v>
      </c>
      <c r="T53" s="36">
        <f>E53*M53*O53*Q53/100000000</f>
        <v>17.371411200000001</v>
      </c>
      <c r="U53" s="36">
        <f>E53*M53*O53*(Q53-R53-S53)/100000000</f>
        <v>16.374690885245901</v>
      </c>
      <c r="V53" s="36">
        <f>E53*G53*(1-N53)*O53/100*(R53+S53)/1000000</f>
        <v>1.0208016</v>
      </c>
      <c r="W53" s="36">
        <f>+'12'!K9/1000</f>
        <v>12.888999999999999</v>
      </c>
      <c r="X53" s="37"/>
      <c r="Y53" s="210"/>
      <c r="Z53" s="36"/>
      <c r="AA53" s="36"/>
      <c r="AB53" s="36"/>
      <c r="AC53" s="36">
        <f>K53-T53</f>
        <v>0.41970239999999848</v>
      </c>
      <c r="AD53" s="36">
        <f>+AM53+BA53</f>
        <v>0</v>
      </c>
      <c r="AE53" s="229" t="s">
        <v>284</v>
      </c>
      <c r="AF53" s="36"/>
      <c r="AG53" s="36">
        <v>0</v>
      </c>
      <c r="AH53" s="36"/>
      <c r="AI53" s="501"/>
      <c r="AJ53" s="36"/>
      <c r="AK53" s="36"/>
      <c r="AL53" s="36"/>
      <c r="AM53" s="36">
        <f>SUM(AF53:AL53)+AT53+AV53+AX53</f>
        <v>0</v>
      </c>
      <c r="AN53" s="82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>
        <f>+AR53+AS53+AU53+AW53+AY53+AZ53</f>
        <v>0</v>
      </c>
      <c r="BB53" s="49"/>
      <c r="BC53" s="50">
        <v>0</v>
      </c>
      <c r="BD53" s="50"/>
      <c r="BE53" s="49"/>
      <c r="BF53" s="50"/>
    </row>
    <row r="54" spans="1:58" ht="12.95" customHeight="1">
      <c r="A54" s="39"/>
      <c r="B54" s="40" t="s">
        <v>464</v>
      </c>
      <c r="C54" s="413"/>
      <c r="D54" s="40"/>
      <c r="E54" s="41">
        <v>13</v>
      </c>
      <c r="F54" s="41"/>
      <c r="G54" s="42"/>
      <c r="H54" s="43"/>
      <c r="I54" s="44"/>
      <c r="J54" s="81"/>
      <c r="K54" s="81"/>
      <c r="L54" s="34"/>
      <c r="M54" s="34"/>
      <c r="N54" s="45"/>
      <c r="O54" s="46"/>
      <c r="P54" s="47"/>
      <c r="Q54" s="46"/>
      <c r="R54" s="499"/>
      <c r="S54" s="499"/>
      <c r="T54" s="36"/>
      <c r="U54" s="36"/>
      <c r="V54" s="36"/>
      <c r="W54" s="36">
        <f>+'12'!K10/1000</f>
        <v>2.754</v>
      </c>
      <c r="X54" s="37"/>
      <c r="Y54" s="210"/>
      <c r="Z54" s="36"/>
      <c r="AA54" s="36"/>
      <c r="AB54" s="36"/>
      <c r="AC54" s="36"/>
      <c r="AD54" s="36">
        <f>+AM54+BA54</f>
        <v>50</v>
      </c>
      <c r="AE54" s="229" t="s">
        <v>437</v>
      </c>
      <c r="AF54" s="32"/>
      <c r="AG54" s="32"/>
      <c r="AH54" s="32">
        <v>50</v>
      </c>
      <c r="AJ54" s="36"/>
      <c r="AK54" s="36"/>
      <c r="AL54" s="36"/>
      <c r="AM54" s="36">
        <f>SUM(AF54:AL54)+AT54+AV54+AX54</f>
        <v>50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/>
      <c r="BC54" s="502"/>
      <c r="BD54" s="502"/>
      <c r="BE54" s="32"/>
      <c r="BF54" s="502"/>
    </row>
    <row r="55" spans="1:58" ht="13.5" customHeight="1">
      <c r="A55" s="39"/>
      <c r="B55" s="40"/>
      <c r="C55" s="413"/>
      <c r="D55" s="40"/>
      <c r="E55" s="41"/>
      <c r="F55" s="41"/>
      <c r="G55" s="498"/>
      <c r="H55" s="43"/>
      <c r="I55" s="44"/>
      <c r="J55" s="81"/>
      <c r="K55" s="81"/>
      <c r="L55" s="34"/>
      <c r="M55" s="34"/>
      <c r="N55" s="45"/>
      <c r="O55" s="46"/>
      <c r="P55" s="47"/>
      <c r="Q55" s="46"/>
      <c r="R55" s="499"/>
      <c r="S55" s="499"/>
      <c r="T55" s="36"/>
      <c r="U55" s="36"/>
      <c r="V55" s="36"/>
      <c r="W55" s="36"/>
      <c r="X55" s="500"/>
      <c r="Y55" s="210"/>
      <c r="Z55" s="36"/>
      <c r="AA55" s="48"/>
      <c r="AB55" s="48"/>
      <c r="AC55" s="36"/>
      <c r="AD55" s="36"/>
      <c r="AE55" s="229"/>
      <c r="AF55" s="36"/>
      <c r="AG55" s="36"/>
      <c r="AH55" s="36"/>
      <c r="AI55" s="501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2"/>
      <c r="BC55" s="50"/>
      <c r="BD55" s="50"/>
      <c r="BE55" s="32"/>
      <c r="BF55" s="50"/>
    </row>
    <row r="56" spans="1:58" ht="12.75" customHeight="1">
      <c r="A56" s="39">
        <v>46004</v>
      </c>
      <c r="B56" s="40" t="s">
        <v>464</v>
      </c>
      <c r="C56" s="413">
        <f>(M56*E56*O56*Q56)/100000000</f>
        <v>4.4471856000000001</v>
      </c>
      <c r="D56" s="40" t="s">
        <v>302</v>
      </c>
      <c r="E56" s="41">
        <v>12</v>
      </c>
      <c r="F56" s="41">
        <v>1</v>
      </c>
      <c r="G56" s="498">
        <v>1230</v>
      </c>
      <c r="H56" s="43">
        <f>+N56</f>
        <v>0.24</v>
      </c>
      <c r="I56" s="44">
        <v>0.88</v>
      </c>
      <c r="J56" s="81">
        <f>E56*G56*(1-H56)*1440/1000000*2.74</f>
        <v>44.260162560000005</v>
      </c>
      <c r="K56" s="81">
        <f>(IF(G56&lt;L56,L56,G56)*(1-IF(H56&lt;N56,H56,N56))*E56*O56*Q56)/100000000</f>
        <v>4.5206927999999991</v>
      </c>
      <c r="L56" s="34">
        <v>1210</v>
      </c>
      <c r="M56" s="34">
        <v>919.6</v>
      </c>
      <c r="N56" s="45">
        <f>1-(M56/L56)</f>
        <v>0.24</v>
      </c>
      <c r="O56" s="46">
        <f>+'Trim Rwd'!H38</f>
        <v>260</v>
      </c>
      <c r="P56" s="47">
        <f>O56*(Q56-R56-S56)</f>
        <v>36400</v>
      </c>
      <c r="Q56" s="46">
        <v>155</v>
      </c>
      <c r="R56" s="499">
        <v>0</v>
      </c>
      <c r="S56" s="499">
        <v>15</v>
      </c>
      <c r="T56" s="36">
        <f>E56*M56*O56*Q56/100000000</f>
        <v>4.4471856000000001</v>
      </c>
      <c r="U56" s="36">
        <f>E56*M56*O56*(Q56-R56-S56)/100000000</f>
        <v>4.0168128000000003</v>
      </c>
      <c r="V56" s="36">
        <f>E56*G56*(1-N56)*O56/100*(R56+S56)/1000000</f>
        <v>0.43748639999999994</v>
      </c>
      <c r="W56" s="36">
        <f>+'13'!K9/1000</f>
        <v>11.222</v>
      </c>
      <c r="X56" s="500">
        <f>SUM(W56:W59)/SUM(K56:K59)</f>
        <v>0.81833416852695751</v>
      </c>
      <c r="Y56" s="210">
        <v>0</v>
      </c>
      <c r="Z56" s="36">
        <f>+'5'!D57/1000</f>
        <v>0</v>
      </c>
      <c r="AA56" s="48">
        <f>SUM(U56:U59)-SUM(W56:W59)-SUM(Z56:Z59)-SUM(Y56:Y59)</f>
        <v>3.4875680702754863</v>
      </c>
      <c r="AB56" s="48">
        <f>(SUM(K56:K59)-SUM(W56:W59)-SUM(Y56:Y59)-SUM(Z56:Z59)-SUM(AC56:AC59)-SUM(V56:V59))-AA56</f>
        <v>-6.4665404431396567E-2</v>
      </c>
      <c r="AC56" s="36">
        <f>K56-T56</f>
        <v>7.3507199999998996E-2</v>
      </c>
      <c r="AD56" s="36">
        <f>+AM56+BA56</f>
        <v>71</v>
      </c>
      <c r="AE56" s="229" t="s">
        <v>536</v>
      </c>
      <c r="AF56" s="36">
        <v>71</v>
      </c>
      <c r="AG56" s="36"/>
      <c r="AH56" s="36"/>
      <c r="AI56" s="501"/>
      <c r="AJ56" s="36"/>
      <c r="AK56" s="36"/>
      <c r="AL56" s="36"/>
      <c r="AM56" s="36">
        <f>SUM(AF56:AL56)+AT56+AV56+AX56</f>
        <v>71</v>
      </c>
      <c r="AN56" s="36"/>
      <c r="AO56" s="36"/>
      <c r="AP56" s="36"/>
      <c r="AQ56" s="36"/>
      <c r="AR56" s="36">
        <f>SUM(AN56:AQ56)</f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>
        <v>16</v>
      </c>
      <c r="BC56" s="50"/>
      <c r="BD56" s="50"/>
      <c r="BE56" s="32"/>
      <c r="BF56" s="50"/>
    </row>
    <row r="57" spans="1:58" ht="12.95" customHeight="1">
      <c r="A57" s="39"/>
      <c r="B57" s="40" t="s">
        <v>7</v>
      </c>
      <c r="C57" s="413">
        <f>(M57*E57*O57*Q57)/100000000</f>
        <v>36.356017318399992</v>
      </c>
      <c r="D57" s="40" t="s">
        <v>302</v>
      </c>
      <c r="E57" s="41">
        <v>12</v>
      </c>
      <c r="F57" s="41">
        <v>1</v>
      </c>
      <c r="G57" s="498">
        <v>1230</v>
      </c>
      <c r="H57" s="43">
        <f>+N57</f>
        <v>0.24378040592883343</v>
      </c>
      <c r="I57" s="44">
        <v>0.88</v>
      </c>
      <c r="J57" s="81">
        <f>E57*G57*(1-H57)*1440/1000000*2.74</f>
        <v>44.0400028482198</v>
      </c>
      <c r="K57" s="81">
        <f>(IF(G57&lt;L57,L57,G57)*(1-IF(H57&lt;N57,H57,N57))*E57*O57*Q57)/100000000</f>
        <v>37.095558005343378</v>
      </c>
      <c r="L57" s="34">
        <v>1205.4785992217899</v>
      </c>
      <c r="M57" s="34">
        <v>911.60653696498048</v>
      </c>
      <c r="N57" s="45">
        <f>1-(M57/L57)</f>
        <v>0.24378040592883343</v>
      </c>
      <c r="O57" s="46">
        <f>+'Trim Rwd'!H39</f>
        <v>258.63333333333333</v>
      </c>
      <c r="P57" s="47">
        <f>O57*(Q57-R57-S57)</f>
        <v>306480.5</v>
      </c>
      <c r="Q57" s="46">
        <v>1285</v>
      </c>
      <c r="R57" s="499">
        <v>0</v>
      </c>
      <c r="S57" s="499">
        <v>100</v>
      </c>
      <c r="T57" s="36">
        <f>E57*M57*O57*Q57/100000000</f>
        <v>36.356017318399992</v>
      </c>
      <c r="U57" s="36">
        <f>E57*M57*O57*(Q57-R57-S57)/100000000</f>
        <v>33.52675527027548</v>
      </c>
      <c r="V57" s="36">
        <f>E57*G57*(1-N57)*O57/100*(R57+S57)/1000000</f>
        <v>2.8868138525559051</v>
      </c>
      <c r="W57" s="36">
        <f>+'13'!K12/1000</f>
        <v>22.834</v>
      </c>
      <c r="X57" s="37"/>
      <c r="Y57" s="210"/>
      <c r="Z57" s="36"/>
      <c r="AA57" s="36"/>
      <c r="AB57" s="36"/>
      <c r="AC57" s="36">
        <f>K57-T57</f>
        <v>0.73954068694338559</v>
      </c>
      <c r="AD57" s="36">
        <f>+AM57+BA57</f>
        <v>0</v>
      </c>
      <c r="AE57" s="229" t="s">
        <v>284</v>
      </c>
      <c r="AF57" s="36"/>
      <c r="AG57" s="36">
        <v>0</v>
      </c>
      <c r="AH57" s="36"/>
      <c r="AI57" s="501"/>
      <c r="AJ57" s="36"/>
      <c r="AK57" s="36"/>
      <c r="AL57" s="36"/>
      <c r="AM57" s="36">
        <f>SUM(AF57:AL57)+AT57+AV57+AX57</f>
        <v>0</v>
      </c>
      <c r="AN57" s="82"/>
      <c r="AO57" s="36"/>
      <c r="AP57" s="36"/>
      <c r="AQ57" s="36"/>
      <c r="AR57" s="36">
        <f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>
        <v>0</v>
      </c>
      <c r="BD57" s="50"/>
      <c r="BE57" s="49"/>
      <c r="BF57" s="50"/>
    </row>
    <row r="58" spans="1:58" ht="12.95" customHeight="1">
      <c r="A58" s="39"/>
      <c r="B58" s="40"/>
      <c r="C58" s="413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499"/>
      <c r="S58" s="499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>
        <f>+AM58+BA58</f>
        <v>44</v>
      </c>
      <c r="AE58" s="229" t="s">
        <v>443</v>
      </c>
      <c r="AF58" s="32"/>
      <c r="AG58" s="32"/>
      <c r="AH58" s="32">
        <v>44</v>
      </c>
      <c r="AJ58" s="36"/>
      <c r="AK58" s="36"/>
      <c r="AL58" s="36"/>
      <c r="AM58" s="36">
        <f>SUM(AF58:AL58)+AT58+AV58+AX58</f>
        <v>44</v>
      </c>
      <c r="AN58" s="36"/>
      <c r="AO58" s="36"/>
      <c r="AP58" s="36"/>
      <c r="AQ58" s="36"/>
      <c r="AR58" s="36">
        <f>SUM(AN58:AQ58)</f>
        <v>0</v>
      </c>
      <c r="AS58" s="36"/>
      <c r="AT58" s="36"/>
      <c r="AU58" s="36"/>
      <c r="AV58" s="36"/>
      <c r="AW58" s="36"/>
      <c r="AX58" s="36"/>
      <c r="AY58" s="36"/>
      <c r="AZ58" s="36"/>
      <c r="BA58" s="36">
        <f>+AR58+AS58+AU58+AW58+AY58+AZ58</f>
        <v>0</v>
      </c>
      <c r="BB58" s="32"/>
      <c r="BC58" s="502"/>
      <c r="BD58" s="502"/>
      <c r="BE58" s="32"/>
      <c r="BF58" s="502"/>
    </row>
    <row r="59" spans="1:58" ht="12.95" customHeight="1">
      <c r="A59" s="39"/>
      <c r="B59" s="40"/>
      <c r="C59" s="413"/>
      <c r="D59" s="40"/>
      <c r="E59" s="41"/>
      <c r="F59" s="41"/>
      <c r="G59" s="42"/>
      <c r="H59" s="43"/>
      <c r="I59" s="44"/>
      <c r="J59" s="81"/>
      <c r="K59" s="81"/>
      <c r="L59" s="34"/>
      <c r="M59" s="34"/>
      <c r="N59" s="45"/>
      <c r="O59" s="46"/>
      <c r="P59" s="47"/>
      <c r="Q59" s="33"/>
      <c r="R59" s="499"/>
      <c r="S59" s="499"/>
      <c r="T59" s="36"/>
      <c r="U59" s="36"/>
      <c r="V59" s="36"/>
      <c r="W59" s="36"/>
      <c r="X59" s="37"/>
      <c r="Y59" s="210"/>
      <c r="Z59" s="36"/>
      <c r="AA59" s="36"/>
      <c r="AB59" s="36"/>
      <c r="AC59" s="36"/>
      <c r="AD59" s="36"/>
      <c r="AE59" s="232"/>
      <c r="AF59" s="36"/>
      <c r="AG59" s="36"/>
      <c r="AH59" s="36"/>
      <c r="AI59" s="501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49"/>
      <c r="BC59" s="50"/>
      <c r="BD59" s="50"/>
      <c r="BE59" s="50"/>
      <c r="BF59" s="50"/>
    </row>
    <row r="60" spans="1:58" ht="12.75" customHeight="1">
      <c r="A60" s="39">
        <v>46005</v>
      </c>
      <c r="B60" s="40" t="s">
        <v>7</v>
      </c>
      <c r="C60" s="413">
        <f>(M60*E60*O60*Q60)/100000000</f>
        <v>39.277879919999997</v>
      </c>
      <c r="D60" s="40" t="s">
        <v>302</v>
      </c>
      <c r="E60" s="41">
        <v>12</v>
      </c>
      <c r="F60" s="41">
        <v>1</v>
      </c>
      <c r="G60" s="498">
        <v>1230</v>
      </c>
      <c r="H60" s="43">
        <v>0.24</v>
      </c>
      <c r="I60" s="44">
        <v>0.88</v>
      </c>
      <c r="J60" s="81">
        <f>E60*G60*(1-H60)*1440/1000000*2.74</f>
        <v>44.260162560000005</v>
      </c>
      <c r="K60" s="81">
        <f>(IF(G60&lt;L60,L60,G60)*(1-IF(H60&lt;N60,H60,N60))*E60*O60*Q60)/100000000</f>
        <v>41.594860799999992</v>
      </c>
      <c r="L60" s="34">
        <v>1195.75</v>
      </c>
      <c r="M60" s="34">
        <v>882.72833333333335</v>
      </c>
      <c r="N60" s="45">
        <f>1-(M60/L60)</f>
        <v>0.26177852115129974</v>
      </c>
      <c r="O60" s="46">
        <f>+'Trim Rwd'!H42</f>
        <v>257.5</v>
      </c>
      <c r="P60" s="47">
        <f>O60*(Q60-R60-S60)</f>
        <v>355092.5</v>
      </c>
      <c r="Q60" s="46">
        <v>1440</v>
      </c>
      <c r="R60" s="499">
        <v>0</v>
      </c>
      <c r="S60" s="499">
        <v>61</v>
      </c>
      <c r="T60" s="36">
        <f>E60*M60*O60*Q60/100000000</f>
        <v>39.277879919999997</v>
      </c>
      <c r="U60" s="36">
        <f>E60*M60*O60*(Q60-R60-S60)/100000000</f>
        <v>37.614025284499995</v>
      </c>
      <c r="V60" s="36">
        <f>E60*G60*(1-N60)*O60/100*(R60+S60)/1000000</f>
        <v>1.7115126085427554</v>
      </c>
      <c r="W60" s="36">
        <f>+'14'!K12/1000</f>
        <v>33.35</v>
      </c>
      <c r="X60" s="500">
        <f>SUM(W60:W63)/SUM(K60:K63)</f>
        <v>0.80178174319073592</v>
      </c>
      <c r="Y60" s="210">
        <v>0</v>
      </c>
      <c r="Z60" s="36">
        <f>+'5'!D61/1000</f>
        <v>0</v>
      </c>
      <c r="AA60" s="48">
        <f>SUM(U60:U63)-SUM(W60:W63)-SUM(Z60:Z63)-SUM(Y60:Y63)</f>
        <v>4.2640252844999935</v>
      </c>
      <c r="AB60" s="48">
        <f>(SUM(K60:K63)-SUM(W60:W63)-SUM(Y60:Y63)-SUM(Z60:Z63)-SUM(AC60:AC63)-SUM(V60:V63))-AA60</f>
        <v>-4.7657973042753987E-2</v>
      </c>
      <c r="AC60" s="36">
        <f>K60-T60</f>
        <v>2.3169808799999956</v>
      </c>
      <c r="AD60" s="36">
        <f>+AM60+BA60</f>
        <v>15</v>
      </c>
      <c r="AE60" s="229" t="s">
        <v>442</v>
      </c>
      <c r="AF60" s="36">
        <v>15</v>
      </c>
      <c r="AG60" s="36"/>
      <c r="AH60" s="36"/>
      <c r="AI60" s="501"/>
      <c r="AJ60" s="36"/>
      <c r="AK60" s="36"/>
      <c r="AL60" s="36"/>
      <c r="AM60" s="36">
        <f>SUM(AF60:AL60)+AT60+AV60+AX60</f>
        <v>15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32">
        <v>6</v>
      </c>
      <c r="BC60" s="50"/>
      <c r="BD60" s="50"/>
      <c r="BE60" s="32"/>
      <c r="BF60" s="50"/>
    </row>
    <row r="61" spans="1:58" ht="12.95" customHeight="1">
      <c r="A61" s="39"/>
      <c r="B61" s="40"/>
      <c r="C61" s="413"/>
      <c r="D61" s="40"/>
      <c r="E61" s="41"/>
      <c r="F61" s="41"/>
      <c r="G61" s="498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499"/>
      <c r="S61" s="499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+AM61+BA61</f>
        <v>3</v>
      </c>
      <c r="AE61" s="229" t="s">
        <v>532</v>
      </c>
      <c r="AF61" s="36"/>
      <c r="AG61" s="36">
        <v>3</v>
      </c>
      <c r="AH61" s="36"/>
      <c r="AI61" s="501"/>
      <c r="AJ61" s="36"/>
      <c r="AK61" s="36"/>
      <c r="AL61" s="36"/>
      <c r="AM61" s="36">
        <f>SUM(AF61:AL61)+AT61+AV61+AX61</f>
        <v>3</v>
      </c>
      <c r="AN61" s="82"/>
      <c r="AO61" s="36"/>
      <c r="AP61" s="36"/>
      <c r="AQ61" s="36"/>
      <c r="AR61" s="36">
        <f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49"/>
      <c r="BC61" s="50">
        <v>1</v>
      </c>
      <c r="BD61" s="50"/>
      <c r="BE61" s="49"/>
      <c r="BF61" s="50"/>
    </row>
    <row r="62" spans="1:58" ht="12.95" customHeight="1">
      <c r="A62" s="39"/>
      <c r="B62" s="40"/>
      <c r="C62" s="413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46"/>
      <c r="R62" s="499"/>
      <c r="S62" s="499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+AM62+BA62</f>
        <v>43</v>
      </c>
      <c r="AE62" s="229" t="s">
        <v>498</v>
      </c>
      <c r="AF62" s="32"/>
      <c r="AG62" s="32"/>
      <c r="AH62" s="32">
        <v>43</v>
      </c>
      <c r="AJ62" s="36"/>
      <c r="AK62" s="36"/>
      <c r="AL62" s="36"/>
      <c r="AM62" s="36">
        <f>SUM(AF62:AL62)+AT62+AV62+AX62</f>
        <v>43</v>
      </c>
      <c r="AN62" s="36"/>
      <c r="AO62" s="36"/>
      <c r="AP62" s="36"/>
      <c r="AQ62" s="36"/>
      <c r="AR62" s="36">
        <f>SUM(AN62:AQ62)</f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32"/>
      <c r="BC62" s="502"/>
      <c r="BD62" s="502"/>
      <c r="BE62" s="32"/>
      <c r="BF62" s="502"/>
    </row>
    <row r="63" spans="1:58" ht="12.95" customHeight="1">
      <c r="A63" s="39"/>
      <c r="B63" s="40"/>
      <c r="C63" s="413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33"/>
      <c r="R63" s="499"/>
      <c r="S63" s="499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/>
      <c r="AE63" s="232"/>
      <c r="AF63" s="36"/>
      <c r="AG63" s="36"/>
      <c r="AH63" s="36"/>
      <c r="AI63" s="501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49"/>
      <c r="BC63" s="50"/>
      <c r="BD63" s="50"/>
      <c r="BE63" s="49"/>
      <c r="BF63" s="50"/>
    </row>
    <row r="64" spans="1:58" ht="12.75" customHeight="1">
      <c r="A64" s="39">
        <v>46006</v>
      </c>
      <c r="B64" s="40" t="s">
        <v>7</v>
      </c>
      <c r="C64" s="413">
        <f>(M64*E64*O64*Q64)/100000000</f>
        <v>14.977824525000001</v>
      </c>
      <c r="D64" s="40" t="s">
        <v>302</v>
      </c>
      <c r="E64" s="41">
        <v>12</v>
      </c>
      <c r="F64" s="41">
        <v>1</v>
      </c>
      <c r="G64" s="498">
        <v>1230</v>
      </c>
      <c r="H64" s="43">
        <v>0.24</v>
      </c>
      <c r="I64" s="44">
        <v>0.88</v>
      </c>
      <c r="J64" s="81">
        <f>E64*G64*(1-H64)*1440/1000000*2.74</f>
        <v>44.260162560000005</v>
      </c>
      <c r="K64" s="81">
        <f>(IF(G64&lt;L64,L64,G64)*(1-IF(H64&lt;N64,H64,N64))*E64*O64*Q64)/100000000</f>
        <v>16.259210099999997</v>
      </c>
      <c r="L64" s="34">
        <v>1161.4285714285713</v>
      </c>
      <c r="M64" s="34">
        <v>861.12857142857138</v>
      </c>
      <c r="N64" s="45">
        <f>1-(M64/L64)</f>
        <v>0.25856088560885604</v>
      </c>
      <c r="O64" s="46">
        <f>+'Trim Rwd'!H44</f>
        <v>258.828125</v>
      </c>
      <c r="P64" s="47">
        <f>O64*(Q64-R64-S64)</f>
        <v>137696.5625</v>
      </c>
      <c r="Q64" s="46">
        <v>560</v>
      </c>
      <c r="R64" s="499">
        <v>0</v>
      </c>
      <c r="S64" s="499">
        <v>28</v>
      </c>
      <c r="T64" s="36">
        <f>E64*M64*O64*Q64/100000000</f>
        <v>14.977824525000001</v>
      </c>
      <c r="U64" s="36">
        <f>E64*M64*O64*(Q64-R64-S64)/100000000</f>
        <v>14.22893329875</v>
      </c>
      <c r="V64" s="36">
        <f>E64*G64*(1-N64)*O64/100*(R64+S64)/1000000</f>
        <v>0.79310620639760154</v>
      </c>
      <c r="W64" s="36">
        <f>+'15'!K12/1000</f>
        <v>18.882000000000001</v>
      </c>
      <c r="X64" s="500">
        <f>SUM(W64:W67)/SUM(K64:K67)</f>
        <v>0.83392234525081543</v>
      </c>
      <c r="Y64" s="210">
        <v>0</v>
      </c>
      <c r="Z64" s="36">
        <f>+'15'!D7/1000</f>
        <v>0.53700000000000003</v>
      </c>
      <c r="AA64" s="48">
        <f>SUM(U64:U67)-SUM(W64:W67)-SUM(Z64:Z67)-SUM(Y64:Y67)</f>
        <v>1.5314809911136384</v>
      </c>
      <c r="AB64" s="48">
        <f>(SUM(K64:K67)-SUM(W64:W67)-SUM(Y64:Y67)-SUM(Z64:Z67)-SUM(AC64:AC67)-SUM(V64:V67))-AA64</f>
        <v>-0.10726896051123802</v>
      </c>
      <c r="AC64" s="36">
        <f>K64-T64</f>
        <v>1.2813855749999963</v>
      </c>
      <c r="AD64" s="36">
        <f>+AM64+BA64</f>
        <v>9</v>
      </c>
      <c r="AE64" s="229" t="s">
        <v>423</v>
      </c>
      <c r="AF64" s="36">
        <v>9</v>
      </c>
      <c r="AG64" s="36"/>
      <c r="AH64" s="36"/>
      <c r="AI64" s="501"/>
      <c r="AJ64" s="36"/>
      <c r="AK64" s="36"/>
      <c r="AL64" s="36"/>
      <c r="AM64" s="36">
        <f>SUM(AF64:AL64)+AT64+AV64+AX64</f>
        <v>9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>
        <v>3</v>
      </c>
      <c r="BC64" s="50"/>
      <c r="BD64" s="50"/>
      <c r="BE64" s="32"/>
      <c r="BF64" s="50"/>
    </row>
    <row r="65" spans="1:58" ht="12.95" customHeight="1">
      <c r="A65" s="39"/>
      <c r="B65" s="40" t="s">
        <v>7</v>
      </c>
      <c r="C65" s="413">
        <f>(M65*E65*O65*Q65)/100000000</f>
        <v>26.203621392000002</v>
      </c>
      <c r="D65" s="40" t="s">
        <v>302</v>
      </c>
      <c r="E65" s="41">
        <v>13</v>
      </c>
      <c r="F65" s="41">
        <v>1</v>
      </c>
      <c r="G65" s="498">
        <v>1230</v>
      </c>
      <c r="H65" s="43">
        <v>0.22</v>
      </c>
      <c r="I65" s="44">
        <v>0.88</v>
      </c>
      <c r="J65" s="81">
        <f>E65*G65*(1-H65)*1440/1000000*2.74</f>
        <v>49.210312320000007</v>
      </c>
      <c r="K65" s="81">
        <f>(IF(G65&lt;L65,L65,G65)*(1-IF(H65&lt;N65,H65,N65))*E65*O65*Q65)/100000000</f>
        <v>28.316882879999994</v>
      </c>
      <c r="L65" s="34">
        <v>1168.159090909091</v>
      </c>
      <c r="M65" s="34">
        <v>887.80090909090916</v>
      </c>
      <c r="N65" s="45">
        <f>1-(M65/L65)</f>
        <v>0.24</v>
      </c>
      <c r="O65" s="46">
        <f>+'Trim Rwd'!H46</f>
        <v>258</v>
      </c>
      <c r="P65" s="47">
        <f>O65*(Q65-R65-S65)</f>
        <v>216720</v>
      </c>
      <c r="Q65" s="46">
        <v>880</v>
      </c>
      <c r="R65" s="499">
        <v>0</v>
      </c>
      <c r="S65" s="499">
        <v>40</v>
      </c>
      <c r="T65" s="36">
        <f>E65*M65*O65*Q65/100000000</f>
        <v>26.203621392000002</v>
      </c>
      <c r="U65" s="36">
        <f>E65*M65*O65*(Q65-R65-S65)/100000000</f>
        <v>25.01254769236364</v>
      </c>
      <c r="V65" s="36">
        <f>E65*G65*(1-N65)*O65/100*(R65+S65)/1000000</f>
        <v>1.2541276799999996</v>
      </c>
      <c r="W65" s="36">
        <f>+'15'!K13/1000</f>
        <v>18.291</v>
      </c>
      <c r="X65" s="37"/>
      <c r="Y65" s="210"/>
      <c r="Z65" s="36"/>
      <c r="AA65" s="36"/>
      <c r="AB65" s="36"/>
      <c r="AC65" s="36">
        <f>K65-T65</f>
        <v>2.113261487999992</v>
      </c>
      <c r="AD65" s="36">
        <f>+AM65+BA65</f>
        <v>15</v>
      </c>
      <c r="AE65" s="229" t="s">
        <v>551</v>
      </c>
      <c r="AF65" s="36"/>
      <c r="AG65" s="36">
        <v>15</v>
      </c>
      <c r="AH65" s="36"/>
      <c r="AI65" s="501"/>
      <c r="AJ65" s="36"/>
      <c r="AK65" s="36"/>
      <c r="AL65" s="36"/>
      <c r="AM65" s="36">
        <f>SUM(AF65:AL65)+AT65+AV65+AX65</f>
        <v>15</v>
      </c>
      <c r="AN65" s="82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49"/>
      <c r="BC65" s="50">
        <v>12</v>
      </c>
      <c r="BD65" s="50"/>
      <c r="BE65" s="49"/>
      <c r="BF65" s="50"/>
    </row>
    <row r="66" spans="1:58" ht="12.95" customHeight="1">
      <c r="A66" s="39"/>
      <c r="B66" s="40"/>
      <c r="C66" s="413"/>
      <c r="D66" s="40"/>
      <c r="E66" s="41"/>
      <c r="F66" s="41"/>
      <c r="G66" s="42"/>
      <c r="H66" s="43"/>
      <c r="I66" s="44"/>
      <c r="J66" s="81"/>
      <c r="K66" s="81"/>
      <c r="L66" s="34"/>
      <c r="M66" s="34"/>
      <c r="N66" s="45"/>
      <c r="O66" s="46"/>
      <c r="P66" s="47"/>
      <c r="Q66" s="46"/>
      <c r="R66" s="499"/>
      <c r="S66" s="499"/>
      <c r="T66" s="36"/>
      <c r="U66" s="36"/>
      <c r="V66" s="36"/>
      <c r="W66" s="36"/>
      <c r="X66" s="37"/>
      <c r="Y66" s="210"/>
      <c r="Z66" s="36"/>
      <c r="AA66" s="36"/>
      <c r="AB66" s="36"/>
      <c r="AC66" s="36"/>
      <c r="AD66" s="36">
        <f>+AM66+BA66</f>
        <v>44</v>
      </c>
      <c r="AE66" s="229" t="s">
        <v>437</v>
      </c>
      <c r="AF66" s="32"/>
      <c r="AG66" s="32"/>
      <c r="AH66" s="32">
        <v>44</v>
      </c>
      <c r="AJ66" s="36"/>
      <c r="AK66" s="36"/>
      <c r="AL66" s="36"/>
      <c r="AM66" s="36">
        <f>SUM(AF66:AL66)+AT66+AV66+AX66</f>
        <v>44</v>
      </c>
      <c r="AN66" s="36"/>
      <c r="AO66" s="36"/>
      <c r="AP66" s="36"/>
      <c r="AQ66" s="36"/>
      <c r="AR66" s="36">
        <f>SUM(AN66:AQ66)</f>
        <v>0</v>
      </c>
      <c r="AS66" s="36"/>
      <c r="AT66" s="36"/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02"/>
      <c r="BD66" s="502"/>
      <c r="BE66" s="32"/>
      <c r="BF66" s="502"/>
    </row>
    <row r="67" spans="1:58" ht="12.95" customHeight="1">
      <c r="A67" s="39"/>
      <c r="B67" s="40"/>
      <c r="C67" s="413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33"/>
      <c r="R67" s="499"/>
      <c r="S67" s="499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/>
      <c r="AE67" s="232"/>
      <c r="AF67" s="36"/>
      <c r="AG67" s="36"/>
      <c r="AH67" s="36"/>
      <c r="AI67" s="501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49"/>
      <c r="BC67" s="50"/>
      <c r="BD67" s="50"/>
      <c r="BE67" s="49"/>
      <c r="BF67" s="50"/>
    </row>
    <row r="68" spans="1:58" ht="12.75" customHeight="1">
      <c r="A68" s="39">
        <v>46007</v>
      </c>
      <c r="B68" s="40" t="s">
        <v>7</v>
      </c>
      <c r="C68" s="413">
        <f>(M68*E68*O68*Q68)/100000000</f>
        <v>12.454578702222223</v>
      </c>
      <c r="D68" s="40" t="s">
        <v>302</v>
      </c>
      <c r="E68" s="41">
        <v>13</v>
      </c>
      <c r="F68" s="41">
        <v>1</v>
      </c>
      <c r="G68" s="498">
        <v>1230</v>
      </c>
      <c r="H68" s="43">
        <v>0.22</v>
      </c>
      <c r="I68" s="44">
        <v>0.88</v>
      </c>
      <c r="J68" s="81">
        <f>E68*G68*(1-H68)*1440/1000000*2.74</f>
        <v>49.210312320000007</v>
      </c>
      <c r="K68" s="81">
        <f>(IF(G68&lt;L68,L68,G68)*(1-IF(H68&lt;N68,H68,N68))*E68*O68*Q68)/100000000</f>
        <v>14.037738259999999</v>
      </c>
      <c r="L68" s="34">
        <v>1120</v>
      </c>
      <c r="M68" s="34">
        <v>851.2</v>
      </c>
      <c r="N68" s="45">
        <f>1-(M68/L68)</f>
        <v>0.24</v>
      </c>
      <c r="O68" s="46">
        <f>+'Trim Rwd'!H48</f>
        <v>258.74074074074076</v>
      </c>
      <c r="P68" s="47">
        <f>O68*(Q68-R68-S68)</f>
        <v>108412.37037037038</v>
      </c>
      <c r="Q68" s="46">
        <v>435</v>
      </c>
      <c r="R68" s="499">
        <v>0</v>
      </c>
      <c r="S68" s="499">
        <v>16</v>
      </c>
      <c r="T68" s="36">
        <f>E68*M68*O68*Q68/100000000</f>
        <v>12.454578702222223</v>
      </c>
      <c r="U68" s="36">
        <f>E68*M68*O68*(Q68-R68-S68)/100000000</f>
        <v>11.996479255703704</v>
      </c>
      <c r="V68" s="36">
        <f>E68*G68*(1-N68)*O68/100*(R68+S68)/1000000</f>
        <v>0.50309135644444447</v>
      </c>
      <c r="W68" s="36">
        <f>+'16'!K13/1000</f>
        <v>14.085000000000001</v>
      </c>
      <c r="X68" s="500">
        <f>SUM(W68:W71)/SUM(K68:K71)</f>
        <v>0.71544699401876766</v>
      </c>
      <c r="Y68" s="210">
        <v>0</v>
      </c>
      <c r="Z68" s="36">
        <f>+'16'!D7/1000</f>
        <v>0.53100000000000003</v>
      </c>
      <c r="AA68" s="48">
        <f>SUM(U68:U71)-SUM(W68:W71)-SUM(Z68:Z71)-SUM(Y68:Y71)</f>
        <v>4.1300089381334031</v>
      </c>
      <c r="AB68" s="48">
        <f>(SUM(K68:K71)-SUM(W68:W71)-SUM(Y68:Y71)-SUM(Z68:Z71)-SUM(AC68:AC71)-SUM(V68:V71))-AA68</f>
        <v>-0.20938089105519531</v>
      </c>
      <c r="AC68" s="36">
        <f>K68-T68</f>
        <v>1.5831595577777762</v>
      </c>
      <c r="AD68" s="36">
        <f>+AM68+BA68</f>
        <v>9</v>
      </c>
      <c r="AE68" s="229" t="s">
        <v>423</v>
      </c>
      <c r="AF68" s="36">
        <v>9</v>
      </c>
      <c r="AG68" s="36"/>
      <c r="AH68" s="36"/>
      <c r="AI68" s="501"/>
      <c r="AJ68" s="36"/>
      <c r="AK68" s="36"/>
      <c r="AL68" s="36"/>
      <c r="AM68" s="36">
        <f>SUM(AF68:AL68)+AT68+AV68+AX68</f>
        <v>9</v>
      </c>
      <c r="AN68" s="36"/>
      <c r="AO68" s="36"/>
      <c r="AP68" s="36"/>
      <c r="AQ68" s="36"/>
      <c r="AR68" s="36">
        <f>SUM(AN68:AQ68)</f>
        <v>0</v>
      </c>
      <c r="AS68" s="36"/>
      <c r="AT68" s="36"/>
      <c r="AU68" s="36"/>
      <c r="AV68" s="36"/>
      <c r="AW68" s="36"/>
      <c r="AX68" s="36"/>
      <c r="AY68" s="36"/>
      <c r="AZ68" s="36"/>
      <c r="BA68" s="36">
        <f>+AR68+AS68+AU68+AW68+AY68+AZ68</f>
        <v>0</v>
      </c>
      <c r="BB68" s="32">
        <v>3</v>
      </c>
      <c r="BC68" s="50"/>
      <c r="BD68" s="50"/>
      <c r="BE68" s="32"/>
      <c r="BF68" s="50"/>
    </row>
    <row r="69" spans="1:58" ht="12.95" customHeight="1">
      <c r="A69" s="39"/>
      <c r="B69" s="40" t="s">
        <v>7</v>
      </c>
      <c r="C69" s="413">
        <f>(M69*E69*O69*Q69)/100000000</f>
        <v>27.67861650573678</v>
      </c>
      <c r="D69" s="40" t="s">
        <v>302</v>
      </c>
      <c r="E69" s="41">
        <v>12</v>
      </c>
      <c r="F69" s="41">
        <v>1</v>
      </c>
      <c r="G69" s="498">
        <v>1230</v>
      </c>
      <c r="H69" s="43">
        <f>+N69</f>
        <v>0.2441045922722358</v>
      </c>
      <c r="I69" s="44">
        <v>0.88</v>
      </c>
      <c r="J69" s="81">
        <f>E69*G69*(1-H69)*1440/1000000*2.74</f>
        <v>44.021123189984635</v>
      </c>
      <c r="K69" s="81">
        <f>(IF(G69&lt;L69,L69,G69)*(1-IF(H69&lt;N69,H69,N69))*E69*O69*Q69)/100000000</f>
        <v>28.704771325829395</v>
      </c>
      <c r="L69" s="34">
        <v>1186.029246344207</v>
      </c>
      <c r="M69" s="34">
        <v>896.5140607424072</v>
      </c>
      <c r="N69" s="45">
        <f>1-(M69/L69)</f>
        <v>0.2441045922722358</v>
      </c>
      <c r="O69" s="46">
        <f>+'Trim Rwd'!H50</f>
        <v>256</v>
      </c>
      <c r="P69" s="47">
        <f>O69*(Q69-R69-S69)</f>
        <v>216064</v>
      </c>
      <c r="Q69" s="46">
        <f>889+116</f>
        <v>1005</v>
      </c>
      <c r="R69" s="499">
        <v>116</v>
      </c>
      <c r="S69" s="499">
        <f>61-S68</f>
        <v>45</v>
      </c>
      <c r="T69" s="36">
        <f>E69*M69*O69*Q69/100000000</f>
        <v>27.67861650573678</v>
      </c>
      <c r="U69" s="36">
        <f>E69*M69*O69*(Q69-R69-S69)/100000000</f>
        <v>23.244529682429697</v>
      </c>
      <c r="V69" s="36">
        <f>E69*G69*(1-N69)*O69/100*(R69+S69)/1000000</f>
        <v>4.598475804436351</v>
      </c>
      <c r="W69" s="36">
        <f>+'16'!K12/1000</f>
        <v>16.495000000000001</v>
      </c>
      <c r="X69" s="37"/>
      <c r="Y69" s="210"/>
      <c r="Z69" s="36"/>
      <c r="AA69" s="36"/>
      <c r="AB69" s="36"/>
      <c r="AC69" s="36">
        <f>K69-T69</f>
        <v>1.0261548200926143</v>
      </c>
      <c r="AD69" s="36">
        <f>+AM69+BA69</f>
        <v>11</v>
      </c>
      <c r="AE69" s="229" t="s">
        <v>386</v>
      </c>
      <c r="AF69" s="36"/>
      <c r="AG69" s="36">
        <v>11</v>
      </c>
      <c r="AH69" s="36"/>
      <c r="AI69" s="501"/>
      <c r="AJ69" s="36"/>
      <c r="AK69" s="36"/>
      <c r="AL69" s="36"/>
      <c r="AM69" s="36">
        <f>SUM(AF69:AL69)+AT69+AV69+AX69</f>
        <v>11</v>
      </c>
      <c r="AN69" s="82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49"/>
      <c r="BC69" s="50">
        <v>5</v>
      </c>
      <c r="BD69" s="50"/>
      <c r="BE69" s="49"/>
      <c r="BF69" s="50"/>
    </row>
    <row r="70" spans="1:58" ht="12.95" customHeight="1">
      <c r="A70" s="39"/>
      <c r="B70" s="40"/>
      <c r="C70" s="413"/>
      <c r="D70" s="40"/>
      <c r="E70" s="41"/>
      <c r="F70" s="41"/>
      <c r="G70" s="42"/>
      <c r="H70" s="43"/>
      <c r="I70" s="44"/>
      <c r="J70" s="81"/>
      <c r="K70" s="81"/>
      <c r="L70" s="34"/>
      <c r="M70" s="34"/>
      <c r="N70" s="45"/>
      <c r="O70" s="46"/>
      <c r="P70" s="47"/>
      <c r="Q70" s="46"/>
      <c r="R70" s="499"/>
      <c r="S70" s="499"/>
      <c r="T70" s="36"/>
      <c r="U70" s="36"/>
      <c r="V70" s="36"/>
      <c r="W70" s="36"/>
      <c r="X70" s="37"/>
      <c r="Y70" s="210"/>
      <c r="Z70" s="36"/>
      <c r="AA70" s="36"/>
      <c r="AB70" s="36"/>
      <c r="AC70" s="36"/>
      <c r="AD70" s="36">
        <f>+AM70+BA70</f>
        <v>41</v>
      </c>
      <c r="AE70" s="229" t="s">
        <v>498</v>
      </c>
      <c r="AF70" s="32"/>
      <c r="AG70" s="32"/>
      <c r="AH70" s="32">
        <v>41</v>
      </c>
      <c r="AJ70" s="36"/>
      <c r="AK70" s="36"/>
      <c r="AL70" s="36"/>
      <c r="AM70" s="36">
        <f>SUM(AF70:AL70)+AT70+AV70+AX70</f>
        <v>41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32"/>
      <c r="BC70" s="502"/>
      <c r="BD70" s="502"/>
      <c r="BE70" s="32"/>
      <c r="BF70" s="502"/>
    </row>
    <row r="71" spans="1:58" ht="12.95" customHeight="1">
      <c r="A71" s="39"/>
      <c r="B71" s="40"/>
      <c r="C71" s="413"/>
      <c r="D71" s="40"/>
      <c r="E71" s="41"/>
      <c r="F71" s="41"/>
      <c r="G71" s="42"/>
      <c r="H71" s="43"/>
      <c r="I71" s="44"/>
      <c r="J71" s="81"/>
      <c r="K71" s="81"/>
      <c r="L71" s="34"/>
      <c r="M71" s="34"/>
      <c r="N71" s="45"/>
      <c r="O71" s="46"/>
      <c r="P71" s="47"/>
      <c r="Q71" s="46"/>
      <c r="R71" s="499"/>
      <c r="S71" s="499"/>
      <c r="T71" s="36"/>
      <c r="U71" s="36"/>
      <c r="V71" s="36"/>
      <c r="W71" s="36"/>
      <c r="X71" s="37"/>
      <c r="Y71" s="210"/>
      <c r="Z71" s="36"/>
      <c r="AA71" s="36"/>
      <c r="AB71" s="36"/>
      <c r="AC71" s="36"/>
      <c r="AD71" s="36">
        <f>+AM71+BA71</f>
        <v>116</v>
      </c>
      <c r="AE71" s="229" t="s">
        <v>562</v>
      </c>
      <c r="AF71" s="32"/>
      <c r="AG71" s="32"/>
      <c r="AH71" s="32"/>
      <c r="AJ71" s="36"/>
      <c r="AK71" s="36"/>
      <c r="AL71" s="36"/>
      <c r="AM71" s="36">
        <f>SUM(AF71:AL71)+AT71+AV71+AX71</f>
        <v>0</v>
      </c>
      <c r="AN71" s="36"/>
      <c r="AO71" s="36"/>
      <c r="AP71" s="36">
        <v>116</v>
      </c>
      <c r="AQ71" s="36"/>
      <c r="AR71" s="36">
        <f>SUM(AN71:AQ71)</f>
        <v>116</v>
      </c>
      <c r="AS71" s="36"/>
      <c r="AT71" s="36"/>
      <c r="AU71" s="36"/>
      <c r="AV71" s="36"/>
      <c r="AW71" s="36"/>
      <c r="AX71" s="36"/>
      <c r="AY71" s="36"/>
      <c r="AZ71" s="36"/>
      <c r="BA71" s="36">
        <f>+AR71+AS71+AU71+AW71+AY71+AZ71</f>
        <v>116</v>
      </c>
      <c r="BB71" s="32"/>
      <c r="BC71" s="502"/>
      <c r="BD71" s="502"/>
      <c r="BE71" s="32"/>
      <c r="BF71" s="502"/>
    </row>
    <row r="72" spans="1:58" ht="12.95" customHeight="1">
      <c r="A72" s="39"/>
      <c r="B72" s="40"/>
      <c r="C72" s="413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46"/>
      <c r="R72" s="499"/>
      <c r="S72" s="499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/>
      <c r="AE72" s="229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2"/>
      <c r="BC72" s="50"/>
      <c r="BD72" s="50"/>
      <c r="BE72" s="50"/>
      <c r="BF72" s="50"/>
    </row>
    <row r="73" spans="1:58" ht="12.75" customHeight="1">
      <c r="A73" s="39">
        <v>46008</v>
      </c>
      <c r="B73" s="40" t="s">
        <v>7</v>
      </c>
      <c r="C73" s="413">
        <f>(M73*E73*O73*Q73)/100000000</f>
        <v>27.330710502311696</v>
      </c>
      <c r="D73" s="40" t="s">
        <v>302</v>
      </c>
      <c r="E73" s="41">
        <v>12</v>
      </c>
      <c r="F73" s="41">
        <v>1</v>
      </c>
      <c r="G73" s="498">
        <v>1230</v>
      </c>
      <c r="H73" s="43">
        <f>+N73</f>
        <v>0.2441045922722358</v>
      </c>
      <c r="I73" s="44">
        <v>0.88</v>
      </c>
      <c r="J73" s="81">
        <f>E73*G73*(1-H73)*1440/1000000*2.74</f>
        <v>44.021123189984635</v>
      </c>
      <c r="K73" s="81">
        <f>(IF(G73&lt;L73,L73,G73)*(1-IF(H73&lt;N73,H73,N73))*E73*O73*Q73)/100000000</f>
        <v>28.343967082989785</v>
      </c>
      <c r="L73" s="34">
        <v>1186.029246344207</v>
      </c>
      <c r="M73" s="34">
        <v>896.5140607424072</v>
      </c>
      <c r="N73" s="45">
        <f>1-(M73/L73)</f>
        <v>0.2441045922722358</v>
      </c>
      <c r="O73" s="46">
        <f>+'Trim Rwd'!H53</f>
        <v>256.61224489795916</v>
      </c>
      <c r="P73" s="47">
        <f>O73*(Q73-R73-S73)</f>
        <v>232490.69387755101</v>
      </c>
      <c r="Q73" s="46">
        <f>950+40</f>
        <v>990</v>
      </c>
      <c r="R73" s="499">
        <v>40</v>
      </c>
      <c r="S73" s="499">
        <f>69-S74</f>
        <v>44</v>
      </c>
      <c r="T73" s="36">
        <f>E73*M73*O73*Q73/100000000</f>
        <v>27.330710502311696</v>
      </c>
      <c r="U73" s="36">
        <f>E73*M73*O73*(Q73-R73-S73)/100000000</f>
        <v>25.011741126357975</v>
      </c>
      <c r="V73" s="36">
        <f>E73*G73*(1-N73)*O73/100*(R73+S73)/1000000</f>
        <v>2.404942661587012</v>
      </c>
      <c r="W73" s="36">
        <f>+'17'!K12/1000</f>
        <v>28.192</v>
      </c>
      <c r="X73" s="500">
        <f>SUM(W73:W76)/SUM(K73:K76)</f>
        <v>0.8328829355437859</v>
      </c>
      <c r="Y73" s="210">
        <v>0</v>
      </c>
      <c r="Z73" s="36">
        <f>+'5'!D74/1000</f>
        <v>0</v>
      </c>
      <c r="AA73" s="48">
        <f>SUM(U73:U76)-SUM(W73:W76)-SUM(Z73:Z76)-SUM(Y73:Y76)</f>
        <v>2.4077305509923974</v>
      </c>
      <c r="AB73" s="48">
        <f>(SUM(K73:K76)-SUM(W73:W76)-SUM(Y73:Y76)-SUM(Z73:Z76)-SUM(AC73:AC76)-SUM(V73:V76))-AA73</f>
        <v>-0.1115826181659898</v>
      </c>
      <c r="AC73" s="36">
        <f>K73-T73</f>
        <v>1.0132565806780889</v>
      </c>
      <c r="AD73" s="36">
        <f>+AM73+BA73</f>
        <v>12</v>
      </c>
      <c r="AE73" s="229" t="s">
        <v>442</v>
      </c>
      <c r="AF73" s="36">
        <v>12</v>
      </c>
      <c r="AG73" s="36"/>
      <c r="AH73" s="36"/>
      <c r="AI73" s="501"/>
      <c r="AJ73" s="36"/>
      <c r="AK73" s="36"/>
      <c r="AL73" s="36"/>
      <c r="AM73" s="36">
        <f>SUM(AF73:AL73)+AT73+AV73+AX73</f>
        <v>12</v>
      </c>
      <c r="AN73" s="36"/>
      <c r="AO73" s="36"/>
      <c r="AP73" s="36"/>
      <c r="AQ73" s="36"/>
      <c r="AR73" s="36">
        <f>SUM(AN73:AQ73)</f>
        <v>0</v>
      </c>
      <c r="AS73" s="36"/>
      <c r="AT73" s="36"/>
      <c r="AU73" s="36"/>
      <c r="AV73" s="36"/>
      <c r="AW73" s="36"/>
      <c r="AX73" s="36"/>
      <c r="AY73" s="36"/>
      <c r="AZ73" s="36"/>
      <c r="BA73" s="36">
        <f>+AR73+AS73+AU73+AW73+AY73+AZ73</f>
        <v>0</v>
      </c>
      <c r="BB73" s="32">
        <v>6</v>
      </c>
      <c r="BC73" s="50"/>
      <c r="BD73" s="50"/>
      <c r="BE73" s="32"/>
      <c r="BF73" s="50"/>
    </row>
    <row r="74" spans="1:58" ht="12.95" customHeight="1">
      <c r="A74" s="39"/>
      <c r="B74" s="40" t="s">
        <v>7</v>
      </c>
      <c r="C74" s="413">
        <f>(M74*E74*O74*Q74)/100000000</f>
        <v>12.433753508436444</v>
      </c>
      <c r="D74" s="40" t="s">
        <v>302</v>
      </c>
      <c r="E74" s="41">
        <v>11.5</v>
      </c>
      <c r="F74" s="41">
        <v>1</v>
      </c>
      <c r="G74" s="498">
        <v>1230</v>
      </c>
      <c r="H74" s="43">
        <f>+N74</f>
        <v>0.2441045922722358</v>
      </c>
      <c r="I74" s="44">
        <v>0.88</v>
      </c>
      <c r="J74" s="81">
        <f>E74*G74*(1-H74)*1440/1000000*2.74</f>
        <v>42.186909723735276</v>
      </c>
      <c r="K74" s="81">
        <f>(IF(G74&lt;L74,L74,G74)*(1-IF(H74&lt;N74,H74,N74))*E74*O74*Q74)/100000000</f>
        <v>12.894721494024923</v>
      </c>
      <c r="L74" s="34">
        <v>1186.029246344207</v>
      </c>
      <c r="M74" s="34">
        <v>896.5140607424072</v>
      </c>
      <c r="N74" s="45">
        <f>1-(M74/L74)</f>
        <v>0.2441045922722358</v>
      </c>
      <c r="O74" s="46">
        <f>+'Trim Rwd'!H55</f>
        <v>268</v>
      </c>
      <c r="P74" s="47">
        <f>O74*(Q74-R74-S74)</f>
        <v>113900</v>
      </c>
      <c r="Q74" s="46">
        <v>450</v>
      </c>
      <c r="R74" s="499">
        <v>0</v>
      </c>
      <c r="S74" s="499">
        <v>25</v>
      </c>
      <c r="T74" s="36">
        <f>E74*M74*O74*Q74/100000000</f>
        <v>12.433753508436444</v>
      </c>
      <c r="U74" s="36">
        <f>E74*M74*O74*(Q74-R74-S74)/100000000</f>
        <v>11.742989424634422</v>
      </c>
      <c r="V74" s="36">
        <f>E74*G74*(1-N74)*O74/100*(R74+S74)/1000000</f>
        <v>0.71637341633471796</v>
      </c>
      <c r="W74" s="36">
        <f>+'17'!K14/1000</f>
        <v>6.1550000000000002</v>
      </c>
      <c r="X74" s="37"/>
      <c r="Y74" s="210"/>
      <c r="Z74" s="36"/>
      <c r="AA74" s="36"/>
      <c r="AB74" s="36"/>
      <c r="AC74" s="36">
        <f>K74-T74</f>
        <v>0.46096798558847851</v>
      </c>
      <c r="AD74" s="36">
        <f>+AM74+BA74</f>
        <v>13</v>
      </c>
      <c r="AE74" s="229" t="s">
        <v>532</v>
      </c>
      <c r="AF74" s="36"/>
      <c r="AG74" s="36">
        <v>13</v>
      </c>
      <c r="AH74" s="36"/>
      <c r="AI74" s="501"/>
      <c r="AJ74" s="36"/>
      <c r="AK74" s="36"/>
      <c r="AL74" s="36"/>
      <c r="AM74" s="36">
        <f>SUM(AF74:AL74)+AT74+AV74+AX74</f>
        <v>13</v>
      </c>
      <c r="AN74" s="82"/>
      <c r="AO74" s="36"/>
      <c r="AP74" s="36"/>
      <c r="AQ74" s="36"/>
      <c r="AR74" s="36">
        <f>SUM(AN74:AQ74)</f>
        <v>0</v>
      </c>
      <c r="AS74" s="36"/>
      <c r="AT74" s="36"/>
      <c r="AU74" s="36"/>
      <c r="AV74" s="36"/>
      <c r="AW74" s="36"/>
      <c r="AX74" s="36"/>
      <c r="AY74" s="36"/>
      <c r="AZ74" s="36"/>
      <c r="BA74" s="36">
        <f>+AR74+AS74+AU74+AW74+AY74+AZ74</f>
        <v>0</v>
      </c>
      <c r="BB74" s="49"/>
      <c r="BC74" s="50">
        <v>1</v>
      </c>
      <c r="BD74" s="50"/>
      <c r="BE74" s="49"/>
      <c r="BF74" s="50"/>
    </row>
    <row r="75" spans="1:58" ht="12.95" customHeight="1">
      <c r="A75" s="39"/>
      <c r="B75" s="40"/>
      <c r="C75" s="413"/>
      <c r="D75" s="40"/>
      <c r="E75" s="41"/>
      <c r="F75" s="41"/>
      <c r="G75" s="42"/>
      <c r="H75" s="43"/>
      <c r="I75" s="44"/>
      <c r="J75" s="81"/>
      <c r="K75" s="81"/>
      <c r="L75" s="34"/>
      <c r="M75" s="34"/>
      <c r="N75" s="45"/>
      <c r="O75" s="46"/>
      <c r="P75" s="47"/>
      <c r="Q75" s="46"/>
      <c r="R75" s="499"/>
      <c r="S75" s="499"/>
      <c r="T75" s="36"/>
      <c r="U75" s="36"/>
      <c r="V75" s="36"/>
      <c r="W75" s="36"/>
      <c r="X75" s="37"/>
      <c r="Y75" s="210"/>
      <c r="Z75" s="36"/>
      <c r="AA75" s="36"/>
      <c r="AB75" s="36"/>
      <c r="AC75" s="36"/>
      <c r="AD75" s="36">
        <f>+AM75+BA75</f>
        <v>44</v>
      </c>
      <c r="AE75" s="229" t="s">
        <v>498</v>
      </c>
      <c r="AF75" s="32"/>
      <c r="AG75" s="32"/>
      <c r="AH75" s="32">
        <v>44</v>
      </c>
      <c r="AJ75" s="36"/>
      <c r="AK75" s="36"/>
      <c r="AL75" s="36"/>
      <c r="AM75" s="36">
        <f>SUM(AF75:AL75)+AT75+AV75+AX75</f>
        <v>44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>
        <f>+AR75+AS75+AU75+AW75+AY75+AZ75</f>
        <v>0</v>
      </c>
      <c r="BB75" s="32"/>
      <c r="BC75" s="502"/>
      <c r="BD75" s="502"/>
      <c r="BE75" s="32"/>
      <c r="BF75" s="502"/>
    </row>
    <row r="76" spans="1:58" ht="12.95" customHeight="1">
      <c r="A76" s="39"/>
      <c r="B76" s="40"/>
      <c r="C76" s="413"/>
      <c r="D76" s="40"/>
      <c r="E76" s="41"/>
      <c r="F76" s="41"/>
      <c r="G76" s="42"/>
      <c r="H76" s="43"/>
      <c r="I76" s="44"/>
      <c r="J76" s="81"/>
      <c r="K76" s="81"/>
      <c r="L76" s="34"/>
      <c r="M76" s="34"/>
      <c r="N76" s="45"/>
      <c r="O76" s="46"/>
      <c r="P76" s="47"/>
      <c r="Q76" s="46"/>
      <c r="R76" s="499"/>
      <c r="S76" s="499"/>
      <c r="T76" s="36"/>
      <c r="U76" s="36"/>
      <c r="V76" s="36"/>
      <c r="W76" s="36"/>
      <c r="X76" s="37"/>
      <c r="Y76" s="34"/>
      <c r="Z76" s="36"/>
      <c r="AA76" s="36"/>
      <c r="AB76" s="36"/>
      <c r="AC76" s="36"/>
      <c r="AD76" s="36">
        <f>+AM76+BA76</f>
        <v>40</v>
      </c>
      <c r="AE76" s="229" t="s">
        <v>578</v>
      </c>
      <c r="AF76" s="32"/>
      <c r="AG76" s="32"/>
      <c r="AH76" s="32"/>
      <c r="AJ76" s="36"/>
      <c r="AK76" s="36"/>
      <c r="AL76" s="36"/>
      <c r="AM76" s="36">
        <f>SUM(AF76:AL76)+AT76+AV76+AX76</f>
        <v>0</v>
      </c>
      <c r="AN76" s="36"/>
      <c r="AO76" s="36"/>
      <c r="AP76" s="36">
        <v>40</v>
      </c>
      <c r="AQ76" s="36"/>
      <c r="AR76" s="36">
        <f>SUM(AN76:AQ76)</f>
        <v>40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40</v>
      </c>
      <c r="BB76" s="32"/>
      <c r="BC76" s="502"/>
      <c r="BD76" s="502"/>
      <c r="BE76" s="32"/>
      <c r="BF76" s="502"/>
    </row>
    <row r="77" spans="1:58" ht="12.95" customHeight="1">
      <c r="A77" s="39"/>
      <c r="B77" s="40"/>
      <c r="C77" s="413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499"/>
      <c r="S77" s="499"/>
      <c r="T77" s="36"/>
      <c r="U77" s="36"/>
      <c r="V77" s="36"/>
      <c r="W77" s="36"/>
      <c r="X77" s="37"/>
      <c r="Y77" s="210"/>
      <c r="Z77" s="36"/>
      <c r="AA77" s="48"/>
      <c r="AB77" s="48"/>
      <c r="AC77" s="36"/>
      <c r="AD77" s="36"/>
      <c r="AE77" s="232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2"/>
      <c r="BC77" s="50"/>
      <c r="BD77" s="50"/>
      <c r="BE77" s="50"/>
      <c r="BF77" s="50"/>
    </row>
    <row r="78" spans="1:58" ht="12.75" customHeight="1">
      <c r="A78" s="39">
        <v>46009</v>
      </c>
      <c r="B78" s="40" t="s">
        <v>7</v>
      </c>
      <c r="C78" s="413">
        <f>(M78*E78*O78*Q78)/100000000</f>
        <v>40.926888895999994</v>
      </c>
      <c r="D78" s="40" t="s">
        <v>302</v>
      </c>
      <c r="E78" s="41">
        <v>11.5</v>
      </c>
      <c r="F78" s="41">
        <v>1</v>
      </c>
      <c r="G78" s="498">
        <v>1230</v>
      </c>
      <c r="H78" s="43">
        <f>+N78</f>
        <v>0.24</v>
      </c>
      <c r="I78" s="44">
        <v>0.88</v>
      </c>
      <c r="J78" s="81">
        <f>E78*G78*(1-H78)*1440/1000000*2.74</f>
        <v>42.415989120000006</v>
      </c>
      <c r="K78" s="81">
        <f>(IF(G78&lt;L78,L78,G78)*(1-IF(H78&lt;N78,H78,N78))*E78*O78*Q78)/100000000</f>
        <v>41.487171839999995</v>
      </c>
      <c r="L78" s="34">
        <v>1213.3888888888889</v>
      </c>
      <c r="M78" s="34">
        <v>922.17555555555555</v>
      </c>
      <c r="N78" s="45">
        <f>1-(M78/L78)</f>
        <v>0.24</v>
      </c>
      <c r="O78" s="46">
        <f>+'Trim Rwd'!H57</f>
        <v>268</v>
      </c>
      <c r="P78" s="47">
        <f>O78*(Q78-R78-S78)</f>
        <v>364748</v>
      </c>
      <c r="Q78" s="46">
        <v>1440</v>
      </c>
      <c r="R78" s="499">
        <v>0</v>
      </c>
      <c r="S78" s="499">
        <v>79</v>
      </c>
      <c r="T78" s="36">
        <f>E78*M78*O78*Q78/100000000</f>
        <v>40.926888895999994</v>
      </c>
      <c r="U78" s="36">
        <f>E78*M78*O78*(Q78-R78-S78)/100000000</f>
        <v>38.681594296844438</v>
      </c>
      <c r="V78" s="36">
        <f>E78*G78*(1-N78)*O78/100*(R78+S78)/1000000</f>
        <v>2.2760323439999999</v>
      </c>
      <c r="W78" s="36">
        <f>+'18'!K14/1000</f>
        <v>35.722000000000001</v>
      </c>
      <c r="X78" s="500">
        <f>SUM(W78:W81)/SUM(K78:K81)</f>
        <v>0.86103724153012806</v>
      </c>
      <c r="Y78" s="210">
        <v>0</v>
      </c>
      <c r="Z78" s="36">
        <f>+'18'!D34/1000</f>
        <v>0.27300000000000002</v>
      </c>
      <c r="AA78" s="48">
        <f>SUM(U78:U81)-SUM(W78:W81)-SUM(Z78:Z81)-SUM(Y78:Y81)</f>
        <v>2.6865942968444361</v>
      </c>
      <c r="AB78" s="48">
        <f>(SUM(K78:K81)-SUM(W78:W81)-SUM(Y78:Y81)-SUM(Z78:Z81)-SUM(AC78:AC81)-SUM(V78:V81))-AA78</f>
        <v>-3.0737744844442805E-2</v>
      </c>
      <c r="AC78" s="36">
        <f>K78-T78</f>
        <v>0.56028294400000078</v>
      </c>
      <c r="AD78" s="36">
        <f>+AM78+BA78</f>
        <v>0</v>
      </c>
      <c r="AE78" s="229" t="s">
        <v>384</v>
      </c>
      <c r="AF78" s="36">
        <v>0</v>
      </c>
      <c r="AG78" s="36"/>
      <c r="AH78" s="36"/>
      <c r="AI78" s="501"/>
      <c r="AJ78" s="36"/>
      <c r="AK78" s="36"/>
      <c r="AL78" s="36"/>
      <c r="AM78" s="36">
        <f>SUM(AF78:AL78)+AT78+AV78+AX78</f>
        <v>0</v>
      </c>
      <c r="AN78" s="36"/>
      <c r="AO78" s="36"/>
      <c r="AP78" s="36"/>
      <c r="AQ78" s="36"/>
      <c r="AR78" s="36">
        <f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>
        <v>0</v>
      </c>
      <c r="BC78" s="50"/>
      <c r="BD78" s="50"/>
      <c r="BE78" s="32"/>
      <c r="BF78" s="50"/>
    </row>
    <row r="79" spans="1:58" ht="12.95" customHeight="1">
      <c r="A79" s="39"/>
      <c r="B79" s="40"/>
      <c r="C79" s="413"/>
      <c r="D79" s="40"/>
      <c r="E79" s="41"/>
      <c r="F79" s="41"/>
      <c r="G79" s="498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499"/>
      <c r="S79" s="499"/>
      <c r="T79" s="36"/>
      <c r="U79" s="36"/>
      <c r="V79" s="36"/>
      <c r="W79" s="36"/>
      <c r="X79" s="37"/>
      <c r="Y79" s="210"/>
      <c r="Z79" s="36"/>
      <c r="AA79" s="36"/>
      <c r="AB79" s="36"/>
      <c r="AC79" s="36"/>
      <c r="AD79" s="36">
        <f>+AM79+BA79</f>
        <v>33</v>
      </c>
      <c r="AE79" s="229" t="s">
        <v>590</v>
      </c>
      <c r="AF79" s="36"/>
      <c r="AG79" s="36">
        <v>33</v>
      </c>
      <c r="AH79" s="36"/>
      <c r="AI79" s="501"/>
      <c r="AJ79" s="36"/>
      <c r="AK79" s="36"/>
      <c r="AL79" s="36"/>
      <c r="AM79" s="36">
        <f>SUM(AF79:AL79)+AT79+AV79+AX79</f>
        <v>33</v>
      </c>
      <c r="AN79" s="82"/>
      <c r="AO79" s="36"/>
      <c r="AP79" s="36"/>
      <c r="AQ79" s="36"/>
      <c r="AR79" s="36">
        <f>SUM(AN79:AQ79)</f>
        <v>0</v>
      </c>
      <c r="AS79" s="36"/>
      <c r="AT79" s="36"/>
      <c r="AU79" s="36"/>
      <c r="AV79" s="36"/>
      <c r="AW79" s="36"/>
      <c r="AX79" s="36"/>
      <c r="AY79" s="36"/>
      <c r="AZ79" s="36"/>
      <c r="BA79" s="36">
        <f>+AR79+AS79+AU79+AW79+AY79+AZ79</f>
        <v>0</v>
      </c>
      <c r="BB79" s="49"/>
      <c r="BC79" s="50">
        <v>13</v>
      </c>
      <c r="BD79" s="50"/>
      <c r="BE79" s="49"/>
      <c r="BF79" s="50"/>
    </row>
    <row r="80" spans="1:58" ht="12.95" customHeight="1">
      <c r="A80" s="39"/>
      <c r="B80" s="40"/>
      <c r="C80" s="413"/>
      <c r="D80" s="40"/>
      <c r="E80" s="41"/>
      <c r="F80" s="41"/>
      <c r="G80" s="42"/>
      <c r="H80" s="43"/>
      <c r="I80" s="44"/>
      <c r="J80" s="81"/>
      <c r="K80" s="81"/>
      <c r="L80" s="34"/>
      <c r="M80" s="34"/>
      <c r="N80" s="45"/>
      <c r="O80" s="46"/>
      <c r="P80" s="47"/>
      <c r="Q80" s="46"/>
      <c r="R80" s="499"/>
      <c r="S80" s="499"/>
      <c r="T80" s="36"/>
      <c r="U80" s="36"/>
      <c r="V80" s="36"/>
      <c r="W80" s="36"/>
      <c r="X80" s="37"/>
      <c r="Y80" s="210"/>
      <c r="Z80" s="36"/>
      <c r="AA80" s="36"/>
      <c r="AB80" s="36"/>
      <c r="AC80" s="36"/>
      <c r="AD80" s="36">
        <f>+AM80+BA80</f>
        <v>46</v>
      </c>
      <c r="AE80" s="229" t="s">
        <v>428</v>
      </c>
      <c r="AF80" s="32"/>
      <c r="AG80" s="32"/>
      <c r="AH80" s="32">
        <v>46</v>
      </c>
      <c r="AJ80" s="36"/>
      <c r="AK80" s="36"/>
      <c r="AL80" s="36"/>
      <c r="AM80" s="36">
        <f>SUM(AF80:AL80)+AT80+AV80+AX80</f>
        <v>46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/>
      <c r="BC80" s="502"/>
      <c r="BD80" s="502"/>
      <c r="BE80" s="32"/>
      <c r="BF80" s="502"/>
    </row>
    <row r="81" spans="1:58" ht="12.95" customHeight="1">
      <c r="A81" s="39"/>
      <c r="B81" s="40"/>
      <c r="C81" s="413"/>
      <c r="D81" s="40"/>
      <c r="E81" s="41"/>
      <c r="F81" s="41"/>
      <c r="G81" s="42"/>
      <c r="H81" s="43"/>
      <c r="I81" s="44"/>
      <c r="J81" s="81"/>
      <c r="K81" s="81"/>
      <c r="L81" s="34"/>
      <c r="M81" s="34"/>
      <c r="N81" s="45"/>
      <c r="O81" s="46"/>
      <c r="P81" s="47"/>
      <c r="Q81" s="33"/>
      <c r="R81" s="499"/>
      <c r="S81" s="499"/>
      <c r="T81" s="36"/>
      <c r="U81" s="36"/>
      <c r="V81" s="36"/>
      <c r="W81" s="36"/>
      <c r="X81" s="37"/>
      <c r="Y81" s="210"/>
      <c r="Z81" s="36"/>
      <c r="AA81" s="36"/>
      <c r="AB81" s="36"/>
      <c r="AC81" s="36"/>
      <c r="AD81" s="36"/>
      <c r="AE81" s="232"/>
      <c r="AF81" s="36"/>
      <c r="AG81" s="36"/>
      <c r="AH81" s="36"/>
      <c r="AI81" s="501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49"/>
      <c r="BC81" s="50"/>
      <c r="BD81" s="50"/>
      <c r="BE81" s="50"/>
      <c r="BF81" s="50"/>
    </row>
    <row r="82" spans="1:58" ht="12.75" customHeight="1">
      <c r="A82" s="39">
        <v>46010</v>
      </c>
      <c r="B82" s="40" t="s">
        <v>7</v>
      </c>
      <c r="C82" s="413">
        <f>(M82*E82*O82*Q82)/100000000</f>
        <v>9.1905609839999993</v>
      </c>
      <c r="D82" s="40" t="s">
        <v>302</v>
      </c>
      <c r="E82" s="41">
        <v>11.5</v>
      </c>
      <c r="F82" s="41">
        <v>1</v>
      </c>
      <c r="G82" s="498">
        <v>1230</v>
      </c>
      <c r="H82" s="43">
        <f>+N82</f>
        <v>0.24</v>
      </c>
      <c r="I82" s="44">
        <v>0.88</v>
      </c>
      <c r="J82" s="81">
        <f>E82*G82*(1-H82)*1440/1000000*2.74</f>
        <v>42.415989120000006</v>
      </c>
      <c r="K82" s="81">
        <f>(IF(G82&lt;L82,L82,G82)*(1-IF(H82&lt;N82,H82,N82))*E82*O82*Q82)/100000000</f>
        <v>9.1905609839999993</v>
      </c>
      <c r="L82" s="34">
        <v>1230</v>
      </c>
      <c r="M82" s="34">
        <v>934.8</v>
      </c>
      <c r="N82" s="45">
        <f>1-(M82/L82)</f>
        <v>0.24</v>
      </c>
      <c r="O82" s="46">
        <f>+'Trim Rwd'!H59</f>
        <v>268</v>
      </c>
      <c r="P82" s="47">
        <f>O82*(Q82-R82-S82)</f>
        <v>81204</v>
      </c>
      <c r="Q82" s="46">
        <v>319</v>
      </c>
      <c r="R82" s="499">
        <v>0</v>
      </c>
      <c r="S82" s="499">
        <v>16</v>
      </c>
      <c r="T82" s="36">
        <f>E82*M82*O82*Q82/100000000</f>
        <v>9.1905609839999993</v>
      </c>
      <c r="U82" s="36">
        <f>E82*M82*O82*(Q82-R82-S82)/100000000</f>
        <v>8.7295924079999985</v>
      </c>
      <c r="V82" s="36">
        <f>E82*G82*(1-N82)*O82/100*(R82+S82)/1000000</f>
        <v>0.46096857600000002</v>
      </c>
      <c r="W82" s="36">
        <f>+'19'!K14/1000</f>
        <v>11.568</v>
      </c>
      <c r="X82" s="500">
        <f>SUM(W82:W85)/SUM(K82:K85)</f>
        <v>0.87083435591564085</v>
      </c>
      <c r="Y82" s="210">
        <v>0</v>
      </c>
      <c r="Z82" s="36">
        <f>+'15'!D25/1000</f>
        <v>0</v>
      </c>
      <c r="AA82" s="48">
        <f>SUM(U82:U85)-SUM(W82:W85)-SUM(Z82:Z85)-SUM(Y82:Y85)</f>
        <v>2.6508000600000097</v>
      </c>
      <c r="AB82" s="48">
        <f>(SUM(K82:K85)-SUM(W82:W85)-SUM(Y82:Y85)-SUM(Z82:Z85)-SUM(AC82:AC85)-SUM(V82:V85))-AA82</f>
        <v>-3.735916800000405E-2</v>
      </c>
      <c r="AC82" s="36">
        <f>K82-T82</f>
        <v>0</v>
      </c>
      <c r="AD82" s="36">
        <f>+AM82+BA82</f>
        <v>21</v>
      </c>
      <c r="AE82" s="229" t="s">
        <v>442</v>
      </c>
      <c r="AF82" s="36">
        <v>21</v>
      </c>
      <c r="AG82" s="36"/>
      <c r="AH82" s="36"/>
      <c r="AI82" s="501"/>
      <c r="AJ82" s="36"/>
      <c r="AK82" s="36"/>
      <c r="AL82" s="36"/>
      <c r="AM82" s="36">
        <f>SUM(AF82:AL82)+AT82+AV82+AX82</f>
        <v>21</v>
      </c>
      <c r="AN82" s="36"/>
      <c r="AO82" s="36"/>
      <c r="AP82" s="36"/>
      <c r="AQ82" s="36"/>
      <c r="AR82" s="36">
        <f>SUM(AN82:AQ82)</f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>
        <v>6</v>
      </c>
      <c r="BC82" s="50"/>
      <c r="BD82" s="50"/>
      <c r="BE82" s="32"/>
      <c r="BF82" s="50"/>
    </row>
    <row r="83" spans="1:58" ht="12.95" customHeight="1">
      <c r="A83" s="39"/>
      <c r="B83" s="40" t="s">
        <v>7</v>
      </c>
      <c r="C83" s="413">
        <f>(M83*E83*O83*Q83)/100000000</f>
        <v>6.0544494080000009</v>
      </c>
      <c r="D83" s="40" t="s">
        <v>302</v>
      </c>
      <c r="E83" s="41">
        <v>14</v>
      </c>
      <c r="F83" s="41">
        <v>1</v>
      </c>
      <c r="G83" s="498">
        <v>1230</v>
      </c>
      <c r="H83" s="43">
        <f>+N83</f>
        <v>0.24</v>
      </c>
      <c r="I83" s="44">
        <v>0.88</v>
      </c>
      <c r="J83" s="81">
        <f>E83*G83*(1-H83)*1440/1000000*2.74</f>
        <v>51.636856320000007</v>
      </c>
      <c r="K83" s="81">
        <f>(IF(G83&lt;L83,L83,G83)*(1-IF(H83&lt;N83,H83,N83))*E83*O83*Q83)/100000000</f>
        <v>6.6490828319999995</v>
      </c>
      <c r="L83" s="34">
        <v>1120</v>
      </c>
      <c r="M83" s="34">
        <v>851.2</v>
      </c>
      <c r="N83" s="45">
        <f>1-(M83/L83)</f>
        <v>0.24</v>
      </c>
      <c r="O83" s="46">
        <f>+'Trim Rwd'!H61</f>
        <v>266</v>
      </c>
      <c r="P83" s="47">
        <f>O83*(Q83-R83-S83)</f>
        <v>47614</v>
      </c>
      <c r="Q83" s="46">
        <v>191</v>
      </c>
      <c r="R83" s="499">
        <v>0</v>
      </c>
      <c r="S83" s="499">
        <f>68-S82-S84</f>
        <v>12</v>
      </c>
      <c r="T83" s="36">
        <f>E83*M83*O83*Q83/100000000</f>
        <v>6.0544494080000009</v>
      </c>
      <c r="U83" s="36">
        <f>E83*M83*O83*(Q83-R83-S83)/100000000</f>
        <v>5.6740651520000007</v>
      </c>
      <c r="V83" s="36">
        <f>E83*G83*(1-N83)*O83/100*(R83+S83)/1000000</f>
        <v>0.41774342400000003</v>
      </c>
      <c r="W83" s="36">
        <f>+'19'!K7/1000</f>
        <v>5.2439999999999998</v>
      </c>
      <c r="X83" s="37"/>
      <c r="Y83" s="210"/>
      <c r="Z83" s="36"/>
      <c r="AA83" s="36"/>
      <c r="AB83" s="36"/>
      <c r="AC83" s="36">
        <f>K83-T83</f>
        <v>0.59463342399999863</v>
      </c>
      <c r="AD83" s="36">
        <f>+AM83+BA83</f>
        <v>7</v>
      </c>
      <c r="AE83" s="229" t="s">
        <v>481</v>
      </c>
      <c r="AF83" s="36"/>
      <c r="AG83" s="36">
        <v>7</v>
      </c>
      <c r="AH83" s="36"/>
      <c r="AI83" s="501"/>
      <c r="AJ83" s="36"/>
      <c r="AK83" s="36"/>
      <c r="AL83" s="36"/>
      <c r="AM83" s="36">
        <f>SUM(AF83:AL83)+AT83+AV83+AX83</f>
        <v>7</v>
      </c>
      <c r="AN83" s="82"/>
      <c r="AO83" s="36"/>
      <c r="AP83" s="36"/>
      <c r="AQ83" s="36"/>
      <c r="AR83" s="36">
        <f>SUM(AN83:AQ83)</f>
        <v>0</v>
      </c>
      <c r="AS83" s="36"/>
      <c r="AT83" s="36"/>
      <c r="AU83" s="36"/>
      <c r="AV83" s="36"/>
      <c r="AW83" s="36"/>
      <c r="AX83" s="36"/>
      <c r="AY83" s="36"/>
      <c r="AZ83" s="36"/>
      <c r="BA83" s="36">
        <f>+AR83+AS83+AU83+AW83+AY83+AZ83</f>
        <v>0</v>
      </c>
      <c r="BB83" s="49"/>
      <c r="BC83" s="50">
        <v>3</v>
      </c>
      <c r="BD83" s="50"/>
      <c r="BE83" s="49"/>
      <c r="BF83" s="50"/>
    </row>
    <row r="84" spans="1:58" ht="12.95" customHeight="1">
      <c r="A84" s="39"/>
      <c r="B84" s="40" t="s">
        <v>464</v>
      </c>
      <c r="C84" s="413">
        <f>(M84*E84*O84*Q84)/100000000</f>
        <v>26.9032725</v>
      </c>
      <c r="D84" s="40" t="s">
        <v>302</v>
      </c>
      <c r="E84" s="41">
        <v>13</v>
      </c>
      <c r="F84" s="41">
        <v>1</v>
      </c>
      <c r="G84" s="498">
        <f>+L84</f>
        <v>1150</v>
      </c>
      <c r="H84" s="43">
        <v>0.25</v>
      </c>
      <c r="I84" s="44">
        <v>0.88</v>
      </c>
      <c r="J84" s="81">
        <f>E84*G84*(1-H84)*1440/1000000*2.74</f>
        <v>44.240040000000008</v>
      </c>
      <c r="K84" s="81">
        <f>(IF(G84&lt;L84,L84,G84)*(1-IF(H84&lt;N84,H84,N84))*E84*O84*Q84)/100000000</f>
        <v>26.9032725</v>
      </c>
      <c r="L84" s="34">
        <v>1150</v>
      </c>
      <c r="M84" s="34">
        <v>862.5</v>
      </c>
      <c r="N84" s="45">
        <f>1-(M84/L84)</f>
        <v>0.25</v>
      </c>
      <c r="O84" s="46">
        <f>+'Trim Rwd'!H60</f>
        <v>258</v>
      </c>
      <c r="P84" s="47">
        <f>O84*(Q84-R84-S84)</f>
        <v>229620</v>
      </c>
      <c r="Q84" s="46">
        <v>930</v>
      </c>
      <c r="R84" s="499">
        <v>0</v>
      </c>
      <c r="S84" s="499">
        <v>40</v>
      </c>
      <c r="T84" s="36">
        <f>E84*M84*O84*Q84/100000000</f>
        <v>26.9032725</v>
      </c>
      <c r="U84" s="36">
        <f>E84*M84*O84*(Q84-R84-S84)/100000000</f>
        <v>25.746142500000001</v>
      </c>
      <c r="V84" s="36">
        <f>E84*G84*(1-N84)*O84/100*(R84+S84)/1000000</f>
        <v>1.15713</v>
      </c>
      <c r="W84" s="36">
        <f>+'19'!K10/1000</f>
        <v>20.41</v>
      </c>
      <c r="X84" s="37"/>
      <c r="Y84" s="210"/>
      <c r="Z84" s="36">
        <f>+'19'!D25/1000</f>
        <v>0.27700000000000002</v>
      </c>
      <c r="AA84" s="36"/>
      <c r="AB84" s="36"/>
      <c r="AC84" s="36">
        <f>K84-T84</f>
        <v>0</v>
      </c>
      <c r="AD84" s="36">
        <f>+AM84+BA84</f>
        <v>40</v>
      </c>
      <c r="AE84" s="229" t="s">
        <v>599</v>
      </c>
      <c r="AF84" s="32"/>
      <c r="AG84" s="32"/>
      <c r="AH84" s="32">
        <v>40</v>
      </c>
      <c r="AJ84" s="36"/>
      <c r="AK84" s="36"/>
      <c r="AL84" s="36"/>
      <c r="AM84" s="36">
        <f>SUM(AF84:AL84)+AT84+AV84+AX84</f>
        <v>40</v>
      </c>
      <c r="AN84" s="36"/>
      <c r="AO84" s="36"/>
      <c r="AP84" s="36"/>
      <c r="AQ84" s="36"/>
      <c r="AR84" s="36">
        <f>SUM(AN84:AQ84)</f>
        <v>0</v>
      </c>
      <c r="AS84" s="36"/>
      <c r="AT84" s="36"/>
      <c r="AU84" s="36"/>
      <c r="AV84" s="36"/>
      <c r="AW84" s="36"/>
      <c r="AX84" s="36"/>
      <c r="AY84" s="36"/>
      <c r="AZ84" s="36"/>
      <c r="BA84" s="36">
        <f>+AR84+AS84+AU84+AW84+AY84+AZ84</f>
        <v>0</v>
      </c>
      <c r="BB84" s="32"/>
      <c r="BC84" s="502"/>
      <c r="BD84" s="502"/>
      <c r="BE84" s="32"/>
      <c r="BF84" s="502"/>
    </row>
    <row r="85" spans="1:58" ht="12.95" customHeight="1">
      <c r="A85" s="39"/>
      <c r="B85" s="40"/>
      <c r="C85" s="413"/>
      <c r="D85" s="40"/>
      <c r="E85" s="41"/>
      <c r="F85" s="41"/>
      <c r="G85" s="42"/>
      <c r="H85" s="43"/>
      <c r="I85" s="44"/>
      <c r="J85" s="81"/>
      <c r="K85" s="81"/>
      <c r="L85" s="34"/>
      <c r="M85" s="34"/>
      <c r="N85" s="45"/>
      <c r="O85" s="46"/>
      <c r="P85" s="47"/>
      <c r="Q85" s="33"/>
      <c r="R85" s="499"/>
      <c r="S85" s="499"/>
      <c r="T85" s="36"/>
      <c r="U85" s="36"/>
      <c r="V85" s="36"/>
      <c r="W85" s="36"/>
      <c r="X85" s="37"/>
      <c r="Y85" s="210"/>
      <c r="Z85" s="36"/>
      <c r="AA85" s="36"/>
      <c r="AB85" s="36"/>
      <c r="AC85" s="36"/>
      <c r="AD85" s="36"/>
      <c r="AE85" s="232"/>
      <c r="AF85" s="36"/>
      <c r="AG85" s="36"/>
      <c r="AH85" s="36"/>
      <c r="AI85" s="501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49"/>
      <c r="BC85" s="50"/>
      <c r="BD85" s="50"/>
      <c r="BE85" s="50"/>
      <c r="BF85" s="50"/>
    </row>
    <row r="86" spans="1:58" ht="12.75" customHeight="1">
      <c r="A86" s="39">
        <v>46011</v>
      </c>
      <c r="B86" s="40" t="s">
        <v>464</v>
      </c>
      <c r="C86" s="413">
        <f>(M86*E86*O86*Q86)/100000000</f>
        <v>41.656680000000001</v>
      </c>
      <c r="D86" s="40" t="s">
        <v>302</v>
      </c>
      <c r="E86" s="41">
        <v>13</v>
      </c>
      <c r="F86" s="41">
        <v>1</v>
      </c>
      <c r="G86" s="498">
        <f>+L86</f>
        <v>1150</v>
      </c>
      <c r="H86" s="43">
        <v>0.25</v>
      </c>
      <c r="I86" s="44">
        <v>0.88</v>
      </c>
      <c r="J86" s="81">
        <f>E86*G86*(1-H86)*1440/1000000*2.74</f>
        <v>44.240040000000008</v>
      </c>
      <c r="K86" s="81">
        <f>(IF(G86&lt;L86,L86,G86)*(1-IF(H86&lt;N86,H86,N86))*E86*O86*Q86)/100000000</f>
        <v>41.656680000000001</v>
      </c>
      <c r="L86" s="34">
        <v>1150</v>
      </c>
      <c r="M86" s="34">
        <v>862.5</v>
      </c>
      <c r="N86" s="45">
        <f>1-(M86/L86)</f>
        <v>0.25</v>
      </c>
      <c r="O86" s="46">
        <f>+'Trim Rwd'!H63</f>
        <v>258</v>
      </c>
      <c r="P86" s="47">
        <f>O86*(Q86-R86-S86)</f>
        <v>355782</v>
      </c>
      <c r="Q86" s="46">
        <v>1440</v>
      </c>
      <c r="R86" s="499">
        <v>0</v>
      </c>
      <c r="S86" s="499">
        <v>61</v>
      </c>
      <c r="T86" s="36">
        <f>E86*M86*O86*Q86/100000000</f>
        <v>41.656680000000001</v>
      </c>
      <c r="U86" s="36">
        <f>E86*M86*O86*(Q86-R86-S86)/100000000</f>
        <v>39.892056750000002</v>
      </c>
      <c r="V86" s="36">
        <f>E86*G86*(1-N86)*O86/100*(R86+S86)/1000000</f>
        <v>1.7646232500000001</v>
      </c>
      <c r="W86" s="36">
        <f>+'20'!K10/1000</f>
        <v>39.682000000000002</v>
      </c>
      <c r="X86" s="500">
        <f>SUM(W86:W89)/SUM(K86:K89)</f>
        <v>0.95259631828556668</v>
      </c>
      <c r="Y86" s="210">
        <v>0</v>
      </c>
      <c r="Z86" s="36">
        <f>+'15'!D29/1000</f>
        <v>0</v>
      </c>
      <c r="AA86" s="48">
        <f>SUM(U86:U89)-SUM(W86:W89)-SUM(Z86:Z89)-SUM(Y86:Y89)</f>
        <v>0.21005674999999968</v>
      </c>
      <c r="AB86" s="48">
        <f>(SUM(K86:K89)-SUM(W86:W89)-SUM(Y86:Y89)-SUM(Z86:Z89)-SUM(AC86:AC89)-SUM(V86:V89))-AA86</f>
        <v>-4.4408920985006262E-16</v>
      </c>
      <c r="AC86" s="36">
        <f>K86-T86</f>
        <v>0</v>
      </c>
      <c r="AD86" s="36">
        <f>+AM86+BA86</f>
        <v>13</v>
      </c>
      <c r="AE86" s="229" t="s">
        <v>427</v>
      </c>
      <c r="AF86" s="36">
        <v>13</v>
      </c>
      <c r="AG86" s="36"/>
      <c r="AH86" s="36"/>
      <c r="AI86" s="501"/>
      <c r="AJ86" s="36"/>
      <c r="AK86" s="36"/>
      <c r="AL86" s="36"/>
      <c r="AM86" s="36">
        <f>SUM(AF86:AL86)+AT86+AV86+AX86</f>
        <v>13</v>
      </c>
      <c r="AN86" s="36"/>
      <c r="AO86" s="36"/>
      <c r="AP86" s="36"/>
      <c r="AQ86" s="36"/>
      <c r="AR86" s="36">
        <f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32">
        <v>5</v>
      </c>
      <c r="BC86" s="50"/>
      <c r="BD86" s="50"/>
      <c r="BE86" s="32"/>
      <c r="BF86" s="50"/>
    </row>
    <row r="87" spans="1:58" ht="12.95" customHeight="1">
      <c r="A87" s="39"/>
      <c r="B87" s="40"/>
      <c r="C87" s="413"/>
      <c r="D87" s="40"/>
      <c r="E87" s="41"/>
      <c r="F87" s="41"/>
      <c r="G87" s="498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499"/>
      <c r="S87" s="499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+AM87+BA87</f>
        <v>6</v>
      </c>
      <c r="AE87" s="229" t="s">
        <v>481</v>
      </c>
      <c r="AF87" s="36"/>
      <c r="AG87" s="36">
        <v>6</v>
      </c>
      <c r="AH87" s="36"/>
      <c r="AI87" s="501"/>
      <c r="AJ87" s="36"/>
      <c r="AK87" s="36"/>
      <c r="AL87" s="36"/>
      <c r="AM87" s="36">
        <f>SUM(AF87:AL87)+AT87+AV87+AX87</f>
        <v>6</v>
      </c>
      <c r="AN87" s="82"/>
      <c r="AO87" s="36"/>
      <c r="AP87" s="36"/>
      <c r="AQ87" s="36"/>
      <c r="AR87" s="36">
        <f>SUM(AN87:AQ87)</f>
        <v>0</v>
      </c>
      <c r="AS87" s="36"/>
      <c r="AT87" s="36"/>
      <c r="AU87" s="36"/>
      <c r="AV87" s="36"/>
      <c r="AW87" s="36"/>
      <c r="AX87" s="36"/>
      <c r="AY87" s="36"/>
      <c r="AZ87" s="36"/>
      <c r="BA87" s="36">
        <f>+AR87+AS87+AU87+AW87+AY87+AZ87</f>
        <v>0</v>
      </c>
      <c r="BB87" s="49"/>
      <c r="BC87" s="50">
        <v>3</v>
      </c>
      <c r="BD87" s="50"/>
      <c r="BE87" s="49"/>
      <c r="BF87" s="50"/>
    </row>
    <row r="88" spans="1:58" ht="12.95" customHeight="1">
      <c r="A88" s="39"/>
      <c r="B88" s="40"/>
      <c r="C88" s="413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46"/>
      <c r="R88" s="499"/>
      <c r="S88" s="499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+AM88+BA88</f>
        <v>42</v>
      </c>
      <c r="AE88" s="229" t="s">
        <v>443</v>
      </c>
      <c r="AF88" s="32"/>
      <c r="AG88" s="32"/>
      <c r="AH88" s="32">
        <v>42</v>
      </c>
      <c r="AJ88" s="36"/>
      <c r="AK88" s="36"/>
      <c r="AL88" s="36"/>
      <c r="AM88" s="36">
        <f>SUM(AF88:AL88)+AT88+AV88+AX88</f>
        <v>42</v>
      </c>
      <c r="AN88" s="36"/>
      <c r="AO88" s="36"/>
      <c r="AP88" s="36"/>
      <c r="AQ88" s="36"/>
      <c r="AR88" s="36">
        <f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/>
      <c r="BC88" s="502"/>
      <c r="BD88" s="502"/>
      <c r="BE88" s="32"/>
      <c r="BF88" s="502"/>
    </row>
    <row r="89" spans="1:58" ht="12.95" customHeight="1">
      <c r="A89" s="39"/>
      <c r="B89" s="40"/>
      <c r="C89" s="413"/>
      <c r="D89" s="40"/>
      <c r="E89" s="41"/>
      <c r="F89" s="41"/>
      <c r="G89" s="498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499"/>
      <c r="S89" s="499"/>
      <c r="T89" s="36"/>
      <c r="U89" s="36"/>
      <c r="V89" s="36"/>
      <c r="W89" s="36"/>
      <c r="X89" s="37"/>
      <c r="Y89" s="210"/>
      <c r="Z89" s="36"/>
      <c r="AA89" s="36"/>
      <c r="AB89" s="36"/>
      <c r="AC89" s="36"/>
      <c r="AD89" s="36"/>
      <c r="AE89" s="229"/>
      <c r="AF89" s="36"/>
      <c r="AG89" s="36"/>
      <c r="AH89" s="36"/>
      <c r="AI89" s="501"/>
      <c r="AJ89" s="36"/>
      <c r="AK89" s="36"/>
      <c r="AL89" s="36"/>
      <c r="AM89" s="36"/>
      <c r="AN89" s="82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49"/>
      <c r="BC89" s="50"/>
      <c r="BD89" s="50"/>
      <c r="BE89" s="50"/>
      <c r="BF89" s="50"/>
    </row>
    <row r="90" spans="1:58" ht="12.75" customHeight="1">
      <c r="A90" s="39">
        <v>46012</v>
      </c>
      <c r="B90" s="40" t="s">
        <v>464</v>
      </c>
      <c r="C90" s="413">
        <f>(M90*E90*O90*Q90)/100000000</f>
        <v>41.656680000000001</v>
      </c>
      <c r="D90" s="40" t="s">
        <v>302</v>
      </c>
      <c r="E90" s="41">
        <v>13</v>
      </c>
      <c r="F90" s="41">
        <v>1</v>
      </c>
      <c r="G90" s="498">
        <f>+L90</f>
        <v>1150</v>
      </c>
      <c r="H90" s="43">
        <v>0.25</v>
      </c>
      <c r="I90" s="44">
        <v>0.88</v>
      </c>
      <c r="J90" s="81">
        <f>E90*G90*(1-H90)*1440/1000000*2.74</f>
        <v>44.240040000000008</v>
      </c>
      <c r="K90" s="81">
        <f>(IF(G90&lt;L90,L90,G90)*(1-IF(H90&lt;N90,H90,N90))*E90*O90*Q90)/100000000</f>
        <v>41.656680000000001</v>
      </c>
      <c r="L90" s="34">
        <v>1150</v>
      </c>
      <c r="M90" s="34">
        <v>862.5</v>
      </c>
      <c r="N90" s="45">
        <f>1-(M90/L90)</f>
        <v>0.25</v>
      </c>
      <c r="O90" s="46">
        <f>+'Trim Rwd'!H65</f>
        <v>258</v>
      </c>
      <c r="P90" s="47">
        <f>O90*(Q90-R90-S90)</f>
        <v>357072</v>
      </c>
      <c r="Q90" s="46">
        <v>1440</v>
      </c>
      <c r="R90" s="499">
        <v>0</v>
      </c>
      <c r="S90" s="499">
        <v>56</v>
      </c>
      <c r="T90" s="36">
        <f>E90*M90*O90*Q90/100000000</f>
        <v>41.656680000000001</v>
      </c>
      <c r="U90" s="36">
        <f>E90*M90*O90*(Q90-R90-S90)/100000000</f>
        <v>40.036698000000001</v>
      </c>
      <c r="V90" s="36">
        <f>E90*G90*(1-N90)*O90/100*(R90+S90)/1000000</f>
        <v>1.619982</v>
      </c>
      <c r="W90" s="36">
        <f>+'21'!K10/1000</f>
        <v>37.963999999999999</v>
      </c>
      <c r="X90" s="500">
        <f>SUM(W90:W93)/SUM(K90:K93)</f>
        <v>0.91135443343060463</v>
      </c>
      <c r="Y90" s="210">
        <v>0</v>
      </c>
      <c r="Z90" s="36">
        <f>+'15'!D33/1000</f>
        <v>0</v>
      </c>
      <c r="AA90" s="48">
        <f>SUM(U90:U93)-SUM(W90:W93)-SUM(Z90:Z93)-SUM(Y90:Y93)</f>
        <v>2.0726980000000026</v>
      </c>
      <c r="AB90" s="48">
        <f>(SUM(K90:K93)-SUM(W90:W93)-SUM(Y90:Y93)-SUM(Z90:Z93)-SUM(AC90:AC93)-SUM(V90:V93))-AA90</f>
        <v>0</v>
      </c>
      <c r="AC90" s="36">
        <f>K90-T90</f>
        <v>0</v>
      </c>
      <c r="AD90" s="36">
        <f>+AM90+BA90</f>
        <v>8</v>
      </c>
      <c r="AE90" s="229" t="s">
        <v>602</v>
      </c>
      <c r="AF90" s="36">
        <v>8</v>
      </c>
      <c r="AG90" s="36"/>
      <c r="AH90" s="36"/>
      <c r="AI90" s="501"/>
      <c r="AJ90" s="36"/>
      <c r="AK90" s="36"/>
      <c r="AL90" s="36"/>
      <c r="AM90" s="36">
        <f>SUM(AF90:AL90)+AT90+AV90+AX90</f>
        <v>8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>
        <v>4</v>
      </c>
      <c r="BC90" s="50"/>
      <c r="BD90" s="50"/>
      <c r="BE90" s="32"/>
      <c r="BF90" s="50"/>
    </row>
    <row r="91" spans="1:58" ht="12.95" customHeight="1">
      <c r="A91" s="39"/>
      <c r="B91" s="40"/>
      <c r="C91" s="413"/>
      <c r="D91" s="40"/>
      <c r="E91" s="41"/>
      <c r="F91" s="41"/>
      <c r="G91" s="498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499"/>
      <c r="S91" s="499"/>
      <c r="T91" s="36"/>
      <c r="U91" s="36"/>
      <c r="V91" s="36"/>
      <c r="W91" s="36"/>
      <c r="X91" s="37"/>
      <c r="Y91" s="210"/>
      <c r="Z91" s="36"/>
      <c r="AA91" s="36"/>
      <c r="AB91" s="36"/>
      <c r="AC91" s="36"/>
      <c r="AD91" s="36">
        <f>+AM91+BA91</f>
        <v>10</v>
      </c>
      <c r="AE91" s="229" t="s">
        <v>603</v>
      </c>
      <c r="AF91" s="36"/>
      <c r="AG91" s="36">
        <v>10</v>
      </c>
      <c r="AH91" s="36"/>
      <c r="AI91" s="501"/>
      <c r="AJ91" s="36"/>
      <c r="AK91" s="36"/>
      <c r="AL91" s="36"/>
      <c r="AM91" s="36">
        <f>SUM(AF91:AL91)+AT91+AV91+AX91</f>
        <v>10</v>
      </c>
      <c r="AN91" s="82"/>
      <c r="AO91" s="36"/>
      <c r="AP91" s="36"/>
      <c r="AQ91" s="36"/>
      <c r="AR91" s="36">
        <f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49"/>
      <c r="BC91" s="50">
        <v>7</v>
      </c>
      <c r="BD91" s="50"/>
      <c r="BE91" s="49"/>
      <c r="BF91" s="50"/>
    </row>
    <row r="92" spans="1:58" ht="12.95" customHeight="1">
      <c r="A92" s="39"/>
      <c r="B92" s="40"/>
      <c r="C92" s="413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499"/>
      <c r="S92" s="499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+AM92+BA92</f>
        <v>38</v>
      </c>
      <c r="AE92" s="229" t="s">
        <v>437</v>
      </c>
      <c r="AF92" s="32"/>
      <c r="AG92" s="32"/>
      <c r="AH92" s="32">
        <v>38</v>
      </c>
      <c r="AJ92" s="36"/>
      <c r="AK92" s="36"/>
      <c r="AL92" s="36"/>
      <c r="AM92" s="36">
        <f>SUM(AF92:AL92)+AT92+AV92+AX92</f>
        <v>38</v>
      </c>
      <c r="AN92" s="36"/>
      <c r="AO92" s="36"/>
      <c r="AP92" s="36"/>
      <c r="AQ92" s="36"/>
      <c r="AR92" s="36">
        <f>SUM(AN92:AQ92)</f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/>
      <c r="BC92" s="502"/>
      <c r="BD92" s="502"/>
      <c r="BE92" s="32"/>
      <c r="BF92" s="502"/>
    </row>
    <row r="93" spans="1:58" ht="13.5" customHeight="1">
      <c r="A93" s="39"/>
      <c r="B93" s="40"/>
      <c r="C93" s="413"/>
      <c r="D93" s="40"/>
      <c r="E93" s="41"/>
      <c r="F93" s="41"/>
      <c r="G93" s="498"/>
      <c r="H93" s="43"/>
      <c r="I93" s="44"/>
      <c r="J93" s="81"/>
      <c r="K93" s="81"/>
      <c r="L93" s="34"/>
      <c r="M93" s="34"/>
      <c r="N93" s="45"/>
      <c r="O93" s="46"/>
      <c r="P93" s="47"/>
      <c r="Q93" s="46"/>
      <c r="R93" s="499"/>
      <c r="S93" s="499"/>
      <c r="T93" s="36"/>
      <c r="U93" s="36"/>
      <c r="V93" s="36"/>
      <c r="W93" s="36"/>
      <c r="X93" s="500"/>
      <c r="Y93" s="210"/>
      <c r="Z93" s="36"/>
      <c r="AA93" s="48"/>
      <c r="AB93" s="48"/>
      <c r="AC93" s="36"/>
      <c r="AD93" s="36"/>
      <c r="AE93" s="229"/>
      <c r="AF93" s="36"/>
      <c r="AG93" s="36"/>
      <c r="AH93" s="36"/>
      <c r="AI93" s="501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2"/>
      <c r="BC93" s="50"/>
      <c r="BD93" s="50"/>
      <c r="BE93" s="50"/>
      <c r="BF93" s="50"/>
    </row>
    <row r="94" spans="1:58" ht="12.75" customHeight="1">
      <c r="A94" s="39">
        <v>46013</v>
      </c>
      <c r="B94" s="40" t="s">
        <v>464</v>
      </c>
      <c r="C94" s="413">
        <f>(M94*E94*O94*Q94)/100000000</f>
        <v>22.798296160714287</v>
      </c>
      <c r="D94" s="40" t="s">
        <v>302</v>
      </c>
      <c r="E94" s="41">
        <v>13</v>
      </c>
      <c r="F94" s="41">
        <v>1</v>
      </c>
      <c r="G94" s="498">
        <f>+L94</f>
        <v>1150</v>
      </c>
      <c r="H94" s="43">
        <v>0.25</v>
      </c>
      <c r="I94" s="44">
        <v>0.88</v>
      </c>
      <c r="J94" s="81">
        <f>E94*G94*(1-H94)*1440/1000000*2.74</f>
        <v>44.240040000000008</v>
      </c>
      <c r="K94" s="81">
        <f>(IF(G94&lt;L94,L94,G94)*(1-IF(H94&lt;N94,H94,N94))*E94*O94*Q94)/100000000</f>
        <v>22.798296160714287</v>
      </c>
      <c r="L94" s="34">
        <v>1150</v>
      </c>
      <c r="M94" s="34">
        <v>862.5</v>
      </c>
      <c r="N94" s="45">
        <f>1-(M94/L94)</f>
        <v>0.25</v>
      </c>
      <c r="O94" s="46">
        <f>+'Trim Rwd'!H67</f>
        <v>260.67857142857144</v>
      </c>
      <c r="P94" s="47">
        <f>O94*(Q94-R94-S94)</f>
        <v>194726.89285714287</v>
      </c>
      <c r="Q94" s="46">
        <v>780</v>
      </c>
      <c r="R94" s="499">
        <v>0</v>
      </c>
      <c r="S94" s="499">
        <v>33</v>
      </c>
      <c r="T94" s="36">
        <f>E94*M94*O94*Q94/100000000</f>
        <v>22.798296160714287</v>
      </c>
      <c r="U94" s="36">
        <f>E94*M94*O94*(Q94-R94-S94)/100000000</f>
        <v>21.833752861607142</v>
      </c>
      <c r="V94" s="36">
        <f>E94*G94*(1-N94)*O94/100*(R94+S94)/1000000</f>
        <v>0.96454329910714287</v>
      </c>
      <c r="W94" s="36">
        <f>+'22'!K10/1000</f>
        <v>24.704000000000001</v>
      </c>
      <c r="X94" s="500">
        <f>SUM(W94:W97)/SUM(K94:K97)</f>
        <v>0.92596175841528305</v>
      </c>
      <c r="Y94" s="210">
        <v>0</v>
      </c>
      <c r="Z94" s="36">
        <v>0</v>
      </c>
      <c r="AA94" s="48">
        <f>SUM(U94:U97)-SUM(W94:W97)-SUM(Z94:Z97)-SUM(Y94:Y97)</f>
        <v>1.311388111607144</v>
      </c>
      <c r="AB94" s="48">
        <f>(SUM(K94:K97)-SUM(W94:W97)-SUM(Y94:Y97)-SUM(Z94:Z97)-SUM(AC94:AC97)-SUM(V94:V97))-AA94</f>
        <v>2.886579864025407E-15</v>
      </c>
      <c r="AC94" s="36">
        <f>K94-T94</f>
        <v>0</v>
      </c>
      <c r="AD94" s="36">
        <f>+AM94+BA94</f>
        <v>9</v>
      </c>
      <c r="AE94" s="229" t="s">
        <v>423</v>
      </c>
      <c r="AF94" s="36">
        <v>9</v>
      </c>
      <c r="AG94" s="36"/>
      <c r="AH94" s="36"/>
      <c r="AI94" s="501"/>
      <c r="AJ94" s="36"/>
      <c r="AK94" s="36"/>
      <c r="AL94" s="36"/>
      <c r="AM94" s="36">
        <f>SUM(AF94:AL94)+AT94+AV94+AX94</f>
        <v>9</v>
      </c>
      <c r="AN94" s="36"/>
      <c r="AO94" s="36"/>
      <c r="AP94" s="36"/>
      <c r="AQ94" s="36"/>
      <c r="AR94" s="36">
        <f>SUM(AN94:AQ94)</f>
        <v>0</v>
      </c>
      <c r="AS94" s="36"/>
      <c r="AT94" s="36"/>
      <c r="AU94" s="36"/>
      <c r="AV94" s="36"/>
      <c r="AW94" s="36"/>
      <c r="AX94" s="36"/>
      <c r="AY94" s="36"/>
      <c r="AZ94" s="36"/>
      <c r="BA94" s="36">
        <f>+AR94+AS94+AU94+AW94+AY94+AZ94</f>
        <v>0</v>
      </c>
      <c r="BB94" s="32">
        <v>3</v>
      </c>
      <c r="BC94" s="50"/>
      <c r="BD94" s="50"/>
      <c r="BE94" s="32"/>
      <c r="BF94" s="50"/>
    </row>
    <row r="95" spans="1:58" ht="12.95" customHeight="1">
      <c r="A95" s="39"/>
      <c r="B95" s="40" t="s">
        <v>464</v>
      </c>
      <c r="C95" s="413">
        <f>(M95*E95*O95*Q95)/100000000</f>
        <v>20.5706655</v>
      </c>
      <c r="D95" s="40" t="s">
        <v>302</v>
      </c>
      <c r="E95" s="41">
        <v>15</v>
      </c>
      <c r="F95" s="41">
        <v>1</v>
      </c>
      <c r="G95" s="498">
        <f>+L95</f>
        <v>1050</v>
      </c>
      <c r="H95" s="43">
        <f>+N95</f>
        <v>0.22999999999999998</v>
      </c>
      <c r="I95" s="44">
        <v>0.88</v>
      </c>
      <c r="J95" s="81">
        <f>E95*G95*(1-H95)*1440/1000000*2.74</f>
        <v>47.850264000000003</v>
      </c>
      <c r="K95" s="81">
        <f>(IF(G95&lt;L95,L95,G95)*(1-IF(H95&lt;N95,H95,N95))*E95*O95*Q95)/100000000</f>
        <v>20.5706655</v>
      </c>
      <c r="L95" s="34">
        <v>1050</v>
      </c>
      <c r="M95" s="34">
        <v>808.5</v>
      </c>
      <c r="N95" s="45">
        <f>1-(M95/L95)</f>
        <v>0.22999999999999998</v>
      </c>
      <c r="O95" s="46">
        <f>+'Trim Rwd'!H69</f>
        <v>257</v>
      </c>
      <c r="P95" s="47">
        <f>O95*(Q95-R95-S95)</f>
        <v>161910</v>
      </c>
      <c r="Q95" s="46">
        <v>660</v>
      </c>
      <c r="R95" s="499">
        <v>0</v>
      </c>
      <c r="S95" s="499">
        <v>30</v>
      </c>
      <c r="T95" s="36">
        <f>E95*M95*O95*Q95/100000000</f>
        <v>20.5706655</v>
      </c>
      <c r="U95" s="36">
        <f>E95*M95*O95*(Q95-R95-S95)/100000000</f>
        <v>19.63563525</v>
      </c>
      <c r="V95" s="36">
        <f>E95*G95*(1-N95)*O95/100*(R95+S95)/1000000</f>
        <v>0.93503024999999995</v>
      </c>
      <c r="W95" s="36">
        <f>+'22'!K11/1000</f>
        <v>15.454000000000001</v>
      </c>
      <c r="X95" s="37"/>
      <c r="Y95" s="210"/>
      <c r="Z95" s="36"/>
      <c r="AA95" s="36"/>
      <c r="AB95" s="36"/>
      <c r="AC95" s="36">
        <f>K95-T95</f>
        <v>0</v>
      </c>
      <c r="AD95" s="36">
        <f>+AM95+BA95</f>
        <v>17</v>
      </c>
      <c r="AE95" s="229" t="s">
        <v>603</v>
      </c>
      <c r="AF95" s="36"/>
      <c r="AG95" s="36">
        <v>17</v>
      </c>
      <c r="AH95" s="36"/>
      <c r="AI95" s="501"/>
      <c r="AJ95" s="36"/>
      <c r="AK95" s="36"/>
      <c r="AL95" s="36"/>
      <c r="AM95" s="36">
        <f>SUM(AF95:AL95)+AT95+AV95+AX95</f>
        <v>17</v>
      </c>
      <c r="AN95" s="82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49"/>
      <c r="BC95" s="50">
        <v>7</v>
      </c>
      <c r="BD95" s="50"/>
      <c r="BE95" s="49"/>
      <c r="BF95" s="50"/>
    </row>
    <row r="96" spans="1:58" ht="12.95" customHeight="1">
      <c r="A96" s="39"/>
      <c r="B96" s="40"/>
      <c r="C96" s="413"/>
      <c r="D96" s="40"/>
      <c r="E96" s="41"/>
      <c r="F96" s="41"/>
      <c r="G96" s="42"/>
      <c r="H96" s="43"/>
      <c r="I96" s="44"/>
      <c r="J96" s="81"/>
      <c r="K96" s="81"/>
      <c r="L96" s="34"/>
      <c r="M96" s="34"/>
      <c r="N96" s="45"/>
      <c r="O96" s="46"/>
      <c r="P96" s="47"/>
      <c r="Q96" s="46"/>
      <c r="R96" s="499"/>
      <c r="S96" s="499"/>
      <c r="T96" s="36"/>
      <c r="U96" s="36"/>
      <c r="V96" s="36"/>
      <c r="W96" s="36"/>
      <c r="X96" s="37"/>
      <c r="Y96" s="210"/>
      <c r="Z96" s="36"/>
      <c r="AA96" s="36"/>
      <c r="AB96" s="36"/>
      <c r="AC96" s="36"/>
      <c r="AD96" s="36">
        <f>+AM96+BA96</f>
        <v>37</v>
      </c>
      <c r="AE96" s="229" t="s">
        <v>428</v>
      </c>
      <c r="AF96" s="32"/>
      <c r="AG96" s="32"/>
      <c r="AH96" s="32">
        <v>37</v>
      </c>
      <c r="AJ96" s="36"/>
      <c r="AK96" s="36"/>
      <c r="AL96" s="36"/>
      <c r="AM96" s="36">
        <f>SUM(AF96:AL96)+AT96+AV96+AX96</f>
        <v>37</v>
      </c>
      <c r="AN96" s="36"/>
      <c r="AO96" s="36"/>
      <c r="AP96" s="36"/>
      <c r="AQ96" s="36"/>
      <c r="AR96" s="36">
        <f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32"/>
      <c r="BC96" s="502"/>
      <c r="BD96" s="502"/>
      <c r="BE96" s="32"/>
      <c r="BF96" s="502"/>
    </row>
    <row r="97" spans="1:58" ht="12.95" customHeight="1">
      <c r="A97" s="39"/>
      <c r="B97" s="40"/>
      <c r="C97" s="413"/>
      <c r="D97" s="40"/>
      <c r="E97" s="41"/>
      <c r="F97" s="41"/>
      <c r="G97" s="498"/>
      <c r="H97" s="43"/>
      <c r="I97" s="44"/>
      <c r="J97" s="81"/>
      <c r="K97" s="81"/>
      <c r="L97" s="34"/>
      <c r="M97" s="34"/>
      <c r="N97" s="45"/>
      <c r="O97" s="46"/>
      <c r="P97" s="47"/>
      <c r="Q97" s="46"/>
      <c r="R97" s="499"/>
      <c r="S97" s="499"/>
      <c r="T97" s="36"/>
      <c r="U97" s="36"/>
      <c r="V97" s="36"/>
      <c r="W97" s="36"/>
      <c r="X97" s="500"/>
      <c r="Y97" s="210"/>
      <c r="Z97" s="36"/>
      <c r="AA97" s="48"/>
      <c r="AB97" s="48"/>
      <c r="AC97" s="36"/>
      <c r="AD97" s="36"/>
      <c r="AE97" s="229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2"/>
      <c r="BC97" s="50"/>
      <c r="BD97" s="50"/>
      <c r="BE97" s="50"/>
      <c r="BF97" s="50"/>
    </row>
    <row r="98" spans="1:58" ht="12.75" customHeight="1">
      <c r="A98" s="39">
        <v>46014</v>
      </c>
      <c r="B98" s="40" t="s">
        <v>464</v>
      </c>
      <c r="C98" s="413">
        <f>(M98*E98*O98*Q98)/100000000</f>
        <v>37.245371624999997</v>
      </c>
      <c r="D98" s="40" t="s">
        <v>302</v>
      </c>
      <c r="E98" s="41">
        <v>15</v>
      </c>
      <c r="F98" s="41">
        <v>1</v>
      </c>
      <c r="G98" s="498">
        <f>+L98</f>
        <v>1050</v>
      </c>
      <c r="H98" s="43">
        <f>+N98</f>
        <v>0.22999999999999998</v>
      </c>
      <c r="I98" s="44">
        <v>0.88</v>
      </c>
      <c r="J98" s="81">
        <f>E98*G98*(1-H98)*1440/1000000*2.74</f>
        <v>47.850264000000003</v>
      </c>
      <c r="K98" s="81">
        <f>(IF(G98&lt;L98,L98,G98)*(1-IF(H98&lt;N98,H98,N98))*E98*O98*Q98)/100000000</f>
        <v>37.245371624999997</v>
      </c>
      <c r="L98" s="34">
        <v>1050</v>
      </c>
      <c r="M98" s="34">
        <v>808.5</v>
      </c>
      <c r="N98" s="45">
        <f>1-(M98/L98)</f>
        <v>0.22999999999999998</v>
      </c>
      <c r="O98" s="46">
        <f>+'Trim Rwd'!H71</f>
        <v>257</v>
      </c>
      <c r="P98" s="47">
        <f>O98*(Q98-R98-S98)</f>
        <v>295550</v>
      </c>
      <c r="Q98" s="46">
        <v>1195</v>
      </c>
      <c r="R98" s="499">
        <v>0</v>
      </c>
      <c r="S98" s="499">
        <v>45</v>
      </c>
      <c r="T98" s="36">
        <f>E98*M98*O98*Q98/100000000</f>
        <v>37.245371624999997</v>
      </c>
      <c r="U98" s="36">
        <f>E98*M98*O98*(Q98-R98-S98)/100000000</f>
        <v>35.842826250000002</v>
      </c>
      <c r="V98" s="36">
        <f>E98*G98*(1-N98)*O98/100*(R98+S98)/1000000</f>
        <v>1.4025453750000001</v>
      </c>
      <c r="W98" s="36">
        <f>+'23'!K11/1000</f>
        <v>37.981000000000002</v>
      </c>
      <c r="X98" s="500">
        <f>SUM(W98:W101)/SUM(K98:K101)</f>
        <v>0.9327958207639484</v>
      </c>
      <c r="Y98" s="210">
        <v>0</v>
      </c>
      <c r="Z98" s="36">
        <f>+'23'!D16/1000</f>
        <v>0.26</v>
      </c>
      <c r="AA98" s="48">
        <f>SUM(U98:U101)-SUM(W98:W101)-SUM(Z98:Z101)-SUM(Y98:Y101)</f>
        <v>0.73570870000000155</v>
      </c>
      <c r="AB98" s="48">
        <f>(SUM(K98:K101)-SUM(W98:W101)-SUM(Y98:Y101)-SUM(Z98:Z101)-SUM(AC98:AC101)-SUM(V98:V101))-AA98</f>
        <v>-4.6629367034256575E-15</v>
      </c>
      <c r="AC98" s="36">
        <f>K98-T98</f>
        <v>0</v>
      </c>
      <c r="AD98" s="36">
        <f>+AM98+BA98</f>
        <v>9</v>
      </c>
      <c r="AE98" s="229" t="s">
        <v>423</v>
      </c>
      <c r="AF98" s="36">
        <v>9</v>
      </c>
      <c r="AG98" s="36"/>
      <c r="AH98" s="36"/>
      <c r="AI98" s="501"/>
      <c r="AJ98" s="36"/>
      <c r="AK98" s="36"/>
      <c r="AL98" s="36"/>
      <c r="AM98" s="36">
        <f>SUM(AF98:AL98)+AT98+AV98+AX98</f>
        <v>9</v>
      </c>
      <c r="AN98" s="36"/>
      <c r="AO98" s="36"/>
      <c r="AP98" s="36"/>
      <c r="AQ98" s="36"/>
      <c r="AR98" s="36">
        <f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>
        <v>3</v>
      </c>
      <c r="BC98" s="50"/>
      <c r="BD98" s="50"/>
      <c r="BE98" s="32"/>
      <c r="BF98" s="50"/>
    </row>
    <row r="99" spans="1:58" ht="12.95" customHeight="1">
      <c r="A99" s="39"/>
      <c r="B99" s="40" t="s">
        <v>464</v>
      </c>
      <c r="C99" s="413">
        <f>(M99*E99*O99*Q99)/100000000</f>
        <v>7.26276089</v>
      </c>
      <c r="D99" s="40" t="s">
        <v>302</v>
      </c>
      <c r="E99" s="41">
        <v>14</v>
      </c>
      <c r="F99" s="41">
        <v>1</v>
      </c>
      <c r="G99" s="498">
        <f>+L99</f>
        <v>1070</v>
      </c>
      <c r="H99" s="43">
        <f>+N99</f>
        <v>0.22999999999999998</v>
      </c>
      <c r="I99" s="44">
        <v>0.88</v>
      </c>
      <c r="J99" s="81">
        <f>E99*G99*(1-H99)*1440/1000000*2.74</f>
        <v>45.510917760000005</v>
      </c>
      <c r="K99" s="81">
        <f>(IF(G99&lt;L99,L99,G99)*(1-IF(H99&lt;N99,H99,N99))*E99*O99*Q99)/100000000</f>
        <v>7.26276089</v>
      </c>
      <c r="L99" s="34">
        <v>1070</v>
      </c>
      <c r="M99" s="34">
        <v>823.9</v>
      </c>
      <c r="N99" s="45">
        <f>1-(M99/L99)</f>
        <v>0.22999999999999998</v>
      </c>
      <c r="O99" s="46">
        <f>+'Trim Rwd'!H72</f>
        <v>257</v>
      </c>
      <c r="P99" s="47">
        <f>O99*(Q99-R99-S99)</f>
        <v>57825</v>
      </c>
      <c r="Q99" s="46">
        <v>245</v>
      </c>
      <c r="R99" s="499">
        <v>0</v>
      </c>
      <c r="S99" s="499">
        <v>20</v>
      </c>
      <c r="T99" s="36">
        <f>E99*M99*O99*Q99/100000000</f>
        <v>7.26276089</v>
      </c>
      <c r="U99" s="36">
        <f>E99*M99*O99*(Q99-R99-S99)/100000000</f>
        <v>6.6698824500000002</v>
      </c>
      <c r="V99" s="36">
        <f>E99*G99*(1-N99)*O99/100*(R99+S99)/1000000</f>
        <v>0.59287844000000001</v>
      </c>
      <c r="W99" s="36">
        <f>+'23'!K15/1000</f>
        <v>3.536</v>
      </c>
      <c r="X99" s="37"/>
      <c r="Y99" s="210"/>
      <c r="Z99" s="36"/>
      <c r="AA99" s="36"/>
      <c r="AB99" s="36"/>
      <c r="AC99" s="36">
        <f>K99-T99</f>
        <v>0</v>
      </c>
      <c r="AD99" s="36">
        <f>+AM99+BA99</f>
        <v>17</v>
      </c>
      <c r="AE99" s="229" t="s">
        <v>603</v>
      </c>
      <c r="AF99" s="36"/>
      <c r="AG99" s="36">
        <v>17</v>
      </c>
      <c r="AH99" s="36"/>
      <c r="AI99" s="501"/>
      <c r="AJ99" s="36"/>
      <c r="AK99" s="36"/>
      <c r="AL99" s="36"/>
      <c r="AM99" s="36">
        <f>SUM(AF99:AL99)+AT99+AV99+AX99</f>
        <v>17</v>
      </c>
      <c r="AN99" s="82"/>
      <c r="AO99" s="36"/>
      <c r="AP99" s="36"/>
      <c r="AQ99" s="36"/>
      <c r="AR99" s="36">
        <f>SUM(AN99:AQ99)</f>
        <v>0</v>
      </c>
      <c r="AS99" s="36"/>
      <c r="AT99" s="36"/>
      <c r="AU99" s="36"/>
      <c r="AV99" s="36"/>
      <c r="AW99" s="36"/>
      <c r="AX99" s="36"/>
      <c r="AY99" s="36"/>
      <c r="AZ99" s="36"/>
      <c r="BA99" s="36">
        <f>+AR99+AS99+AU99+AW99+AY99+AZ99</f>
        <v>0</v>
      </c>
      <c r="BB99" s="49"/>
      <c r="BC99" s="50">
        <v>7</v>
      </c>
      <c r="BD99" s="50"/>
      <c r="BE99" s="49"/>
      <c r="BF99" s="50"/>
    </row>
    <row r="100" spans="1:58" ht="12.95" customHeight="1">
      <c r="A100" s="39"/>
      <c r="B100" s="40"/>
      <c r="C100" s="413"/>
      <c r="D100" s="40"/>
      <c r="E100" s="41"/>
      <c r="F100" s="41"/>
      <c r="G100" s="42"/>
      <c r="H100" s="43"/>
      <c r="I100" s="44"/>
      <c r="J100" s="81"/>
      <c r="K100" s="81"/>
      <c r="L100" s="34"/>
      <c r="M100" s="34"/>
      <c r="N100" s="45"/>
      <c r="O100" s="46"/>
      <c r="P100" s="47"/>
      <c r="Q100" s="46"/>
      <c r="R100" s="499"/>
      <c r="S100" s="499"/>
      <c r="T100" s="36"/>
      <c r="U100" s="36"/>
      <c r="V100" s="36"/>
      <c r="W100" s="36"/>
      <c r="X100" s="37"/>
      <c r="Y100" s="210"/>
      <c r="Z100" s="36"/>
      <c r="AA100" s="36"/>
      <c r="AB100" s="36"/>
      <c r="AC100" s="36"/>
      <c r="AD100" s="36">
        <f>+AM100+BA100</f>
        <v>39</v>
      </c>
      <c r="AE100" s="229" t="s">
        <v>443</v>
      </c>
      <c r="AF100" s="32"/>
      <c r="AG100" s="32"/>
      <c r="AH100" s="32">
        <v>39</v>
      </c>
      <c r="AJ100" s="36"/>
      <c r="AK100" s="36"/>
      <c r="AL100" s="36"/>
      <c r="AM100" s="36">
        <f>SUM(AF100:AL100)+AT100+AV100+AX100</f>
        <v>39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/>
      <c r="BC100" s="502"/>
      <c r="BD100" s="502"/>
      <c r="BE100" s="32"/>
      <c r="BF100" s="502"/>
    </row>
    <row r="101" spans="1:58" ht="12.95" customHeight="1">
      <c r="A101" s="39"/>
      <c r="B101" s="40"/>
      <c r="C101" s="413"/>
      <c r="D101" s="40"/>
      <c r="E101" s="41"/>
      <c r="F101" s="41"/>
      <c r="G101" s="498"/>
      <c r="H101" s="43"/>
      <c r="I101" s="44"/>
      <c r="J101" s="81"/>
      <c r="K101" s="81"/>
      <c r="L101" s="34"/>
      <c r="M101" s="34"/>
      <c r="N101" s="45"/>
      <c r="O101" s="46"/>
      <c r="P101" s="47"/>
      <c r="Q101" s="46"/>
      <c r="R101" s="499"/>
      <c r="S101" s="499"/>
      <c r="T101" s="36"/>
      <c r="U101" s="36"/>
      <c r="V101" s="36"/>
      <c r="W101" s="36"/>
      <c r="X101" s="500"/>
      <c r="Y101" s="210"/>
      <c r="Z101" s="36"/>
      <c r="AA101" s="48"/>
      <c r="AB101" s="48"/>
      <c r="AC101" s="36"/>
      <c r="AD101" s="36"/>
      <c r="AE101" s="229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2"/>
      <c r="BC101" s="50"/>
      <c r="BD101" s="50"/>
      <c r="BE101" s="50"/>
      <c r="BF101" s="50"/>
    </row>
    <row r="102" spans="1:58" ht="12.75" customHeight="1">
      <c r="A102" s="39">
        <v>46015</v>
      </c>
      <c r="B102" s="40" t="s">
        <v>464</v>
      </c>
      <c r="C102" s="413">
        <f>(M102*E102*O102*Q102)/100000000</f>
        <v>43.734481559999999</v>
      </c>
      <c r="D102" s="40" t="s">
        <v>302</v>
      </c>
      <c r="E102" s="41">
        <v>14</v>
      </c>
      <c r="F102" s="41">
        <v>1</v>
      </c>
      <c r="G102" s="498">
        <f>+L102</f>
        <v>1096.25</v>
      </c>
      <c r="H102" s="43">
        <f>+N102</f>
        <v>0.23000000000000009</v>
      </c>
      <c r="I102" s="44">
        <v>0.88</v>
      </c>
      <c r="J102" s="81">
        <f>E102*G102*(1-H102)*1440/1000000*2.74</f>
        <v>46.627423920000005</v>
      </c>
      <c r="K102" s="81">
        <f>(IF(G102&lt;L102,L102,G102)*(1-IF(H102&lt;N102,H102,N102))*E102*O102*Q102)/100000000</f>
        <v>43.734481559999999</v>
      </c>
      <c r="L102" s="34">
        <v>1096.25</v>
      </c>
      <c r="M102" s="34">
        <v>844.11249999999995</v>
      </c>
      <c r="N102" s="45">
        <f>1-(M102/L102)</f>
        <v>0.23000000000000009</v>
      </c>
      <c r="O102" s="46">
        <f>+'Trim Rwd'!H74</f>
        <v>257</v>
      </c>
      <c r="P102" s="47">
        <f>O102*(Q102-R102-S102)</f>
        <v>353375</v>
      </c>
      <c r="Q102" s="46">
        <v>1440</v>
      </c>
      <c r="R102" s="499">
        <v>0</v>
      </c>
      <c r="S102" s="499">
        <v>65</v>
      </c>
      <c r="T102" s="36">
        <f>E102*M102*O102*Q102/100000000</f>
        <v>43.734481559999999</v>
      </c>
      <c r="U102" s="36">
        <f>E102*M102*O102*(Q102-R102-S102)/100000000</f>
        <v>41.760355656249999</v>
      </c>
      <c r="V102" s="36">
        <f>E102*G102*(1-N102)*O102/100*(R102+S102)/1000000</f>
        <v>1.9741259037500001</v>
      </c>
      <c r="W102" s="36">
        <f>+'24'!K15/1000</f>
        <v>40.146000000000001</v>
      </c>
      <c r="X102" s="500">
        <f>SUM(W102:W105)/SUM(K102:K105)</f>
        <v>0.91794846007087327</v>
      </c>
      <c r="Y102" s="210">
        <v>0</v>
      </c>
      <c r="Z102" s="36">
        <f>+'24'!D34/1000</f>
        <v>0.56399999999999995</v>
      </c>
      <c r="AA102" s="48">
        <f>SUM(U102:U105)-SUM(W102:W105)-SUM(Z102:Z105)-SUM(Y102:Y105)</f>
        <v>1.050355656249998</v>
      </c>
      <c r="AB102" s="48">
        <f>(SUM(K102:K105)-SUM(W102:W105)-SUM(Y102:Y105)-SUM(Z102:Z105)-SUM(AC102:AC105)-SUM(V102:V105))-AA102</f>
        <v>0</v>
      </c>
      <c r="AC102" s="36">
        <f>K102-T102</f>
        <v>0</v>
      </c>
      <c r="AD102" s="36">
        <f>+AM102+BA102</f>
        <v>25</v>
      </c>
      <c r="AE102" s="229" t="s">
        <v>633</v>
      </c>
      <c r="AF102" s="36">
        <v>25</v>
      </c>
      <c r="AG102" s="36"/>
      <c r="AH102" s="36"/>
      <c r="AI102" s="501"/>
      <c r="AJ102" s="36"/>
      <c r="AK102" s="36"/>
      <c r="AL102" s="36"/>
      <c r="AM102" s="36">
        <f>SUM(AF102:AL102)+AT102+AV102+AX102</f>
        <v>25</v>
      </c>
      <c r="AN102" s="36"/>
      <c r="AO102" s="36"/>
      <c r="AP102" s="36"/>
      <c r="AQ102" s="36"/>
      <c r="AR102" s="36">
        <f>SUM(AN102:AQ102)</f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>
        <v>7</v>
      </c>
      <c r="BC102" s="50"/>
      <c r="BD102" s="50"/>
      <c r="BE102" s="32"/>
      <c r="BF102" s="50"/>
    </row>
    <row r="103" spans="1:58" ht="12.95" customHeight="1">
      <c r="A103" s="39"/>
      <c r="B103" s="40"/>
      <c r="C103" s="413"/>
      <c r="D103" s="40"/>
      <c r="E103" s="41"/>
      <c r="F103" s="41"/>
      <c r="G103" s="498"/>
      <c r="H103" s="43"/>
      <c r="I103" s="44"/>
      <c r="J103" s="81"/>
      <c r="K103" s="81"/>
      <c r="L103" s="34"/>
      <c r="M103" s="34"/>
      <c r="N103" s="45"/>
      <c r="O103" s="46"/>
      <c r="P103" s="47"/>
      <c r="Q103" s="46"/>
      <c r="R103" s="499"/>
      <c r="S103" s="499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+AM103+BA103</f>
        <v>8</v>
      </c>
      <c r="AE103" s="229" t="s">
        <v>407</v>
      </c>
      <c r="AF103" s="36"/>
      <c r="AG103" s="36">
        <v>8</v>
      </c>
      <c r="AH103" s="36"/>
      <c r="AI103" s="501"/>
      <c r="AJ103" s="36"/>
      <c r="AK103" s="36"/>
      <c r="AL103" s="36"/>
      <c r="AM103" s="36">
        <f>SUM(AF103:AL103)+AT103+AV103+AX103</f>
        <v>8</v>
      </c>
      <c r="AN103" s="82"/>
      <c r="AO103" s="36"/>
      <c r="AP103" s="36"/>
      <c r="AQ103" s="36"/>
      <c r="AR103" s="36">
        <f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49"/>
      <c r="BC103" s="50">
        <v>4</v>
      </c>
      <c r="BD103" s="50"/>
      <c r="BE103" s="49"/>
      <c r="BF103" s="50"/>
    </row>
    <row r="104" spans="1:58" ht="12.95" customHeight="1">
      <c r="A104" s="39"/>
      <c r="B104" s="40"/>
      <c r="C104" s="413"/>
      <c r="D104" s="40"/>
      <c r="E104" s="41"/>
      <c r="F104" s="41"/>
      <c r="G104" s="42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499"/>
      <c r="S104" s="499"/>
      <c r="T104" s="36"/>
      <c r="U104" s="36"/>
      <c r="V104" s="36"/>
      <c r="W104" s="36"/>
      <c r="X104" s="37"/>
      <c r="Y104" s="210"/>
      <c r="Z104" s="36"/>
      <c r="AA104" s="36"/>
      <c r="AB104" s="36"/>
      <c r="AC104" s="36"/>
      <c r="AD104" s="36">
        <f>+AM104+BA104</f>
        <v>32</v>
      </c>
      <c r="AE104" s="229" t="s">
        <v>443</v>
      </c>
      <c r="AF104" s="32"/>
      <c r="AG104" s="32"/>
      <c r="AH104" s="32">
        <v>32</v>
      </c>
      <c r="AJ104" s="36"/>
      <c r="AK104" s="36"/>
      <c r="AL104" s="36"/>
      <c r="AM104" s="36">
        <f>SUM(AF104:AL104)+AT104+AV104+AX104</f>
        <v>32</v>
      </c>
      <c r="AN104" s="36"/>
      <c r="AO104" s="36"/>
      <c r="AP104" s="36"/>
      <c r="AQ104" s="36"/>
      <c r="AR104" s="36">
        <f>SUM(AN104:AQ104)</f>
        <v>0</v>
      </c>
      <c r="AS104" s="36"/>
      <c r="AT104" s="36"/>
      <c r="AU104" s="36"/>
      <c r="AV104" s="36"/>
      <c r="AW104" s="36"/>
      <c r="AX104" s="36"/>
      <c r="AY104" s="36"/>
      <c r="AZ104" s="36"/>
      <c r="BA104" s="36">
        <f>+AR104+AS104+AU104+AW104+AY104+AZ104</f>
        <v>0</v>
      </c>
      <c r="BB104" s="32"/>
      <c r="BC104" s="502"/>
      <c r="BD104" s="502"/>
      <c r="BE104" s="32"/>
      <c r="BF104" s="502"/>
    </row>
    <row r="105" spans="1:58" ht="12.95" customHeight="1">
      <c r="A105" s="39"/>
      <c r="B105" s="40"/>
      <c r="C105" s="413"/>
      <c r="D105" s="40"/>
      <c r="E105" s="41"/>
      <c r="F105" s="41"/>
      <c r="G105" s="498"/>
      <c r="H105" s="43"/>
      <c r="I105" s="44"/>
      <c r="J105" s="81"/>
      <c r="K105" s="81"/>
      <c r="L105" s="34"/>
      <c r="M105" s="34"/>
      <c r="N105" s="45"/>
      <c r="O105" s="46"/>
      <c r="P105" s="47"/>
      <c r="Q105" s="46"/>
      <c r="R105" s="499"/>
      <c r="S105" s="499"/>
      <c r="T105" s="36"/>
      <c r="U105" s="36"/>
      <c r="V105" s="36"/>
      <c r="W105" s="36"/>
      <c r="X105" s="500"/>
      <c r="Y105" s="210"/>
      <c r="Z105" s="36"/>
      <c r="AA105" s="48"/>
      <c r="AB105" s="48"/>
      <c r="AC105" s="36"/>
      <c r="AD105" s="36"/>
      <c r="AE105" s="229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2"/>
      <c r="BC105" s="50"/>
      <c r="BD105" s="50"/>
      <c r="BE105" s="50"/>
      <c r="BF105" s="50"/>
    </row>
    <row r="106" spans="1:58" ht="12.75" customHeight="1">
      <c r="A106" s="39">
        <v>46016</v>
      </c>
      <c r="B106" s="40" t="s">
        <v>464</v>
      </c>
      <c r="C106" s="413">
        <f>(M106*E106*O106*Q106)/100000000</f>
        <v>10.9710216</v>
      </c>
      <c r="D106" s="40" t="s">
        <v>302</v>
      </c>
      <c r="E106" s="41">
        <v>14</v>
      </c>
      <c r="F106" s="41">
        <v>1</v>
      </c>
      <c r="G106" s="498">
        <f>+L106</f>
        <v>1100</v>
      </c>
      <c r="H106" s="43">
        <f>+N106</f>
        <v>0.22999999999999998</v>
      </c>
      <c r="I106" s="44">
        <v>0.88</v>
      </c>
      <c r="J106" s="81">
        <f>E106*G106*(1-H106)*1440/1000000*2.74</f>
        <v>46.786924800000008</v>
      </c>
      <c r="K106" s="81">
        <f>(IF(G106&lt;L106,L106,G106)*(1-IF(H106&lt;N106,H106,N106))*E106*O106*Q106)/100000000</f>
        <v>10.9710216</v>
      </c>
      <c r="L106" s="34">
        <v>1100</v>
      </c>
      <c r="M106" s="34">
        <v>847</v>
      </c>
      <c r="N106" s="45">
        <f>1-(M106/L106)</f>
        <v>0.22999999999999998</v>
      </c>
      <c r="O106" s="46">
        <f>+'Trim Rwd'!H76</f>
        <v>257</v>
      </c>
      <c r="P106" s="47">
        <f>O106*(Q106-R106-S106)</f>
        <v>89693</v>
      </c>
      <c r="Q106" s="46">
        <v>360</v>
      </c>
      <c r="R106" s="499">
        <v>0</v>
      </c>
      <c r="S106" s="499">
        <v>11</v>
      </c>
      <c r="T106" s="36">
        <f>E106*M106*O106*Q106/100000000</f>
        <v>10.9710216</v>
      </c>
      <c r="U106" s="36">
        <f>E106*M106*O106*(Q106-R106-S106)/100000000</f>
        <v>10.63579594</v>
      </c>
      <c r="V106" s="36">
        <f>E106*G106*(1-N106)*O106/100*(R106+S106)/1000000</f>
        <v>0.33522566000000004</v>
      </c>
      <c r="W106" s="36">
        <f>+'25'!K15/1000</f>
        <v>13.125</v>
      </c>
      <c r="X106" s="500">
        <f>SUM(W106:W109)/SUM(K106:K109)</f>
        <v>0.93150628866277796</v>
      </c>
      <c r="Y106" s="210">
        <v>0</v>
      </c>
      <c r="Z106" s="36">
        <v>0</v>
      </c>
      <c r="AA106" s="48">
        <f>SUM(U106:U109)-SUM(W106:W109)-SUM(Z106:Z109)-SUM(Y106:Y109)</f>
        <v>1.2002863080000026</v>
      </c>
      <c r="AB106" s="48">
        <f>(SUM(K106:K109)-SUM(W106:W109)-SUM(Y106:Y109)-SUM(Z106:Z109)-SUM(AC106:AC109)-SUM(V106:V109))-AA106</f>
        <v>-4.6629367034256575E-15</v>
      </c>
      <c r="AC106" s="36">
        <f>K106-T106</f>
        <v>0</v>
      </c>
      <c r="AD106" s="36">
        <f>+AM106+BA106</f>
        <v>9</v>
      </c>
      <c r="AE106" s="229" t="s">
        <v>423</v>
      </c>
      <c r="AF106" s="36">
        <v>9</v>
      </c>
      <c r="AG106" s="36"/>
      <c r="AH106" s="36"/>
      <c r="AI106" s="501"/>
      <c r="AJ106" s="36"/>
      <c r="AK106" s="36"/>
      <c r="AL106" s="36"/>
      <c r="AM106" s="36">
        <f>SUM(AF106:AL106)+AT106+AV106+AX106</f>
        <v>9</v>
      </c>
      <c r="AN106" s="36"/>
      <c r="AO106" s="36"/>
      <c r="AP106" s="36"/>
      <c r="AQ106" s="36"/>
      <c r="AR106" s="36">
        <f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32">
        <v>3</v>
      </c>
      <c r="BC106" s="50"/>
      <c r="BD106" s="50"/>
      <c r="BE106" s="32"/>
      <c r="BF106" s="50"/>
    </row>
    <row r="107" spans="1:58" ht="12.95" customHeight="1">
      <c r="A107" s="39"/>
      <c r="B107" s="40" t="s">
        <v>464</v>
      </c>
      <c r="C107" s="413">
        <f>(M107*E107*O107*Q107)/100000000</f>
        <v>32.602489919999996</v>
      </c>
      <c r="D107" s="40" t="s">
        <v>302</v>
      </c>
      <c r="E107" s="41">
        <v>13</v>
      </c>
      <c r="F107" s="41">
        <v>1</v>
      </c>
      <c r="G107" s="498">
        <f>+L107</f>
        <v>1168.8888888888889</v>
      </c>
      <c r="H107" s="43">
        <f>+N107</f>
        <v>0.22999999999999998</v>
      </c>
      <c r="I107" s="44">
        <v>0.88</v>
      </c>
      <c r="J107" s="81">
        <f>E107*G107*(1-H107)*1440/1000000*2.74</f>
        <v>46.165799680000006</v>
      </c>
      <c r="K107" s="81">
        <f>(IF(G107&lt;L107,L107,G107)*(1-IF(H107&lt;N107,H107,N107))*E107*O107*Q107)/100000000</f>
        <v>32.602489919999996</v>
      </c>
      <c r="L107" s="34">
        <v>1168.8888888888889</v>
      </c>
      <c r="M107" s="34">
        <v>900.04444444444448</v>
      </c>
      <c r="N107" s="45">
        <f>1-(M107/L107)</f>
        <v>0.22999999999999998</v>
      </c>
      <c r="O107" s="46">
        <f>+'Trim Rwd'!H77</f>
        <v>258</v>
      </c>
      <c r="P107" s="47">
        <f>O107*(Q107-R107-S107)</f>
        <v>266256</v>
      </c>
      <c r="Q107" s="46">
        <v>1080</v>
      </c>
      <c r="R107" s="499">
        <v>0</v>
      </c>
      <c r="S107" s="499">
        <v>48</v>
      </c>
      <c r="T107" s="36">
        <f>E107*M107*O107*Q107/100000000</f>
        <v>32.602489919999996</v>
      </c>
      <c r="U107" s="36">
        <f>E107*M107*O107*(Q107-R107-S107)/100000000</f>
        <v>31.153490368000003</v>
      </c>
      <c r="V107" s="36">
        <f>E107*G107*(1-N107)*O107/100*(R107+S107)/1000000</f>
        <v>1.4489995520000001</v>
      </c>
      <c r="W107" s="36">
        <f>+'25'!K10/1000</f>
        <v>27.463999999999999</v>
      </c>
      <c r="X107" s="37"/>
      <c r="Y107" s="210"/>
      <c r="Z107" s="36"/>
      <c r="AA107" s="36"/>
      <c r="AB107" s="36"/>
      <c r="AC107" s="36">
        <f>K107-T107</f>
        <v>0</v>
      </c>
      <c r="AD107" s="36">
        <f>+AM107+BA107</f>
        <v>11</v>
      </c>
      <c r="AE107" s="229" t="s">
        <v>549</v>
      </c>
      <c r="AF107" s="36"/>
      <c r="AG107" s="36">
        <v>11</v>
      </c>
      <c r="AH107" s="36"/>
      <c r="AI107" s="501"/>
      <c r="AJ107" s="36"/>
      <c r="AK107" s="36"/>
      <c r="AL107" s="36"/>
      <c r="AM107" s="36">
        <f>SUM(AF107:AL107)+AT107+AV107+AX107</f>
        <v>11</v>
      </c>
      <c r="AN107" s="82"/>
      <c r="AO107" s="36"/>
      <c r="AP107" s="36"/>
      <c r="AQ107" s="36"/>
      <c r="AR107" s="36">
        <f>SUM(AN107:AQ107)</f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49"/>
      <c r="BC107" s="50">
        <v>6</v>
      </c>
      <c r="BD107" s="50"/>
      <c r="BE107" s="49"/>
      <c r="BF107" s="50"/>
    </row>
    <row r="108" spans="1:58" ht="12.95" customHeight="1">
      <c r="A108" s="39"/>
      <c r="B108" s="40"/>
      <c r="C108" s="413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46"/>
      <c r="R108" s="499"/>
      <c r="S108" s="499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+AM108+BA108</f>
        <v>39</v>
      </c>
      <c r="AE108" s="229" t="s">
        <v>443</v>
      </c>
      <c r="AF108" s="32"/>
      <c r="AG108" s="32"/>
      <c r="AH108" s="32">
        <v>39</v>
      </c>
      <c r="AJ108" s="36"/>
      <c r="AK108" s="36"/>
      <c r="AL108" s="36"/>
      <c r="AM108" s="36">
        <f>SUM(AF108:AL108)+AT108+AV108+AX108</f>
        <v>39</v>
      </c>
      <c r="AN108" s="36"/>
      <c r="AO108" s="36"/>
      <c r="AP108" s="36"/>
      <c r="AQ108" s="36"/>
      <c r="AR108" s="36">
        <f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32"/>
      <c r="BC108" s="502"/>
      <c r="BD108" s="502"/>
      <c r="BE108" s="32"/>
      <c r="BF108" s="502"/>
    </row>
    <row r="109" spans="1:58" ht="12.95" customHeight="1">
      <c r="A109" s="39"/>
      <c r="B109" s="40"/>
      <c r="C109" s="413"/>
      <c r="D109" s="40"/>
      <c r="E109" s="41"/>
      <c r="F109" s="41"/>
      <c r="G109" s="498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499"/>
      <c r="S109" s="499"/>
      <c r="T109" s="36"/>
      <c r="U109" s="36"/>
      <c r="V109" s="36"/>
      <c r="W109" s="36"/>
      <c r="X109" s="37"/>
      <c r="Y109" s="210"/>
      <c r="Z109" s="36"/>
      <c r="AA109" s="36"/>
      <c r="AB109" s="36"/>
      <c r="AC109" s="36"/>
      <c r="AD109" s="36"/>
      <c r="AE109" s="229"/>
      <c r="AF109" s="36"/>
      <c r="AG109" s="36"/>
      <c r="AH109" s="36"/>
      <c r="AI109" s="501"/>
      <c r="AJ109" s="36"/>
      <c r="AK109" s="36"/>
      <c r="AL109" s="36"/>
      <c r="AM109" s="36"/>
      <c r="AN109" s="82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49"/>
      <c r="BC109" s="50"/>
      <c r="BD109" s="50"/>
      <c r="BE109" s="50"/>
      <c r="BF109" s="50"/>
    </row>
    <row r="110" spans="1:58" ht="12.75" customHeight="1">
      <c r="A110" s="39">
        <v>46017</v>
      </c>
      <c r="B110" s="40" t="s">
        <v>464</v>
      </c>
      <c r="C110" s="413">
        <f>(M110*E110*O110*Q110)/100000000</f>
        <v>43.785061319999997</v>
      </c>
      <c r="D110" s="40" t="s">
        <v>302</v>
      </c>
      <c r="E110" s="41">
        <v>13</v>
      </c>
      <c r="F110" s="41">
        <v>1</v>
      </c>
      <c r="G110" s="498">
        <f>+L110</f>
        <v>1177.3611111111111</v>
      </c>
      <c r="H110" s="43">
        <f>+N110</f>
        <v>0.22999999999999998</v>
      </c>
      <c r="I110" s="44">
        <v>0.88</v>
      </c>
      <c r="J110" s="81">
        <f>E110*G110*(1-H110)*1440/1000000*2.74</f>
        <v>46.500413960000003</v>
      </c>
      <c r="K110" s="81">
        <f>(IF(G110&lt;L110,L110,G110)*(1-IF(H110&lt;N110,H110,N110))*E110*O110*Q110)/100000000</f>
        <v>43.785061319999997</v>
      </c>
      <c r="L110" s="34">
        <v>1177.3611111111111</v>
      </c>
      <c r="M110" s="34">
        <v>906.56805555555559</v>
      </c>
      <c r="N110" s="45">
        <f>1-(M110/L110)</f>
        <v>0.22999999999999998</v>
      </c>
      <c r="O110" s="46">
        <f>+'Trim Rwd'!H79</f>
        <v>258</v>
      </c>
      <c r="P110" s="47">
        <f>O110*(Q110-R110-S110)</f>
        <v>357588</v>
      </c>
      <c r="Q110" s="46">
        <v>1440</v>
      </c>
      <c r="R110" s="499">
        <v>0</v>
      </c>
      <c r="S110" s="499">
        <v>54</v>
      </c>
      <c r="T110" s="36">
        <f>E110*M110*O110*Q110/100000000</f>
        <v>43.785061319999997</v>
      </c>
      <c r="U110" s="36">
        <f>E110*M110*O110*(Q110-R110-S110)/100000000</f>
        <v>42.143121520500003</v>
      </c>
      <c r="V110" s="36">
        <f>E110*G110*(1-N110)*O110/100*(R110+S110)/1000000</f>
        <v>1.6419397994999998</v>
      </c>
      <c r="W110" s="36">
        <f>+'26'!K10/1000</f>
        <v>38.847999999999999</v>
      </c>
      <c r="X110" s="500">
        <f>SUM(W110:W113)/SUM(K110:K113)</f>
        <v>0.88724324755610506</v>
      </c>
      <c r="Y110" s="210">
        <v>0</v>
      </c>
      <c r="Z110" s="36">
        <v>0</v>
      </c>
      <c r="AA110" s="48">
        <f>SUM(U110:U113)-SUM(W110:W113)-SUM(Z110:Z113)-SUM(Y110:Y113)</f>
        <v>3.295121520500004</v>
      </c>
      <c r="AB110" s="48">
        <f>(SUM(K110:K113)-SUM(W110:W113)-SUM(Y110:Y113)-SUM(Z110:Z113)-SUM(AC110:AC113)-SUM(V110:V113))-AA110</f>
        <v>-5.773159728050814E-15</v>
      </c>
      <c r="AC110" s="36">
        <f>K110-T110</f>
        <v>0</v>
      </c>
      <c r="AD110" s="36">
        <f>+AM110+BA110</f>
        <v>9</v>
      </c>
      <c r="AE110" s="229" t="s">
        <v>423</v>
      </c>
      <c r="AF110" s="36">
        <v>9</v>
      </c>
      <c r="AG110" s="36"/>
      <c r="AH110" s="36"/>
      <c r="AI110" s="501"/>
      <c r="AJ110" s="36"/>
      <c r="AK110" s="36"/>
      <c r="AL110" s="36"/>
      <c r="AM110" s="36">
        <f>SUM(AF110:AL110)+AT110+AV110+AX110</f>
        <v>9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32">
        <v>3</v>
      </c>
      <c r="BC110" s="50"/>
      <c r="BD110" s="50"/>
      <c r="BE110" s="32"/>
      <c r="BF110" s="50"/>
    </row>
    <row r="111" spans="1:58" ht="12.95" customHeight="1">
      <c r="A111" s="39"/>
      <c r="B111" s="40"/>
      <c r="C111" s="413"/>
      <c r="D111" s="40"/>
      <c r="E111" s="41"/>
      <c r="F111" s="41"/>
      <c r="G111" s="498"/>
      <c r="H111" s="43"/>
      <c r="I111" s="44"/>
      <c r="J111" s="81"/>
      <c r="K111" s="81"/>
      <c r="L111" s="34"/>
      <c r="M111" s="34"/>
      <c r="N111" s="45"/>
      <c r="O111" s="46"/>
      <c r="P111" s="47"/>
      <c r="Q111" s="46"/>
      <c r="R111" s="499"/>
      <c r="S111" s="499"/>
      <c r="T111" s="36"/>
      <c r="U111" s="36"/>
      <c r="V111" s="36"/>
      <c r="W111" s="36"/>
      <c r="X111" s="37"/>
      <c r="Y111" s="210"/>
      <c r="Z111" s="36"/>
      <c r="AA111" s="36"/>
      <c r="AB111" s="36"/>
      <c r="AC111" s="36"/>
      <c r="AD111" s="36">
        <f>+AM111+BA111</f>
        <v>16</v>
      </c>
      <c r="AE111" s="229" t="s">
        <v>435</v>
      </c>
      <c r="AF111" s="36"/>
      <c r="AG111" s="36">
        <v>16</v>
      </c>
      <c r="AH111" s="36"/>
      <c r="AI111" s="501"/>
      <c r="AJ111" s="36"/>
      <c r="AK111" s="36"/>
      <c r="AL111" s="36"/>
      <c r="AM111" s="36">
        <f>SUM(AF111:AL111)+AT111+AV111+AX111</f>
        <v>16</v>
      </c>
      <c r="AN111" s="82"/>
      <c r="AO111" s="36"/>
      <c r="AP111" s="36"/>
      <c r="AQ111" s="36"/>
      <c r="AR111" s="36">
        <f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49"/>
      <c r="BC111" s="50">
        <v>10</v>
      </c>
      <c r="BD111" s="50"/>
      <c r="BE111" s="49"/>
      <c r="BF111" s="50"/>
    </row>
    <row r="112" spans="1:58" ht="12.95" customHeight="1">
      <c r="A112" s="39"/>
      <c r="B112" s="40"/>
      <c r="C112" s="413"/>
      <c r="D112" s="40"/>
      <c r="E112" s="41"/>
      <c r="F112" s="41"/>
      <c r="G112" s="42"/>
      <c r="H112" s="43"/>
      <c r="I112" s="44"/>
      <c r="J112" s="81"/>
      <c r="K112" s="81"/>
      <c r="L112" s="34"/>
      <c r="M112" s="34"/>
      <c r="N112" s="45"/>
      <c r="O112" s="46"/>
      <c r="P112" s="47"/>
      <c r="Q112" s="46"/>
      <c r="R112" s="499"/>
      <c r="S112" s="499"/>
      <c r="T112" s="36"/>
      <c r="U112" s="36"/>
      <c r="V112" s="36"/>
      <c r="W112" s="36"/>
      <c r="X112" s="37"/>
      <c r="Y112" s="210"/>
      <c r="Z112" s="36"/>
      <c r="AA112" s="36"/>
      <c r="AB112" s="36"/>
      <c r="AC112" s="36"/>
      <c r="AD112" s="36">
        <f>+AM112+BA112</f>
        <v>29</v>
      </c>
      <c r="AE112" s="229" t="s">
        <v>443</v>
      </c>
      <c r="AF112" s="32"/>
      <c r="AG112" s="32"/>
      <c r="AH112" s="32">
        <v>29</v>
      </c>
      <c r="AJ112" s="36"/>
      <c r="AK112" s="36"/>
      <c r="AL112" s="36"/>
      <c r="AM112" s="36">
        <f>SUM(AF112:AL112)+AT112+AV112+AX112</f>
        <v>29</v>
      </c>
      <c r="AN112" s="36"/>
      <c r="AO112" s="36"/>
      <c r="AP112" s="36"/>
      <c r="AQ112" s="36"/>
      <c r="AR112" s="36">
        <f>SUM(AN112:AQ112)</f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32"/>
      <c r="BC112" s="502"/>
      <c r="BD112" s="502"/>
      <c r="BE112" s="32"/>
      <c r="BF112" s="502"/>
    </row>
    <row r="113" spans="1:58" ht="16.5" customHeight="1">
      <c r="A113" s="39"/>
      <c r="B113" s="40"/>
      <c r="C113" s="413"/>
      <c r="D113" s="40"/>
      <c r="E113" s="41"/>
      <c r="F113" s="41"/>
      <c r="G113" s="498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499"/>
      <c r="S113" s="499"/>
      <c r="T113" s="36"/>
      <c r="U113" s="36"/>
      <c r="V113" s="36"/>
      <c r="W113" s="36"/>
      <c r="X113" s="500"/>
      <c r="Y113" s="210"/>
      <c r="Z113" s="36"/>
      <c r="AA113" s="48"/>
      <c r="AB113" s="48"/>
      <c r="AC113" s="36"/>
      <c r="AD113" s="36"/>
      <c r="AE113" s="229"/>
      <c r="AF113" s="36"/>
      <c r="AG113" s="36"/>
      <c r="AH113" s="36"/>
      <c r="AI113" s="501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2"/>
      <c r="BC113" s="50"/>
      <c r="BD113" s="50"/>
      <c r="BE113" s="50"/>
      <c r="BF113" s="50"/>
    </row>
    <row r="114" spans="1:58" ht="12" customHeight="1">
      <c r="A114" s="39">
        <v>46018</v>
      </c>
      <c r="B114" s="40" t="s">
        <v>464</v>
      </c>
      <c r="C114" s="413">
        <f>(M114*E114*O114*Q114)/100000000</f>
        <v>44.007163200000001</v>
      </c>
      <c r="D114" s="40" t="s">
        <v>302</v>
      </c>
      <c r="E114" s="41">
        <v>13</v>
      </c>
      <c r="F114" s="41">
        <v>1</v>
      </c>
      <c r="G114" s="498">
        <f>+L114</f>
        <v>1183.3333333333333</v>
      </c>
      <c r="H114" s="43">
        <f>+N114</f>
        <v>0.22999999999999998</v>
      </c>
      <c r="I114" s="44">
        <v>0.88</v>
      </c>
      <c r="J114" s="81">
        <f>E114*G114*(1-H114)*1440/1000000*2.74</f>
        <v>46.736289600000006</v>
      </c>
      <c r="K114" s="81">
        <f>(IF(G114&lt;L114,L114,G114)*(1-IF(H114&lt;N114,H114,N114))*E114*O114*Q114)/100000000</f>
        <v>44.007163200000001</v>
      </c>
      <c r="L114" s="34">
        <v>1183.3333333333333</v>
      </c>
      <c r="M114" s="34">
        <v>911.16666666666663</v>
      </c>
      <c r="N114" s="45">
        <f>1-(M114/L114)</f>
        <v>0.22999999999999998</v>
      </c>
      <c r="O114" s="46">
        <f>+'Trim Rwd'!H81</f>
        <v>258</v>
      </c>
      <c r="P114" s="47">
        <f>O114*(Q114-R114-S114)</f>
        <v>356298</v>
      </c>
      <c r="Q114" s="46">
        <v>1440</v>
      </c>
      <c r="R114" s="499">
        <v>0</v>
      </c>
      <c r="S114" s="499">
        <v>59</v>
      </c>
      <c r="T114" s="36">
        <f>E114*M114*O114*Q114/100000000</f>
        <v>44.007163200000001</v>
      </c>
      <c r="U114" s="36">
        <f>E114*M114*O114*(Q114-R114-S114)/100000000</f>
        <v>42.204091929999997</v>
      </c>
      <c r="V114" s="36">
        <f>E114*G114*(1-N114)*O114/100*(R114+S114)/1000000</f>
        <v>1.80307127</v>
      </c>
      <c r="W114" s="36">
        <f>+'27'!K10/1000</f>
        <v>42.837000000000003</v>
      </c>
      <c r="X114" s="500">
        <f>SUM(W114:W117)/SUM(K114:K117)</f>
        <v>0.97340971071727711</v>
      </c>
      <c r="Y114" s="210">
        <v>0</v>
      </c>
      <c r="Z114" s="36">
        <f>+'27'!D16/1000</f>
        <v>0.57799999999999996</v>
      </c>
      <c r="AA114" s="48">
        <f>SUM(U114:U117)-SUM(W114:W117)-SUM(Z114:Z117)-SUM(Y114:Y117)</f>
        <v>-1.2109080700000061</v>
      </c>
      <c r="AB114" s="48">
        <f>(SUM(K114:K117)-SUM(W114:W117)-SUM(Y114:Y117)-SUM(Z114:Z117)-SUM(AC114:AC117)-SUM(V114:V117))-AA114</f>
        <v>3.5527136788005009E-15</v>
      </c>
      <c r="AC114" s="36">
        <f>K114-T114</f>
        <v>0</v>
      </c>
      <c r="AD114" s="36">
        <f>+AM114+BA114</f>
        <v>9</v>
      </c>
      <c r="AE114" s="229" t="s">
        <v>423</v>
      </c>
      <c r="AF114" s="36">
        <v>9</v>
      </c>
      <c r="AG114" s="36"/>
      <c r="AH114" s="36"/>
      <c r="AI114" s="501"/>
      <c r="AJ114" s="36"/>
      <c r="AK114" s="36"/>
      <c r="AL114" s="36"/>
      <c r="AM114" s="36">
        <f>SUM(AF114:AL114)+AT114+AV114+AX114</f>
        <v>9</v>
      </c>
      <c r="AN114" s="36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>
        <f>+AR114+AS114+AU114+AW114+AY114+AZ114</f>
        <v>0</v>
      </c>
      <c r="BB114" s="32">
        <v>3</v>
      </c>
      <c r="BC114" s="50"/>
      <c r="BD114" s="50"/>
      <c r="BE114" s="32"/>
      <c r="BF114" s="50"/>
    </row>
    <row r="115" spans="1:58" ht="12.95" customHeight="1">
      <c r="A115" s="39"/>
      <c r="B115" s="40"/>
      <c r="C115" s="413"/>
      <c r="D115" s="40"/>
      <c r="E115" s="41"/>
      <c r="F115" s="41"/>
      <c r="G115" s="498"/>
      <c r="H115" s="43"/>
      <c r="I115" s="44"/>
      <c r="J115" s="81"/>
      <c r="K115" s="81"/>
      <c r="L115" s="34"/>
      <c r="M115" s="34"/>
      <c r="N115" s="45"/>
      <c r="O115" s="46"/>
      <c r="P115" s="47"/>
      <c r="Q115" s="46"/>
      <c r="R115" s="499"/>
      <c r="S115" s="499"/>
      <c r="T115" s="36"/>
      <c r="U115" s="36"/>
      <c r="V115" s="36"/>
      <c r="W115" s="36"/>
      <c r="X115" s="37"/>
      <c r="Y115" s="210"/>
      <c r="Z115" s="36"/>
      <c r="AA115" s="36"/>
      <c r="AB115" s="36"/>
      <c r="AC115" s="36"/>
      <c r="AD115" s="36">
        <f>+AM115+BA115</f>
        <v>8</v>
      </c>
      <c r="AE115" s="229" t="s">
        <v>407</v>
      </c>
      <c r="AF115" s="36"/>
      <c r="AG115" s="36">
        <v>8</v>
      </c>
      <c r="AH115" s="36"/>
      <c r="AI115" s="501"/>
      <c r="AJ115" s="36"/>
      <c r="AK115" s="36"/>
      <c r="AL115" s="36"/>
      <c r="AM115" s="36">
        <f>SUM(AF115:AL115)+AT115+AV115+AX115</f>
        <v>8</v>
      </c>
      <c r="AN115" s="82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49"/>
      <c r="BC115" s="50">
        <v>4</v>
      </c>
      <c r="BD115" s="50"/>
      <c r="BE115" s="49"/>
      <c r="BF115" s="50"/>
    </row>
    <row r="116" spans="1:58" ht="12.95" customHeight="1">
      <c r="A116" s="39"/>
      <c r="B116" s="40"/>
      <c r="C116" s="413"/>
      <c r="D116" s="40"/>
      <c r="E116" s="41"/>
      <c r="F116" s="41"/>
      <c r="G116" s="42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499"/>
      <c r="S116" s="499"/>
      <c r="T116" s="36"/>
      <c r="U116" s="36"/>
      <c r="V116" s="36"/>
      <c r="W116" s="36"/>
      <c r="X116" s="37"/>
      <c r="Y116" s="210"/>
      <c r="Z116" s="36"/>
      <c r="AA116" s="36"/>
      <c r="AB116" s="36"/>
      <c r="AC116" s="36"/>
      <c r="AD116" s="36">
        <f>+AM116+BA116</f>
        <v>42</v>
      </c>
      <c r="AE116" s="229" t="s">
        <v>443</v>
      </c>
      <c r="AF116" s="32"/>
      <c r="AG116" s="32"/>
      <c r="AH116" s="32">
        <v>42</v>
      </c>
      <c r="AJ116" s="36"/>
      <c r="AK116" s="36"/>
      <c r="AL116" s="36"/>
      <c r="AM116" s="36">
        <f>SUM(AF116:AL116)+AT116+AV116+AX116</f>
        <v>42</v>
      </c>
      <c r="AN116" s="36"/>
      <c r="AO116" s="36"/>
      <c r="AP116" s="36"/>
      <c r="AQ116" s="36"/>
      <c r="AR116" s="36">
        <f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32"/>
      <c r="BC116" s="502"/>
      <c r="BD116" s="502"/>
      <c r="BE116" s="32"/>
      <c r="BF116" s="502"/>
    </row>
    <row r="117" spans="1:58" ht="16.5" customHeight="1">
      <c r="A117" s="39"/>
      <c r="B117" s="40"/>
      <c r="C117" s="413"/>
      <c r="D117" s="40"/>
      <c r="E117" s="41"/>
      <c r="F117" s="41"/>
      <c r="G117" s="498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499"/>
      <c r="S117" s="499"/>
      <c r="T117" s="36"/>
      <c r="U117" s="36"/>
      <c r="V117" s="36"/>
      <c r="W117" s="36"/>
      <c r="X117" s="500"/>
      <c r="Y117" s="210"/>
      <c r="Z117" s="36"/>
      <c r="AA117" s="48"/>
      <c r="AB117" s="48"/>
      <c r="AC117" s="36"/>
      <c r="AD117" s="36"/>
      <c r="AE117" s="229"/>
      <c r="AF117" s="36"/>
      <c r="AG117" s="36"/>
      <c r="AH117" s="36"/>
      <c r="AI117" s="501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2"/>
      <c r="BC117" s="50"/>
      <c r="BD117" s="50"/>
      <c r="BE117" s="50"/>
      <c r="BF117" s="50"/>
    </row>
    <row r="118" spans="1:58" ht="12" customHeight="1">
      <c r="A118" s="39">
        <v>46019</v>
      </c>
      <c r="B118" s="40" t="s">
        <v>464</v>
      </c>
      <c r="C118" s="413">
        <f>(M118*E118*O118*Q118)/100000000</f>
        <v>5.8392133800000003</v>
      </c>
      <c r="D118" s="40" t="s">
        <v>302</v>
      </c>
      <c r="E118" s="41">
        <v>13</v>
      </c>
      <c r="F118" s="41">
        <v>1</v>
      </c>
      <c r="G118" s="498">
        <f>+L118</f>
        <v>1190</v>
      </c>
      <c r="H118" s="43">
        <f>+N118</f>
        <v>0.23000000000000009</v>
      </c>
      <c r="I118" s="44">
        <v>0.88</v>
      </c>
      <c r="J118" s="81">
        <f>E118*G118*(1-H118)*1440/1000000*2.74</f>
        <v>46.999592639999996</v>
      </c>
      <c r="K118" s="81">
        <f>(IF(G118&lt;L118,L118,G118)*(1-IF(H118&lt;N118,H118,N118))*E118*O118*Q118)/100000000</f>
        <v>5.8392133799999986</v>
      </c>
      <c r="L118" s="34">
        <v>1190</v>
      </c>
      <c r="M118" s="34">
        <v>916.3</v>
      </c>
      <c r="N118" s="45">
        <f>1-(M118/L118)</f>
        <v>0.23000000000000009</v>
      </c>
      <c r="O118" s="46">
        <f>+'Trim Rwd'!H83</f>
        <v>258</v>
      </c>
      <c r="P118" s="47">
        <f>O118*(Q118-R118-S118)</f>
        <v>45408</v>
      </c>
      <c r="Q118" s="46">
        <v>190</v>
      </c>
      <c r="R118" s="499">
        <v>0</v>
      </c>
      <c r="S118" s="499">
        <v>14</v>
      </c>
      <c r="T118" s="36">
        <f>E118*M118*O118*Q118/100000000</f>
        <v>5.8392133800000003</v>
      </c>
      <c r="U118" s="36">
        <f>E118*M118*O118*(Q118-R118-S118)/100000000</f>
        <v>5.4089555519999992</v>
      </c>
      <c r="V118" s="36">
        <f>E118*G118*(1-N118)*O118/100*(R118+S118)/1000000</f>
        <v>0.4302578279999999</v>
      </c>
      <c r="W118" s="36">
        <f>+'28'!K10/1000</f>
        <v>5.5129999999999999</v>
      </c>
      <c r="X118" s="500">
        <f>SUM(W118:W121)/SUM(K118:K121)</f>
        <v>0.88688930805291077</v>
      </c>
      <c r="Y118" s="210">
        <v>0</v>
      </c>
      <c r="Z118" s="36">
        <f>+'28'!D7/1000</f>
        <v>0.57799999999999996</v>
      </c>
      <c r="AA118" s="48">
        <f>SUM(U118:U121)-SUM(W118:W121)-SUM(Z118:Z121)-SUM(Y118:Y121)</f>
        <v>0.97834819200000156</v>
      </c>
      <c r="AB118" s="48">
        <f>(SUM(K118:K121)-SUM(W118:W121)-SUM(Y118:Y121)-SUM(Z118:Z121)-SUM(AC118:AC121)-SUM(V118:V121))-AA118</f>
        <v>1.4916902399999943</v>
      </c>
      <c r="AC118" s="36">
        <f>K118-T118</f>
        <v>0</v>
      </c>
      <c r="AD118" s="36">
        <f>+AM118+BA118</f>
        <v>12</v>
      </c>
      <c r="AE118" s="229" t="s">
        <v>427</v>
      </c>
      <c r="AF118" s="36">
        <v>12</v>
      </c>
      <c r="AG118" s="36"/>
      <c r="AH118" s="36"/>
      <c r="AI118" s="501"/>
      <c r="AJ118" s="36"/>
      <c r="AK118" s="36"/>
      <c r="AL118" s="36"/>
      <c r="AM118" s="36">
        <f>SUM(AF118:AL118)+AT118+AV118+AX118</f>
        <v>12</v>
      </c>
      <c r="AN118" s="36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32">
        <v>5</v>
      </c>
      <c r="BC118" s="50"/>
      <c r="BD118" s="50"/>
      <c r="BE118" s="32"/>
      <c r="BF118" s="50"/>
    </row>
    <row r="119" spans="1:58" ht="12.95" customHeight="1">
      <c r="A119" s="39"/>
      <c r="B119" s="40" t="s">
        <v>464</v>
      </c>
      <c r="C119" s="413">
        <f>(M119*E119*O119*Q119)/100000000</f>
        <v>36.834783999999992</v>
      </c>
      <c r="D119" s="40" t="s">
        <v>302</v>
      </c>
      <c r="E119" s="41">
        <v>12.5</v>
      </c>
      <c r="F119" s="41">
        <v>1</v>
      </c>
      <c r="G119" s="498">
        <v>1230</v>
      </c>
      <c r="H119" s="43">
        <v>0.22</v>
      </c>
      <c r="I119" s="44">
        <v>0.88</v>
      </c>
      <c r="J119" s="81">
        <f>E119*G119*(1-H119)*1440/1000000*2.74</f>
        <v>47.317608000000007</v>
      </c>
      <c r="K119" s="81">
        <f>(IF(G119&lt;L119,L119,G119)*(1-IF(H119&lt;N119,H119,N119))*E119*O119*Q119)/100000000</f>
        <v>38.375999999999998</v>
      </c>
      <c r="L119" s="34">
        <v>1190</v>
      </c>
      <c r="M119" s="34">
        <v>920.86959999999999</v>
      </c>
      <c r="N119" s="45">
        <f>1-(M119/L119)</f>
        <v>0.22616000000000003</v>
      </c>
      <c r="O119" s="46">
        <f>+'Trim Rwd'!H84</f>
        <v>256</v>
      </c>
      <c r="P119" s="47">
        <f>O119*(Q119-R119-S119)</f>
        <v>307200</v>
      </c>
      <c r="Q119" s="46">
        <v>1250</v>
      </c>
      <c r="R119" s="499">
        <v>0</v>
      </c>
      <c r="S119" s="499">
        <v>50</v>
      </c>
      <c r="T119" s="36">
        <f>E119*M119*O119*Q119/100000000</f>
        <v>36.834783999999992</v>
      </c>
      <c r="U119" s="36">
        <f>E119*M119*O119*(Q119-R119-S119)/100000000</f>
        <v>35.361392639999998</v>
      </c>
      <c r="V119" s="36">
        <f>E119*G119*(1-N119)*O119/100*(R119+S119)/1000000</f>
        <v>1.5229171199999998</v>
      </c>
      <c r="W119" s="36">
        <f>+'28'!K16/1000</f>
        <v>33.701000000000001</v>
      </c>
      <c r="X119" s="37"/>
      <c r="Y119" s="210"/>
      <c r="Z119" s="36"/>
      <c r="AA119" s="36"/>
      <c r="AB119" s="36"/>
      <c r="AC119" s="36"/>
      <c r="AD119" s="36">
        <f>+AM119+BA119</f>
        <v>8</v>
      </c>
      <c r="AE119" s="229" t="s">
        <v>386</v>
      </c>
      <c r="AF119" s="36"/>
      <c r="AG119" s="36">
        <v>8</v>
      </c>
      <c r="AH119" s="36"/>
      <c r="AI119" s="501"/>
      <c r="AJ119" s="36"/>
      <c r="AK119" s="36"/>
      <c r="AL119" s="36"/>
      <c r="AM119" s="36">
        <f>SUM(AF119:AL119)+AT119+AV119+AX119</f>
        <v>8</v>
      </c>
      <c r="AN119" s="82"/>
      <c r="AO119" s="36"/>
      <c r="AP119" s="36"/>
      <c r="AQ119" s="36"/>
      <c r="AR119" s="36">
        <f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>
        <f>+AR119+AS119+AU119+AW119+AY119+AZ119</f>
        <v>0</v>
      </c>
      <c r="BB119" s="49"/>
      <c r="BC119" s="50">
        <v>5</v>
      </c>
      <c r="BD119" s="50"/>
      <c r="BE119" s="49"/>
      <c r="BF119" s="50"/>
    </row>
    <row r="120" spans="1:58" ht="12.95" customHeight="1">
      <c r="A120" s="39"/>
      <c r="B120" s="40"/>
      <c r="C120" s="413"/>
      <c r="D120" s="40"/>
      <c r="E120" s="41"/>
      <c r="F120" s="41"/>
      <c r="G120" s="42"/>
      <c r="H120" s="43"/>
      <c r="I120" s="44"/>
      <c r="J120" s="81"/>
      <c r="K120" s="81"/>
      <c r="L120" s="34"/>
      <c r="M120" s="34"/>
      <c r="N120" s="45"/>
      <c r="O120" s="46"/>
      <c r="P120" s="47"/>
      <c r="Q120" s="46"/>
      <c r="R120" s="499"/>
      <c r="S120" s="499"/>
      <c r="T120" s="36"/>
      <c r="U120" s="36"/>
      <c r="V120" s="36"/>
      <c r="W120" s="36"/>
      <c r="X120" s="37"/>
      <c r="Y120" s="210"/>
      <c r="Z120" s="36"/>
      <c r="AA120" s="36"/>
      <c r="AB120" s="36"/>
      <c r="AC120" s="36"/>
      <c r="AD120" s="36">
        <f>+AM120+BA120</f>
        <v>44</v>
      </c>
      <c r="AE120" s="229" t="s">
        <v>428</v>
      </c>
      <c r="AF120" s="32"/>
      <c r="AG120" s="32"/>
      <c r="AH120" s="32">
        <v>44</v>
      </c>
      <c r="AJ120" s="36"/>
      <c r="AK120" s="36"/>
      <c r="AL120" s="36"/>
      <c r="AM120" s="36">
        <f>SUM(AF120:AL120)+AT120+AV120+AX120</f>
        <v>44</v>
      </c>
      <c r="AN120" s="36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32"/>
      <c r="BC120" s="502"/>
      <c r="BD120" s="502"/>
      <c r="BE120" s="32"/>
      <c r="BF120" s="502"/>
    </row>
    <row r="121" spans="1:58" ht="12.95" customHeight="1">
      <c r="A121" s="39"/>
      <c r="B121" s="40"/>
      <c r="C121" s="413"/>
      <c r="D121" s="40"/>
      <c r="E121" s="41"/>
      <c r="F121" s="41"/>
      <c r="G121" s="42"/>
      <c r="H121" s="43"/>
      <c r="I121" s="44"/>
      <c r="J121" s="81"/>
      <c r="K121" s="81"/>
      <c r="L121" s="34"/>
      <c r="M121" s="34"/>
      <c r="N121" s="45"/>
      <c r="O121" s="46"/>
      <c r="P121" s="47"/>
      <c r="Q121" s="33"/>
      <c r="R121" s="499"/>
      <c r="S121" s="499"/>
      <c r="T121" s="36"/>
      <c r="U121" s="36"/>
      <c r="V121" s="36"/>
      <c r="W121" s="36"/>
      <c r="X121" s="37"/>
      <c r="Y121" s="210"/>
      <c r="Z121" s="36"/>
      <c r="AA121" s="36"/>
      <c r="AB121" s="36"/>
      <c r="AC121" s="36"/>
      <c r="AD121" s="36"/>
      <c r="AE121" s="232"/>
      <c r="AF121" s="36"/>
      <c r="AG121" s="36"/>
      <c r="AH121" s="36"/>
      <c r="AI121" s="501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49"/>
      <c r="BC121" s="50"/>
      <c r="BD121" s="50"/>
      <c r="BE121" s="50"/>
      <c r="BF121" s="50"/>
    </row>
    <row r="122" spans="1:58" ht="12" customHeight="1">
      <c r="A122" s="39">
        <v>46020</v>
      </c>
      <c r="B122" s="40" t="s">
        <v>464</v>
      </c>
      <c r="C122" s="413">
        <f>(M122*E122*O122*Q122)/100000000</f>
        <v>40.009132800000003</v>
      </c>
      <c r="D122" s="40" t="s">
        <v>302</v>
      </c>
      <c r="E122" s="41">
        <v>12.5</v>
      </c>
      <c r="F122" s="41">
        <v>1</v>
      </c>
      <c r="G122" s="498">
        <v>1230</v>
      </c>
      <c r="H122" s="43">
        <v>0.22</v>
      </c>
      <c r="I122" s="44">
        <v>0.88</v>
      </c>
      <c r="J122" s="81">
        <f>E122*G122*(1-H122)*1440/1000000*2.74</f>
        <v>47.317608000000007</v>
      </c>
      <c r="K122" s="81">
        <f>(IF(G122&lt;L122,L122,G122)*(1-IF(H122&lt;N122,H122,N122))*E122*O122*Q122)/100000000</f>
        <v>41.3539776</v>
      </c>
      <c r="L122" s="34">
        <v>1190</v>
      </c>
      <c r="M122" s="34">
        <v>928.2</v>
      </c>
      <c r="N122" s="45">
        <f>1-(M122/L122)</f>
        <v>0.21999999999999997</v>
      </c>
      <c r="O122" s="46">
        <f>+'Trim Rwd'!H86</f>
        <v>256</v>
      </c>
      <c r="P122" s="47">
        <f>O122*(Q122-R122-S122)</f>
        <v>330752</v>
      </c>
      <c r="Q122" s="46">
        <v>1347</v>
      </c>
      <c r="R122" s="499">
        <v>0</v>
      </c>
      <c r="S122" s="499">
        <v>55</v>
      </c>
      <c r="T122" s="36">
        <f>E122*M122*O122*Q122/100000000</f>
        <v>40.009132800000003</v>
      </c>
      <c r="U122" s="36">
        <f>E122*M122*O122*(Q122-R122-S122)/100000000</f>
        <v>38.375500799999998</v>
      </c>
      <c r="V122" s="36">
        <f>E122*G122*(1-N122)*O122/100*(R122+S122)/1000000</f>
        <v>1.688544</v>
      </c>
      <c r="W122" s="36">
        <f>+'29'!K16/1000</f>
        <v>40.776000000000003</v>
      </c>
      <c r="X122" s="500">
        <f>SUM(W122:W125)/SUM(K122:K125)</f>
        <v>0.92305602365425232</v>
      </c>
      <c r="Y122" s="210">
        <f>+SUM(RBP!AG15:AG16)</f>
        <v>0</v>
      </c>
      <c r="Z122" s="36">
        <v>0</v>
      </c>
      <c r="AA122" s="48">
        <f>SUM(U122:U125)-SUM(W122:W125)-SUM(Z122:Z125)-SUM(Y122:Y125)</f>
        <v>0.11718760799999473</v>
      </c>
      <c r="AB122" s="48">
        <f>(SUM(K122:K125)-SUM(W122:W125)-SUM(Y122:Y125)-SUM(Z122:Z125)-SUM(AC122:AC125)-SUM(V122:V125))-AA122</f>
        <v>-5.4911999999998518E-2</v>
      </c>
      <c r="AC122" s="36">
        <f>K122-T122</f>
        <v>1.3448447999999971</v>
      </c>
      <c r="AD122" s="36">
        <f>+AM122+BA122</f>
        <v>18</v>
      </c>
      <c r="AE122" s="229" t="s">
        <v>442</v>
      </c>
      <c r="AF122" s="36">
        <v>18</v>
      </c>
      <c r="AG122" s="36"/>
      <c r="AH122" s="36"/>
      <c r="AI122" s="501"/>
      <c r="AJ122" s="36"/>
      <c r="AK122" s="36"/>
      <c r="AL122" s="36"/>
      <c r="AM122" s="36">
        <f>SUM(AF122:AL122)+AT122+AV122+AX122</f>
        <v>18</v>
      </c>
      <c r="AN122" s="36"/>
      <c r="AO122" s="36"/>
      <c r="AP122" s="36"/>
      <c r="AQ122" s="36"/>
      <c r="AR122" s="36">
        <f>SUM(AN122:AQ122)</f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32">
        <v>6</v>
      </c>
      <c r="BC122" s="50"/>
      <c r="BD122" s="50"/>
      <c r="BE122" s="32"/>
      <c r="BF122" s="50"/>
    </row>
    <row r="123" spans="1:58" ht="12.95" customHeight="1">
      <c r="A123" s="39"/>
      <c r="B123" s="40" t="s">
        <v>464</v>
      </c>
      <c r="C123" s="413">
        <f>(M123*E123*O123*Q123)/100000000</f>
        <v>2.8210225680000001</v>
      </c>
      <c r="D123" s="40" t="s">
        <v>302</v>
      </c>
      <c r="E123" s="41">
        <v>13</v>
      </c>
      <c r="F123" s="41">
        <v>1</v>
      </c>
      <c r="G123" s="498">
        <f>+L123</f>
        <v>1190</v>
      </c>
      <c r="H123" s="43">
        <v>0.24</v>
      </c>
      <c r="I123" s="44">
        <v>0.88</v>
      </c>
      <c r="J123" s="81">
        <f>E123*G123*(1-H123)*1440/1000000*2.74</f>
        <v>46.389208320000009</v>
      </c>
      <c r="K123" s="81">
        <f>(IF(G123&lt;L123,L123,G123)*(1-IF(H123&lt;N123,H123,N123))*E123*O123*Q123)/100000000</f>
        <v>2.8210225680000001</v>
      </c>
      <c r="L123" s="34">
        <v>1190</v>
      </c>
      <c r="M123" s="34">
        <v>904.40000000000009</v>
      </c>
      <c r="N123" s="45">
        <f>1-(M123/L123)</f>
        <v>0.23999999999999988</v>
      </c>
      <c r="O123" s="46">
        <f>+'Trim Rwd'!H87</f>
        <v>258</v>
      </c>
      <c r="P123" s="47">
        <f>O123*(Q123-R123-S123)</f>
        <v>21414</v>
      </c>
      <c r="Q123" s="46">
        <v>93</v>
      </c>
      <c r="R123" s="499">
        <v>0</v>
      </c>
      <c r="S123" s="499">
        <v>10</v>
      </c>
      <c r="T123" s="36">
        <f>E123*M123*O123*Q123/100000000</f>
        <v>2.8210225680000001</v>
      </c>
      <c r="U123" s="36">
        <f>E123*M123*O123*(Q123-R123-S123)/100000000</f>
        <v>2.5176868080000001</v>
      </c>
      <c r="V123" s="36">
        <f>E123*G123*(1-N123)*O123/100*(R123+S123)/1000000</f>
        <v>0.30333576000000007</v>
      </c>
      <c r="W123" s="36">
        <f>+'28'!K20/1000</f>
        <v>0</v>
      </c>
      <c r="X123" s="37"/>
      <c r="Y123" s="210"/>
      <c r="Z123" s="36"/>
      <c r="AA123" s="36"/>
      <c r="AB123" s="36"/>
      <c r="AC123" s="36"/>
      <c r="AD123" s="36">
        <f>+AM123+BA123</f>
        <v>6</v>
      </c>
      <c r="AE123" s="229" t="s">
        <v>659</v>
      </c>
      <c r="AF123" s="36"/>
      <c r="AG123" s="36">
        <v>6</v>
      </c>
      <c r="AH123" s="36"/>
      <c r="AI123" s="501"/>
      <c r="AJ123" s="36"/>
      <c r="AK123" s="36"/>
      <c r="AL123" s="36"/>
      <c r="AM123" s="36">
        <f>SUM(AF123:AL123)+AT123+AV123+AX123</f>
        <v>6</v>
      </c>
      <c r="AN123" s="82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49"/>
      <c r="BC123" s="50">
        <v>2</v>
      </c>
      <c r="BD123" s="50"/>
      <c r="BE123" s="49"/>
      <c r="BF123" s="50"/>
    </row>
    <row r="124" spans="1:58" ht="12.95" customHeight="1">
      <c r="A124" s="39"/>
      <c r="B124" s="40"/>
      <c r="C124" s="413"/>
      <c r="D124" s="40"/>
      <c r="E124" s="41"/>
      <c r="F124" s="41"/>
      <c r="G124" s="42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499"/>
      <c r="S124" s="499"/>
      <c r="T124" s="36"/>
      <c r="U124" s="36"/>
      <c r="V124" s="36"/>
      <c r="W124" s="36"/>
      <c r="X124" s="37"/>
      <c r="Y124" s="210"/>
      <c r="Z124" s="36"/>
      <c r="AA124" s="36"/>
      <c r="AB124" s="36"/>
      <c r="AC124" s="36"/>
      <c r="AD124" s="36">
        <f>+AM124+BA124</f>
        <v>41</v>
      </c>
      <c r="AE124" s="229" t="s">
        <v>661</v>
      </c>
      <c r="AF124" s="32"/>
      <c r="AG124" s="32"/>
      <c r="AH124" s="32">
        <v>41</v>
      </c>
      <c r="AJ124" s="36"/>
      <c r="AK124" s="36"/>
      <c r="AL124" s="36"/>
      <c r="AM124" s="36">
        <f>SUM(AF124:AL124)+AT124+AV124+AX124</f>
        <v>41</v>
      </c>
      <c r="AN124" s="36"/>
      <c r="AO124" s="36"/>
      <c r="AP124" s="36"/>
      <c r="AQ124" s="36"/>
      <c r="AR124" s="36">
        <f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>
        <f>+AR124+AS124+AU124+AW124+AY124+AZ124</f>
        <v>0</v>
      </c>
      <c r="BB124" s="32"/>
      <c r="BC124" s="502"/>
      <c r="BD124" s="502"/>
      <c r="BE124" s="32"/>
      <c r="BF124" s="502"/>
    </row>
    <row r="125" spans="1:58" ht="12.95" customHeight="1">
      <c r="A125" s="39"/>
      <c r="B125" s="40"/>
      <c r="C125" s="413"/>
      <c r="D125" s="40"/>
      <c r="E125" s="41"/>
      <c r="F125" s="41"/>
      <c r="G125" s="42"/>
      <c r="H125" s="43"/>
      <c r="I125" s="44"/>
      <c r="J125" s="81"/>
      <c r="K125" s="81"/>
      <c r="L125" s="34"/>
      <c r="M125" s="34"/>
      <c r="N125" s="45"/>
      <c r="O125" s="46"/>
      <c r="P125" s="47"/>
      <c r="Q125" s="33"/>
      <c r="R125" s="499"/>
      <c r="S125" s="499"/>
      <c r="T125" s="36"/>
      <c r="U125" s="36"/>
      <c r="V125" s="36"/>
      <c r="W125" s="36"/>
      <c r="X125" s="37"/>
      <c r="Y125" s="210"/>
      <c r="Z125" s="36"/>
      <c r="AA125" s="36"/>
      <c r="AB125" s="36"/>
      <c r="AC125" s="36"/>
      <c r="AD125" s="36"/>
      <c r="AE125" s="232"/>
      <c r="AF125" s="36"/>
      <c r="AG125" s="36"/>
      <c r="AH125" s="36"/>
      <c r="AI125" s="501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49"/>
      <c r="BC125" s="50"/>
      <c r="BD125" s="50"/>
      <c r="BE125" s="50"/>
      <c r="BF125" s="50"/>
    </row>
    <row r="126" spans="1:58" ht="12" customHeight="1">
      <c r="A126" s="39">
        <v>46021</v>
      </c>
      <c r="B126" s="40" t="s">
        <v>464</v>
      </c>
      <c r="C126" s="413">
        <f>(M126*E126*O126*Q126)/100000000</f>
        <v>43.313287680000002</v>
      </c>
      <c r="D126" s="40" t="s">
        <v>302</v>
      </c>
      <c r="E126" s="41">
        <v>13</v>
      </c>
      <c r="F126" s="41">
        <v>1</v>
      </c>
      <c r="G126" s="498">
        <f>+L126</f>
        <v>1180</v>
      </c>
      <c r="H126" s="43">
        <v>0.24</v>
      </c>
      <c r="I126" s="44">
        <v>0.88</v>
      </c>
      <c r="J126" s="81">
        <f>E126*G126*(1-H126)*1440/1000000*2.74</f>
        <v>45.999383040000005</v>
      </c>
      <c r="K126" s="81">
        <f>(IF(G126&lt;L126,L126,G126)*(1-IF(H126&lt;N126,H126,N126))*E126*O126*Q126)/100000000</f>
        <v>43.313287680000002</v>
      </c>
      <c r="L126" s="34">
        <v>1180</v>
      </c>
      <c r="M126" s="34">
        <v>896.8</v>
      </c>
      <c r="N126" s="45">
        <f>1-(M126/L126)</f>
        <v>0.24</v>
      </c>
      <c r="O126" s="46">
        <f>+'Trim Rwd'!H90</f>
        <v>258</v>
      </c>
      <c r="P126" s="47">
        <f>O126*(Q126-R126-S126)</f>
        <v>352944</v>
      </c>
      <c r="Q126" s="46">
        <v>1440</v>
      </c>
      <c r="R126" s="499">
        <v>0</v>
      </c>
      <c r="S126" s="499">
        <v>72</v>
      </c>
      <c r="T126" s="36">
        <f>E126*M126*O126*Q126/100000000</f>
        <v>43.313287680000002</v>
      </c>
      <c r="U126" s="36">
        <f>E126*M126*O126*(Q126-R126-S126)/100000000</f>
        <v>41.147623295999992</v>
      </c>
      <c r="V126" s="36">
        <f>E126*G126*(1-N126)*O126/100*(R126+S126)/1000000</f>
        <v>2.1656643840000003</v>
      </c>
      <c r="W126" s="36">
        <f>+'30'!K10/1000</f>
        <v>38.384999999999998</v>
      </c>
      <c r="X126" s="500">
        <f>SUM(W126:W129)/SUM(K126:K129)</f>
        <v>0.90385657836075861</v>
      </c>
      <c r="Y126" s="210">
        <v>0</v>
      </c>
      <c r="Z126" s="36">
        <v>0</v>
      </c>
      <c r="AA126" s="48">
        <f>SUM(U126:U129)-SUM(W126:W129)-SUM(Z126:Z129)-SUM(Y126:Y129)</f>
        <v>1.998623295999991</v>
      </c>
      <c r="AB126" s="48">
        <f>(SUM(K126:K129)-SUM(W126:W129)-SUM(Y126:Y129)-SUM(Z126:Z129)-SUM(AC126:AC129)-SUM(V126:V129))-AA126</f>
        <v>9.7699626167013776E-15</v>
      </c>
      <c r="AC126" s="36">
        <f>K126-T126</f>
        <v>0</v>
      </c>
      <c r="AD126" s="36">
        <f>+AM126+BA126</f>
        <v>27</v>
      </c>
      <c r="AE126" s="229" t="s">
        <v>436</v>
      </c>
      <c r="AF126" s="36">
        <v>27</v>
      </c>
      <c r="AG126" s="36"/>
      <c r="AH126" s="36"/>
      <c r="AI126" s="501"/>
      <c r="AJ126" s="36"/>
      <c r="AK126" s="36"/>
      <c r="AL126" s="36"/>
      <c r="AM126" s="36">
        <f>SUM(AF126:AL126)+AT126+AV126+AX126</f>
        <v>27</v>
      </c>
      <c r="AN126" s="36"/>
      <c r="AO126" s="36"/>
      <c r="AP126" s="36"/>
      <c r="AQ126" s="36"/>
      <c r="AR126" s="36">
        <f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32">
        <v>9</v>
      </c>
      <c r="BC126" s="50"/>
      <c r="BD126" s="50"/>
      <c r="BE126" s="32"/>
      <c r="BF126" s="50"/>
    </row>
    <row r="127" spans="1:58" ht="12.95" customHeight="1">
      <c r="A127" s="39"/>
      <c r="B127" s="40" t="s">
        <v>464</v>
      </c>
      <c r="C127" s="413"/>
      <c r="D127" s="40"/>
      <c r="E127" s="41">
        <v>12.5</v>
      </c>
      <c r="F127" s="41"/>
      <c r="G127" s="498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499"/>
      <c r="S127" s="499"/>
      <c r="T127" s="36"/>
      <c r="U127" s="36"/>
      <c r="V127" s="36"/>
      <c r="W127" s="36">
        <f>+'30'!K16/1000</f>
        <v>0.76400000000000001</v>
      </c>
      <c r="X127" s="37"/>
      <c r="Y127" s="210"/>
      <c r="Z127" s="36"/>
      <c r="AA127" s="36"/>
      <c r="AB127" s="36"/>
      <c r="AC127" s="36"/>
      <c r="AD127" s="36">
        <f>+AM127+BA127</f>
        <v>0</v>
      </c>
      <c r="AE127" s="229" t="s">
        <v>284</v>
      </c>
      <c r="AF127" s="36"/>
      <c r="AG127" s="36">
        <v>0</v>
      </c>
      <c r="AH127" s="36"/>
      <c r="AI127" s="501"/>
      <c r="AJ127" s="36"/>
      <c r="AK127" s="36"/>
      <c r="AL127" s="36"/>
      <c r="AM127" s="36">
        <f>SUM(AF127:AL127)+AT127+AV127+AX127</f>
        <v>0</v>
      </c>
      <c r="AN127" s="82"/>
      <c r="AO127" s="36"/>
      <c r="AP127" s="36"/>
      <c r="AQ127" s="36"/>
      <c r="AR127" s="36">
        <f>SUM(AN127:AQ127)</f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49"/>
      <c r="BC127" s="50">
        <v>0</v>
      </c>
      <c r="BD127" s="50"/>
      <c r="BE127" s="49"/>
      <c r="BF127" s="50"/>
    </row>
    <row r="128" spans="1:58" ht="12.95" customHeight="1">
      <c r="A128" s="39"/>
      <c r="B128" s="40"/>
      <c r="C128" s="413"/>
      <c r="D128" s="40"/>
      <c r="E128" s="41"/>
      <c r="F128" s="41"/>
      <c r="G128" s="42"/>
      <c r="H128" s="43"/>
      <c r="I128" s="44"/>
      <c r="J128" s="81"/>
      <c r="K128" s="81"/>
      <c r="L128" s="34"/>
      <c r="M128" s="34"/>
      <c r="N128" s="45"/>
      <c r="O128" s="46"/>
      <c r="P128" s="47"/>
      <c r="Q128" s="46"/>
      <c r="R128" s="499"/>
      <c r="S128" s="499"/>
      <c r="T128" s="36"/>
      <c r="U128" s="36"/>
      <c r="V128" s="36"/>
      <c r="W128" s="36"/>
      <c r="X128" s="37"/>
      <c r="Y128" s="210"/>
      <c r="Z128" s="36"/>
      <c r="AA128" s="36"/>
      <c r="AB128" s="36"/>
      <c r="AC128" s="36"/>
      <c r="AD128" s="36">
        <f>+AM128+BA128</f>
        <v>45</v>
      </c>
      <c r="AE128" s="229" t="s">
        <v>667</v>
      </c>
      <c r="AF128" s="32"/>
      <c r="AG128" s="32"/>
      <c r="AH128" s="32">
        <v>45</v>
      </c>
      <c r="AJ128" s="36"/>
      <c r="AK128" s="36"/>
      <c r="AL128" s="36"/>
      <c r="AM128" s="36">
        <f>SUM(AF128:AL128)+AT128+AV128+AX128</f>
        <v>45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02"/>
      <c r="BD128" s="502"/>
      <c r="BE128" s="32"/>
      <c r="BF128" s="502"/>
    </row>
    <row r="129" spans="1:58" ht="16.5" customHeight="1">
      <c r="A129" s="39"/>
      <c r="B129" s="40"/>
      <c r="C129" s="413"/>
      <c r="D129" s="40"/>
      <c r="E129" s="41"/>
      <c r="F129" s="41"/>
      <c r="G129" s="498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499"/>
      <c r="S129" s="499"/>
      <c r="T129" s="36"/>
      <c r="U129" s="36"/>
      <c r="V129" s="36"/>
      <c r="W129" s="36"/>
      <c r="X129" s="500"/>
      <c r="Y129" s="210"/>
      <c r="Z129" s="36"/>
      <c r="AA129" s="48"/>
      <c r="AB129" s="48"/>
      <c r="AC129" s="36"/>
      <c r="AD129" s="36"/>
      <c r="AE129" s="229"/>
      <c r="AF129" s="36"/>
      <c r="AG129" s="36"/>
      <c r="AH129" s="36"/>
      <c r="AI129" s="501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2"/>
      <c r="BC129" s="50"/>
      <c r="BD129" s="50"/>
      <c r="BE129" s="50"/>
      <c r="BF129" s="50"/>
    </row>
    <row r="130" spans="1:58" ht="12" customHeight="1">
      <c r="A130" s="39">
        <v>46387</v>
      </c>
      <c r="B130" s="40" t="s">
        <v>464</v>
      </c>
      <c r="C130" s="413">
        <f>(M130*E130*O130*Q130)/100000000</f>
        <v>43.042069824000009</v>
      </c>
      <c r="D130" s="40" t="s">
        <v>302</v>
      </c>
      <c r="E130" s="41">
        <v>13</v>
      </c>
      <c r="F130" s="41">
        <v>1</v>
      </c>
      <c r="G130" s="498">
        <f>+L130</f>
        <v>1172.6111111111111</v>
      </c>
      <c r="H130" s="43">
        <v>0.24</v>
      </c>
      <c r="I130" s="44">
        <v>0.88</v>
      </c>
      <c r="J130" s="81">
        <f>E130*G130*(1-H130)*1440/1000000*2.74</f>
        <v>45.711345471999998</v>
      </c>
      <c r="K130" s="81">
        <f>(IF(G130&lt;L130,L130,G130)*(1-IF(H130&lt;N130,H130,N130))*E130*O130*Q130)/100000000</f>
        <v>43.042069824000009</v>
      </c>
      <c r="L130" s="34">
        <v>1172.6111111111111</v>
      </c>
      <c r="M130" s="34">
        <v>891.18444444444447</v>
      </c>
      <c r="N130" s="45">
        <f>1-(M130/L130)</f>
        <v>0.24</v>
      </c>
      <c r="O130" s="46">
        <f>+'Trim Rwd'!H92</f>
        <v>258</v>
      </c>
      <c r="P130" s="47">
        <f>O130*(Q130-R130-S130)</f>
        <v>354750</v>
      </c>
      <c r="Q130" s="46">
        <v>1440</v>
      </c>
      <c r="R130" s="499">
        <v>0</v>
      </c>
      <c r="S130" s="499">
        <v>65</v>
      </c>
      <c r="T130" s="36">
        <f>E130*M130*O130*Q130/100000000</f>
        <v>43.042069824000009</v>
      </c>
      <c r="U130" s="36">
        <f>E130*M130*O130*(Q130-R130-S130)/100000000</f>
        <v>41.099198616666669</v>
      </c>
      <c r="V130" s="36">
        <f>E130*G130*(1-N130)*O130/100*(R130+S130)/1000000</f>
        <v>1.9428712073333332</v>
      </c>
      <c r="W130" s="36">
        <f>+'31'!K10/1000</f>
        <v>40.225999999999999</v>
      </c>
      <c r="X130" s="500">
        <f>SUM(W130:W133)/SUM(K130:K133)</f>
        <v>0.93457401478332747</v>
      </c>
      <c r="Y130" s="210">
        <f>+SUM(RBP!AG3:AG4)</f>
        <v>3.52</v>
      </c>
      <c r="Z130" s="36">
        <f>+'31'!D7/1000</f>
        <v>0.26</v>
      </c>
      <c r="AA130" s="48">
        <f>SUM(U130:U133)-SUM(W130:W133)-SUM(Z130:Z133)-SUM(Y130:Y133)</f>
        <v>-2.9068013833333302</v>
      </c>
      <c r="AB130" s="48">
        <f>(SUM(K130:K133)-SUM(W130:W133)-SUM(Y130:Y133)-SUM(Z130:Z133)-SUM(AC130:AC133)-SUM(V130:V133))-AA130</f>
        <v>7.1054273576010019E-15</v>
      </c>
      <c r="AC130" s="36">
        <f>K130-T130</f>
        <v>0</v>
      </c>
      <c r="AD130" s="36">
        <f>+AM130+BA130</f>
        <v>15</v>
      </c>
      <c r="AE130" s="229" t="s">
        <v>442</v>
      </c>
      <c r="AF130" s="36">
        <v>15</v>
      </c>
      <c r="AG130" s="36"/>
      <c r="AH130" s="36"/>
      <c r="AI130" s="501"/>
      <c r="AJ130" s="36"/>
      <c r="AK130" s="36"/>
      <c r="AL130" s="36"/>
      <c r="AM130" s="36">
        <f>SUM(AF130:AL130)+AT130+AV130+AX130</f>
        <v>15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32">
        <v>6</v>
      </c>
      <c r="BC130" s="50"/>
      <c r="BD130" s="50"/>
      <c r="BE130" s="32"/>
      <c r="BF130" s="50"/>
    </row>
    <row r="131" spans="1:58" ht="12.95" customHeight="1">
      <c r="A131" s="39"/>
      <c r="B131" s="40"/>
      <c r="C131" s="413"/>
      <c r="D131" s="40"/>
      <c r="E131" s="41"/>
      <c r="F131" s="41"/>
      <c r="G131" s="498"/>
      <c r="H131" s="43"/>
      <c r="I131" s="44"/>
      <c r="J131" s="81"/>
      <c r="K131" s="81"/>
      <c r="L131" s="34"/>
      <c r="M131" s="34"/>
      <c r="N131" s="45"/>
      <c r="O131" s="46"/>
      <c r="P131" s="47"/>
      <c r="Q131" s="46"/>
      <c r="R131" s="499"/>
      <c r="S131" s="499"/>
      <c r="T131" s="36"/>
      <c r="U131" s="36"/>
      <c r="V131" s="36"/>
      <c r="W131" s="36"/>
      <c r="X131" s="37"/>
      <c r="Y131" s="210"/>
      <c r="Z131" s="36"/>
      <c r="AA131" s="36"/>
      <c r="AB131" s="36"/>
      <c r="AC131" s="36"/>
      <c r="AD131" s="36">
        <f>+AM131+BA131</f>
        <v>8</v>
      </c>
      <c r="AE131" s="229" t="s">
        <v>407</v>
      </c>
      <c r="AF131" s="36"/>
      <c r="AG131" s="36">
        <v>8</v>
      </c>
      <c r="AH131" s="36"/>
      <c r="AI131" s="501"/>
      <c r="AJ131" s="36"/>
      <c r="AK131" s="36"/>
      <c r="AL131" s="36"/>
      <c r="AM131" s="36">
        <f>SUM(AF131:AL131)+AT131+AV131+AX131</f>
        <v>8</v>
      </c>
      <c r="AN131" s="82"/>
      <c r="AO131" s="36"/>
      <c r="AP131" s="36"/>
      <c r="AQ131" s="36"/>
      <c r="AR131" s="36">
        <f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49"/>
      <c r="BC131" s="50">
        <v>4</v>
      </c>
      <c r="BD131" s="50"/>
      <c r="BE131" s="49"/>
      <c r="BF131" s="50"/>
    </row>
    <row r="132" spans="1:58" ht="12.95" customHeight="1">
      <c r="A132" s="39"/>
      <c r="B132" s="40"/>
      <c r="C132" s="413"/>
      <c r="D132" s="40"/>
      <c r="E132" s="41"/>
      <c r="F132" s="41"/>
      <c r="G132" s="42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499"/>
      <c r="S132" s="499"/>
      <c r="T132" s="36"/>
      <c r="U132" s="36"/>
      <c r="V132" s="36"/>
      <c r="W132" s="36"/>
      <c r="X132" s="37"/>
      <c r="Y132" s="210"/>
      <c r="Z132" s="36"/>
      <c r="AA132" s="36"/>
      <c r="AB132" s="36"/>
      <c r="AC132" s="36"/>
      <c r="AD132" s="36">
        <f>+AM132+BA132</f>
        <v>42</v>
      </c>
      <c r="AE132" s="229" t="s">
        <v>428</v>
      </c>
      <c r="AF132" s="32"/>
      <c r="AG132" s="32"/>
      <c r="AH132" s="32">
        <v>42</v>
      </c>
      <c r="AJ132" s="36"/>
      <c r="AK132" s="36"/>
      <c r="AL132" s="36"/>
      <c r="AM132" s="36">
        <f>SUM(AF132:AL132)+AT132+AV132+AX132</f>
        <v>42</v>
      </c>
      <c r="AN132" s="36"/>
      <c r="AO132" s="36"/>
      <c r="AP132" s="36"/>
      <c r="AQ132" s="36"/>
      <c r="AR132" s="36">
        <f>SUM(AN132:AQ132)</f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/>
      <c r="BC132" s="502"/>
      <c r="BD132" s="502"/>
      <c r="BE132" s="32"/>
      <c r="BF132" s="502"/>
    </row>
    <row r="133" spans="1:58" ht="16.5" customHeight="1">
      <c r="A133" s="39"/>
      <c r="B133" s="40"/>
      <c r="C133" s="413"/>
      <c r="D133" s="40"/>
      <c r="E133" s="41"/>
      <c r="F133" s="41"/>
      <c r="G133" s="498"/>
      <c r="H133" s="43"/>
      <c r="I133" s="44"/>
      <c r="J133" s="81"/>
      <c r="K133" s="81"/>
      <c r="L133" s="34"/>
      <c r="M133" s="34"/>
      <c r="N133" s="45"/>
      <c r="O133" s="46"/>
      <c r="P133" s="47"/>
      <c r="Q133" s="46"/>
      <c r="R133" s="499"/>
      <c r="S133" s="499"/>
      <c r="T133" s="36"/>
      <c r="U133" s="36"/>
      <c r="V133" s="36"/>
      <c r="W133" s="36"/>
      <c r="X133" s="500"/>
      <c r="Y133" s="210"/>
      <c r="Z133" s="36"/>
      <c r="AA133" s="48"/>
      <c r="AB133" s="48"/>
      <c r="AC133" s="36"/>
      <c r="AD133" s="36"/>
      <c r="AE133" s="229"/>
      <c r="AF133" s="36"/>
      <c r="AG133" s="36"/>
      <c r="AH133" s="36"/>
      <c r="AI133" s="501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2"/>
      <c r="BC133" s="50"/>
      <c r="BD133" s="502"/>
      <c r="BE133" s="32"/>
      <c r="BF133" s="502"/>
    </row>
    <row r="134" spans="1:58">
      <c r="R134" s="503"/>
      <c r="S134" s="503"/>
      <c r="AA134" s="246">
        <f>U134-W134-Z134</f>
        <v>0</v>
      </c>
      <c r="AB134" s="246"/>
      <c r="AC134" s="247">
        <f>K134-T134</f>
        <v>0</v>
      </c>
      <c r="AD134" s="36"/>
      <c r="AF134" s="51"/>
      <c r="AG134" s="51"/>
      <c r="AH134" s="51"/>
      <c r="AI134" s="51"/>
      <c r="AJ134" s="51"/>
      <c r="AK134" s="51"/>
      <c r="AL134" s="51"/>
      <c r="AM134" s="36">
        <f>SUM(AF134:AL134)</f>
        <v>0</v>
      </c>
      <c r="AN134" s="51"/>
      <c r="AO134" s="51"/>
      <c r="AP134" s="51"/>
      <c r="AQ134" s="51"/>
      <c r="AR134" s="36">
        <f>SUM(AN134:AQ134)</f>
        <v>0</v>
      </c>
      <c r="AS134" s="51"/>
      <c r="AT134" s="51"/>
      <c r="AU134" s="51"/>
      <c r="AV134" s="51"/>
      <c r="AW134" s="51"/>
      <c r="AX134" s="51"/>
      <c r="AY134" s="51"/>
      <c r="AZ134" s="51"/>
      <c r="BA134" s="36"/>
      <c r="BB134" s="32"/>
      <c r="BC134" s="50"/>
      <c r="BD134" s="50"/>
      <c r="BE134" s="50"/>
      <c r="BF134" s="50"/>
    </row>
    <row r="135" spans="1:58" s="26" customFormat="1" ht="12.95" customHeight="1">
      <c r="A135" s="55"/>
      <c r="B135" s="56"/>
      <c r="C135" s="414">
        <f>SUM(C6:C133)</f>
        <v>1322.1829234940601</v>
      </c>
      <c r="D135" s="56"/>
      <c r="E135" s="57"/>
      <c r="F135" s="57"/>
      <c r="G135" s="58"/>
      <c r="H135" s="58"/>
      <c r="I135" s="59">
        <v>0.85</v>
      </c>
      <c r="J135" s="81"/>
      <c r="K135" s="83">
        <f>SUM(K6:K133)</f>
        <v>1338.5638624724063</v>
      </c>
      <c r="L135" s="61"/>
      <c r="M135" s="61"/>
      <c r="N135" s="62"/>
      <c r="O135" s="63">
        <f>P135/(Q135-R135-S135)</f>
        <v>258.58717684212269</v>
      </c>
      <c r="P135" s="60">
        <f>SUM(P6:P133)</f>
        <v>10818253.130367044</v>
      </c>
      <c r="Q135" s="332">
        <f>SUM(Q6:Q134)</f>
        <v>44640</v>
      </c>
      <c r="R135" s="60">
        <f t="shared" ref="R135:W135" si="1">SUM(R6:R133)</f>
        <v>721</v>
      </c>
      <c r="S135" s="60">
        <f t="shared" si="1"/>
        <v>2083</v>
      </c>
      <c r="T135" s="60">
        <f t="shared" si="1"/>
        <v>1322.1829234940601</v>
      </c>
      <c r="U135" s="60">
        <f t="shared" si="1"/>
        <v>1238.3510437672928</v>
      </c>
      <c r="V135" s="356">
        <f t="shared" si="1"/>
        <v>84.610836393091915</v>
      </c>
      <c r="W135" s="445">
        <f t="shared" si="1"/>
        <v>1188.8969999999995</v>
      </c>
      <c r="X135" s="494">
        <f>W135/K135</f>
        <v>0.88818847821278901</v>
      </c>
      <c r="Y135" s="357">
        <f>SUM(Y6:Y133)</f>
        <v>3.52</v>
      </c>
      <c r="Z135" s="445">
        <f>SUM(Z6:Z133)</f>
        <v>4.7749999999999995</v>
      </c>
      <c r="AA135" s="60">
        <f>SUM(AA6:AA133)</f>
        <v>41.1590437672928</v>
      </c>
      <c r="AB135" s="60">
        <f>SUM(AB6:AB133)</f>
        <v>0.76225933367549747</v>
      </c>
      <c r="AC135" s="60">
        <f>SUM(AC6:AC133)</f>
        <v>14.839722978346071</v>
      </c>
      <c r="AD135" s="36">
        <f>SUM(AD6:AD134)</f>
        <v>2804</v>
      </c>
      <c r="AE135" s="64"/>
      <c r="AF135" s="60">
        <f t="shared" ref="AF135:BF135" si="2">SUM(AF6:AF134)</f>
        <v>506</v>
      </c>
      <c r="AG135" s="60">
        <f t="shared" si="2"/>
        <v>299</v>
      </c>
      <c r="AH135" s="60">
        <f t="shared" si="2"/>
        <v>1278</v>
      </c>
      <c r="AI135" s="60">
        <f t="shared" si="2"/>
        <v>0</v>
      </c>
      <c r="AJ135" s="60">
        <f t="shared" si="2"/>
        <v>0</v>
      </c>
      <c r="AK135" s="60">
        <f t="shared" si="2"/>
        <v>0</v>
      </c>
      <c r="AL135" s="60">
        <f t="shared" si="2"/>
        <v>0</v>
      </c>
      <c r="AM135" s="60">
        <f t="shared" si="2"/>
        <v>2083</v>
      </c>
      <c r="AN135" s="51">
        <f t="shared" si="2"/>
        <v>0</v>
      </c>
      <c r="AO135" s="51">
        <f t="shared" si="2"/>
        <v>481</v>
      </c>
      <c r="AP135" s="51">
        <f t="shared" si="2"/>
        <v>240</v>
      </c>
      <c r="AQ135" s="51">
        <f t="shared" si="2"/>
        <v>0</v>
      </c>
      <c r="AR135" s="60">
        <f t="shared" si="2"/>
        <v>721</v>
      </c>
      <c r="AS135" s="60">
        <f t="shared" si="2"/>
        <v>0</v>
      </c>
      <c r="AT135" s="60">
        <f t="shared" si="2"/>
        <v>0</v>
      </c>
      <c r="AU135" s="60">
        <f t="shared" si="2"/>
        <v>0</v>
      </c>
      <c r="AV135" s="60">
        <f t="shared" si="2"/>
        <v>0</v>
      </c>
      <c r="AW135" s="60">
        <f t="shared" si="2"/>
        <v>0</v>
      </c>
      <c r="AX135" s="60">
        <f t="shared" si="2"/>
        <v>0</v>
      </c>
      <c r="AY135" s="60">
        <f t="shared" si="2"/>
        <v>0</v>
      </c>
      <c r="AZ135" s="60">
        <f t="shared" si="2"/>
        <v>0</v>
      </c>
      <c r="BA135" s="60">
        <f t="shared" si="2"/>
        <v>721</v>
      </c>
      <c r="BB135" s="51">
        <f t="shared" si="2"/>
        <v>168</v>
      </c>
      <c r="BC135" s="51">
        <f t="shared" si="2"/>
        <v>162</v>
      </c>
      <c r="BD135" s="51">
        <f t="shared" si="2"/>
        <v>0</v>
      </c>
      <c r="BE135" s="51">
        <f t="shared" si="2"/>
        <v>0</v>
      </c>
      <c r="BF135" s="51">
        <f t="shared" si="2"/>
        <v>0</v>
      </c>
    </row>
    <row r="136" spans="1:58" s="26" customFormat="1" ht="12.95" customHeight="1">
      <c r="A136" s="55"/>
      <c r="B136" s="56"/>
      <c r="C136" s="56"/>
      <c r="D136" s="56"/>
      <c r="E136" s="57"/>
      <c r="F136" s="57"/>
      <c r="G136" s="58"/>
      <c r="H136" s="58"/>
      <c r="I136" s="58"/>
      <c r="J136" s="84"/>
      <c r="K136" s="84"/>
      <c r="L136" s="61"/>
      <c r="M136" s="61"/>
      <c r="N136" s="62"/>
      <c r="O136" s="674"/>
      <c r="P136" s="675"/>
      <c r="Q136" s="58">
        <f>31*1440-Q135</f>
        <v>0</v>
      </c>
      <c r="R136" s="65">
        <f>R135/Q135</f>
        <v>1.6151433691756274E-2</v>
      </c>
      <c r="S136" s="65">
        <f>S135/Q135</f>
        <v>4.6662186379928312E-2</v>
      </c>
      <c r="T136" s="343"/>
      <c r="U136" s="343"/>
      <c r="V136" s="345">
        <f>V135/K135</f>
        <v>6.3210160355599856E-2</v>
      </c>
      <c r="W136" s="361" t="s">
        <v>169</v>
      </c>
      <c r="X136" s="495">
        <v>0.85</v>
      </c>
      <c r="Y136" s="358">
        <f>Y135/K135</f>
        <v>2.6296840208268829E-3</v>
      </c>
      <c r="Z136" s="66">
        <f>Z135/K135</f>
        <v>3.5672560225705578E-3</v>
      </c>
      <c r="AA136" s="66">
        <f>AA135/K135</f>
        <v>3.0748659007773915E-2</v>
      </c>
      <c r="AB136" s="66">
        <f>AB135/K135</f>
        <v>5.6946056519676215E-4</v>
      </c>
      <c r="AC136" s="496">
        <f>AC135/K135</f>
        <v>1.1086301815242665E-2</v>
      </c>
      <c r="AD136" s="346"/>
      <c r="AE136" s="38"/>
      <c r="AF136" s="66">
        <f>AF135/$AD$135*$V$136</f>
        <v>1.1406683716096122E-2</v>
      </c>
      <c r="AG136" s="66">
        <f>AG135/$AD$135*$V$136</f>
        <v>6.7403131049658905E-3</v>
      </c>
      <c r="AH136" s="66">
        <f>AH135/$AD$135*$V$136</f>
        <v>2.8809766381760561E-2</v>
      </c>
      <c r="AI136" s="66">
        <f>AI135/$AD$135*$V$136</f>
        <v>0</v>
      </c>
      <c r="AJ136" s="66">
        <f t="shared" ref="AJ136:BA136" si="3">AJ135/$AD$135*$V$136</f>
        <v>0</v>
      </c>
      <c r="AK136" s="66">
        <f t="shared" si="3"/>
        <v>0</v>
      </c>
      <c r="AL136" s="66">
        <f t="shared" si="3"/>
        <v>0</v>
      </c>
      <c r="AM136" s="66">
        <f t="shared" si="3"/>
        <v>4.695676320282257E-2</v>
      </c>
      <c r="AN136" s="66">
        <f t="shared" si="3"/>
        <v>0</v>
      </c>
      <c r="AO136" s="66">
        <f t="shared" si="3"/>
        <v>1.0843112386249477E-2</v>
      </c>
      <c r="AP136" s="66">
        <f t="shared" si="3"/>
        <v>5.4102847665278052E-3</v>
      </c>
      <c r="AQ136" s="66">
        <f t="shared" si="3"/>
        <v>0</v>
      </c>
      <c r="AR136" s="66">
        <f t="shared" si="3"/>
        <v>1.625339715277728E-2</v>
      </c>
      <c r="AS136" s="66">
        <f t="shared" si="3"/>
        <v>0</v>
      </c>
      <c r="AT136" s="66">
        <f t="shared" si="3"/>
        <v>0</v>
      </c>
      <c r="AU136" s="66">
        <f t="shared" si="3"/>
        <v>0</v>
      </c>
      <c r="AV136" s="66">
        <f>AV135/$AD$135*$V$136</f>
        <v>0</v>
      </c>
      <c r="AW136" s="66">
        <f>AW135/$AD$135*$V$136</f>
        <v>0</v>
      </c>
      <c r="AX136" s="66">
        <f>AX135/$AD$135*$V$136</f>
        <v>0</v>
      </c>
      <c r="AY136" s="66">
        <f>AY135/$AD$135*$V$136</f>
        <v>0</v>
      </c>
      <c r="AZ136" s="66">
        <f>AZ135/$AD$135*$V$136</f>
        <v>0</v>
      </c>
      <c r="BA136" s="66">
        <f t="shared" si="3"/>
        <v>1.625339715277728E-2</v>
      </c>
      <c r="BB136" s="33" t="s">
        <v>168</v>
      </c>
      <c r="BC136" s="33" t="s">
        <v>168</v>
      </c>
      <c r="BD136" s="33" t="s">
        <v>397</v>
      </c>
      <c r="BE136" s="33" t="s">
        <v>397</v>
      </c>
      <c r="BF136" s="33" t="s">
        <v>397</v>
      </c>
    </row>
    <row r="137" spans="1:58" ht="12.95" customHeight="1">
      <c r="A137" s="55"/>
      <c r="B137" s="56"/>
      <c r="C137" s="56"/>
      <c r="D137" s="56"/>
      <c r="E137" s="57"/>
      <c r="F137" s="57"/>
      <c r="G137" s="33"/>
      <c r="H137" s="33"/>
      <c r="I137" s="33"/>
      <c r="J137" s="81"/>
      <c r="K137" s="81"/>
      <c r="L137" s="34"/>
      <c r="M137" s="34"/>
      <c r="N137" s="32"/>
      <c r="O137" s="35"/>
      <c r="P137" s="27"/>
      <c r="Q137" s="33"/>
      <c r="R137" s="36">
        <f>R135-(BA135)</f>
        <v>0</v>
      </c>
      <c r="S137" s="36">
        <f>S135-SUM(AF135:AL135)</f>
        <v>0</v>
      </c>
      <c r="T137" s="32"/>
      <c r="U137" s="32"/>
      <c r="V137" s="32"/>
      <c r="W137" s="359"/>
      <c r="X137" s="360"/>
      <c r="Y137" s="67">
        <f>+Y135-(SUM(RBP!AG3:AG4))</f>
        <v>0</v>
      </c>
      <c r="Z137" s="36"/>
      <c r="AA137" s="32"/>
      <c r="AB137" s="32"/>
      <c r="AC137" s="32"/>
      <c r="AD137" s="32"/>
      <c r="AE137" s="38"/>
      <c r="AF137" s="333"/>
      <c r="AG137" s="333"/>
      <c r="AH137" s="333"/>
      <c r="AI137" s="333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504">
        <f>BB135/($Q$135/1440)/2</f>
        <v>2.7096774193548385</v>
      </c>
      <c r="BC137" s="504">
        <f>BC135/($Q$135/1440)/2</f>
        <v>2.6129032258064515</v>
      </c>
      <c r="BD137" s="504">
        <f>BD135/($Q$135/1440)</f>
        <v>0</v>
      </c>
      <c r="BE137" s="504">
        <f>BE135/($Q$135/1440)</f>
        <v>0</v>
      </c>
      <c r="BF137" s="504">
        <f>BF135/($Q$135/1440)</f>
        <v>0</v>
      </c>
    </row>
    <row r="138" spans="1:58">
      <c r="A138" s="68"/>
      <c r="B138" s="69"/>
      <c r="C138" s="69"/>
      <c r="D138" s="69"/>
      <c r="E138" s="70"/>
      <c r="F138" s="70"/>
      <c r="G138" s="71"/>
      <c r="H138" s="71"/>
      <c r="I138" s="71"/>
      <c r="J138" s="85"/>
      <c r="K138" s="85"/>
      <c r="O138" s="72"/>
      <c r="P138" s="73"/>
      <c r="Q138" s="71"/>
      <c r="R138" s="52"/>
      <c r="S138" s="52"/>
      <c r="U138" s="74"/>
      <c r="V138" s="74"/>
      <c r="W138" s="75" t="s">
        <v>119</v>
      </c>
      <c r="X138" s="497">
        <f>W135/U135</f>
        <v>0.96006460040858443</v>
      </c>
      <c r="Y138" s="497"/>
      <c r="Z138" s="52"/>
      <c r="AD138" s="82"/>
      <c r="AE138" s="77"/>
      <c r="AF138" s="78"/>
      <c r="AG138" s="78"/>
      <c r="AH138" s="78"/>
      <c r="AI138" s="78"/>
      <c r="AJ138" s="78"/>
      <c r="AK138" s="78"/>
      <c r="AL138" s="78"/>
      <c r="AM138" s="78"/>
      <c r="AN138" s="76"/>
      <c r="AO138" s="76"/>
      <c r="AP138" s="76"/>
      <c r="AQ138" s="76"/>
      <c r="AR138" s="76"/>
      <c r="AS138" s="78"/>
      <c r="AT138" s="78"/>
      <c r="AU138" s="78"/>
      <c r="AV138" s="78"/>
      <c r="AW138" s="78"/>
      <c r="AX138" s="78"/>
      <c r="AY138" s="78"/>
      <c r="AZ138" s="78"/>
      <c r="BA138" s="76"/>
      <c r="BB138" s="26"/>
      <c r="BC138" s="76"/>
      <c r="BD138" s="76"/>
      <c r="BE138" s="26"/>
      <c r="BF138" s="76"/>
    </row>
    <row r="139" spans="1:58">
      <c r="A139" s="68"/>
      <c r="B139" s="69"/>
      <c r="C139" s="69"/>
      <c r="D139" s="69"/>
      <c r="E139" s="70"/>
      <c r="F139" s="70"/>
      <c r="G139" s="71"/>
      <c r="H139" s="71"/>
      <c r="I139" s="71"/>
      <c r="J139" s="85"/>
      <c r="K139" s="85"/>
      <c r="O139" s="72"/>
      <c r="P139" s="73"/>
      <c r="Q139" s="71"/>
      <c r="R139" s="52"/>
      <c r="S139" s="52"/>
      <c r="U139" s="74"/>
      <c r="V139" s="74"/>
      <c r="W139" s="75"/>
      <c r="X139" s="76"/>
      <c r="Y139" s="76"/>
      <c r="Z139" s="52"/>
      <c r="AA139" s="88"/>
      <c r="AB139" s="88"/>
      <c r="AD139" s="82"/>
      <c r="AE139" s="77"/>
      <c r="AF139" s="78"/>
      <c r="AG139" s="78"/>
      <c r="AH139" s="78"/>
      <c r="AI139" s="78"/>
      <c r="AJ139" s="78"/>
      <c r="AK139" s="78"/>
      <c r="AL139" s="78"/>
      <c r="AM139" s="78"/>
      <c r="AN139" s="78"/>
      <c r="AO139" s="76"/>
      <c r="AP139" s="76"/>
      <c r="AQ139" s="76"/>
      <c r="AR139" s="78"/>
      <c r="AS139" s="76"/>
      <c r="AT139" s="76"/>
      <c r="AU139" s="76"/>
      <c r="AV139" s="76"/>
      <c r="AW139" s="76"/>
      <c r="AX139" s="76"/>
      <c r="AY139" s="535">
        <f>810+11</f>
        <v>821</v>
      </c>
      <c r="AZ139" s="76"/>
      <c r="BA139" s="76"/>
      <c r="BB139" s="26"/>
      <c r="BC139" s="76"/>
      <c r="BD139" s="76"/>
      <c r="BE139" s="26"/>
      <c r="BF139" s="76"/>
    </row>
    <row r="140" spans="1:58">
      <c r="A140" s="68"/>
      <c r="B140" s="69"/>
      <c r="C140" s="69"/>
      <c r="D140" s="69"/>
      <c r="E140" s="70"/>
      <c r="F140" s="70"/>
      <c r="G140" s="71"/>
      <c r="H140" s="71"/>
      <c r="I140" s="71"/>
      <c r="J140" s="85"/>
      <c r="K140" s="85"/>
      <c r="O140" s="72"/>
      <c r="P140" s="73"/>
      <c r="Q140" s="71"/>
      <c r="R140" s="344"/>
      <c r="S140" s="52"/>
      <c r="U140" s="74"/>
      <c r="V140" s="74"/>
      <c r="W140" s="75" t="s">
        <v>143</v>
      </c>
      <c r="X140" s="333">
        <f>+W135+Y135</f>
        <v>1192.4169999999995</v>
      </c>
      <c r="Y140" s="76"/>
      <c r="Z140" s="52"/>
      <c r="AD140" s="82"/>
      <c r="AE140" s="77"/>
      <c r="AF140" s="82"/>
      <c r="AG140" s="82"/>
      <c r="AH140" s="82"/>
      <c r="AI140" s="82"/>
      <c r="AJ140" s="76"/>
      <c r="AK140" s="76"/>
      <c r="AL140" s="76"/>
      <c r="AM140" s="78"/>
      <c r="AN140" s="76"/>
      <c r="AO140" s="76"/>
      <c r="AP140" s="76"/>
      <c r="AQ140" s="76"/>
      <c r="AR140" s="78"/>
      <c r="AS140" s="76"/>
      <c r="AT140" s="76"/>
      <c r="AU140" s="76"/>
      <c r="AV140" s="76"/>
      <c r="AW140" s="76"/>
      <c r="AX140" s="76"/>
      <c r="AY140" s="535">
        <v>223</v>
      </c>
      <c r="AZ140" s="76"/>
      <c r="BA140" s="76"/>
      <c r="BB140" s="26"/>
      <c r="BC140" s="76"/>
      <c r="BD140" s="76"/>
      <c r="BE140" s="26"/>
      <c r="BF140" s="76"/>
    </row>
    <row r="141" spans="1:58">
      <c r="A141" s="68"/>
      <c r="C141" s="69" t="s">
        <v>298</v>
      </c>
      <c r="D141" s="69"/>
      <c r="E141" s="70"/>
      <c r="F141" s="70"/>
      <c r="G141" s="71"/>
      <c r="H141" s="71"/>
      <c r="I141" s="71"/>
      <c r="J141" s="85"/>
      <c r="K141" s="85"/>
      <c r="O141" s="72"/>
      <c r="P141" s="73"/>
      <c r="Q141" s="71"/>
      <c r="R141" s="344"/>
      <c r="S141" s="52"/>
      <c r="U141" s="74"/>
      <c r="V141" s="354"/>
      <c r="W141" s="355"/>
      <c r="X141" s="349"/>
      <c r="Y141" s="355"/>
      <c r="Z141" s="349"/>
      <c r="AD141" s="342"/>
      <c r="AE141" s="77"/>
      <c r="AF141" s="342"/>
      <c r="AG141" s="342"/>
      <c r="AH141" s="342"/>
      <c r="AI141" s="342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535">
        <f>+AY139-AY140</f>
        <v>598</v>
      </c>
      <c r="AZ141" s="76"/>
      <c r="BA141" s="76"/>
      <c r="BB141" s="26"/>
      <c r="BC141" s="76"/>
      <c r="BD141" s="76"/>
      <c r="BE141" s="26"/>
      <c r="BF141" s="76"/>
    </row>
    <row r="142" spans="1:58">
      <c r="A142" s="68"/>
      <c r="B142" s="69"/>
      <c r="C142" s="69" t="s">
        <v>299</v>
      </c>
      <c r="D142" s="69"/>
      <c r="E142" s="70"/>
      <c r="F142" s="70"/>
      <c r="G142" s="71"/>
      <c r="H142" s="71"/>
      <c r="I142" s="71"/>
      <c r="J142" s="85"/>
      <c r="K142" s="85"/>
      <c r="O142" s="72"/>
      <c r="P142" s="73"/>
      <c r="Q142" s="71"/>
      <c r="R142" s="344"/>
      <c r="S142" s="52"/>
      <c r="V142" s="347"/>
      <c r="W142" s="348" t="s">
        <v>305</v>
      </c>
      <c r="X142" s="347"/>
      <c r="Y142" s="347"/>
      <c r="Z142" s="349"/>
      <c r="AE142" s="77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26"/>
      <c r="BE142" s="26"/>
    </row>
    <row r="143" spans="1:58">
      <c r="A143" s="68"/>
      <c r="B143" s="69"/>
      <c r="C143" s="69"/>
      <c r="D143" s="69"/>
      <c r="E143" s="70"/>
      <c r="F143" s="70"/>
      <c r="G143" s="71"/>
      <c r="H143" s="71"/>
      <c r="I143" s="71"/>
      <c r="J143" s="85"/>
      <c r="K143" s="85"/>
      <c r="O143" s="72"/>
      <c r="P143" s="73"/>
      <c r="Q143" s="71"/>
      <c r="R143" s="344"/>
      <c r="S143" s="52"/>
      <c r="V143" s="347"/>
      <c r="W143" s="350" t="s">
        <v>294</v>
      </c>
      <c r="X143" s="505">
        <f>Y136</f>
        <v>2.6296840208268829E-3</v>
      </c>
      <c r="Y143" s="351"/>
      <c r="Z143" s="349"/>
      <c r="AE143" s="77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26"/>
      <c r="BE143" s="26"/>
    </row>
    <row r="144" spans="1:58">
      <c r="R144" s="88"/>
      <c r="V144" s="347"/>
      <c r="W144" s="350" t="s">
        <v>148</v>
      </c>
      <c r="X144" s="353">
        <f>Z136</f>
        <v>3.5672560225705578E-3</v>
      </c>
      <c r="Y144" s="352"/>
      <c r="Z144" s="347"/>
    </row>
    <row r="145" spans="18:26">
      <c r="R145" s="88"/>
      <c r="V145" s="347"/>
      <c r="W145" s="350" t="s">
        <v>149</v>
      </c>
      <c r="X145" s="353">
        <f>AC136</f>
        <v>1.1086301815242665E-2</v>
      </c>
      <c r="Y145" s="353"/>
      <c r="Z145" s="347"/>
    </row>
    <row r="146" spans="18:26">
      <c r="R146" s="88"/>
      <c r="V146" s="347"/>
      <c r="W146" s="350" t="s">
        <v>150</v>
      </c>
      <c r="X146" s="353">
        <f>AA136</f>
        <v>3.0748659007773915E-2</v>
      </c>
      <c r="Y146" s="352"/>
      <c r="Z146" s="347"/>
    </row>
    <row r="147" spans="18:26">
      <c r="V147" s="347"/>
      <c r="W147" s="350" t="s">
        <v>166</v>
      </c>
      <c r="X147" s="353">
        <f>AB136</f>
        <v>5.6946056519676215E-4</v>
      </c>
      <c r="Y147" s="352" t="s">
        <v>164</v>
      </c>
      <c r="Z147" s="347"/>
    </row>
    <row r="148" spans="18:26">
      <c r="V148" s="347"/>
      <c r="W148" s="350" t="s">
        <v>221</v>
      </c>
      <c r="X148" s="353">
        <f>AF136</f>
        <v>1.1406683716096122E-2</v>
      </c>
      <c r="Y148" s="352"/>
      <c r="Z148" s="347"/>
    </row>
    <row r="149" spans="18:26">
      <c r="V149" s="347"/>
      <c r="W149" s="350" t="s">
        <v>222</v>
      </c>
      <c r="X149" s="353">
        <f>+AG136</f>
        <v>6.7403131049658905E-3</v>
      </c>
      <c r="Y149" s="352"/>
      <c r="Z149" s="347"/>
    </row>
    <row r="150" spans="18:26">
      <c r="V150" s="347"/>
      <c r="W150" s="350" t="s">
        <v>300</v>
      </c>
      <c r="X150" s="353">
        <f>+AH136</f>
        <v>2.8809766381760561E-2</v>
      </c>
      <c r="Y150" s="352"/>
      <c r="Z150" s="347"/>
    </row>
    <row r="151" spans="18:26">
      <c r="V151" s="347"/>
      <c r="W151" s="350" t="s">
        <v>223</v>
      </c>
      <c r="X151" s="353">
        <f>+AI136</f>
        <v>0</v>
      </c>
      <c r="Y151" s="352"/>
      <c r="Z151" s="347"/>
    </row>
    <row r="152" spans="18:26">
      <c r="V152" s="347"/>
      <c r="W152" s="350" t="s">
        <v>157</v>
      </c>
      <c r="X152" s="353">
        <f>+AJ136</f>
        <v>0</v>
      </c>
      <c r="Y152" s="352"/>
      <c r="Z152" s="347"/>
    </row>
    <row r="153" spans="18:26">
      <c r="V153" s="347"/>
      <c r="W153" s="350" t="s">
        <v>159</v>
      </c>
      <c r="X153" s="353">
        <f>+AK136</f>
        <v>0</v>
      </c>
      <c r="Y153" s="352"/>
      <c r="Z153" s="347"/>
    </row>
    <row r="154" spans="18:26">
      <c r="V154" s="347"/>
      <c r="W154" s="350" t="s">
        <v>158</v>
      </c>
      <c r="X154" s="353">
        <f>+AL136</f>
        <v>0</v>
      </c>
      <c r="Y154" s="352"/>
      <c r="Z154" s="347"/>
    </row>
    <row r="155" spans="18:26">
      <c r="V155" s="347"/>
      <c r="W155" s="350" t="s">
        <v>151</v>
      </c>
      <c r="X155" s="353">
        <f>+AN136</f>
        <v>0</v>
      </c>
      <c r="Y155" s="352"/>
      <c r="Z155" s="347"/>
    </row>
    <row r="156" spans="18:26">
      <c r="V156" s="347"/>
      <c r="W156" s="350" t="s">
        <v>161</v>
      </c>
      <c r="X156" s="353">
        <f>+AO136</f>
        <v>1.0843112386249477E-2</v>
      </c>
      <c r="Y156" s="352"/>
      <c r="Z156" s="347"/>
    </row>
    <row r="157" spans="18:26">
      <c r="V157" s="347"/>
      <c r="W157" s="350" t="s">
        <v>152</v>
      </c>
      <c r="X157" s="353">
        <f>+AP136</f>
        <v>5.4102847665278052E-3</v>
      </c>
      <c r="Y157" s="352"/>
      <c r="Z157" s="347"/>
    </row>
    <row r="158" spans="18:26">
      <c r="V158" s="347"/>
      <c r="W158" s="350" t="s">
        <v>160</v>
      </c>
      <c r="X158" s="353">
        <f>+AQ136</f>
        <v>0</v>
      </c>
      <c r="Y158" s="352"/>
      <c r="Z158" s="347"/>
    </row>
    <row r="159" spans="18:26">
      <c r="V159" s="347"/>
      <c r="W159" s="350" t="s">
        <v>163</v>
      </c>
      <c r="X159" s="353">
        <f>+AS136</f>
        <v>0</v>
      </c>
      <c r="Y159" s="352"/>
      <c r="Z159" s="347"/>
    </row>
    <row r="160" spans="18:26">
      <c r="V160" s="347"/>
      <c r="W160" s="350" t="s">
        <v>301</v>
      </c>
      <c r="X160" s="353">
        <f>+AT136</f>
        <v>0</v>
      </c>
      <c r="Y160" s="352"/>
      <c r="Z160" s="347"/>
    </row>
    <row r="161" spans="22:26">
      <c r="V161" s="347"/>
      <c r="W161" s="350" t="s">
        <v>237</v>
      </c>
      <c r="X161" s="353">
        <f>+AU136</f>
        <v>0</v>
      </c>
      <c r="Y161" s="352"/>
      <c r="Z161" s="347"/>
    </row>
    <row r="162" spans="22:26">
      <c r="V162" s="347"/>
      <c r="W162" s="350" t="s">
        <v>307</v>
      </c>
      <c r="X162" s="353">
        <f>+AW136</f>
        <v>0</v>
      </c>
      <c r="Y162" s="352"/>
      <c r="Z162" s="347"/>
    </row>
    <row r="163" spans="22:26">
      <c r="V163" s="347"/>
      <c r="W163" s="350" t="s">
        <v>308</v>
      </c>
      <c r="X163" s="353">
        <f>+AV136</f>
        <v>0</v>
      </c>
      <c r="Y163" s="352"/>
      <c r="Z163" s="347"/>
    </row>
    <row r="164" spans="22:26">
      <c r="V164" s="347"/>
      <c r="W164" s="347" t="s">
        <v>162</v>
      </c>
      <c r="X164" s="353">
        <f>+AX136+AY136</f>
        <v>0</v>
      </c>
      <c r="Y164" s="353"/>
      <c r="Z164" s="347"/>
    </row>
    <row r="165" spans="22:26">
      <c r="V165" s="347"/>
      <c r="W165" s="347" t="s">
        <v>306</v>
      </c>
      <c r="X165" s="353">
        <f>+AZ136</f>
        <v>0</v>
      </c>
      <c r="Y165" s="347"/>
      <c r="Z165" s="347"/>
    </row>
    <row r="166" spans="22:26">
      <c r="V166" s="347"/>
      <c r="W166" s="347"/>
      <c r="X166" s="518">
        <f>SUM(X143:X165)</f>
        <v>0.11181152178721064</v>
      </c>
      <c r="Y166" s="347"/>
      <c r="Z166" s="347"/>
    </row>
    <row r="169" spans="22:26">
      <c r="X169" s="88">
        <f>+X166+X135</f>
        <v>0.99999999999999967</v>
      </c>
    </row>
  </sheetData>
  <mergeCells count="50">
    <mergeCell ref="O136:P136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36 B134:B136 C134">
    <cfRule type="cellIs" dxfId="132" priority="5979" stopIfTrue="1" operator="equal">
      <formula>"Towel"</formula>
    </cfRule>
    <cfRule type="cellIs" dxfId="131" priority="5980" stopIfTrue="1" operator="equal">
      <formula>"Napkin Hs"</formula>
    </cfRule>
  </conditionalFormatting>
  <conditionalFormatting sqref="C6 C8 C27 C77 C10">
    <cfRule type="cellIs" dxfId="130" priority="1006" stopIfTrue="1" operator="equal">
      <formula>"Napkin Hs"</formula>
    </cfRule>
  </conditionalFormatting>
  <conditionalFormatting sqref="C15">
    <cfRule type="cellIs" dxfId="129" priority="968" stopIfTrue="1" operator="equal">
      <formula>"Napkin Hs"</formula>
    </cfRule>
  </conditionalFormatting>
  <conditionalFormatting sqref="C9">
    <cfRule type="cellIs" dxfId="128" priority="962" stopIfTrue="1" operator="equal">
      <formula>"Napkin Hs"</formula>
    </cfRule>
  </conditionalFormatting>
  <conditionalFormatting sqref="C47">
    <cfRule type="cellIs" dxfId="127" priority="956" stopIfTrue="1" operator="equal">
      <formula>"Napkin Hs"</formula>
    </cfRule>
  </conditionalFormatting>
  <conditionalFormatting sqref="C50">
    <cfRule type="cellIs" dxfId="126" priority="944" stopIfTrue="1" operator="equal">
      <formula>"Napkin Hs"</formula>
    </cfRule>
  </conditionalFormatting>
  <conditionalFormatting sqref="C55">
    <cfRule type="cellIs" dxfId="125" priority="938" stopIfTrue="1" operator="equal">
      <formula>"Napkin Hs"</formula>
    </cfRule>
  </conditionalFormatting>
  <conditionalFormatting sqref="C63">
    <cfRule type="cellIs" dxfId="124" priority="932" stopIfTrue="1" operator="equal">
      <formula>"Napkin Hs"</formula>
    </cfRule>
  </conditionalFormatting>
  <conditionalFormatting sqref="C81">
    <cfRule type="cellIs" dxfId="123" priority="926" stopIfTrue="1" operator="equal">
      <formula>"Napkin Hs"</formula>
    </cfRule>
  </conditionalFormatting>
  <conditionalFormatting sqref="C89">
    <cfRule type="cellIs" dxfId="122" priority="920" stopIfTrue="1" operator="equal">
      <formula>"Napkin Hs"</formula>
    </cfRule>
  </conditionalFormatting>
  <conditionalFormatting sqref="C93">
    <cfRule type="cellIs" dxfId="121" priority="914" stopIfTrue="1" operator="equal">
      <formula>"Napkin Hs"</formula>
    </cfRule>
  </conditionalFormatting>
  <conditionalFormatting sqref="C109">
    <cfRule type="cellIs" dxfId="120" priority="908" stopIfTrue="1" operator="equal">
      <formula>"Napkin Hs"</formula>
    </cfRule>
  </conditionalFormatting>
  <conditionalFormatting sqref="C113">
    <cfRule type="cellIs" dxfId="119" priority="902" stopIfTrue="1" operator="equal">
      <formula>"Napkin Hs"</formula>
    </cfRule>
  </conditionalFormatting>
  <conditionalFormatting sqref="C121">
    <cfRule type="cellIs" dxfId="118" priority="896" stopIfTrue="1" operator="equal">
      <formula>"Napkin Hs"</formula>
    </cfRule>
  </conditionalFormatting>
  <conditionalFormatting sqref="C15">
    <cfRule type="cellIs" dxfId="117" priority="884" stopIfTrue="1" operator="equal">
      <formula>"Napkin Hs"</formula>
    </cfRule>
  </conditionalFormatting>
  <conditionalFormatting sqref="C23">
    <cfRule type="cellIs" dxfId="116" priority="878" stopIfTrue="1" operator="equal">
      <formula>"Napkin Hs"</formula>
    </cfRule>
  </conditionalFormatting>
  <conditionalFormatting sqref="C23">
    <cfRule type="cellIs" dxfId="115" priority="872" stopIfTrue="1" operator="equal">
      <formula>"Napkin Hs"</formula>
    </cfRule>
  </conditionalFormatting>
  <conditionalFormatting sqref="C12:C14">
    <cfRule type="cellIs" dxfId="114" priority="866" stopIfTrue="1" operator="equal">
      <formula>"Napkin Hs"</formula>
    </cfRule>
  </conditionalFormatting>
  <conditionalFormatting sqref="C19">
    <cfRule type="cellIs" dxfId="113" priority="860" stopIfTrue="1" operator="equal">
      <formula>"Napkin Hs"</formula>
    </cfRule>
  </conditionalFormatting>
  <conditionalFormatting sqref="C19">
    <cfRule type="cellIs" dxfId="112" priority="854" stopIfTrue="1" operator="equal">
      <formula>"Napkin Hs"</formula>
    </cfRule>
  </conditionalFormatting>
  <conditionalFormatting sqref="C17:C18">
    <cfRule type="cellIs" dxfId="111" priority="848" stopIfTrue="1" operator="equal">
      <formula>"Napkin Hs"</formula>
    </cfRule>
  </conditionalFormatting>
  <conditionalFormatting sqref="C16">
    <cfRule type="cellIs" dxfId="110" priority="842" stopIfTrue="1" operator="equal">
      <formula>"Napkin Hs"</formula>
    </cfRule>
  </conditionalFormatting>
  <conditionalFormatting sqref="C22">
    <cfRule type="cellIs" dxfId="109" priority="836" stopIfTrue="1" operator="equal">
      <formula>"Napkin Hs"</formula>
    </cfRule>
  </conditionalFormatting>
  <conditionalFormatting sqref="C20">
    <cfRule type="cellIs" dxfId="108" priority="830" stopIfTrue="1" operator="equal">
      <formula>"Napkin Hs"</formula>
    </cfRule>
  </conditionalFormatting>
  <conditionalFormatting sqref="C21">
    <cfRule type="cellIs" dxfId="107" priority="824" stopIfTrue="1" operator="equal">
      <formula>"Napkin Hs"</formula>
    </cfRule>
  </conditionalFormatting>
  <conditionalFormatting sqref="C25:C26">
    <cfRule type="cellIs" dxfId="106" priority="818" stopIfTrue="1" operator="equal">
      <formula>"Napkin Hs"</formula>
    </cfRule>
  </conditionalFormatting>
  <conditionalFormatting sqref="C24">
    <cfRule type="cellIs" dxfId="105" priority="812" stopIfTrue="1" operator="equal">
      <formula>"Napkin Hs"</formula>
    </cfRule>
  </conditionalFormatting>
  <conditionalFormatting sqref="C31">
    <cfRule type="cellIs" dxfId="104" priority="806" stopIfTrue="1" operator="equal">
      <formula>"Napkin Hs"</formula>
    </cfRule>
  </conditionalFormatting>
  <conditionalFormatting sqref="C29:C30">
    <cfRule type="cellIs" dxfId="103" priority="800" stopIfTrue="1" operator="equal">
      <formula>"Napkin Hs"</formula>
    </cfRule>
  </conditionalFormatting>
  <conditionalFormatting sqref="C28">
    <cfRule type="cellIs" dxfId="102" priority="794" stopIfTrue="1" operator="equal">
      <formula>"Napkin Hs"</formula>
    </cfRule>
  </conditionalFormatting>
  <conditionalFormatting sqref="C35">
    <cfRule type="cellIs" dxfId="101" priority="788" stopIfTrue="1" operator="equal">
      <formula>"Napkin Hs"</formula>
    </cfRule>
  </conditionalFormatting>
  <conditionalFormatting sqref="C33:C34">
    <cfRule type="cellIs" dxfId="100" priority="782" stopIfTrue="1" operator="equal">
      <formula>"Napkin Hs"</formula>
    </cfRule>
  </conditionalFormatting>
  <conditionalFormatting sqref="C32">
    <cfRule type="cellIs" dxfId="99" priority="776" stopIfTrue="1" operator="equal">
      <formula>"Napkin Hs"</formula>
    </cfRule>
  </conditionalFormatting>
  <conditionalFormatting sqref="C39">
    <cfRule type="cellIs" dxfId="98" priority="770" stopIfTrue="1" operator="equal">
      <formula>"Napkin Hs"</formula>
    </cfRule>
  </conditionalFormatting>
  <conditionalFormatting sqref="C36:C38">
    <cfRule type="cellIs" dxfId="97" priority="764" stopIfTrue="1" operator="equal">
      <formula>"Napkin Hs"</formula>
    </cfRule>
  </conditionalFormatting>
  <conditionalFormatting sqref="C43">
    <cfRule type="cellIs" dxfId="96" priority="758" stopIfTrue="1" operator="equal">
      <formula>"Napkin Hs"</formula>
    </cfRule>
  </conditionalFormatting>
  <conditionalFormatting sqref="C41:C42">
    <cfRule type="cellIs" dxfId="95" priority="752" stopIfTrue="1" operator="equal">
      <formula>"Napkin Hs"</formula>
    </cfRule>
  </conditionalFormatting>
  <conditionalFormatting sqref="C40">
    <cfRule type="cellIs" dxfId="94" priority="746" stopIfTrue="1" operator="equal">
      <formula>"Napkin Hs"</formula>
    </cfRule>
  </conditionalFormatting>
  <conditionalFormatting sqref="C45:C46">
    <cfRule type="cellIs" dxfId="93" priority="740" stopIfTrue="1" operator="equal">
      <formula>"Napkin Hs"</formula>
    </cfRule>
  </conditionalFormatting>
  <conditionalFormatting sqref="C44">
    <cfRule type="cellIs" dxfId="92" priority="734" stopIfTrue="1" operator="equal">
      <formula>"Napkin Hs"</formula>
    </cfRule>
  </conditionalFormatting>
  <conditionalFormatting sqref="C51">
    <cfRule type="cellIs" dxfId="91" priority="728" stopIfTrue="1" operator="equal">
      <formula>"Napkin Hs"</formula>
    </cfRule>
  </conditionalFormatting>
  <conditionalFormatting sqref="C50">
    <cfRule type="cellIs" dxfId="90" priority="722" stopIfTrue="1" operator="equal">
      <formula>"Napkin Hs"</formula>
    </cfRule>
  </conditionalFormatting>
  <conditionalFormatting sqref="C48:C49">
    <cfRule type="cellIs" dxfId="89" priority="716" stopIfTrue="1" operator="equal">
      <formula>"Napkin Hs"</formula>
    </cfRule>
  </conditionalFormatting>
  <conditionalFormatting sqref="C54">
    <cfRule type="cellIs" dxfId="88" priority="710" stopIfTrue="1" operator="equal">
      <formula>"Napkin Hs"</formula>
    </cfRule>
  </conditionalFormatting>
  <conditionalFormatting sqref="C54">
    <cfRule type="cellIs" dxfId="87" priority="704" stopIfTrue="1" operator="equal">
      <formula>"Napkin Hs"</formula>
    </cfRule>
  </conditionalFormatting>
  <conditionalFormatting sqref="C52">
    <cfRule type="cellIs" dxfId="86" priority="692" stopIfTrue="1" operator="equal">
      <formula>"Napkin Hs"</formula>
    </cfRule>
  </conditionalFormatting>
  <conditionalFormatting sqref="C53">
    <cfRule type="cellIs" dxfId="85" priority="686" stopIfTrue="1" operator="equal">
      <formula>"Napkin Hs"</formula>
    </cfRule>
  </conditionalFormatting>
  <conditionalFormatting sqref="C58">
    <cfRule type="cellIs" dxfId="84" priority="668" stopIfTrue="1" operator="equal">
      <formula>"Napkin Hs"</formula>
    </cfRule>
  </conditionalFormatting>
  <conditionalFormatting sqref="C59">
    <cfRule type="cellIs" dxfId="83" priority="662" stopIfTrue="1" operator="equal">
      <formula>"Napkin Hs"</formula>
    </cfRule>
  </conditionalFormatting>
  <conditionalFormatting sqref="C58">
    <cfRule type="cellIs" dxfId="82" priority="656" stopIfTrue="1" operator="equal">
      <formula>"Napkin Hs"</formula>
    </cfRule>
  </conditionalFormatting>
  <conditionalFormatting sqref="C57">
    <cfRule type="cellIs" dxfId="81" priority="650" stopIfTrue="1" operator="equal">
      <formula>"Napkin Hs"</formula>
    </cfRule>
  </conditionalFormatting>
  <conditionalFormatting sqref="C62">
    <cfRule type="cellIs" dxfId="80" priority="638" stopIfTrue="1" operator="equal">
      <formula>"Napkin Hs"</formula>
    </cfRule>
  </conditionalFormatting>
  <conditionalFormatting sqref="C62">
    <cfRule type="cellIs" dxfId="79" priority="632" stopIfTrue="1" operator="equal">
      <formula>"Napkin Hs"</formula>
    </cfRule>
  </conditionalFormatting>
  <conditionalFormatting sqref="C61">
    <cfRule type="cellIs" dxfId="78" priority="626" stopIfTrue="1" operator="equal">
      <formula>"Napkin Hs"</formula>
    </cfRule>
  </conditionalFormatting>
  <conditionalFormatting sqref="C56">
    <cfRule type="cellIs" dxfId="77" priority="620" stopIfTrue="1" operator="equal">
      <formula>"Napkin Hs"</formula>
    </cfRule>
  </conditionalFormatting>
  <conditionalFormatting sqref="C60">
    <cfRule type="cellIs" dxfId="76" priority="608" stopIfTrue="1" operator="equal">
      <formula>"Napkin Hs"</formula>
    </cfRule>
  </conditionalFormatting>
  <conditionalFormatting sqref="C67">
    <cfRule type="cellIs" dxfId="75" priority="602" stopIfTrue="1" operator="equal">
      <formula>"Napkin Hs"</formula>
    </cfRule>
  </conditionalFormatting>
  <conditionalFormatting sqref="C66">
    <cfRule type="cellIs" dxfId="74" priority="596" stopIfTrue="1" operator="equal">
      <formula>"Napkin Hs"</formula>
    </cfRule>
  </conditionalFormatting>
  <conditionalFormatting sqref="C66">
    <cfRule type="cellIs" dxfId="73" priority="590" stopIfTrue="1" operator="equal">
      <formula>"Napkin Hs"</formula>
    </cfRule>
  </conditionalFormatting>
  <conditionalFormatting sqref="C64:C65">
    <cfRule type="cellIs" dxfId="72" priority="578" stopIfTrue="1" operator="equal">
      <formula>"Napkin Hs"</formula>
    </cfRule>
  </conditionalFormatting>
  <conditionalFormatting sqref="C70">
    <cfRule type="cellIs" dxfId="71" priority="572" stopIfTrue="1" operator="equal">
      <formula>"Napkin Hs"</formula>
    </cfRule>
  </conditionalFormatting>
  <conditionalFormatting sqref="C70">
    <cfRule type="cellIs" dxfId="70" priority="566" stopIfTrue="1" operator="equal">
      <formula>"Napkin Hs"</formula>
    </cfRule>
  </conditionalFormatting>
  <conditionalFormatting sqref="C68">
    <cfRule type="cellIs" dxfId="69" priority="554" stopIfTrue="1" operator="equal">
      <formula>"Napkin Hs"</formula>
    </cfRule>
  </conditionalFormatting>
  <conditionalFormatting sqref="C69">
    <cfRule type="cellIs" dxfId="68" priority="542" stopIfTrue="1" operator="equal">
      <formula>"Napkin Hs"</formula>
    </cfRule>
  </conditionalFormatting>
  <conditionalFormatting sqref="C71">
    <cfRule type="cellIs" dxfId="67" priority="536" stopIfTrue="1" operator="equal">
      <formula>"Napkin Hs"</formula>
    </cfRule>
  </conditionalFormatting>
  <conditionalFormatting sqref="C75">
    <cfRule type="cellIs" dxfId="66" priority="530" stopIfTrue="1" operator="equal">
      <formula>"Napkin Hs"</formula>
    </cfRule>
  </conditionalFormatting>
  <conditionalFormatting sqref="C75">
    <cfRule type="cellIs" dxfId="65" priority="524" stopIfTrue="1" operator="equal">
      <formula>"Napkin Hs"</formula>
    </cfRule>
  </conditionalFormatting>
  <conditionalFormatting sqref="C73:C74">
    <cfRule type="cellIs" dxfId="64" priority="512" stopIfTrue="1" operator="equal">
      <formula>"Napkin Hs"</formula>
    </cfRule>
  </conditionalFormatting>
  <conditionalFormatting sqref="C76">
    <cfRule type="cellIs" dxfId="63" priority="506" stopIfTrue="1" operator="equal">
      <formula>"Napkin Hs"</formula>
    </cfRule>
  </conditionalFormatting>
  <conditionalFormatting sqref="C80">
    <cfRule type="cellIs" dxfId="62" priority="500" stopIfTrue="1" operator="equal">
      <formula>"Napkin Hs"</formula>
    </cfRule>
  </conditionalFormatting>
  <conditionalFormatting sqref="C80">
    <cfRule type="cellIs" dxfId="61" priority="494" stopIfTrue="1" operator="equal">
      <formula>"Napkin Hs"</formula>
    </cfRule>
  </conditionalFormatting>
  <conditionalFormatting sqref="C79">
    <cfRule type="cellIs" dxfId="60" priority="482" stopIfTrue="1" operator="equal">
      <formula>"Napkin Hs"</formula>
    </cfRule>
  </conditionalFormatting>
  <conditionalFormatting sqref="C78">
    <cfRule type="cellIs" dxfId="59" priority="470" stopIfTrue="1" operator="equal">
      <formula>"Napkin Hs"</formula>
    </cfRule>
  </conditionalFormatting>
  <conditionalFormatting sqref="C85">
    <cfRule type="cellIs" dxfId="58" priority="464" stopIfTrue="1" operator="equal">
      <formula>"Napkin Hs"</formula>
    </cfRule>
  </conditionalFormatting>
  <conditionalFormatting sqref="C82:C84">
    <cfRule type="cellIs" dxfId="57" priority="452" stopIfTrue="1" operator="equal">
      <formula>"Napkin Hs"</formula>
    </cfRule>
  </conditionalFormatting>
  <conditionalFormatting sqref="C88">
    <cfRule type="cellIs" dxfId="56" priority="446" stopIfTrue="1" operator="equal">
      <formula>"Napkin Hs"</formula>
    </cfRule>
  </conditionalFormatting>
  <conditionalFormatting sqref="C88">
    <cfRule type="cellIs" dxfId="55" priority="440" stopIfTrue="1" operator="equal">
      <formula>"Napkin Hs"</formula>
    </cfRule>
  </conditionalFormatting>
  <conditionalFormatting sqref="C87">
    <cfRule type="cellIs" dxfId="54" priority="428" stopIfTrue="1" operator="equal">
      <formula>"Napkin Hs"</formula>
    </cfRule>
  </conditionalFormatting>
  <conditionalFormatting sqref="C86">
    <cfRule type="cellIs" dxfId="53" priority="416" stopIfTrue="1" operator="equal">
      <formula>"Napkin Hs"</formula>
    </cfRule>
  </conditionalFormatting>
  <conditionalFormatting sqref="C92">
    <cfRule type="cellIs" dxfId="52" priority="410" stopIfTrue="1" operator="equal">
      <formula>"Napkin Hs"</formula>
    </cfRule>
  </conditionalFormatting>
  <conditionalFormatting sqref="C92">
    <cfRule type="cellIs" dxfId="51" priority="404" stopIfTrue="1" operator="equal">
      <formula>"Napkin Hs"</formula>
    </cfRule>
  </conditionalFormatting>
  <conditionalFormatting sqref="C91">
    <cfRule type="cellIs" dxfId="50" priority="392" stopIfTrue="1" operator="equal">
      <formula>"Napkin Hs"</formula>
    </cfRule>
  </conditionalFormatting>
  <conditionalFormatting sqref="C90">
    <cfRule type="cellIs" dxfId="49" priority="380" stopIfTrue="1" operator="equal">
      <formula>"Napkin Hs"</formula>
    </cfRule>
  </conditionalFormatting>
  <conditionalFormatting sqref="C96">
    <cfRule type="cellIs" dxfId="48" priority="374" stopIfTrue="1" operator="equal">
      <formula>"Napkin Hs"</formula>
    </cfRule>
  </conditionalFormatting>
  <conditionalFormatting sqref="C96">
    <cfRule type="cellIs" dxfId="47" priority="368" stopIfTrue="1" operator="equal">
      <formula>"Napkin Hs"</formula>
    </cfRule>
  </conditionalFormatting>
  <conditionalFormatting sqref="C94:C95">
    <cfRule type="cellIs" dxfId="46" priority="356" stopIfTrue="1" operator="equal">
      <formula>"Napkin Hs"</formula>
    </cfRule>
  </conditionalFormatting>
  <conditionalFormatting sqref="C100">
    <cfRule type="cellIs" dxfId="45" priority="344" stopIfTrue="1" operator="equal">
      <formula>"Napkin Hs"</formula>
    </cfRule>
  </conditionalFormatting>
  <conditionalFormatting sqref="C100">
    <cfRule type="cellIs" dxfId="44" priority="338" stopIfTrue="1" operator="equal">
      <formula>"Napkin Hs"</formula>
    </cfRule>
  </conditionalFormatting>
  <conditionalFormatting sqref="C99">
    <cfRule type="cellIs" dxfId="43" priority="326" stopIfTrue="1" operator="equal">
      <formula>"Napkin Hs"</formula>
    </cfRule>
  </conditionalFormatting>
  <conditionalFormatting sqref="C98">
    <cfRule type="cellIs" dxfId="42" priority="314" stopIfTrue="1" operator="equal">
      <formula>"Napkin Hs"</formula>
    </cfRule>
  </conditionalFormatting>
  <conditionalFormatting sqref="C104">
    <cfRule type="cellIs" dxfId="41" priority="302" stopIfTrue="1" operator="equal">
      <formula>"Napkin Hs"</formula>
    </cfRule>
  </conditionalFormatting>
  <conditionalFormatting sqref="C104">
    <cfRule type="cellIs" dxfId="40" priority="296" stopIfTrue="1" operator="equal">
      <formula>"Napkin Hs"</formula>
    </cfRule>
  </conditionalFormatting>
  <conditionalFormatting sqref="C103">
    <cfRule type="cellIs" dxfId="39" priority="284" stopIfTrue="1" operator="equal">
      <formula>"Napkin Hs"</formula>
    </cfRule>
  </conditionalFormatting>
  <conditionalFormatting sqref="C108">
    <cfRule type="cellIs" dxfId="38" priority="278" stopIfTrue="1" operator="equal">
      <formula>"Napkin Hs"</formula>
    </cfRule>
  </conditionalFormatting>
  <conditionalFormatting sqref="C108">
    <cfRule type="cellIs" dxfId="37" priority="272" stopIfTrue="1" operator="equal">
      <formula>"Napkin Hs"</formula>
    </cfRule>
  </conditionalFormatting>
  <conditionalFormatting sqref="C107">
    <cfRule type="cellIs" dxfId="36" priority="260" stopIfTrue="1" operator="equal">
      <formula>"Napkin Hs"</formula>
    </cfRule>
  </conditionalFormatting>
  <conditionalFormatting sqref="C102">
    <cfRule type="cellIs" dxfId="35" priority="248" stopIfTrue="1" operator="equal">
      <formula>"Napkin Hs"</formula>
    </cfRule>
  </conditionalFormatting>
  <conditionalFormatting sqref="C106">
    <cfRule type="cellIs" dxfId="34" priority="232" stopIfTrue="1" operator="equal">
      <formula>"Napkin Hs"</formula>
    </cfRule>
  </conditionalFormatting>
  <conditionalFormatting sqref="C112">
    <cfRule type="cellIs" dxfId="33" priority="226" stopIfTrue="1" operator="equal">
      <formula>"Napkin Hs"</formula>
    </cfRule>
  </conditionalFormatting>
  <conditionalFormatting sqref="C112">
    <cfRule type="cellIs" dxfId="32" priority="220" stopIfTrue="1" operator="equal">
      <formula>"Napkin Hs"</formula>
    </cfRule>
  </conditionalFormatting>
  <conditionalFormatting sqref="C111">
    <cfRule type="cellIs" dxfId="31" priority="208" stopIfTrue="1" operator="equal">
      <formula>"Napkin Hs"</formula>
    </cfRule>
  </conditionalFormatting>
  <conditionalFormatting sqref="C110">
    <cfRule type="cellIs" dxfId="30" priority="196" stopIfTrue="1" operator="equal">
      <formula>"Napkin Hs"</formula>
    </cfRule>
  </conditionalFormatting>
  <conditionalFormatting sqref="C117">
    <cfRule type="cellIs" dxfId="29" priority="190" stopIfTrue="1" operator="equal">
      <formula>"Napkin Hs"</formula>
    </cfRule>
  </conditionalFormatting>
  <conditionalFormatting sqref="C116">
    <cfRule type="cellIs" dxfId="28" priority="184" stopIfTrue="1" operator="equal">
      <formula>"Napkin Hs"</formula>
    </cfRule>
  </conditionalFormatting>
  <conditionalFormatting sqref="C116">
    <cfRule type="cellIs" dxfId="27" priority="178" stopIfTrue="1" operator="equal">
      <formula>"Napkin Hs"</formula>
    </cfRule>
  </conditionalFormatting>
  <conditionalFormatting sqref="C115">
    <cfRule type="cellIs" dxfId="26" priority="166" stopIfTrue="1" operator="equal">
      <formula>"Napkin Hs"</formula>
    </cfRule>
  </conditionalFormatting>
  <conditionalFormatting sqref="C114">
    <cfRule type="cellIs" dxfId="25" priority="154" stopIfTrue="1" operator="equal">
      <formula>"Napkin Hs"</formula>
    </cfRule>
  </conditionalFormatting>
  <conditionalFormatting sqref="C120">
    <cfRule type="cellIs" dxfId="24" priority="148" stopIfTrue="1" operator="equal">
      <formula>"Napkin Hs"</formula>
    </cfRule>
  </conditionalFormatting>
  <conditionalFormatting sqref="C120">
    <cfRule type="cellIs" dxfId="23" priority="142" stopIfTrue="1" operator="equal">
      <formula>"Napkin Hs"</formula>
    </cfRule>
  </conditionalFormatting>
  <conditionalFormatting sqref="C118:C119">
    <cfRule type="cellIs" dxfId="22" priority="130" stopIfTrue="1" operator="equal">
      <formula>"Napkin Hs"</formula>
    </cfRule>
  </conditionalFormatting>
  <conditionalFormatting sqref="C125">
    <cfRule type="cellIs" dxfId="21" priority="124" stopIfTrue="1" operator="equal">
      <formula>"Napkin Hs"</formula>
    </cfRule>
  </conditionalFormatting>
  <conditionalFormatting sqref="C124">
    <cfRule type="cellIs" dxfId="20" priority="118" stopIfTrue="1" operator="equal">
      <formula>"Napkin Hs"</formula>
    </cfRule>
  </conditionalFormatting>
  <conditionalFormatting sqref="C124">
    <cfRule type="cellIs" dxfId="19" priority="112" stopIfTrue="1" operator="equal">
      <formula>"Napkin Hs"</formula>
    </cfRule>
  </conditionalFormatting>
  <conditionalFormatting sqref="C122:C123">
    <cfRule type="cellIs" dxfId="18" priority="100" stopIfTrue="1" operator="equal">
      <formula>"Napkin Hs"</formula>
    </cfRule>
  </conditionalFormatting>
  <conditionalFormatting sqref="C129">
    <cfRule type="cellIs" dxfId="17" priority="94" stopIfTrue="1" operator="equal">
      <formula>"Napkin Hs"</formula>
    </cfRule>
  </conditionalFormatting>
  <conditionalFormatting sqref="C128">
    <cfRule type="cellIs" dxfId="16" priority="88" stopIfTrue="1" operator="equal">
      <formula>"Napkin Hs"</formula>
    </cfRule>
  </conditionalFormatting>
  <conditionalFormatting sqref="C128">
    <cfRule type="cellIs" dxfId="15" priority="82" stopIfTrue="1" operator="equal">
      <formula>"Napkin Hs"</formula>
    </cfRule>
  </conditionalFormatting>
  <conditionalFormatting sqref="C127">
    <cfRule type="cellIs" dxfId="14" priority="70" stopIfTrue="1" operator="equal">
      <formula>"Napkin Hs"</formula>
    </cfRule>
  </conditionalFormatting>
  <conditionalFormatting sqref="C126">
    <cfRule type="cellIs" dxfId="13" priority="58" stopIfTrue="1" operator="equal">
      <formula>"Napkin Hs"</formula>
    </cfRule>
  </conditionalFormatting>
  <conditionalFormatting sqref="C133">
    <cfRule type="cellIs" dxfId="12" priority="40" stopIfTrue="1" operator="equal">
      <formula>"Napkin Hs"</formula>
    </cfRule>
  </conditionalFormatting>
  <conditionalFormatting sqref="C132">
    <cfRule type="cellIs" dxfId="11" priority="34" stopIfTrue="1" operator="equal">
      <formula>"Napkin Hs"</formula>
    </cfRule>
  </conditionalFormatting>
  <conditionalFormatting sqref="C132">
    <cfRule type="cellIs" dxfId="10" priority="28" stopIfTrue="1" operator="equal">
      <formula>"Napkin Hs"</formula>
    </cfRule>
  </conditionalFormatting>
  <conditionalFormatting sqref="C131">
    <cfRule type="cellIs" dxfId="9" priority="16" stopIfTrue="1" operator="equal">
      <formula>"Napkin Hs"</formula>
    </cfRule>
  </conditionalFormatting>
  <conditionalFormatting sqref="C130">
    <cfRule type="cellIs" dxfId="8" priority="4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W45"/>
  <sheetViews>
    <sheetView topLeftCell="KA1" workbookViewId="0">
      <selection activeCell="KW37" sqref="KW37"/>
    </sheetView>
  </sheetViews>
  <sheetFormatPr defaultColWidth="10.42578125" defaultRowHeight="12.75"/>
  <cols>
    <col min="1" max="1" width="8.140625" style="258" customWidth="1"/>
    <col min="2" max="2" width="13.5703125" style="258" customWidth="1"/>
    <col min="3" max="3" width="12.5703125" style="259" customWidth="1"/>
    <col min="4" max="4" width="11.140625" style="259" customWidth="1"/>
    <col min="5" max="5" width="11" style="260" customWidth="1"/>
    <col min="6" max="17" width="12.42578125" style="519" customWidth="1"/>
    <col min="18" max="20" width="12.42578125" style="519" hidden="1" customWidth="1"/>
    <col min="21" max="269" width="12.42578125" style="519" customWidth="1"/>
    <col min="270" max="272" width="9.28515625" style="519" customWidth="1"/>
    <col min="273" max="303" width="5.5703125" style="519" customWidth="1"/>
    <col min="304" max="304" width="8.7109375" style="519" bestFit="1" customWidth="1"/>
    <col min="305" max="305" width="7.7109375" style="519" customWidth="1"/>
    <col min="306" max="306" width="21" style="519" bestFit="1" customWidth="1"/>
    <col min="307" max="307" width="19.85546875" style="519" bestFit="1" customWidth="1"/>
    <col min="308" max="16384" width="10.42578125" style="258"/>
  </cols>
  <sheetData>
    <row r="1" spans="1:309" ht="15.75">
      <c r="A1" s="558"/>
      <c r="B1" s="255"/>
      <c r="C1" s="256"/>
      <c r="D1" s="256"/>
      <c r="E1" s="257"/>
    </row>
    <row r="2" spans="1:309" ht="15.75">
      <c r="A2" s="558"/>
    </row>
    <row r="3" spans="1:309" ht="15">
      <c r="A3" s="559"/>
    </row>
    <row r="4" spans="1:309" ht="15.75">
      <c r="A4" s="491" t="s">
        <v>289</v>
      </c>
    </row>
    <row r="5" spans="1:309" ht="13.5" thickBot="1">
      <c r="F5" s="692" t="s">
        <v>309</v>
      </c>
      <c r="G5" s="693"/>
      <c r="H5" s="693"/>
      <c r="I5" s="693"/>
      <c r="J5" s="693"/>
      <c r="K5" s="693"/>
      <c r="L5" s="693"/>
      <c r="M5" s="693"/>
      <c r="N5" s="693"/>
      <c r="O5" s="693"/>
      <c r="P5" s="693"/>
      <c r="Q5" s="693"/>
      <c r="R5" s="693"/>
      <c r="S5" s="693"/>
      <c r="T5" s="693"/>
      <c r="U5" s="693"/>
      <c r="V5" s="693"/>
      <c r="W5" s="693"/>
      <c r="X5" s="693"/>
      <c r="Y5" s="693"/>
      <c r="Z5" s="693"/>
      <c r="AA5" s="693"/>
      <c r="AB5" s="693"/>
      <c r="AC5" s="693"/>
      <c r="AD5" s="693"/>
      <c r="AE5" s="693"/>
      <c r="AF5" s="693"/>
      <c r="AG5" s="693"/>
      <c r="AH5" s="693"/>
      <c r="AI5" s="693"/>
      <c r="AJ5" s="693"/>
      <c r="AK5" s="693"/>
      <c r="AL5" s="693"/>
      <c r="AM5" s="693"/>
      <c r="AN5" s="693"/>
      <c r="AO5" s="693"/>
      <c r="AP5" s="693"/>
      <c r="AQ5" s="693"/>
      <c r="AR5" s="693"/>
      <c r="AS5" s="693"/>
      <c r="AT5" s="693"/>
      <c r="AU5" s="693"/>
      <c r="AV5" s="693"/>
      <c r="AW5" s="693"/>
      <c r="AX5" s="693"/>
      <c r="AY5" s="693"/>
      <c r="AZ5" s="693"/>
      <c r="BA5" s="693"/>
      <c r="BB5" s="693"/>
      <c r="BC5" s="693"/>
      <c r="BD5" s="693"/>
      <c r="BE5" s="693"/>
      <c r="BF5" s="693"/>
      <c r="BG5" s="693"/>
      <c r="BH5" s="693"/>
      <c r="BI5" s="693"/>
      <c r="BJ5" s="693"/>
      <c r="BK5" s="693"/>
      <c r="BL5" s="693"/>
      <c r="BM5" s="693"/>
      <c r="BN5" s="693"/>
      <c r="BO5" s="693"/>
      <c r="BP5" s="693"/>
      <c r="BQ5" s="693"/>
      <c r="BR5" s="693"/>
      <c r="BS5" s="693"/>
      <c r="BT5" s="693"/>
      <c r="BU5" s="693"/>
      <c r="BV5" s="693"/>
      <c r="BW5" s="693"/>
      <c r="BX5" s="693"/>
      <c r="BY5" s="693"/>
      <c r="BZ5" s="693"/>
      <c r="CA5" s="693"/>
      <c r="CB5" s="693"/>
      <c r="CC5" s="693"/>
      <c r="CD5" s="693"/>
      <c r="CE5" s="693"/>
      <c r="CF5" s="693"/>
      <c r="CG5" s="693"/>
      <c r="CH5" s="693"/>
      <c r="CI5" s="693"/>
      <c r="CJ5" s="693"/>
      <c r="CK5" s="693"/>
      <c r="CL5" s="693"/>
      <c r="CM5" s="693"/>
      <c r="CN5" s="693"/>
      <c r="CO5" s="693"/>
      <c r="CP5" s="693"/>
      <c r="CQ5" s="693"/>
      <c r="CR5" s="693"/>
      <c r="CS5" s="693"/>
      <c r="CT5" s="693"/>
      <c r="CU5" s="693"/>
      <c r="CV5" s="693"/>
      <c r="CW5" s="693"/>
      <c r="CX5" s="693"/>
      <c r="CY5" s="693"/>
      <c r="CZ5" s="693"/>
      <c r="DA5" s="693"/>
      <c r="DB5" s="693"/>
      <c r="DC5" s="693"/>
      <c r="DD5" s="693"/>
      <c r="DE5" s="693"/>
      <c r="DF5" s="693"/>
      <c r="DG5" s="693"/>
      <c r="DH5" s="693"/>
      <c r="DI5" s="693"/>
      <c r="DJ5" s="693"/>
      <c r="DK5" s="693"/>
      <c r="DL5" s="693"/>
      <c r="DM5" s="693"/>
      <c r="DN5" s="693"/>
      <c r="DO5" s="693"/>
      <c r="DP5" s="693"/>
      <c r="DQ5" s="693"/>
      <c r="DR5" s="693"/>
      <c r="DS5" s="693"/>
      <c r="DT5" s="693"/>
      <c r="DU5" s="693"/>
      <c r="DV5" s="693"/>
      <c r="DW5" s="693"/>
      <c r="DX5" s="693"/>
      <c r="DY5" s="693"/>
      <c r="DZ5" s="693"/>
      <c r="EA5" s="693"/>
      <c r="EB5" s="693"/>
      <c r="EC5" s="693"/>
      <c r="ED5" s="693"/>
      <c r="EE5" s="693"/>
      <c r="EF5" s="693"/>
      <c r="EG5" s="693"/>
      <c r="EH5" s="693"/>
      <c r="EI5" s="693"/>
      <c r="EJ5" s="693"/>
      <c r="EK5" s="693"/>
      <c r="EL5" s="693"/>
      <c r="EM5" s="693"/>
      <c r="EN5" s="693"/>
      <c r="EO5" s="693"/>
      <c r="EP5" s="693"/>
      <c r="EQ5" s="693"/>
      <c r="ER5" s="693"/>
      <c r="ES5" s="693"/>
      <c r="ET5" s="693"/>
      <c r="EU5" s="693"/>
      <c r="EV5" s="693"/>
      <c r="EW5" s="693"/>
      <c r="EX5" s="693"/>
      <c r="EY5" s="693"/>
      <c r="EZ5" s="693"/>
      <c r="FA5" s="693"/>
      <c r="FB5" s="693"/>
      <c r="FC5" s="693"/>
      <c r="FD5" s="693"/>
      <c r="FE5" s="693"/>
      <c r="FF5" s="693"/>
      <c r="FG5" s="693"/>
      <c r="FH5" s="693"/>
      <c r="FI5" s="693"/>
      <c r="FJ5" s="693"/>
      <c r="FK5" s="693"/>
      <c r="FL5" s="693"/>
      <c r="FM5" s="693"/>
      <c r="FN5" s="693"/>
      <c r="FO5" s="693"/>
      <c r="FP5" s="693"/>
      <c r="FQ5" s="693"/>
      <c r="FR5" s="693"/>
      <c r="FS5" s="693"/>
      <c r="FT5" s="693"/>
      <c r="FU5" s="693"/>
      <c r="FV5" s="693"/>
      <c r="FW5" s="693"/>
      <c r="FX5" s="693"/>
      <c r="FY5" s="693"/>
      <c r="FZ5" s="693"/>
      <c r="GA5" s="693"/>
      <c r="GB5" s="693"/>
      <c r="GC5" s="694"/>
      <c r="GD5" s="692" t="s">
        <v>310</v>
      </c>
      <c r="GE5" s="693"/>
      <c r="GF5" s="693"/>
      <c r="GG5" s="693"/>
      <c r="GH5" s="693"/>
      <c r="GI5" s="693"/>
      <c r="GJ5" s="693"/>
      <c r="GK5" s="693"/>
      <c r="GL5" s="693"/>
      <c r="GM5" s="693"/>
      <c r="GN5" s="693"/>
      <c r="GO5" s="693"/>
      <c r="GP5" s="693"/>
      <c r="GQ5" s="693"/>
      <c r="GR5" s="693"/>
      <c r="GS5" s="693"/>
      <c r="GT5" s="693"/>
      <c r="GU5" s="693"/>
      <c r="GV5" s="693"/>
      <c r="GW5" s="693"/>
      <c r="GX5" s="693"/>
      <c r="GY5" s="693"/>
      <c r="GZ5" s="693"/>
      <c r="HA5" s="693"/>
      <c r="HB5" s="693"/>
      <c r="HC5" s="693"/>
      <c r="HD5" s="693"/>
      <c r="HE5" s="693"/>
      <c r="HF5" s="693"/>
      <c r="HG5" s="693"/>
      <c r="HH5" s="693"/>
      <c r="HI5" s="693"/>
      <c r="HJ5" s="693"/>
      <c r="HK5" s="693"/>
      <c r="HL5" s="693"/>
      <c r="HM5" s="693"/>
      <c r="HN5" s="693"/>
      <c r="HO5" s="693"/>
      <c r="HP5" s="693"/>
      <c r="HQ5" s="693"/>
      <c r="HR5" s="693"/>
      <c r="HS5" s="693"/>
      <c r="HT5" s="693"/>
      <c r="HU5" s="693"/>
      <c r="HV5" s="693"/>
      <c r="HW5" s="693"/>
      <c r="HX5" s="693"/>
      <c r="HY5" s="693"/>
      <c r="HZ5" s="693"/>
      <c r="IA5" s="693"/>
      <c r="IB5" s="693"/>
      <c r="IC5" s="693"/>
      <c r="ID5" s="693"/>
      <c r="IE5" s="693"/>
      <c r="IF5" s="693"/>
      <c r="IG5" s="693"/>
      <c r="IH5" s="693"/>
      <c r="II5" s="693"/>
      <c r="IJ5" s="693"/>
      <c r="IK5" s="693"/>
      <c r="IL5" s="693"/>
      <c r="IM5" s="693"/>
      <c r="IN5" s="693"/>
      <c r="IO5" s="693"/>
      <c r="IP5" s="693"/>
      <c r="IQ5" s="693"/>
      <c r="IR5" s="693"/>
      <c r="IS5" s="693"/>
      <c r="IT5" s="693"/>
      <c r="IU5" s="693"/>
      <c r="IV5" s="693"/>
      <c r="IW5" s="693"/>
      <c r="IX5" s="693"/>
      <c r="IY5" s="693"/>
      <c r="IZ5" s="693"/>
      <c r="JA5" s="693"/>
      <c r="JB5" s="693"/>
      <c r="JC5" s="693"/>
      <c r="JD5" s="693"/>
      <c r="JE5" s="693"/>
      <c r="JF5" s="693"/>
      <c r="JG5" s="693"/>
      <c r="JH5" s="693"/>
      <c r="JI5" s="693"/>
      <c r="JJ5" s="693"/>
      <c r="JK5" s="693"/>
      <c r="JL5" s="693"/>
      <c r="JM5" s="693"/>
      <c r="JN5" s="693"/>
      <c r="JO5" s="693"/>
      <c r="JP5" s="693"/>
      <c r="JQ5" s="693"/>
      <c r="JR5" s="693"/>
      <c r="JS5" s="693"/>
      <c r="JT5" s="693"/>
      <c r="JU5" s="693"/>
      <c r="JV5" s="693"/>
      <c r="JW5" s="693"/>
      <c r="JX5" s="693"/>
      <c r="JY5" s="693"/>
      <c r="JZ5" s="693"/>
      <c r="KA5" s="693"/>
      <c r="KB5" s="693"/>
      <c r="KC5" s="693"/>
      <c r="KD5" s="693"/>
      <c r="KE5" s="693"/>
      <c r="KF5" s="693"/>
      <c r="KG5" s="693"/>
      <c r="KH5" s="693"/>
      <c r="KI5" s="693"/>
      <c r="KJ5" s="693"/>
      <c r="KK5" s="693"/>
      <c r="KL5" s="693"/>
      <c r="KM5" s="693"/>
      <c r="KN5" s="693"/>
      <c r="KO5" s="693"/>
      <c r="KP5" s="693"/>
      <c r="KQ5" s="693"/>
      <c r="KR5" s="693"/>
      <c r="KS5" s="694"/>
      <c r="KT5" s="695" t="s">
        <v>311</v>
      </c>
      <c r="KU5" s="695" t="s">
        <v>310</v>
      </c>
    </row>
    <row r="6" spans="1:309">
      <c r="A6" s="696" t="s">
        <v>29</v>
      </c>
      <c r="B6" s="699" t="s">
        <v>4</v>
      </c>
      <c r="C6" s="699" t="s">
        <v>5</v>
      </c>
      <c r="D6" s="702" t="s">
        <v>41</v>
      </c>
      <c r="E6" s="705" t="s">
        <v>39</v>
      </c>
      <c r="F6" s="708" t="s">
        <v>312</v>
      </c>
      <c r="G6" s="709"/>
      <c r="H6" s="710"/>
      <c r="I6" s="708" t="s">
        <v>313</v>
      </c>
      <c r="J6" s="709"/>
      <c r="K6" s="710"/>
      <c r="L6" s="708" t="s">
        <v>314</v>
      </c>
      <c r="M6" s="709"/>
      <c r="N6" s="710"/>
      <c r="O6" s="708" t="s">
        <v>315</v>
      </c>
      <c r="P6" s="709"/>
      <c r="Q6" s="710"/>
      <c r="R6" s="708" t="s">
        <v>316</v>
      </c>
      <c r="S6" s="709"/>
      <c r="T6" s="710"/>
      <c r="U6" s="708" t="s">
        <v>317</v>
      </c>
      <c r="V6" s="709"/>
      <c r="W6" s="710"/>
      <c r="X6" s="708" t="s">
        <v>318</v>
      </c>
      <c r="Y6" s="709"/>
      <c r="Z6" s="710"/>
      <c r="AA6" s="708" t="s">
        <v>319</v>
      </c>
      <c r="AB6" s="709"/>
      <c r="AC6" s="710"/>
      <c r="AD6" s="708" t="s">
        <v>320</v>
      </c>
      <c r="AE6" s="709"/>
      <c r="AF6" s="710"/>
      <c r="AG6" s="708" t="s">
        <v>321</v>
      </c>
      <c r="AH6" s="709"/>
      <c r="AI6" s="710"/>
      <c r="AJ6" s="708" t="s">
        <v>322</v>
      </c>
      <c r="AK6" s="709"/>
      <c r="AL6" s="710"/>
      <c r="AM6" s="708" t="s">
        <v>323</v>
      </c>
      <c r="AN6" s="709"/>
      <c r="AO6" s="710"/>
      <c r="AP6" s="708" t="s">
        <v>324</v>
      </c>
      <c r="AQ6" s="709"/>
      <c r="AR6" s="710"/>
      <c r="AS6" s="708" t="s">
        <v>325</v>
      </c>
      <c r="AT6" s="709"/>
      <c r="AU6" s="710"/>
      <c r="AV6" s="708" t="s">
        <v>326</v>
      </c>
      <c r="AW6" s="709"/>
      <c r="AX6" s="710"/>
      <c r="AY6" s="711" t="s">
        <v>327</v>
      </c>
      <c r="AZ6" s="712"/>
      <c r="BA6" s="712"/>
      <c r="BB6" s="711" t="s">
        <v>328</v>
      </c>
      <c r="BC6" s="712"/>
      <c r="BD6" s="713"/>
      <c r="BE6" s="711" t="s">
        <v>329</v>
      </c>
      <c r="BF6" s="712"/>
      <c r="BG6" s="712"/>
      <c r="BH6" s="711" t="s">
        <v>330</v>
      </c>
      <c r="BI6" s="712"/>
      <c r="BJ6" s="713"/>
      <c r="BK6" s="711" t="s">
        <v>331</v>
      </c>
      <c r="BL6" s="712"/>
      <c r="BM6" s="712"/>
      <c r="BN6" s="711" t="s">
        <v>332</v>
      </c>
      <c r="BO6" s="712"/>
      <c r="BP6" s="713"/>
      <c r="BQ6" s="711" t="s">
        <v>333</v>
      </c>
      <c r="BR6" s="712"/>
      <c r="BS6" s="712"/>
      <c r="BT6" s="711" t="s">
        <v>334</v>
      </c>
      <c r="BU6" s="712"/>
      <c r="BV6" s="713"/>
      <c r="BW6" s="711" t="s">
        <v>335</v>
      </c>
      <c r="BX6" s="712"/>
      <c r="BY6" s="712"/>
      <c r="BZ6" s="711" t="s">
        <v>336</v>
      </c>
      <c r="CA6" s="712"/>
      <c r="CB6" s="713"/>
      <c r="CC6" s="711" t="s">
        <v>337</v>
      </c>
      <c r="CD6" s="712"/>
      <c r="CE6" s="712"/>
      <c r="CF6" s="711" t="s">
        <v>338</v>
      </c>
      <c r="CG6" s="712"/>
      <c r="CH6" s="713"/>
      <c r="CI6" s="711" t="s">
        <v>339</v>
      </c>
      <c r="CJ6" s="712"/>
      <c r="CK6" s="712"/>
      <c r="CL6" s="711" t="s">
        <v>340</v>
      </c>
      <c r="CM6" s="712"/>
      <c r="CN6" s="713"/>
      <c r="CO6" s="711" t="s">
        <v>341</v>
      </c>
      <c r="CP6" s="712"/>
      <c r="CQ6" s="712"/>
      <c r="CR6" s="711" t="s">
        <v>342</v>
      </c>
      <c r="CS6" s="712"/>
      <c r="CT6" s="713"/>
      <c r="CU6" s="711" t="s">
        <v>224</v>
      </c>
      <c r="CV6" s="712"/>
      <c r="CW6" s="712"/>
      <c r="CX6" s="711" t="s">
        <v>343</v>
      </c>
      <c r="CY6" s="712"/>
      <c r="CZ6" s="713"/>
      <c r="DA6" s="711" t="s">
        <v>344</v>
      </c>
      <c r="DB6" s="712"/>
      <c r="DC6" s="712"/>
      <c r="DD6" s="711" t="s">
        <v>345</v>
      </c>
      <c r="DE6" s="712"/>
      <c r="DF6" s="713"/>
      <c r="DG6" s="711" t="s">
        <v>346</v>
      </c>
      <c r="DH6" s="712"/>
      <c r="DI6" s="712"/>
      <c r="DJ6" s="711" t="s">
        <v>347</v>
      </c>
      <c r="DK6" s="712"/>
      <c r="DL6" s="713"/>
      <c r="DM6" s="711" t="s">
        <v>348</v>
      </c>
      <c r="DN6" s="712"/>
      <c r="DO6" s="712"/>
      <c r="DP6" s="711" t="s">
        <v>349</v>
      </c>
      <c r="DQ6" s="712"/>
      <c r="DR6" s="713"/>
      <c r="DS6" s="711" t="s">
        <v>350</v>
      </c>
      <c r="DT6" s="712"/>
      <c r="DU6" s="712"/>
      <c r="DV6" s="711" t="s">
        <v>351</v>
      </c>
      <c r="DW6" s="712"/>
      <c r="DX6" s="713"/>
      <c r="DY6" s="711" t="s">
        <v>352</v>
      </c>
      <c r="DZ6" s="712"/>
      <c r="EA6" s="712"/>
      <c r="EB6" s="711" t="s">
        <v>381</v>
      </c>
      <c r="EC6" s="712"/>
      <c r="ED6" s="713"/>
      <c r="EE6" s="711" t="s">
        <v>418</v>
      </c>
      <c r="EF6" s="712"/>
      <c r="EG6" s="712"/>
      <c r="EH6" s="711" t="s">
        <v>446</v>
      </c>
      <c r="EI6" s="712"/>
      <c r="EJ6" s="713"/>
      <c r="EK6" s="711" t="s">
        <v>471</v>
      </c>
      <c r="EL6" s="712"/>
      <c r="EM6" s="712"/>
      <c r="EN6" s="711"/>
      <c r="EO6" s="712"/>
      <c r="EP6" s="713"/>
      <c r="EQ6" s="711"/>
      <c r="ER6" s="712"/>
      <c r="ES6" s="712"/>
      <c r="ET6" s="711"/>
      <c r="EU6" s="712"/>
      <c r="EV6" s="713"/>
      <c r="EW6" s="711"/>
      <c r="EX6" s="712"/>
      <c r="EY6" s="712"/>
      <c r="EZ6" s="711"/>
      <c r="FA6" s="712"/>
      <c r="FB6" s="713"/>
      <c r="FC6" s="711"/>
      <c r="FD6" s="712"/>
      <c r="FE6" s="712"/>
      <c r="FF6" s="711"/>
      <c r="FG6" s="712"/>
      <c r="FH6" s="713"/>
      <c r="FI6" s="711"/>
      <c r="FJ6" s="712"/>
      <c r="FK6" s="712"/>
      <c r="FL6" s="711"/>
      <c r="FM6" s="712"/>
      <c r="FN6" s="713"/>
      <c r="FO6" s="711"/>
      <c r="FP6" s="712"/>
      <c r="FQ6" s="712"/>
      <c r="FR6" s="711"/>
      <c r="FS6" s="712"/>
      <c r="FT6" s="713"/>
      <c r="FU6" s="711"/>
      <c r="FV6" s="712"/>
      <c r="FW6" s="712"/>
      <c r="FX6" s="711"/>
      <c r="FY6" s="712"/>
      <c r="FZ6" s="713"/>
      <c r="GA6" s="711"/>
      <c r="GB6" s="712"/>
      <c r="GC6" s="712"/>
      <c r="GD6" s="711" t="s">
        <v>353</v>
      </c>
      <c r="GE6" s="712"/>
      <c r="GF6" s="713"/>
      <c r="GG6" s="711" t="s">
        <v>354</v>
      </c>
      <c r="GH6" s="712"/>
      <c r="GI6" s="712"/>
      <c r="GJ6" s="711" t="s">
        <v>355</v>
      </c>
      <c r="GK6" s="712"/>
      <c r="GL6" s="713"/>
      <c r="GM6" s="711" t="s">
        <v>356</v>
      </c>
      <c r="GN6" s="712"/>
      <c r="GO6" s="712"/>
      <c r="GP6" s="711" t="s">
        <v>357</v>
      </c>
      <c r="GQ6" s="712"/>
      <c r="GR6" s="713"/>
      <c r="GS6" s="711" t="s">
        <v>358</v>
      </c>
      <c r="GT6" s="712"/>
      <c r="GU6" s="712"/>
      <c r="GV6" s="711" t="s">
        <v>359</v>
      </c>
      <c r="GW6" s="712"/>
      <c r="GX6" s="713"/>
      <c r="GY6" s="711" t="s">
        <v>360</v>
      </c>
      <c r="GZ6" s="712"/>
      <c r="HA6" s="712"/>
      <c r="HB6" s="711" t="s">
        <v>336</v>
      </c>
      <c r="HC6" s="712"/>
      <c r="HD6" s="713"/>
      <c r="HE6" s="711" t="s">
        <v>351</v>
      </c>
      <c r="HF6" s="712"/>
      <c r="HG6" s="712"/>
      <c r="HH6" s="711" t="s">
        <v>350</v>
      </c>
      <c r="HI6" s="712"/>
      <c r="HJ6" s="713"/>
      <c r="HK6" s="711" t="s">
        <v>332</v>
      </c>
      <c r="HL6" s="712"/>
      <c r="HM6" s="712"/>
      <c r="HN6" s="711" t="s">
        <v>361</v>
      </c>
      <c r="HO6" s="712"/>
      <c r="HP6" s="713"/>
      <c r="HQ6" s="711" t="s">
        <v>224</v>
      </c>
      <c r="HR6" s="712"/>
      <c r="HS6" s="712"/>
      <c r="HT6" s="711" t="s">
        <v>362</v>
      </c>
      <c r="HU6" s="712"/>
      <c r="HV6" s="713"/>
      <c r="HW6" s="711" t="s">
        <v>363</v>
      </c>
      <c r="HX6" s="712"/>
      <c r="HY6" s="712"/>
      <c r="HZ6" s="711" t="s">
        <v>364</v>
      </c>
      <c r="IA6" s="712"/>
      <c r="IB6" s="713"/>
      <c r="IC6" s="711" t="s">
        <v>365</v>
      </c>
      <c r="ID6" s="712"/>
      <c r="IE6" s="712"/>
      <c r="IF6" s="711" t="s">
        <v>366</v>
      </c>
      <c r="IG6" s="712"/>
      <c r="IH6" s="713"/>
      <c r="II6" s="714" t="s">
        <v>338</v>
      </c>
      <c r="IJ6" s="714"/>
      <c r="IK6" s="714"/>
      <c r="IL6" s="711" t="s">
        <v>341</v>
      </c>
      <c r="IM6" s="712"/>
      <c r="IN6" s="713"/>
      <c r="IO6" s="711" t="s">
        <v>342</v>
      </c>
      <c r="IP6" s="712"/>
      <c r="IQ6" s="712"/>
      <c r="IR6" s="711" t="s">
        <v>337</v>
      </c>
      <c r="IS6" s="712"/>
      <c r="IT6" s="713"/>
      <c r="IU6" s="711" t="s">
        <v>367</v>
      </c>
      <c r="IV6" s="712"/>
      <c r="IW6" s="712"/>
      <c r="IX6" s="711" t="s">
        <v>344</v>
      </c>
      <c r="IY6" s="712"/>
      <c r="IZ6" s="713"/>
      <c r="JA6" s="711" t="s">
        <v>368</v>
      </c>
      <c r="JB6" s="712"/>
      <c r="JC6" s="712"/>
      <c r="JD6" s="711" t="s">
        <v>369</v>
      </c>
      <c r="JE6" s="712"/>
      <c r="JF6" s="713"/>
      <c r="JG6" s="711" t="s">
        <v>370</v>
      </c>
      <c r="JH6" s="712"/>
      <c r="JI6" s="712"/>
      <c r="JJ6" s="711" t="s">
        <v>382</v>
      </c>
      <c r="JK6" s="712"/>
      <c r="JL6" s="713"/>
      <c r="JM6" s="711"/>
      <c r="JN6" s="712"/>
      <c r="JO6" s="712"/>
      <c r="JP6" s="711"/>
      <c r="JQ6" s="712"/>
      <c r="JR6" s="713"/>
      <c r="JS6" s="711"/>
      <c r="JT6" s="712"/>
      <c r="JU6" s="712"/>
      <c r="JV6" s="711"/>
      <c r="JW6" s="712"/>
      <c r="JX6" s="713"/>
      <c r="JY6" s="711"/>
      <c r="JZ6" s="712"/>
      <c r="KA6" s="712"/>
      <c r="KB6" s="711"/>
      <c r="KC6" s="712"/>
      <c r="KD6" s="713"/>
      <c r="KE6" s="711"/>
      <c r="KF6" s="712"/>
      <c r="KG6" s="712"/>
      <c r="KH6" s="711"/>
      <c r="KI6" s="712"/>
      <c r="KJ6" s="713"/>
      <c r="KK6" s="711"/>
      <c r="KL6" s="712"/>
      <c r="KM6" s="712"/>
      <c r="KN6" s="711"/>
      <c r="KO6" s="712"/>
      <c r="KP6" s="713"/>
      <c r="KQ6" s="714"/>
      <c r="KR6" s="714"/>
      <c r="KS6" s="714"/>
      <c r="KT6" s="695"/>
      <c r="KU6" s="695"/>
    </row>
    <row r="7" spans="1:309">
      <c r="A7" s="697"/>
      <c r="B7" s="700"/>
      <c r="C7" s="700"/>
      <c r="D7" s="703"/>
      <c r="E7" s="706"/>
      <c r="F7" s="708" t="s">
        <v>134</v>
      </c>
      <c r="G7" s="710"/>
      <c r="H7" s="520" t="s">
        <v>371</v>
      </c>
      <c r="I7" s="708" t="s">
        <v>134</v>
      </c>
      <c r="J7" s="710"/>
      <c r="K7" s="520" t="s">
        <v>371</v>
      </c>
      <c r="L7" s="708" t="s">
        <v>134</v>
      </c>
      <c r="M7" s="710"/>
      <c r="N7" s="520" t="s">
        <v>371</v>
      </c>
      <c r="O7" s="708" t="s">
        <v>134</v>
      </c>
      <c r="P7" s="710"/>
      <c r="Q7" s="520" t="s">
        <v>371</v>
      </c>
      <c r="R7" s="708" t="s">
        <v>134</v>
      </c>
      <c r="S7" s="710"/>
      <c r="T7" s="520" t="s">
        <v>371</v>
      </c>
      <c r="U7" s="708" t="s">
        <v>134</v>
      </c>
      <c r="V7" s="710"/>
      <c r="W7" s="520" t="s">
        <v>371</v>
      </c>
      <c r="X7" s="708" t="s">
        <v>134</v>
      </c>
      <c r="Y7" s="710"/>
      <c r="Z7" s="520" t="s">
        <v>371</v>
      </c>
      <c r="AA7" s="708" t="s">
        <v>134</v>
      </c>
      <c r="AB7" s="710"/>
      <c r="AC7" s="520" t="s">
        <v>371</v>
      </c>
      <c r="AD7" s="708" t="s">
        <v>134</v>
      </c>
      <c r="AE7" s="710"/>
      <c r="AF7" s="520" t="s">
        <v>371</v>
      </c>
      <c r="AG7" s="708" t="s">
        <v>134</v>
      </c>
      <c r="AH7" s="710"/>
      <c r="AI7" s="520" t="s">
        <v>371</v>
      </c>
      <c r="AJ7" s="708" t="s">
        <v>134</v>
      </c>
      <c r="AK7" s="710"/>
      <c r="AL7" s="520" t="s">
        <v>371</v>
      </c>
      <c r="AM7" s="708" t="s">
        <v>134</v>
      </c>
      <c r="AN7" s="710"/>
      <c r="AO7" s="520" t="s">
        <v>371</v>
      </c>
      <c r="AP7" s="708" t="s">
        <v>134</v>
      </c>
      <c r="AQ7" s="710"/>
      <c r="AR7" s="520" t="s">
        <v>371</v>
      </c>
      <c r="AS7" s="708" t="s">
        <v>134</v>
      </c>
      <c r="AT7" s="710"/>
      <c r="AU7" s="520" t="s">
        <v>371</v>
      </c>
      <c r="AV7" s="708" t="s">
        <v>134</v>
      </c>
      <c r="AW7" s="710"/>
      <c r="AX7" s="520" t="s">
        <v>371</v>
      </c>
      <c r="AY7" s="708" t="s">
        <v>134</v>
      </c>
      <c r="AZ7" s="710"/>
      <c r="BA7" s="520" t="s">
        <v>371</v>
      </c>
      <c r="BB7" s="708" t="s">
        <v>134</v>
      </c>
      <c r="BC7" s="710"/>
      <c r="BD7" s="520" t="s">
        <v>371</v>
      </c>
      <c r="BE7" s="708" t="s">
        <v>134</v>
      </c>
      <c r="BF7" s="710"/>
      <c r="BG7" s="520" t="s">
        <v>371</v>
      </c>
      <c r="BH7" s="708" t="s">
        <v>134</v>
      </c>
      <c r="BI7" s="710"/>
      <c r="BJ7" s="520" t="s">
        <v>371</v>
      </c>
      <c r="BK7" s="708" t="s">
        <v>134</v>
      </c>
      <c r="BL7" s="710"/>
      <c r="BM7" s="520" t="s">
        <v>371</v>
      </c>
      <c r="BN7" s="708" t="s">
        <v>134</v>
      </c>
      <c r="BO7" s="710"/>
      <c r="BP7" s="520" t="s">
        <v>371</v>
      </c>
      <c r="BQ7" s="708" t="s">
        <v>134</v>
      </c>
      <c r="BR7" s="710"/>
      <c r="BS7" s="520" t="s">
        <v>371</v>
      </c>
      <c r="BT7" s="708" t="s">
        <v>134</v>
      </c>
      <c r="BU7" s="710"/>
      <c r="BV7" s="520" t="s">
        <v>371</v>
      </c>
      <c r="BW7" s="708" t="s">
        <v>134</v>
      </c>
      <c r="BX7" s="710"/>
      <c r="BY7" s="520" t="s">
        <v>371</v>
      </c>
      <c r="BZ7" s="708" t="s">
        <v>134</v>
      </c>
      <c r="CA7" s="710"/>
      <c r="CB7" s="520" t="s">
        <v>371</v>
      </c>
      <c r="CC7" s="708" t="s">
        <v>134</v>
      </c>
      <c r="CD7" s="710"/>
      <c r="CE7" s="520" t="s">
        <v>371</v>
      </c>
      <c r="CF7" s="708" t="s">
        <v>134</v>
      </c>
      <c r="CG7" s="710"/>
      <c r="CH7" s="520" t="s">
        <v>371</v>
      </c>
      <c r="CI7" s="708" t="s">
        <v>134</v>
      </c>
      <c r="CJ7" s="710"/>
      <c r="CK7" s="520" t="s">
        <v>371</v>
      </c>
      <c r="CL7" s="708" t="s">
        <v>134</v>
      </c>
      <c r="CM7" s="710"/>
      <c r="CN7" s="520" t="s">
        <v>371</v>
      </c>
      <c r="CO7" s="708" t="s">
        <v>134</v>
      </c>
      <c r="CP7" s="710"/>
      <c r="CQ7" s="520" t="s">
        <v>371</v>
      </c>
      <c r="CR7" s="708" t="s">
        <v>134</v>
      </c>
      <c r="CS7" s="710"/>
      <c r="CT7" s="520" t="s">
        <v>371</v>
      </c>
      <c r="CU7" s="708" t="s">
        <v>134</v>
      </c>
      <c r="CV7" s="710"/>
      <c r="CW7" s="520" t="s">
        <v>371</v>
      </c>
      <c r="CX7" s="708" t="s">
        <v>134</v>
      </c>
      <c r="CY7" s="710"/>
      <c r="CZ7" s="520" t="s">
        <v>371</v>
      </c>
      <c r="DA7" s="708" t="s">
        <v>134</v>
      </c>
      <c r="DB7" s="710"/>
      <c r="DC7" s="520" t="s">
        <v>371</v>
      </c>
      <c r="DD7" s="708" t="s">
        <v>134</v>
      </c>
      <c r="DE7" s="710"/>
      <c r="DF7" s="520" t="s">
        <v>371</v>
      </c>
      <c r="DG7" s="708" t="s">
        <v>134</v>
      </c>
      <c r="DH7" s="710"/>
      <c r="DI7" s="520" t="s">
        <v>371</v>
      </c>
      <c r="DJ7" s="708" t="s">
        <v>134</v>
      </c>
      <c r="DK7" s="710"/>
      <c r="DL7" s="520" t="s">
        <v>371</v>
      </c>
      <c r="DM7" s="708" t="s">
        <v>134</v>
      </c>
      <c r="DN7" s="710"/>
      <c r="DO7" s="520" t="s">
        <v>371</v>
      </c>
      <c r="DP7" s="708" t="s">
        <v>134</v>
      </c>
      <c r="DQ7" s="710"/>
      <c r="DR7" s="520" t="s">
        <v>371</v>
      </c>
      <c r="DS7" s="708" t="s">
        <v>134</v>
      </c>
      <c r="DT7" s="710"/>
      <c r="DU7" s="520" t="s">
        <v>371</v>
      </c>
      <c r="DV7" s="708" t="s">
        <v>134</v>
      </c>
      <c r="DW7" s="710"/>
      <c r="DX7" s="520" t="s">
        <v>371</v>
      </c>
      <c r="DY7" s="708" t="s">
        <v>134</v>
      </c>
      <c r="DZ7" s="710"/>
      <c r="EA7" s="520" t="s">
        <v>371</v>
      </c>
      <c r="EB7" s="708" t="s">
        <v>134</v>
      </c>
      <c r="EC7" s="710"/>
      <c r="ED7" s="520" t="s">
        <v>371</v>
      </c>
      <c r="EE7" s="708" t="s">
        <v>134</v>
      </c>
      <c r="EF7" s="710"/>
      <c r="EG7" s="520" t="s">
        <v>371</v>
      </c>
      <c r="EH7" s="708" t="s">
        <v>134</v>
      </c>
      <c r="EI7" s="710"/>
      <c r="EJ7" s="520" t="s">
        <v>371</v>
      </c>
      <c r="EK7" s="708" t="s">
        <v>134</v>
      </c>
      <c r="EL7" s="710"/>
      <c r="EM7" s="520" t="s">
        <v>371</v>
      </c>
      <c r="EN7" s="708" t="s">
        <v>134</v>
      </c>
      <c r="EO7" s="710"/>
      <c r="EP7" s="520" t="s">
        <v>371</v>
      </c>
      <c r="EQ7" s="708" t="s">
        <v>134</v>
      </c>
      <c r="ER7" s="710"/>
      <c r="ES7" s="520" t="s">
        <v>371</v>
      </c>
      <c r="ET7" s="708" t="s">
        <v>134</v>
      </c>
      <c r="EU7" s="710"/>
      <c r="EV7" s="520" t="s">
        <v>371</v>
      </c>
      <c r="EW7" s="708" t="s">
        <v>134</v>
      </c>
      <c r="EX7" s="710"/>
      <c r="EY7" s="520" t="s">
        <v>371</v>
      </c>
      <c r="EZ7" s="708" t="s">
        <v>134</v>
      </c>
      <c r="FA7" s="710"/>
      <c r="FB7" s="520" t="s">
        <v>371</v>
      </c>
      <c r="FC7" s="708" t="s">
        <v>134</v>
      </c>
      <c r="FD7" s="710"/>
      <c r="FE7" s="520" t="s">
        <v>371</v>
      </c>
      <c r="FF7" s="708" t="s">
        <v>134</v>
      </c>
      <c r="FG7" s="710"/>
      <c r="FH7" s="520" t="s">
        <v>371</v>
      </c>
      <c r="FI7" s="708" t="s">
        <v>134</v>
      </c>
      <c r="FJ7" s="710"/>
      <c r="FK7" s="520" t="s">
        <v>371</v>
      </c>
      <c r="FL7" s="708" t="s">
        <v>134</v>
      </c>
      <c r="FM7" s="710"/>
      <c r="FN7" s="520" t="s">
        <v>371</v>
      </c>
      <c r="FO7" s="708" t="s">
        <v>134</v>
      </c>
      <c r="FP7" s="710"/>
      <c r="FQ7" s="520" t="s">
        <v>371</v>
      </c>
      <c r="FR7" s="708" t="s">
        <v>134</v>
      </c>
      <c r="FS7" s="710"/>
      <c r="FT7" s="520" t="s">
        <v>371</v>
      </c>
      <c r="FU7" s="708" t="s">
        <v>134</v>
      </c>
      <c r="FV7" s="710"/>
      <c r="FW7" s="520" t="s">
        <v>371</v>
      </c>
      <c r="FX7" s="708" t="s">
        <v>134</v>
      </c>
      <c r="FY7" s="710"/>
      <c r="FZ7" s="520" t="s">
        <v>371</v>
      </c>
      <c r="GA7" s="708" t="s">
        <v>134</v>
      </c>
      <c r="GB7" s="710"/>
      <c r="GC7" s="520" t="s">
        <v>371</v>
      </c>
      <c r="GD7" s="708" t="s">
        <v>134</v>
      </c>
      <c r="GE7" s="710"/>
      <c r="GF7" s="520" t="s">
        <v>371</v>
      </c>
      <c r="GG7" s="708" t="s">
        <v>134</v>
      </c>
      <c r="GH7" s="710"/>
      <c r="GI7" s="520" t="s">
        <v>371</v>
      </c>
      <c r="GJ7" s="708" t="s">
        <v>134</v>
      </c>
      <c r="GK7" s="710"/>
      <c r="GL7" s="520" t="s">
        <v>371</v>
      </c>
      <c r="GM7" s="708" t="s">
        <v>134</v>
      </c>
      <c r="GN7" s="710"/>
      <c r="GO7" s="520" t="s">
        <v>371</v>
      </c>
      <c r="GP7" s="708" t="s">
        <v>134</v>
      </c>
      <c r="GQ7" s="710"/>
      <c r="GR7" s="520" t="s">
        <v>371</v>
      </c>
      <c r="GS7" s="708" t="s">
        <v>134</v>
      </c>
      <c r="GT7" s="710"/>
      <c r="GU7" s="520" t="s">
        <v>371</v>
      </c>
      <c r="GV7" s="708" t="s">
        <v>134</v>
      </c>
      <c r="GW7" s="710"/>
      <c r="GX7" s="520" t="s">
        <v>371</v>
      </c>
      <c r="GY7" s="708" t="s">
        <v>134</v>
      </c>
      <c r="GZ7" s="710"/>
      <c r="HA7" s="520" t="s">
        <v>371</v>
      </c>
      <c r="HB7" s="708" t="s">
        <v>134</v>
      </c>
      <c r="HC7" s="710"/>
      <c r="HD7" s="520" t="s">
        <v>371</v>
      </c>
      <c r="HE7" s="708" t="s">
        <v>134</v>
      </c>
      <c r="HF7" s="710"/>
      <c r="HG7" s="520" t="s">
        <v>371</v>
      </c>
      <c r="HH7" s="708" t="s">
        <v>134</v>
      </c>
      <c r="HI7" s="710"/>
      <c r="HJ7" s="520" t="s">
        <v>371</v>
      </c>
      <c r="HK7" s="708" t="s">
        <v>134</v>
      </c>
      <c r="HL7" s="710"/>
      <c r="HM7" s="520" t="s">
        <v>371</v>
      </c>
      <c r="HN7" s="708" t="s">
        <v>134</v>
      </c>
      <c r="HO7" s="710"/>
      <c r="HP7" s="520" t="s">
        <v>371</v>
      </c>
      <c r="HQ7" s="708" t="s">
        <v>134</v>
      </c>
      <c r="HR7" s="710"/>
      <c r="HS7" s="520" t="s">
        <v>371</v>
      </c>
      <c r="HT7" s="708" t="s">
        <v>134</v>
      </c>
      <c r="HU7" s="710"/>
      <c r="HV7" s="520" t="s">
        <v>371</v>
      </c>
      <c r="HW7" s="708" t="s">
        <v>134</v>
      </c>
      <c r="HX7" s="710"/>
      <c r="HY7" s="520" t="s">
        <v>371</v>
      </c>
      <c r="HZ7" s="708" t="s">
        <v>134</v>
      </c>
      <c r="IA7" s="710"/>
      <c r="IB7" s="520" t="s">
        <v>371</v>
      </c>
      <c r="IC7" s="708" t="s">
        <v>134</v>
      </c>
      <c r="ID7" s="710"/>
      <c r="IE7" s="520" t="s">
        <v>371</v>
      </c>
      <c r="IF7" s="708" t="s">
        <v>134</v>
      </c>
      <c r="IG7" s="710"/>
      <c r="IH7" s="520" t="s">
        <v>371</v>
      </c>
      <c r="II7" s="714" t="s">
        <v>134</v>
      </c>
      <c r="IJ7" s="714"/>
      <c r="IK7" s="521" t="s">
        <v>371</v>
      </c>
      <c r="IL7" s="708" t="s">
        <v>134</v>
      </c>
      <c r="IM7" s="710"/>
      <c r="IN7" s="520" t="s">
        <v>371</v>
      </c>
      <c r="IO7" s="708" t="s">
        <v>134</v>
      </c>
      <c r="IP7" s="710"/>
      <c r="IQ7" s="520" t="s">
        <v>371</v>
      </c>
      <c r="IR7" s="708" t="s">
        <v>134</v>
      </c>
      <c r="IS7" s="710"/>
      <c r="IT7" s="520" t="s">
        <v>371</v>
      </c>
      <c r="IU7" s="708" t="s">
        <v>134</v>
      </c>
      <c r="IV7" s="710"/>
      <c r="IW7" s="520" t="s">
        <v>371</v>
      </c>
      <c r="IX7" s="708" t="s">
        <v>134</v>
      </c>
      <c r="IY7" s="710"/>
      <c r="IZ7" s="520" t="s">
        <v>371</v>
      </c>
      <c r="JA7" s="708" t="s">
        <v>134</v>
      </c>
      <c r="JB7" s="710"/>
      <c r="JC7" s="520" t="s">
        <v>371</v>
      </c>
      <c r="JD7" s="708" t="s">
        <v>134</v>
      </c>
      <c r="JE7" s="710"/>
      <c r="JF7" s="520" t="s">
        <v>371</v>
      </c>
      <c r="JG7" s="708" t="s">
        <v>134</v>
      </c>
      <c r="JH7" s="710"/>
      <c r="JI7" s="520" t="s">
        <v>371</v>
      </c>
      <c r="JJ7" s="708" t="s">
        <v>134</v>
      </c>
      <c r="JK7" s="710"/>
      <c r="JL7" s="520" t="s">
        <v>371</v>
      </c>
      <c r="JM7" s="708" t="s">
        <v>134</v>
      </c>
      <c r="JN7" s="710"/>
      <c r="JO7" s="520" t="s">
        <v>371</v>
      </c>
      <c r="JP7" s="708" t="s">
        <v>134</v>
      </c>
      <c r="JQ7" s="710"/>
      <c r="JR7" s="520" t="s">
        <v>371</v>
      </c>
      <c r="JS7" s="708" t="s">
        <v>134</v>
      </c>
      <c r="JT7" s="710"/>
      <c r="JU7" s="520" t="s">
        <v>371</v>
      </c>
      <c r="JV7" s="708" t="s">
        <v>134</v>
      </c>
      <c r="JW7" s="710"/>
      <c r="JX7" s="520" t="s">
        <v>371</v>
      </c>
      <c r="JY7" s="708" t="s">
        <v>134</v>
      </c>
      <c r="JZ7" s="710"/>
      <c r="KA7" s="520" t="s">
        <v>371</v>
      </c>
      <c r="KB7" s="708" t="s">
        <v>134</v>
      </c>
      <c r="KC7" s="710"/>
      <c r="KD7" s="520" t="s">
        <v>371</v>
      </c>
      <c r="KE7" s="708" t="s">
        <v>134</v>
      </c>
      <c r="KF7" s="710"/>
      <c r="KG7" s="520" t="s">
        <v>371</v>
      </c>
      <c r="KH7" s="708" t="s">
        <v>134</v>
      </c>
      <c r="KI7" s="710"/>
      <c r="KJ7" s="520" t="s">
        <v>371</v>
      </c>
      <c r="KK7" s="708" t="s">
        <v>134</v>
      </c>
      <c r="KL7" s="710"/>
      <c r="KM7" s="520" t="s">
        <v>371</v>
      </c>
      <c r="KN7" s="708" t="s">
        <v>134</v>
      </c>
      <c r="KO7" s="710"/>
      <c r="KP7" s="520" t="s">
        <v>371</v>
      </c>
      <c r="KQ7" s="714" t="s">
        <v>134</v>
      </c>
      <c r="KR7" s="714"/>
      <c r="KS7" s="521" t="s">
        <v>371</v>
      </c>
      <c r="KT7" s="695"/>
      <c r="KU7" s="695"/>
    </row>
    <row r="8" spans="1:309" ht="13.5" thickBot="1">
      <c r="A8" s="698"/>
      <c r="B8" s="701"/>
      <c r="C8" s="701"/>
      <c r="D8" s="704"/>
      <c r="E8" s="707"/>
      <c r="F8" s="536" t="s">
        <v>136</v>
      </c>
      <c r="G8" s="536" t="s">
        <v>40</v>
      </c>
      <c r="H8" s="537"/>
      <c r="I8" s="536" t="s">
        <v>136</v>
      </c>
      <c r="J8" s="536" t="s">
        <v>40</v>
      </c>
      <c r="K8" s="537"/>
      <c r="L8" s="536" t="s">
        <v>136</v>
      </c>
      <c r="M8" s="536" t="s">
        <v>40</v>
      </c>
      <c r="N8" s="537"/>
      <c r="O8" s="536" t="s">
        <v>136</v>
      </c>
      <c r="P8" s="536" t="s">
        <v>40</v>
      </c>
      <c r="Q8" s="537"/>
      <c r="R8" s="536" t="s">
        <v>136</v>
      </c>
      <c r="S8" s="536" t="s">
        <v>40</v>
      </c>
      <c r="T8" s="537"/>
      <c r="U8" s="536" t="s">
        <v>136</v>
      </c>
      <c r="V8" s="536" t="s">
        <v>40</v>
      </c>
      <c r="W8" s="537"/>
      <c r="X8" s="536" t="s">
        <v>136</v>
      </c>
      <c r="Y8" s="536" t="s">
        <v>40</v>
      </c>
      <c r="Z8" s="537"/>
      <c r="AA8" s="536" t="s">
        <v>136</v>
      </c>
      <c r="AB8" s="536" t="s">
        <v>40</v>
      </c>
      <c r="AC8" s="537"/>
      <c r="AD8" s="536" t="s">
        <v>136</v>
      </c>
      <c r="AE8" s="536" t="s">
        <v>40</v>
      </c>
      <c r="AF8" s="537"/>
      <c r="AG8" s="536" t="s">
        <v>136</v>
      </c>
      <c r="AH8" s="536" t="s">
        <v>40</v>
      </c>
      <c r="AI8" s="537"/>
      <c r="AJ8" s="536" t="s">
        <v>136</v>
      </c>
      <c r="AK8" s="536" t="s">
        <v>40</v>
      </c>
      <c r="AL8" s="537"/>
      <c r="AM8" s="536" t="s">
        <v>136</v>
      </c>
      <c r="AN8" s="536" t="s">
        <v>40</v>
      </c>
      <c r="AO8" s="537"/>
      <c r="AP8" s="536" t="s">
        <v>136</v>
      </c>
      <c r="AQ8" s="536" t="s">
        <v>40</v>
      </c>
      <c r="AR8" s="537"/>
      <c r="AS8" s="536" t="s">
        <v>136</v>
      </c>
      <c r="AT8" s="536" t="s">
        <v>40</v>
      </c>
      <c r="AU8" s="537"/>
      <c r="AV8" s="536" t="s">
        <v>136</v>
      </c>
      <c r="AW8" s="536" t="s">
        <v>40</v>
      </c>
      <c r="AX8" s="537"/>
      <c r="AY8" s="536" t="s">
        <v>136</v>
      </c>
      <c r="AZ8" s="536" t="s">
        <v>40</v>
      </c>
      <c r="BA8" s="537"/>
      <c r="BB8" s="536" t="s">
        <v>136</v>
      </c>
      <c r="BC8" s="536" t="s">
        <v>40</v>
      </c>
      <c r="BD8" s="537"/>
      <c r="BE8" s="536" t="s">
        <v>136</v>
      </c>
      <c r="BF8" s="536" t="s">
        <v>40</v>
      </c>
      <c r="BG8" s="537"/>
      <c r="BH8" s="536" t="s">
        <v>136</v>
      </c>
      <c r="BI8" s="536" t="s">
        <v>40</v>
      </c>
      <c r="BJ8" s="537"/>
      <c r="BK8" s="536" t="s">
        <v>136</v>
      </c>
      <c r="BL8" s="536" t="s">
        <v>40</v>
      </c>
      <c r="BM8" s="537"/>
      <c r="BN8" s="536" t="s">
        <v>136</v>
      </c>
      <c r="BO8" s="536" t="s">
        <v>40</v>
      </c>
      <c r="BP8" s="537"/>
      <c r="BQ8" s="536" t="s">
        <v>136</v>
      </c>
      <c r="BR8" s="536" t="s">
        <v>40</v>
      </c>
      <c r="BS8" s="537"/>
      <c r="BT8" s="536" t="s">
        <v>136</v>
      </c>
      <c r="BU8" s="536" t="s">
        <v>40</v>
      </c>
      <c r="BV8" s="537"/>
      <c r="BW8" s="536" t="s">
        <v>136</v>
      </c>
      <c r="BX8" s="536" t="s">
        <v>40</v>
      </c>
      <c r="BY8" s="537"/>
      <c r="BZ8" s="536" t="s">
        <v>136</v>
      </c>
      <c r="CA8" s="536" t="s">
        <v>40</v>
      </c>
      <c r="CB8" s="537"/>
      <c r="CC8" s="536" t="s">
        <v>136</v>
      </c>
      <c r="CD8" s="536" t="s">
        <v>40</v>
      </c>
      <c r="CE8" s="537"/>
      <c r="CF8" s="536" t="s">
        <v>136</v>
      </c>
      <c r="CG8" s="536" t="s">
        <v>40</v>
      </c>
      <c r="CH8" s="537"/>
      <c r="CI8" s="536" t="s">
        <v>136</v>
      </c>
      <c r="CJ8" s="536" t="s">
        <v>40</v>
      </c>
      <c r="CK8" s="537"/>
      <c r="CL8" s="536" t="s">
        <v>136</v>
      </c>
      <c r="CM8" s="536" t="s">
        <v>40</v>
      </c>
      <c r="CN8" s="537"/>
      <c r="CO8" s="536" t="s">
        <v>136</v>
      </c>
      <c r="CP8" s="536" t="s">
        <v>40</v>
      </c>
      <c r="CQ8" s="537"/>
      <c r="CR8" s="536" t="s">
        <v>136</v>
      </c>
      <c r="CS8" s="536" t="s">
        <v>40</v>
      </c>
      <c r="CT8" s="537"/>
      <c r="CU8" s="536" t="s">
        <v>136</v>
      </c>
      <c r="CV8" s="536" t="s">
        <v>40</v>
      </c>
      <c r="CW8" s="537"/>
      <c r="CX8" s="536" t="s">
        <v>136</v>
      </c>
      <c r="CY8" s="536" t="s">
        <v>40</v>
      </c>
      <c r="CZ8" s="537"/>
      <c r="DA8" s="536" t="s">
        <v>136</v>
      </c>
      <c r="DB8" s="536" t="s">
        <v>40</v>
      </c>
      <c r="DC8" s="537"/>
      <c r="DD8" s="536" t="s">
        <v>136</v>
      </c>
      <c r="DE8" s="536" t="s">
        <v>40</v>
      </c>
      <c r="DF8" s="537"/>
      <c r="DG8" s="536" t="s">
        <v>136</v>
      </c>
      <c r="DH8" s="536" t="s">
        <v>40</v>
      </c>
      <c r="DI8" s="537"/>
      <c r="DJ8" s="536" t="s">
        <v>136</v>
      </c>
      <c r="DK8" s="536" t="s">
        <v>40</v>
      </c>
      <c r="DL8" s="537"/>
      <c r="DM8" s="536" t="s">
        <v>136</v>
      </c>
      <c r="DN8" s="536" t="s">
        <v>40</v>
      </c>
      <c r="DO8" s="537"/>
      <c r="DP8" s="536" t="s">
        <v>136</v>
      </c>
      <c r="DQ8" s="536" t="s">
        <v>40</v>
      </c>
      <c r="DR8" s="537"/>
      <c r="DS8" s="536" t="s">
        <v>136</v>
      </c>
      <c r="DT8" s="536" t="s">
        <v>40</v>
      </c>
      <c r="DU8" s="537"/>
      <c r="DV8" s="536" t="s">
        <v>136</v>
      </c>
      <c r="DW8" s="536" t="s">
        <v>40</v>
      </c>
      <c r="DX8" s="537"/>
      <c r="DY8" s="536" t="s">
        <v>136</v>
      </c>
      <c r="DZ8" s="536" t="s">
        <v>40</v>
      </c>
      <c r="EA8" s="537"/>
      <c r="EB8" s="536" t="s">
        <v>136</v>
      </c>
      <c r="EC8" s="536" t="s">
        <v>40</v>
      </c>
      <c r="ED8" s="520"/>
      <c r="EE8" s="536" t="s">
        <v>136</v>
      </c>
      <c r="EF8" s="536" t="s">
        <v>40</v>
      </c>
      <c r="EG8" s="537"/>
      <c r="EH8" s="536" t="s">
        <v>136</v>
      </c>
      <c r="EI8" s="536" t="s">
        <v>40</v>
      </c>
      <c r="EJ8" s="537"/>
      <c r="EK8" s="536" t="s">
        <v>136</v>
      </c>
      <c r="EL8" s="536" t="s">
        <v>40</v>
      </c>
      <c r="EM8" s="537"/>
      <c r="EN8" s="536" t="s">
        <v>136</v>
      </c>
      <c r="EO8" s="536" t="s">
        <v>40</v>
      </c>
      <c r="EP8" s="537"/>
      <c r="EQ8" s="536" t="s">
        <v>136</v>
      </c>
      <c r="ER8" s="536" t="s">
        <v>40</v>
      </c>
      <c r="ES8" s="537"/>
      <c r="ET8" s="536" t="s">
        <v>136</v>
      </c>
      <c r="EU8" s="536" t="s">
        <v>40</v>
      </c>
      <c r="EV8" s="537"/>
      <c r="EW8" s="536" t="s">
        <v>136</v>
      </c>
      <c r="EX8" s="536" t="s">
        <v>40</v>
      </c>
      <c r="EY8" s="537"/>
      <c r="EZ8" s="536" t="s">
        <v>136</v>
      </c>
      <c r="FA8" s="536" t="s">
        <v>40</v>
      </c>
      <c r="FB8" s="537"/>
      <c r="FC8" s="536" t="s">
        <v>136</v>
      </c>
      <c r="FD8" s="536" t="s">
        <v>40</v>
      </c>
      <c r="FE8" s="537"/>
      <c r="FF8" s="536" t="s">
        <v>136</v>
      </c>
      <c r="FG8" s="536" t="s">
        <v>40</v>
      </c>
      <c r="FH8" s="537"/>
      <c r="FI8" s="536" t="s">
        <v>136</v>
      </c>
      <c r="FJ8" s="536" t="s">
        <v>40</v>
      </c>
      <c r="FK8" s="537"/>
      <c r="FL8" s="536" t="s">
        <v>136</v>
      </c>
      <c r="FM8" s="536" t="s">
        <v>40</v>
      </c>
      <c r="FN8" s="537"/>
      <c r="FO8" s="536" t="s">
        <v>136</v>
      </c>
      <c r="FP8" s="536" t="s">
        <v>40</v>
      </c>
      <c r="FQ8" s="537"/>
      <c r="FR8" s="536" t="s">
        <v>136</v>
      </c>
      <c r="FS8" s="536" t="s">
        <v>40</v>
      </c>
      <c r="FT8" s="537"/>
      <c r="FU8" s="536" t="s">
        <v>136</v>
      </c>
      <c r="FV8" s="536" t="s">
        <v>40</v>
      </c>
      <c r="FW8" s="537"/>
      <c r="FX8" s="536" t="s">
        <v>136</v>
      </c>
      <c r="FY8" s="536" t="s">
        <v>40</v>
      </c>
      <c r="FZ8" s="537"/>
      <c r="GA8" s="536" t="s">
        <v>136</v>
      </c>
      <c r="GB8" s="536" t="s">
        <v>40</v>
      </c>
      <c r="GC8" s="537"/>
      <c r="GD8" s="536" t="s">
        <v>136</v>
      </c>
      <c r="GE8" s="536" t="s">
        <v>40</v>
      </c>
      <c r="GF8" s="537"/>
      <c r="GG8" s="536" t="s">
        <v>136</v>
      </c>
      <c r="GH8" s="536" t="s">
        <v>40</v>
      </c>
      <c r="GI8" s="537"/>
      <c r="GJ8" s="536" t="s">
        <v>136</v>
      </c>
      <c r="GK8" s="536" t="s">
        <v>40</v>
      </c>
      <c r="GL8" s="537"/>
      <c r="GM8" s="536" t="s">
        <v>136</v>
      </c>
      <c r="GN8" s="536" t="s">
        <v>40</v>
      </c>
      <c r="GO8" s="537"/>
      <c r="GP8" s="536" t="s">
        <v>136</v>
      </c>
      <c r="GQ8" s="536" t="s">
        <v>40</v>
      </c>
      <c r="GR8" s="537"/>
      <c r="GS8" s="536" t="s">
        <v>136</v>
      </c>
      <c r="GT8" s="536" t="s">
        <v>40</v>
      </c>
      <c r="GU8" s="537"/>
      <c r="GV8" s="536" t="s">
        <v>136</v>
      </c>
      <c r="GW8" s="536" t="s">
        <v>40</v>
      </c>
      <c r="GX8" s="537"/>
      <c r="GY8" s="536" t="s">
        <v>136</v>
      </c>
      <c r="GZ8" s="536" t="s">
        <v>40</v>
      </c>
      <c r="HA8" s="537"/>
      <c r="HB8" s="536" t="s">
        <v>136</v>
      </c>
      <c r="HC8" s="536" t="s">
        <v>40</v>
      </c>
      <c r="HD8" s="537"/>
      <c r="HE8" s="536" t="s">
        <v>136</v>
      </c>
      <c r="HF8" s="536" t="s">
        <v>40</v>
      </c>
      <c r="HG8" s="537"/>
      <c r="HH8" s="536" t="s">
        <v>136</v>
      </c>
      <c r="HI8" s="536" t="s">
        <v>40</v>
      </c>
      <c r="HJ8" s="537"/>
      <c r="HK8" s="536" t="s">
        <v>136</v>
      </c>
      <c r="HL8" s="536" t="s">
        <v>40</v>
      </c>
      <c r="HM8" s="537"/>
      <c r="HN8" s="536" t="s">
        <v>136</v>
      </c>
      <c r="HO8" s="536" t="s">
        <v>40</v>
      </c>
      <c r="HP8" s="537"/>
      <c r="HQ8" s="536" t="s">
        <v>136</v>
      </c>
      <c r="HR8" s="536" t="s">
        <v>40</v>
      </c>
      <c r="HS8" s="537"/>
      <c r="HT8" s="536" t="s">
        <v>136</v>
      </c>
      <c r="HU8" s="536" t="s">
        <v>40</v>
      </c>
      <c r="HV8" s="537"/>
      <c r="HW8" s="536" t="s">
        <v>136</v>
      </c>
      <c r="HX8" s="536" t="s">
        <v>40</v>
      </c>
      <c r="HY8" s="537"/>
      <c r="HZ8" s="536" t="s">
        <v>136</v>
      </c>
      <c r="IA8" s="536" t="s">
        <v>40</v>
      </c>
      <c r="IB8" s="537"/>
      <c r="IC8" s="536" t="s">
        <v>136</v>
      </c>
      <c r="ID8" s="536" t="s">
        <v>40</v>
      </c>
      <c r="IE8" s="537"/>
      <c r="IF8" s="536" t="s">
        <v>136</v>
      </c>
      <c r="IG8" s="536" t="s">
        <v>40</v>
      </c>
      <c r="IH8" s="537"/>
      <c r="II8" s="536" t="s">
        <v>136</v>
      </c>
      <c r="IJ8" s="536" t="s">
        <v>40</v>
      </c>
      <c r="IK8" s="537"/>
      <c r="IL8" s="536" t="s">
        <v>136</v>
      </c>
      <c r="IM8" s="536" t="s">
        <v>40</v>
      </c>
      <c r="IN8" s="537"/>
      <c r="IO8" s="536" t="s">
        <v>136</v>
      </c>
      <c r="IP8" s="536" t="s">
        <v>40</v>
      </c>
      <c r="IQ8" s="537"/>
      <c r="IR8" s="536" t="s">
        <v>136</v>
      </c>
      <c r="IS8" s="536" t="s">
        <v>40</v>
      </c>
      <c r="IT8" s="537"/>
      <c r="IU8" s="536" t="s">
        <v>136</v>
      </c>
      <c r="IV8" s="536" t="s">
        <v>40</v>
      </c>
      <c r="IW8" s="537"/>
      <c r="IX8" s="536" t="s">
        <v>136</v>
      </c>
      <c r="IY8" s="536" t="s">
        <v>40</v>
      </c>
      <c r="IZ8" s="537"/>
      <c r="JA8" s="536" t="s">
        <v>136</v>
      </c>
      <c r="JB8" s="536" t="s">
        <v>40</v>
      </c>
      <c r="JC8" s="537"/>
      <c r="JD8" s="536" t="s">
        <v>136</v>
      </c>
      <c r="JE8" s="536" t="s">
        <v>40</v>
      </c>
      <c r="JF8" s="537"/>
      <c r="JG8" s="536" t="s">
        <v>136</v>
      </c>
      <c r="JH8" s="536" t="s">
        <v>40</v>
      </c>
      <c r="JI8" s="537"/>
      <c r="JJ8" s="536" t="s">
        <v>136</v>
      </c>
      <c r="JK8" s="536" t="s">
        <v>40</v>
      </c>
      <c r="JL8" s="537" t="s">
        <v>383</v>
      </c>
      <c r="JM8" s="536" t="s">
        <v>136</v>
      </c>
      <c r="JN8" s="536" t="s">
        <v>40</v>
      </c>
      <c r="JO8" s="537" t="s">
        <v>383</v>
      </c>
      <c r="JP8" s="536" t="s">
        <v>136</v>
      </c>
      <c r="JQ8" s="536" t="s">
        <v>40</v>
      </c>
      <c r="JR8" s="537" t="s">
        <v>383</v>
      </c>
      <c r="JS8" s="536" t="s">
        <v>136</v>
      </c>
      <c r="JT8" s="536" t="s">
        <v>40</v>
      </c>
      <c r="JU8" s="537" t="s">
        <v>383</v>
      </c>
      <c r="JV8" s="536" t="s">
        <v>136</v>
      </c>
      <c r="JW8" s="536" t="s">
        <v>40</v>
      </c>
      <c r="JX8" s="537" t="s">
        <v>383</v>
      </c>
      <c r="JY8" s="536" t="s">
        <v>136</v>
      </c>
      <c r="JZ8" s="536" t="s">
        <v>40</v>
      </c>
      <c r="KA8" s="537" t="s">
        <v>383</v>
      </c>
      <c r="KB8" s="536" t="s">
        <v>136</v>
      </c>
      <c r="KC8" s="536" t="s">
        <v>40</v>
      </c>
      <c r="KD8" s="537" t="s">
        <v>383</v>
      </c>
      <c r="KE8" s="536" t="s">
        <v>136</v>
      </c>
      <c r="KF8" s="536" t="s">
        <v>40</v>
      </c>
      <c r="KG8" s="537" t="s">
        <v>383</v>
      </c>
      <c r="KH8" s="536" t="s">
        <v>136</v>
      </c>
      <c r="KI8" s="536" t="s">
        <v>40</v>
      </c>
      <c r="KJ8" s="537" t="s">
        <v>383</v>
      </c>
      <c r="KK8" s="536" t="s">
        <v>136</v>
      </c>
      <c r="KL8" s="536" t="s">
        <v>40</v>
      </c>
      <c r="KM8" s="537" t="s">
        <v>383</v>
      </c>
      <c r="KN8" s="536" t="s">
        <v>136</v>
      </c>
      <c r="KO8" s="536" t="s">
        <v>40</v>
      </c>
      <c r="KP8" s="537" t="s">
        <v>383</v>
      </c>
      <c r="KQ8" s="536" t="s">
        <v>136</v>
      </c>
      <c r="KR8" s="536" t="s">
        <v>40</v>
      </c>
      <c r="KS8" s="537" t="s">
        <v>383</v>
      </c>
      <c r="KT8" s="695"/>
      <c r="KU8" s="695"/>
    </row>
    <row r="9" spans="1:309">
      <c r="A9" s="262">
        <v>45992</v>
      </c>
      <c r="B9" s="263" t="str">
        <f>+Report1!B9</f>
        <v>Facial</v>
      </c>
      <c r="C9" s="263" t="str">
        <f>+Report1!C9</f>
        <v>14</v>
      </c>
      <c r="D9" s="264">
        <f>+Report1!P9</f>
        <v>24.750999999999998</v>
      </c>
      <c r="E9" s="560">
        <f>+Report1!R9</f>
        <v>23.289000000000001</v>
      </c>
      <c r="F9" s="522"/>
      <c r="G9" s="523">
        <f t="shared" ref="G9:G39" si="0">+F9/$E9</f>
        <v>0</v>
      </c>
      <c r="H9" s="524">
        <f>+F9*$H$8</f>
        <v>0</v>
      </c>
      <c r="I9" s="522">
        <v>162.79026511627899</v>
      </c>
      <c r="J9" s="523">
        <f t="shared" ref="J9:J39" si="1">+I9/$E9</f>
        <v>6.9900066604954691</v>
      </c>
      <c r="K9" s="524">
        <f>+I9*$H$8</f>
        <v>0</v>
      </c>
      <c r="L9" s="522"/>
      <c r="M9" s="523">
        <f t="shared" ref="M9:M39" si="2">+L9/$E9</f>
        <v>0</v>
      </c>
      <c r="N9" s="524">
        <f>+L9*$H$8</f>
        <v>0</v>
      </c>
      <c r="O9" s="522">
        <v>2.9984000000000037</v>
      </c>
      <c r="P9" s="523">
        <f t="shared" ref="P9:P39" si="3">+O9/$E9</f>
        <v>0.12874747734982195</v>
      </c>
      <c r="Q9" s="524">
        <f>+O9*$H$8</f>
        <v>0</v>
      </c>
      <c r="R9" s="522"/>
      <c r="S9" s="523">
        <f t="shared" ref="S9:S39" si="4">+R9/$E9</f>
        <v>0</v>
      </c>
      <c r="T9" s="524">
        <f>+R9*$H$8</f>
        <v>0</v>
      </c>
      <c r="U9" s="522">
        <v>2.5620999999999583</v>
      </c>
      <c r="V9" s="523">
        <f t="shared" ref="V9:V39" si="5">+U9/$E9</f>
        <v>0.11001331100519379</v>
      </c>
      <c r="W9" s="524">
        <f>+U9*$H$8</f>
        <v>0</v>
      </c>
      <c r="X9" s="522"/>
      <c r="Y9" s="523">
        <f t="shared" ref="Y9:Y39" si="6">+X9/$E9</f>
        <v>0</v>
      </c>
      <c r="Z9" s="524">
        <f>+X9*$H$8</f>
        <v>0</v>
      </c>
      <c r="AA9" s="522"/>
      <c r="AB9" s="523">
        <f t="shared" ref="AB9:AB39" si="7">+AA9/$E9</f>
        <v>0</v>
      </c>
      <c r="AC9" s="524">
        <f>+AA9*$H$8</f>
        <v>0</v>
      </c>
      <c r="AD9" s="522"/>
      <c r="AE9" s="523">
        <f t="shared" ref="AE9:AE39" si="8">+AD9/$E9</f>
        <v>0</v>
      </c>
      <c r="AF9" s="524">
        <f>+AD9*$H$8</f>
        <v>0</v>
      </c>
      <c r="AG9" s="522"/>
      <c r="AH9" s="523">
        <f t="shared" ref="AH9:AH39" si="9">+AG9/$E9</f>
        <v>0</v>
      </c>
      <c r="AI9" s="524">
        <f>+AG9*$H$8</f>
        <v>0</v>
      </c>
      <c r="AJ9" s="522"/>
      <c r="AK9" s="523">
        <f t="shared" ref="AK9:AK39" si="10">+AJ9/$E9</f>
        <v>0</v>
      </c>
      <c r="AL9" s="524">
        <f>+AJ9*$H$8</f>
        <v>0</v>
      </c>
      <c r="AM9" s="522"/>
      <c r="AN9" s="523">
        <f t="shared" ref="AN9:AN39" si="11">+AM9/$E9</f>
        <v>0</v>
      </c>
      <c r="AO9" s="524">
        <f>+AM9*$H$8</f>
        <v>0</v>
      </c>
      <c r="AP9" s="522">
        <v>45.565196202531666</v>
      </c>
      <c r="AQ9" s="523">
        <f t="shared" ref="AQ9:AQ39" si="12">+AP9/$E9</f>
        <v>1.9565114948057738</v>
      </c>
      <c r="AR9" s="524">
        <f>+AP9*$H$8</f>
        <v>0</v>
      </c>
      <c r="AS9" s="522"/>
      <c r="AT9" s="523">
        <f t="shared" ref="AT9:AT39" si="13">+AS9/$E9</f>
        <v>0</v>
      </c>
      <c r="AU9" s="524">
        <f>+AS9*$H$8</f>
        <v>0</v>
      </c>
      <c r="AV9" s="522"/>
      <c r="AW9" s="523">
        <f t="shared" ref="AW9:AW39" si="14">+AV9/$E9</f>
        <v>0</v>
      </c>
      <c r="AX9" s="524">
        <f>+AV9*$H$8</f>
        <v>0</v>
      </c>
      <c r="AY9" s="522">
        <v>30.331733333333347</v>
      </c>
      <c r="AZ9" s="523">
        <f t="shared" ref="AZ9:AZ39" si="15">+AY9/$E9</f>
        <v>1.3024059999713746</v>
      </c>
      <c r="BA9" s="524">
        <f>+AY9*$H$8</f>
        <v>0</v>
      </c>
      <c r="BB9" s="522"/>
      <c r="BC9" s="523">
        <f t="shared" ref="BC9:BC39" si="16">+BB9/$E9</f>
        <v>0</v>
      </c>
      <c r="BD9" s="524">
        <f>+BB9*$H$8</f>
        <v>0</v>
      </c>
      <c r="BE9" s="522"/>
      <c r="BF9" s="523">
        <f t="shared" ref="BF9:BF39" si="17">+BE9/$E9</f>
        <v>0</v>
      </c>
      <c r="BG9" s="524">
        <f>+BE9*$H$8</f>
        <v>0</v>
      </c>
      <c r="BH9" s="522"/>
      <c r="BI9" s="523">
        <f t="shared" ref="BI9:BI39" si="18">+BH9/$E9</f>
        <v>0</v>
      </c>
      <c r="BJ9" s="524">
        <f>+BH9*$H$8</f>
        <v>0</v>
      </c>
      <c r="BK9" s="522"/>
      <c r="BL9" s="523">
        <f t="shared" ref="BL9:BL39" si="19">+BK9/$E9</f>
        <v>0</v>
      </c>
      <c r="BM9" s="524">
        <f>+BK9*$H$8</f>
        <v>0</v>
      </c>
      <c r="BN9" s="522"/>
      <c r="BO9" s="523">
        <f t="shared" ref="BO9:BO39" si="20">+BN9/$E9</f>
        <v>0</v>
      </c>
      <c r="BP9" s="524">
        <f>+BN9*$H$8</f>
        <v>0</v>
      </c>
      <c r="BQ9" s="522">
        <v>311.39074734177211</v>
      </c>
      <c r="BR9" s="523">
        <f t="shared" ref="BR9:BR39" si="21">+BQ9/$E9</f>
        <v>13.370722115237756</v>
      </c>
      <c r="BS9" s="524">
        <f>+BQ9*$H$8</f>
        <v>0</v>
      </c>
      <c r="BT9" s="522"/>
      <c r="BU9" s="523">
        <f t="shared" ref="BU9:BU39" si="22">+BT9/$E9</f>
        <v>0</v>
      </c>
      <c r="BV9" s="524">
        <f>+BT9*$H$8</f>
        <v>0</v>
      </c>
      <c r="BW9" s="522"/>
      <c r="BX9" s="523">
        <f t="shared" ref="BX9:BX39" si="23">+BW9/$E9</f>
        <v>0</v>
      </c>
      <c r="BY9" s="524">
        <f>+BW9*$H$8</f>
        <v>0</v>
      </c>
      <c r="BZ9" s="522"/>
      <c r="CA9" s="523">
        <f t="shared" ref="CA9:CA39" si="24">+BZ9/$E9</f>
        <v>0</v>
      </c>
      <c r="CB9" s="524">
        <f>+BZ9*$H$8</f>
        <v>0</v>
      </c>
      <c r="CC9" s="522"/>
      <c r="CD9" s="523">
        <f t="shared" ref="CD9:CD39" si="25">+CC9/$E9</f>
        <v>0</v>
      </c>
      <c r="CE9" s="524">
        <f>+CC9*$H$8</f>
        <v>0</v>
      </c>
      <c r="CF9" s="522">
        <v>0.5</v>
      </c>
      <c r="CG9" s="523">
        <f t="shared" ref="CG9:CG39" si="26">+CF9/$E9</f>
        <v>2.1469363218686931E-2</v>
      </c>
      <c r="CH9" s="524">
        <f>+CF9*$H$8</f>
        <v>0</v>
      </c>
      <c r="CI9" s="522"/>
      <c r="CJ9" s="523">
        <f t="shared" ref="CJ9:CJ39" si="27">+CI9/$E9</f>
        <v>0</v>
      </c>
      <c r="CK9" s="524">
        <f>+CI9*$H$8</f>
        <v>0</v>
      </c>
      <c r="CL9" s="522"/>
      <c r="CM9" s="523">
        <f t="shared" ref="CM9:CM39" si="28">+CL9/$E9</f>
        <v>0</v>
      </c>
      <c r="CN9" s="524">
        <f>+CL9*$H$8</f>
        <v>0</v>
      </c>
      <c r="CO9" s="522"/>
      <c r="CP9" s="523">
        <f t="shared" ref="CP9:CP39" si="29">+CO9/$E9</f>
        <v>0</v>
      </c>
      <c r="CQ9" s="524">
        <f>+CO9*$H$8</f>
        <v>0</v>
      </c>
      <c r="CR9" s="522"/>
      <c r="CS9" s="523">
        <f t="shared" ref="CS9:CS39" si="30">+CR9/$E9</f>
        <v>0</v>
      </c>
      <c r="CT9" s="524">
        <f>+CR9*$H$8</f>
        <v>0</v>
      </c>
      <c r="CU9" s="522"/>
      <c r="CV9" s="523">
        <f t="shared" ref="CV9:CV39" si="31">+CU9/$E9</f>
        <v>0</v>
      </c>
      <c r="CW9" s="524">
        <f>+CU9*$H$8</f>
        <v>0</v>
      </c>
      <c r="CX9" s="522"/>
      <c r="CY9" s="523">
        <f t="shared" ref="CY9:CY39" si="32">+CX9/$E9</f>
        <v>0</v>
      </c>
      <c r="CZ9" s="524">
        <f>+CX9*$H$8</f>
        <v>0</v>
      </c>
      <c r="DA9" s="522"/>
      <c r="DB9" s="523">
        <f t="shared" ref="DB9:DB39" si="33">+DA9/$E9</f>
        <v>0</v>
      </c>
      <c r="DC9" s="524">
        <f>+DA9*$H$8</f>
        <v>0</v>
      </c>
      <c r="DD9" s="522"/>
      <c r="DE9" s="523">
        <f t="shared" ref="DE9:DE39" si="34">+DD9/$E9</f>
        <v>0</v>
      </c>
      <c r="DF9" s="524">
        <f>+DD9*$H$8</f>
        <v>0</v>
      </c>
      <c r="DG9" s="522"/>
      <c r="DH9" s="523">
        <f t="shared" ref="DH9:DH39" si="35">+DG9/$E9</f>
        <v>0</v>
      </c>
      <c r="DI9" s="524">
        <v>0</v>
      </c>
      <c r="DJ9" s="522"/>
      <c r="DK9" s="523">
        <f t="shared" ref="DK9:DK39" si="36">+DJ9/$E9</f>
        <v>0</v>
      </c>
      <c r="DL9" s="524">
        <f>+DJ9*$H$8</f>
        <v>0</v>
      </c>
      <c r="DM9" s="522"/>
      <c r="DN9" s="523">
        <f t="shared" ref="DN9:DN39" si="37">+DM9/$E9</f>
        <v>0</v>
      </c>
      <c r="DO9" s="524">
        <f>+DM9*$H$8</f>
        <v>0</v>
      </c>
      <c r="DP9" s="522"/>
      <c r="DQ9" s="523">
        <f t="shared" ref="DQ9:DQ39" si="38">+DP9/$E9</f>
        <v>0</v>
      </c>
      <c r="DR9" s="524">
        <f>+DP9*$H$8</f>
        <v>0</v>
      </c>
      <c r="DS9" s="522"/>
      <c r="DT9" s="523">
        <f t="shared" ref="DT9:DT39" si="39">+DS9/$E9</f>
        <v>0</v>
      </c>
      <c r="DU9" s="524">
        <f>+DS9*$H$8</f>
        <v>0</v>
      </c>
      <c r="DV9" s="522"/>
      <c r="DW9" s="523">
        <f t="shared" ref="DW9:DW39" si="40">+DV9/$E9</f>
        <v>0</v>
      </c>
      <c r="DX9" s="524">
        <f>+DV9*$H$8</f>
        <v>0</v>
      </c>
      <c r="DY9" s="522"/>
      <c r="DZ9" s="523">
        <f t="shared" ref="DZ9:DZ39" si="41">+DY9/$E9</f>
        <v>0</v>
      </c>
      <c r="EA9" s="524">
        <f>+DY9*$H$8</f>
        <v>0</v>
      </c>
      <c r="EB9" s="522"/>
      <c r="EC9" s="523">
        <f t="shared" ref="EC9:EC39" si="42">+EB9/$E9</f>
        <v>0</v>
      </c>
      <c r="ED9" s="524">
        <f>+EB9*$H$8</f>
        <v>0</v>
      </c>
      <c r="EE9" s="522">
        <v>23.484117647058838</v>
      </c>
      <c r="EF9" s="523">
        <f t="shared" ref="EF9:EF39" si="43">+EE9/$E9</f>
        <v>1.0083781032701635</v>
      </c>
      <c r="EG9" s="524">
        <f>+EE9*$H$8</f>
        <v>0</v>
      </c>
      <c r="EH9" s="522"/>
      <c r="EI9" s="523">
        <f t="shared" ref="EI9:EI39" si="44">+EH9/$E9</f>
        <v>0</v>
      </c>
      <c r="EJ9" s="524">
        <f>+EH9*$H$8</f>
        <v>0</v>
      </c>
      <c r="EK9" s="522"/>
      <c r="EL9" s="523">
        <f t="shared" ref="EL9:EL39" si="45">+EK9/$E9</f>
        <v>0</v>
      </c>
      <c r="EM9" s="524">
        <f>+EK9*$H$8</f>
        <v>0</v>
      </c>
      <c r="EN9" s="522"/>
      <c r="EO9" s="523">
        <f t="shared" ref="EO9:EO39" si="46">+EN9/$E9</f>
        <v>0</v>
      </c>
      <c r="EP9" s="524">
        <f>+EN9*$H$8</f>
        <v>0</v>
      </c>
      <c r="EQ9" s="522"/>
      <c r="ER9" s="523">
        <f t="shared" ref="ER9:ER39" si="47">+EQ9/$E9</f>
        <v>0</v>
      </c>
      <c r="ES9" s="524">
        <f>+EQ9*$H$8</f>
        <v>0</v>
      </c>
      <c r="ET9" s="522"/>
      <c r="EU9" s="523">
        <f t="shared" ref="EU9:EU39" si="48">+ET9/$E9</f>
        <v>0</v>
      </c>
      <c r="EV9" s="524">
        <f>+ET9*$H$8</f>
        <v>0</v>
      </c>
      <c r="EW9" s="522"/>
      <c r="EX9" s="523">
        <f t="shared" ref="EX9:EX39" si="49">+EW9/$E9</f>
        <v>0</v>
      </c>
      <c r="EY9" s="524">
        <f>+EW9*$H$8</f>
        <v>0</v>
      </c>
      <c r="EZ9" s="522"/>
      <c r="FA9" s="523">
        <f t="shared" ref="FA9:FA39" si="50">+EZ9/$E9</f>
        <v>0</v>
      </c>
      <c r="FB9" s="524">
        <f>+EZ9*$H$8</f>
        <v>0</v>
      </c>
      <c r="FC9" s="522"/>
      <c r="FD9" s="523">
        <f t="shared" ref="FD9:FD39" si="51">+FC9/$E9</f>
        <v>0</v>
      </c>
      <c r="FE9" s="524">
        <f>+FC9*$H$8</f>
        <v>0</v>
      </c>
      <c r="FF9" s="522"/>
      <c r="FG9" s="523">
        <f t="shared" ref="FG9:FG39" si="52">+FF9/$E9</f>
        <v>0</v>
      </c>
      <c r="FH9" s="524">
        <f>+FF9*$H$8</f>
        <v>0</v>
      </c>
      <c r="FI9" s="522"/>
      <c r="FJ9" s="523">
        <f t="shared" ref="FJ9:FJ39" si="53">+FI9/$E9</f>
        <v>0</v>
      </c>
      <c r="FK9" s="524">
        <f>+FI9*$H$8</f>
        <v>0</v>
      </c>
      <c r="FL9" s="522"/>
      <c r="FM9" s="523">
        <f t="shared" ref="FM9:FM39" si="54">+FL9/$E9</f>
        <v>0</v>
      </c>
      <c r="FN9" s="524">
        <f>+FL9*$H$8</f>
        <v>0</v>
      </c>
      <c r="FO9" s="522"/>
      <c r="FP9" s="523">
        <f t="shared" ref="FP9:FP39" si="55">+FO9/$E9</f>
        <v>0</v>
      </c>
      <c r="FQ9" s="524">
        <f>+FO9*$H$8</f>
        <v>0</v>
      </c>
      <c r="FR9" s="522"/>
      <c r="FS9" s="523">
        <f t="shared" ref="FS9:FS39" si="56">+FR9/$E9</f>
        <v>0</v>
      </c>
      <c r="FT9" s="524">
        <f>+FR9*$H$8</f>
        <v>0</v>
      </c>
      <c r="FU9" s="522"/>
      <c r="FV9" s="523">
        <f t="shared" ref="FV9:FV39" si="57">+FU9/$E9</f>
        <v>0</v>
      </c>
      <c r="FW9" s="524">
        <f>+FU9*$H$8</f>
        <v>0</v>
      </c>
      <c r="FX9" s="522"/>
      <c r="FY9" s="523">
        <f t="shared" ref="FY9:FY39" si="58">+FX9/$E9</f>
        <v>0</v>
      </c>
      <c r="FZ9" s="524">
        <f>+FX9*$H$8</f>
        <v>0</v>
      </c>
      <c r="GA9" s="522"/>
      <c r="GB9" s="523">
        <f t="shared" ref="GB9:GB39" si="59">+GA9/$E9</f>
        <v>0</v>
      </c>
      <c r="GC9" s="524">
        <f>+GA9*$H$8</f>
        <v>0</v>
      </c>
      <c r="GD9" s="522"/>
      <c r="GE9" s="523">
        <f t="shared" ref="GE9:GE39" si="60">+GD9/$E9</f>
        <v>0</v>
      </c>
      <c r="GF9" s="524">
        <f>+GD9*$H$8</f>
        <v>0</v>
      </c>
      <c r="GG9" s="522"/>
      <c r="GH9" s="523">
        <f t="shared" ref="GH9:GH39" si="61">+GG9/$E9</f>
        <v>0</v>
      </c>
      <c r="GI9" s="524">
        <f>+GG9*$H$8</f>
        <v>0</v>
      </c>
      <c r="GJ9" s="522"/>
      <c r="GK9" s="523">
        <f t="shared" ref="GK9:GK39" si="62">+GJ9/$E9</f>
        <v>0</v>
      </c>
      <c r="GL9" s="524">
        <f>+GJ9*$H$8</f>
        <v>0</v>
      </c>
      <c r="GM9" s="522"/>
      <c r="GN9" s="523">
        <f t="shared" ref="GN9:GN39" si="63">+GM9/$E9</f>
        <v>0</v>
      </c>
      <c r="GO9" s="524">
        <f>+GM9*$H$8</f>
        <v>0</v>
      </c>
      <c r="GP9" s="522"/>
      <c r="GQ9" s="523">
        <f t="shared" ref="GQ9:GQ39" si="64">+GP9/$E9</f>
        <v>0</v>
      </c>
      <c r="GR9" s="524">
        <f>+GP9*$H$8</f>
        <v>0</v>
      </c>
      <c r="GS9" s="522"/>
      <c r="GT9" s="523">
        <f t="shared" ref="GT9:GT39" si="65">+GS9/$E9</f>
        <v>0</v>
      </c>
      <c r="GU9" s="524">
        <f>+GS9*$H$8</f>
        <v>0</v>
      </c>
      <c r="GV9" s="522"/>
      <c r="GW9" s="523">
        <f t="shared" ref="GW9:GW39" si="66">+GV9/$E9</f>
        <v>0</v>
      </c>
      <c r="GX9" s="524">
        <f>+GV9*$H$8</f>
        <v>0</v>
      </c>
      <c r="GY9" s="522"/>
      <c r="GZ9" s="523">
        <f t="shared" ref="GZ9:GZ39" si="67">+GY9/$E9</f>
        <v>0</v>
      </c>
      <c r="HA9" s="524">
        <f>+GY9*$H$8</f>
        <v>0</v>
      </c>
      <c r="HB9" s="522"/>
      <c r="HC9" s="523">
        <f t="shared" ref="HC9:HC39" si="68">+HB9/$E9</f>
        <v>0</v>
      </c>
      <c r="HD9" s="524">
        <f>+HB9*$H$8</f>
        <v>0</v>
      </c>
      <c r="HE9" s="522"/>
      <c r="HF9" s="523">
        <f t="shared" ref="HF9:HF39" si="69">+HE9/$E9</f>
        <v>0</v>
      </c>
      <c r="HG9" s="524">
        <f>+HE9*$H$8</f>
        <v>0</v>
      </c>
      <c r="HH9" s="522"/>
      <c r="HI9" s="523">
        <f t="shared" ref="HI9:HI39" si="70">+HH9/$E9</f>
        <v>0</v>
      </c>
      <c r="HJ9" s="524">
        <f>+HH9*$H$8</f>
        <v>0</v>
      </c>
      <c r="HK9" s="522"/>
      <c r="HL9" s="523">
        <f t="shared" ref="HL9:HL39" si="71">+HK9/$E9</f>
        <v>0</v>
      </c>
      <c r="HM9" s="524">
        <f>+HK9*$H$8</f>
        <v>0</v>
      </c>
      <c r="HN9" s="522"/>
      <c r="HO9" s="523">
        <f t="shared" ref="HO9:HO39" si="72">+HN9/$E9</f>
        <v>0</v>
      </c>
      <c r="HP9" s="524">
        <f>+HN9*$H$8</f>
        <v>0</v>
      </c>
      <c r="HQ9" s="522"/>
      <c r="HR9" s="523">
        <f t="shared" ref="HR9:HR39" si="73">+HQ9/$E9</f>
        <v>0</v>
      </c>
      <c r="HS9" s="524">
        <f>+HQ9*$H$8</f>
        <v>0</v>
      </c>
      <c r="HT9" s="522"/>
      <c r="HU9" s="523">
        <f t="shared" ref="HU9:HU39" si="74">+HT9/$E9</f>
        <v>0</v>
      </c>
      <c r="HV9" s="524">
        <f>+HT9*$H$8</f>
        <v>0</v>
      </c>
      <c r="HW9" s="522"/>
      <c r="HX9" s="523">
        <f t="shared" ref="HX9:HX39" si="75">+HW9/$E9</f>
        <v>0</v>
      </c>
      <c r="HY9" s="524">
        <f>+HW9*$H$8</f>
        <v>0</v>
      </c>
      <c r="HZ9" s="522"/>
      <c r="IA9" s="523">
        <f t="shared" ref="IA9:IA39" si="76">+HZ9/$E9</f>
        <v>0</v>
      </c>
      <c r="IB9" s="524">
        <f>+HZ9*$H$8</f>
        <v>0</v>
      </c>
      <c r="IC9" s="522"/>
      <c r="ID9" s="523">
        <f t="shared" ref="ID9:ID39" si="77">+IC9/$E9</f>
        <v>0</v>
      </c>
      <c r="IE9" s="524">
        <f>+IC9*$H$8</f>
        <v>0</v>
      </c>
      <c r="IF9" s="522"/>
      <c r="IG9" s="523">
        <f t="shared" ref="IG9:IG39" si="78">+IF9/$E9</f>
        <v>0</v>
      </c>
      <c r="IH9" s="524">
        <f>+IF9*$H$8</f>
        <v>0</v>
      </c>
      <c r="II9" s="522"/>
      <c r="IJ9" s="523">
        <f t="shared" ref="IJ9:IJ39" si="79">+II9/$E9</f>
        <v>0</v>
      </c>
      <c r="IK9" s="524">
        <f>+II9*$H$8</f>
        <v>0</v>
      </c>
      <c r="IL9" s="522"/>
      <c r="IM9" s="523">
        <f t="shared" ref="IM9:IM39" si="80">+IL9/$E9</f>
        <v>0</v>
      </c>
      <c r="IN9" s="524">
        <f>+IL9*$H$8</f>
        <v>0</v>
      </c>
      <c r="IO9" s="522"/>
      <c r="IP9" s="523">
        <f t="shared" ref="IP9:IP39" si="81">+IO9/$E9</f>
        <v>0</v>
      </c>
      <c r="IQ9" s="524">
        <f>+IO9*$H$8</f>
        <v>0</v>
      </c>
      <c r="IR9" s="522"/>
      <c r="IS9" s="523">
        <f t="shared" ref="IS9:IS39" si="82">+IR9/$E9</f>
        <v>0</v>
      </c>
      <c r="IT9" s="524">
        <f>+IR9*$H$8</f>
        <v>0</v>
      </c>
      <c r="IU9" s="522"/>
      <c r="IV9" s="523">
        <f t="shared" ref="IV9:IV39" si="83">+IU9/$E9</f>
        <v>0</v>
      </c>
      <c r="IW9" s="524">
        <f>+IU9*$H$8</f>
        <v>0</v>
      </c>
      <c r="IX9" s="522"/>
      <c r="IY9" s="523">
        <f t="shared" ref="IY9:IY39" si="84">+IX9/$E9</f>
        <v>0</v>
      </c>
      <c r="IZ9" s="524">
        <f>+IX9*$H$8</f>
        <v>0</v>
      </c>
      <c r="JA9" s="522"/>
      <c r="JB9" s="523">
        <f t="shared" ref="JB9:JB39" si="85">+JA9/$E9</f>
        <v>0</v>
      </c>
      <c r="JC9" s="524">
        <f>+JA9*$H$8</f>
        <v>0</v>
      </c>
      <c r="JD9" s="522"/>
      <c r="JE9" s="523">
        <f t="shared" ref="JE9:JE39" si="86">+JD9/$E9</f>
        <v>0</v>
      </c>
      <c r="JF9" s="524">
        <f>+JD9*$H$8</f>
        <v>0</v>
      </c>
      <c r="JG9" s="522"/>
      <c r="JH9" s="523">
        <f t="shared" ref="JH9:JH39" si="87">+JG9/$E9</f>
        <v>0</v>
      </c>
      <c r="JI9" s="524">
        <f>+JG9*$H$8</f>
        <v>0</v>
      </c>
      <c r="JJ9" s="522"/>
      <c r="JK9" s="524" t="str">
        <f t="shared" ref="JK9:JK39" si="88">IFERROR((JJ9/$L9),"0")</f>
        <v>0</v>
      </c>
      <c r="JL9" s="524" t="str">
        <f t="shared" ref="JL9:JL39" si="89">IFERROR(((JJ9*JL$8)/$L9),"0")</f>
        <v>0</v>
      </c>
      <c r="JM9" s="522"/>
      <c r="JN9" s="524" t="str">
        <f t="shared" ref="JN9:JN39" si="90">IFERROR((JM9/$L9),"0")</f>
        <v>0</v>
      </c>
      <c r="JO9" s="524" t="str">
        <f t="shared" ref="JO9:JO39" si="91">IFERROR(((JM9*JO$8)/$L9),"0")</f>
        <v>0</v>
      </c>
      <c r="JP9" s="522"/>
      <c r="JQ9" s="524" t="str">
        <f t="shared" ref="JQ9:JQ39" si="92">IFERROR((JP9/$L9),"0")</f>
        <v>0</v>
      </c>
      <c r="JR9" s="524" t="str">
        <f t="shared" ref="JR9:JR39" si="93">IFERROR(((JP9*JR$8)/$L9),"0")</f>
        <v>0</v>
      </c>
      <c r="JS9" s="522"/>
      <c r="JT9" s="524" t="str">
        <f t="shared" ref="JT9:JT39" si="94">IFERROR((JS9/$L9),"0")</f>
        <v>0</v>
      </c>
      <c r="JU9" s="524" t="str">
        <f t="shared" ref="JU9:JU39" si="95">IFERROR(((JS9*JU$8)/$L9),"0")</f>
        <v>0</v>
      </c>
      <c r="JV9" s="522"/>
      <c r="JW9" s="524" t="str">
        <f t="shared" ref="JW9:JW39" si="96">IFERROR((JV9/$L9),"0")</f>
        <v>0</v>
      </c>
      <c r="JX9" s="524" t="str">
        <f t="shared" ref="JX9:JX39" si="97">IFERROR(((JV9*JX$8)/$L9),"0")</f>
        <v>0</v>
      </c>
      <c r="JY9" s="522"/>
      <c r="JZ9" s="524" t="str">
        <f t="shared" ref="JZ9:JZ39" si="98">IFERROR((JY9/$L9),"0")</f>
        <v>0</v>
      </c>
      <c r="KA9" s="524" t="str">
        <f t="shared" ref="KA9:KA39" si="99">IFERROR(((JY9*KA$8)/$L9),"0")</f>
        <v>0</v>
      </c>
      <c r="KB9" s="522"/>
      <c r="KC9" s="524" t="str">
        <f t="shared" ref="KC9:KC39" si="100">IFERROR((KB9/$L9),"0")</f>
        <v>0</v>
      </c>
      <c r="KD9" s="524" t="str">
        <f t="shared" ref="KD9:KD39" si="101">IFERROR(((KB9*KD$8)/$L9),"0")</f>
        <v>0</v>
      </c>
      <c r="KE9" s="522"/>
      <c r="KF9" s="524" t="str">
        <f t="shared" ref="KF9:KF39" si="102">IFERROR((KE9/$L9),"0")</f>
        <v>0</v>
      </c>
      <c r="KG9" s="524" t="str">
        <f t="shared" ref="KG9:KG39" si="103">IFERROR(((KE9*KG$8)/$L9),"0")</f>
        <v>0</v>
      </c>
      <c r="KH9" s="522"/>
      <c r="KI9" s="524" t="str">
        <f t="shared" ref="KI9:KI39" si="104">IFERROR((KH9/$L9),"0")</f>
        <v>0</v>
      </c>
      <c r="KJ9" s="524" t="str">
        <f t="shared" ref="KJ9:KJ39" si="105">IFERROR(((KH9*KJ$8)/$L9),"0")</f>
        <v>0</v>
      </c>
      <c r="KK9" s="522"/>
      <c r="KL9" s="524" t="str">
        <f t="shared" ref="KL9:KL39" si="106">IFERROR((KK9/$L9),"0")</f>
        <v>0</v>
      </c>
      <c r="KM9" s="524" t="str">
        <f t="shared" ref="KM9:KM39" si="107">IFERROR(((KK9*KM$8)/$L9),"0")</f>
        <v>0</v>
      </c>
      <c r="KN9" s="522"/>
      <c r="KO9" s="524" t="str">
        <f t="shared" ref="KO9:KO39" si="108">IFERROR((KN9/$L9),"0")</f>
        <v>0</v>
      </c>
      <c r="KP9" s="524" t="str">
        <f t="shared" ref="KP9:KP39" si="109">IFERROR(((KN9*KP$8)/$L9),"0")</f>
        <v>0</v>
      </c>
      <c r="KQ9" s="522"/>
      <c r="KR9" s="524" t="str">
        <f t="shared" ref="KR9:KR39" si="110">IFERROR((KQ9/$L9),"0")</f>
        <v>0</v>
      </c>
      <c r="KS9" s="524" t="str">
        <f t="shared" ref="KS9:KS39" si="111">IFERROR(((KQ9*KS$8)/$L9),"0")</f>
        <v>0</v>
      </c>
      <c r="KT9" s="524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24">
        <f>GF9+GI9+GL9+GO9+GR9+GU9+GX9+HA9+HD9+HG9+HJ9+HM9+HP9+HS9+HV9+HY9+IB9+IE9+IH9+IK9+IN9+IQ9+IT9+IW9+IZ9+JC9+JF9+JI9+JL9+JO9+JR9+JU9+JX9++KA9+KD9+KG9+KJ9++KM9+KP9+KS9</f>
        <v>0</v>
      </c>
      <c r="KV9" s="261">
        <f t="shared" ref="KV9:KV15" si="112">+F9+I9+L9+O9+R9+U9+X9+AA9+AD9+AG9+AJ9+AM9+AP9+AS9+AV9+AY9+BB9+BE9+BH9+BK9+BN9+BQ9+BT9+BW9+BZ9+CC9+CF9+CI9+CL9+CO9+CR9+CU9+CX9+DA9+DD9+DJ9+DM9+DP9+DS9+DV9+DY9+EB9+GG9+GJ9+GM9+GP9+GS9+HN9+II9+IR9+GV9+IU9++HT9+HW9+HZ9+IC9+JA9+JJ9+JM9+HB9+EE9+GD9+EH9</f>
        <v>579.62255964097494</v>
      </c>
    </row>
    <row r="10" spans="1:309">
      <c r="A10" s="262">
        <f>+A9+1</f>
        <v>45993</v>
      </c>
      <c r="B10" s="263" t="str">
        <f>+Report1!B10</f>
        <v>Facial</v>
      </c>
      <c r="C10" s="263" t="str">
        <f>+Report1!C10</f>
        <v>14/15</v>
      </c>
      <c r="D10" s="264">
        <f>+Report1!P10</f>
        <v>44.296999999999997</v>
      </c>
      <c r="E10" s="560">
        <f>+Report1!R10</f>
        <v>42.353000000000002</v>
      </c>
      <c r="F10" s="522"/>
      <c r="G10" s="523">
        <f t="shared" si="0"/>
        <v>0</v>
      </c>
      <c r="H10" s="524">
        <f t="shared" ref="H10:H39" si="113">+F10*$H$8</f>
        <v>0</v>
      </c>
      <c r="I10" s="522">
        <v>209.30232558139551</v>
      </c>
      <c r="J10" s="523">
        <f t="shared" si="1"/>
        <v>4.9418536014307248</v>
      </c>
      <c r="K10" s="524">
        <f t="shared" ref="K10:K39" si="114">+I10*$H$8</f>
        <v>0</v>
      </c>
      <c r="L10" s="522"/>
      <c r="M10" s="523">
        <f t="shared" si="2"/>
        <v>0</v>
      </c>
      <c r="N10" s="524">
        <f t="shared" ref="N10:N39" si="115">+L10*$H$8</f>
        <v>0</v>
      </c>
      <c r="O10" s="522">
        <v>3</v>
      </c>
      <c r="P10" s="523">
        <f t="shared" si="3"/>
        <v>7.0833234953840335E-2</v>
      </c>
      <c r="Q10" s="524">
        <f t="shared" ref="Q10:Q39" si="116">+O10*$H$8</f>
        <v>0</v>
      </c>
      <c r="R10" s="522"/>
      <c r="S10" s="523">
        <f t="shared" si="4"/>
        <v>0</v>
      </c>
      <c r="T10" s="524">
        <f t="shared" ref="T10:T39" si="117">+R10*$H$8</f>
        <v>0</v>
      </c>
      <c r="U10" s="522">
        <v>2.5625000000000284</v>
      </c>
      <c r="V10" s="523">
        <f t="shared" si="5"/>
        <v>6.0503388189739292E-2</v>
      </c>
      <c r="W10" s="524">
        <f t="shared" ref="W10:W39" si="118">+U10*$H$8</f>
        <v>0</v>
      </c>
      <c r="X10" s="522"/>
      <c r="Y10" s="523">
        <f t="shared" si="6"/>
        <v>0</v>
      </c>
      <c r="Z10" s="524">
        <f t="shared" ref="Z10:Z39" si="119">+X10*$H$8</f>
        <v>0</v>
      </c>
      <c r="AA10" s="522"/>
      <c r="AB10" s="523">
        <f t="shared" si="7"/>
        <v>0</v>
      </c>
      <c r="AC10" s="524">
        <f t="shared" ref="AC10:AC39" si="120">+AA10*$H$8</f>
        <v>0</v>
      </c>
      <c r="AD10" s="522"/>
      <c r="AE10" s="523">
        <f t="shared" si="8"/>
        <v>0</v>
      </c>
      <c r="AF10" s="524">
        <f t="shared" ref="AF10:AF39" si="121">+AD10*$H$8</f>
        <v>0</v>
      </c>
      <c r="AG10" s="522"/>
      <c r="AH10" s="523">
        <f t="shared" si="9"/>
        <v>0</v>
      </c>
      <c r="AI10" s="524">
        <f t="shared" ref="AI10:AI39" si="122">+AG10*$H$8</f>
        <v>0</v>
      </c>
      <c r="AJ10" s="522"/>
      <c r="AK10" s="523">
        <f t="shared" si="10"/>
        <v>0</v>
      </c>
      <c r="AL10" s="524">
        <f t="shared" ref="AL10:AL39" si="123">+AJ10*$H$8</f>
        <v>0</v>
      </c>
      <c r="AM10" s="522"/>
      <c r="AN10" s="523">
        <f t="shared" si="11"/>
        <v>0</v>
      </c>
      <c r="AO10" s="524">
        <f t="shared" ref="AO10:AO39" si="124">+AM10*$H$8</f>
        <v>0</v>
      </c>
      <c r="AP10" s="522">
        <v>42.721518987341796</v>
      </c>
      <c r="AQ10" s="523">
        <f t="shared" si="12"/>
        <v>1.0087011306717775</v>
      </c>
      <c r="AR10" s="524">
        <f t="shared" ref="AR10:AR39" si="125">+AP10*$H$8</f>
        <v>0</v>
      </c>
      <c r="AS10" s="522"/>
      <c r="AT10" s="523">
        <f t="shared" si="13"/>
        <v>0</v>
      </c>
      <c r="AU10" s="524">
        <f t="shared" ref="AU10:AU39" si="126">+AS10*$H$8</f>
        <v>0</v>
      </c>
      <c r="AV10" s="522"/>
      <c r="AW10" s="523">
        <f t="shared" si="14"/>
        <v>0</v>
      </c>
      <c r="AX10" s="524">
        <f t="shared" ref="AX10:AX39" si="127">+AV10*$H$8</f>
        <v>0</v>
      </c>
      <c r="AY10" s="522">
        <v>46.666666666666686</v>
      </c>
      <c r="AZ10" s="523">
        <f t="shared" si="15"/>
        <v>1.1018503215041835</v>
      </c>
      <c r="BA10" s="524">
        <f t="shared" ref="BA10:BA39" si="128">+AY10*$H$8</f>
        <v>0</v>
      </c>
      <c r="BB10" s="522"/>
      <c r="BC10" s="523">
        <f t="shared" si="16"/>
        <v>0</v>
      </c>
      <c r="BD10" s="524">
        <f t="shared" ref="BD10:BD39" si="129">+BB10*$H$8</f>
        <v>0</v>
      </c>
      <c r="BE10" s="522"/>
      <c r="BF10" s="523">
        <f t="shared" si="17"/>
        <v>0</v>
      </c>
      <c r="BG10" s="524">
        <f t="shared" ref="BG10:BG39" si="130">+BE10*$H$8</f>
        <v>0</v>
      </c>
      <c r="BH10" s="522"/>
      <c r="BI10" s="523">
        <f t="shared" si="18"/>
        <v>0</v>
      </c>
      <c r="BJ10" s="524">
        <f t="shared" ref="BJ10:BJ39" si="131">+BH10*$H$8</f>
        <v>0</v>
      </c>
      <c r="BK10" s="522"/>
      <c r="BL10" s="523">
        <f t="shared" si="19"/>
        <v>0</v>
      </c>
      <c r="BM10" s="524">
        <f t="shared" ref="BM10:BM39" si="132">+BK10*$H$8</f>
        <v>0</v>
      </c>
      <c r="BN10" s="522"/>
      <c r="BO10" s="523">
        <f t="shared" si="20"/>
        <v>0</v>
      </c>
      <c r="BP10" s="524">
        <f t="shared" ref="BP10:BP39" si="133">+BN10*$H$8</f>
        <v>0</v>
      </c>
      <c r="BQ10" s="522">
        <v>273.41772151898732</v>
      </c>
      <c r="BR10" s="523">
        <f t="shared" si="21"/>
        <v>6.4556872362993722</v>
      </c>
      <c r="BS10" s="524">
        <f t="shared" ref="BS10:BS39" si="134">+BQ10*$H$8</f>
        <v>0</v>
      </c>
      <c r="BT10" s="522"/>
      <c r="BU10" s="523">
        <f t="shared" si="22"/>
        <v>0</v>
      </c>
      <c r="BV10" s="524">
        <f t="shared" ref="BV10:BV39" si="135">+BT10*$H$8</f>
        <v>0</v>
      </c>
      <c r="BW10" s="522"/>
      <c r="BX10" s="523">
        <f t="shared" si="23"/>
        <v>0</v>
      </c>
      <c r="BY10" s="524">
        <f t="shared" ref="BY10:BY39" si="136">+BW10*$H$8</f>
        <v>0</v>
      </c>
      <c r="BZ10" s="522"/>
      <c r="CA10" s="523">
        <f t="shared" si="24"/>
        <v>0</v>
      </c>
      <c r="CB10" s="524">
        <f t="shared" ref="CB10:CB39" si="137">+BZ10*$H$8</f>
        <v>0</v>
      </c>
      <c r="CC10" s="522"/>
      <c r="CD10" s="523">
        <f t="shared" si="25"/>
        <v>0</v>
      </c>
      <c r="CE10" s="524">
        <f t="shared" ref="CE10:CE39" si="138">+CC10*$H$8</f>
        <v>0</v>
      </c>
      <c r="CF10" s="522">
        <v>1.5</v>
      </c>
      <c r="CG10" s="523">
        <f t="shared" si="26"/>
        <v>3.5416617476920167E-2</v>
      </c>
      <c r="CH10" s="524">
        <f t="shared" ref="CH10:CH39" si="139">+CF10*$H$8</f>
        <v>0</v>
      </c>
      <c r="CI10" s="522"/>
      <c r="CJ10" s="523">
        <f t="shared" si="27"/>
        <v>0</v>
      </c>
      <c r="CK10" s="524">
        <f t="shared" ref="CK10:CK39" si="140">+CI10*$H$8</f>
        <v>0</v>
      </c>
      <c r="CL10" s="522"/>
      <c r="CM10" s="523">
        <f t="shared" si="28"/>
        <v>0</v>
      </c>
      <c r="CN10" s="524">
        <f t="shared" ref="CN10:CN39" si="141">+CL10*$H$8</f>
        <v>0</v>
      </c>
      <c r="CO10" s="522"/>
      <c r="CP10" s="523">
        <f t="shared" si="29"/>
        <v>0</v>
      </c>
      <c r="CQ10" s="524">
        <f t="shared" ref="CQ10:CQ39" si="142">+CO10*$H$8</f>
        <v>0</v>
      </c>
      <c r="CR10" s="522"/>
      <c r="CS10" s="523">
        <f t="shared" si="30"/>
        <v>0</v>
      </c>
      <c r="CT10" s="524">
        <f t="shared" ref="CT10:CT39" si="143">+CR10*$H$8</f>
        <v>0</v>
      </c>
      <c r="CU10" s="522"/>
      <c r="CV10" s="523">
        <f t="shared" si="31"/>
        <v>0</v>
      </c>
      <c r="CW10" s="524">
        <f t="shared" ref="CW10:CW39" si="144">+CU10*$H$8</f>
        <v>0</v>
      </c>
      <c r="CX10" s="522"/>
      <c r="CY10" s="523">
        <f t="shared" si="32"/>
        <v>0</v>
      </c>
      <c r="CZ10" s="524">
        <f t="shared" ref="CZ10:CZ39" si="145">+CX10*$H$8</f>
        <v>0</v>
      </c>
      <c r="DA10" s="522"/>
      <c r="DB10" s="523">
        <f t="shared" si="33"/>
        <v>0</v>
      </c>
      <c r="DC10" s="524">
        <f t="shared" ref="DC10:DC39" si="146">+DA10*$H$8</f>
        <v>0</v>
      </c>
      <c r="DD10" s="522"/>
      <c r="DE10" s="523">
        <f t="shared" si="34"/>
        <v>0</v>
      </c>
      <c r="DF10" s="524">
        <f t="shared" ref="DF10:DF39" si="147">+DD10*$H$8</f>
        <v>0</v>
      </c>
      <c r="DG10" s="522"/>
      <c r="DH10" s="523">
        <f t="shared" si="35"/>
        <v>0</v>
      </c>
      <c r="DI10" s="524">
        <v>0</v>
      </c>
      <c r="DJ10" s="522"/>
      <c r="DK10" s="523">
        <f t="shared" si="36"/>
        <v>0</v>
      </c>
      <c r="DL10" s="524">
        <f t="shared" ref="DL10:DL39" si="148">+DJ10*$H$8</f>
        <v>0</v>
      </c>
      <c r="DM10" s="522"/>
      <c r="DN10" s="523">
        <f t="shared" si="37"/>
        <v>0</v>
      </c>
      <c r="DO10" s="524">
        <f t="shared" ref="DO10:DO39" si="149">+DM10*$H$8</f>
        <v>0</v>
      </c>
      <c r="DP10" s="522"/>
      <c r="DQ10" s="523">
        <f t="shared" si="38"/>
        <v>0</v>
      </c>
      <c r="DR10" s="524">
        <f t="shared" ref="DR10:DR39" si="150">+DP10*$H$8</f>
        <v>0</v>
      </c>
      <c r="DS10" s="522"/>
      <c r="DT10" s="523">
        <f t="shared" si="39"/>
        <v>0</v>
      </c>
      <c r="DU10" s="524">
        <f t="shared" ref="DU10:DU39" si="151">+DS10*$H$8</f>
        <v>0</v>
      </c>
      <c r="DV10" s="522"/>
      <c r="DW10" s="523">
        <f t="shared" si="40"/>
        <v>0</v>
      </c>
      <c r="DX10" s="524">
        <f t="shared" ref="DX10:DX39" si="152">+DV10*$H$8</f>
        <v>0</v>
      </c>
      <c r="DY10" s="522"/>
      <c r="DZ10" s="523">
        <f t="shared" si="41"/>
        <v>0</v>
      </c>
      <c r="EA10" s="524">
        <f t="shared" ref="EA10:EA39" si="153">+DY10*$H$8</f>
        <v>0</v>
      </c>
      <c r="EB10" s="522"/>
      <c r="EC10" s="523">
        <f t="shared" si="42"/>
        <v>0</v>
      </c>
      <c r="ED10" s="524">
        <f t="shared" ref="ED10:ED39" si="154">+EB10*$H$8</f>
        <v>0</v>
      </c>
      <c r="EE10" s="522">
        <v>70.447058823529687</v>
      </c>
      <c r="EF10" s="523">
        <f t="shared" si="43"/>
        <v>1.6633310231513632</v>
      </c>
      <c r="EG10" s="524">
        <f t="shared" ref="EG10:EG39" si="155">+EE10*$H$8</f>
        <v>0</v>
      </c>
      <c r="EH10" s="522"/>
      <c r="EI10" s="523">
        <f t="shared" si="44"/>
        <v>0</v>
      </c>
      <c r="EJ10" s="524">
        <f t="shared" ref="EJ10:EJ39" si="156">+EH10*$H$8</f>
        <v>0</v>
      </c>
      <c r="EK10" s="522"/>
      <c r="EL10" s="523">
        <f t="shared" si="45"/>
        <v>0</v>
      </c>
      <c r="EM10" s="524">
        <f t="shared" ref="EM10:EM39" si="157">+EK10*$H$8</f>
        <v>0</v>
      </c>
      <c r="EN10" s="522"/>
      <c r="EO10" s="523">
        <f t="shared" si="46"/>
        <v>0</v>
      </c>
      <c r="EP10" s="524">
        <f t="shared" ref="EP10:EP39" si="158">+EN10*$H$8</f>
        <v>0</v>
      </c>
      <c r="EQ10" s="522"/>
      <c r="ER10" s="523">
        <f t="shared" si="47"/>
        <v>0</v>
      </c>
      <c r="ES10" s="524">
        <f t="shared" ref="ES10:ES39" si="159">+EQ10*$H$8</f>
        <v>0</v>
      </c>
      <c r="ET10" s="522"/>
      <c r="EU10" s="523">
        <f t="shared" si="48"/>
        <v>0</v>
      </c>
      <c r="EV10" s="524">
        <f t="shared" ref="EV10:EV39" si="160">+ET10*$H$8</f>
        <v>0</v>
      </c>
      <c r="EW10" s="522"/>
      <c r="EX10" s="523">
        <f t="shared" si="49"/>
        <v>0</v>
      </c>
      <c r="EY10" s="524">
        <f t="shared" ref="EY10:EY39" si="161">+EW10*$H$8</f>
        <v>0</v>
      </c>
      <c r="EZ10" s="522"/>
      <c r="FA10" s="523">
        <f t="shared" si="50"/>
        <v>0</v>
      </c>
      <c r="FB10" s="524">
        <f t="shared" ref="FB10:FB39" si="162">+EZ10*$H$8</f>
        <v>0</v>
      </c>
      <c r="FC10" s="522"/>
      <c r="FD10" s="523">
        <f t="shared" si="51"/>
        <v>0</v>
      </c>
      <c r="FE10" s="524">
        <f t="shared" ref="FE10:FE39" si="163">+FC10*$H$8</f>
        <v>0</v>
      </c>
      <c r="FF10" s="522"/>
      <c r="FG10" s="523">
        <f t="shared" si="52"/>
        <v>0</v>
      </c>
      <c r="FH10" s="524">
        <f t="shared" ref="FH10:FH39" si="164">+FF10*$H$8</f>
        <v>0</v>
      </c>
      <c r="FI10" s="522"/>
      <c r="FJ10" s="523">
        <f t="shared" si="53"/>
        <v>0</v>
      </c>
      <c r="FK10" s="524">
        <f t="shared" ref="FK10:FK39" si="165">+FI10*$H$8</f>
        <v>0</v>
      </c>
      <c r="FL10" s="522"/>
      <c r="FM10" s="523">
        <f t="shared" si="54"/>
        <v>0</v>
      </c>
      <c r="FN10" s="524">
        <f t="shared" ref="FN10:FN39" si="166">+FL10*$H$8</f>
        <v>0</v>
      </c>
      <c r="FO10" s="522"/>
      <c r="FP10" s="523">
        <f t="shared" si="55"/>
        <v>0</v>
      </c>
      <c r="FQ10" s="524">
        <f t="shared" ref="FQ10:FQ39" si="167">+FO10*$H$8</f>
        <v>0</v>
      </c>
      <c r="FR10" s="522"/>
      <c r="FS10" s="523">
        <f t="shared" si="56"/>
        <v>0</v>
      </c>
      <c r="FT10" s="524">
        <f t="shared" ref="FT10:FT39" si="168">+FR10*$H$8</f>
        <v>0</v>
      </c>
      <c r="FU10" s="522"/>
      <c r="FV10" s="523">
        <f t="shared" si="57"/>
        <v>0</v>
      </c>
      <c r="FW10" s="524">
        <f t="shared" ref="FW10:FW39" si="169">+FU10*$H$8</f>
        <v>0</v>
      </c>
      <c r="FX10" s="522"/>
      <c r="FY10" s="523">
        <f t="shared" si="58"/>
        <v>0</v>
      </c>
      <c r="FZ10" s="524">
        <f t="shared" ref="FZ10:FZ39" si="170">+FX10*$H$8</f>
        <v>0</v>
      </c>
      <c r="GA10" s="522"/>
      <c r="GB10" s="523">
        <f t="shared" si="59"/>
        <v>0</v>
      </c>
      <c r="GC10" s="524">
        <f t="shared" ref="GC10:GC39" si="171">+GA10*$H$8</f>
        <v>0</v>
      </c>
      <c r="GD10" s="522"/>
      <c r="GE10" s="523">
        <f t="shared" si="60"/>
        <v>0</v>
      </c>
      <c r="GF10" s="524">
        <f t="shared" ref="GF10:GF39" si="172">+GD10*$H$8</f>
        <v>0</v>
      </c>
      <c r="GG10" s="522"/>
      <c r="GH10" s="523">
        <f t="shared" si="61"/>
        <v>0</v>
      </c>
      <c r="GI10" s="524">
        <f t="shared" ref="GI10:GI39" si="173">+GG10*$H$8</f>
        <v>0</v>
      </c>
      <c r="GJ10" s="522"/>
      <c r="GK10" s="523">
        <f t="shared" si="62"/>
        <v>0</v>
      </c>
      <c r="GL10" s="524">
        <f t="shared" ref="GL10:GL39" si="174">+GJ10*$H$8</f>
        <v>0</v>
      </c>
      <c r="GM10" s="522"/>
      <c r="GN10" s="523">
        <f t="shared" si="63"/>
        <v>0</v>
      </c>
      <c r="GO10" s="524">
        <f t="shared" ref="GO10:GO39" si="175">+GM10*$H$8</f>
        <v>0</v>
      </c>
      <c r="GP10" s="522"/>
      <c r="GQ10" s="523">
        <f t="shared" si="64"/>
        <v>0</v>
      </c>
      <c r="GR10" s="524">
        <f t="shared" ref="GR10:GR39" si="176">+GP10*$H$8</f>
        <v>0</v>
      </c>
      <c r="GS10" s="522"/>
      <c r="GT10" s="523">
        <f t="shared" si="65"/>
        <v>0</v>
      </c>
      <c r="GU10" s="524">
        <f t="shared" ref="GU10:GU39" si="177">+GS10*$H$8</f>
        <v>0</v>
      </c>
      <c r="GV10" s="522"/>
      <c r="GW10" s="523">
        <f t="shared" si="66"/>
        <v>0</v>
      </c>
      <c r="GX10" s="524">
        <f t="shared" ref="GX10:GX39" si="178">+GV10*$H$8</f>
        <v>0</v>
      </c>
      <c r="GY10" s="522"/>
      <c r="GZ10" s="523">
        <f t="shared" si="67"/>
        <v>0</v>
      </c>
      <c r="HA10" s="524">
        <f t="shared" ref="HA10:HA39" si="179">+GY10*$H$8</f>
        <v>0</v>
      </c>
      <c r="HB10" s="522"/>
      <c r="HC10" s="523">
        <f t="shared" si="68"/>
        <v>0</v>
      </c>
      <c r="HD10" s="524">
        <f t="shared" ref="HD10:HD39" si="180">+HB10*$H$8</f>
        <v>0</v>
      </c>
      <c r="HE10" s="522"/>
      <c r="HF10" s="523">
        <f t="shared" si="69"/>
        <v>0</v>
      </c>
      <c r="HG10" s="524">
        <f t="shared" ref="HG10:HG39" si="181">+HE10*$H$8</f>
        <v>0</v>
      </c>
      <c r="HH10" s="522"/>
      <c r="HI10" s="523">
        <f t="shared" si="70"/>
        <v>0</v>
      </c>
      <c r="HJ10" s="524">
        <f t="shared" ref="HJ10:HJ39" si="182">+HH10*$H$8</f>
        <v>0</v>
      </c>
      <c r="HK10" s="522"/>
      <c r="HL10" s="523">
        <f t="shared" si="71"/>
        <v>0</v>
      </c>
      <c r="HM10" s="524">
        <f t="shared" ref="HM10:HM39" si="183">+HK10*$H$8</f>
        <v>0</v>
      </c>
      <c r="HN10" s="522"/>
      <c r="HO10" s="523">
        <f t="shared" si="72"/>
        <v>0</v>
      </c>
      <c r="HP10" s="524">
        <f t="shared" ref="HP10:HP39" si="184">+HN10*$H$8</f>
        <v>0</v>
      </c>
      <c r="HQ10" s="522"/>
      <c r="HR10" s="523">
        <f t="shared" si="73"/>
        <v>0</v>
      </c>
      <c r="HS10" s="524">
        <f t="shared" ref="HS10:HS39" si="185">+HQ10*$H$8</f>
        <v>0</v>
      </c>
      <c r="HT10" s="522"/>
      <c r="HU10" s="523">
        <f t="shared" si="74"/>
        <v>0</v>
      </c>
      <c r="HV10" s="524">
        <f t="shared" ref="HV10:HV39" si="186">+HT10*$H$8</f>
        <v>0</v>
      </c>
      <c r="HW10" s="522"/>
      <c r="HX10" s="523">
        <f t="shared" si="75"/>
        <v>0</v>
      </c>
      <c r="HY10" s="524">
        <f t="shared" ref="HY10:HY39" si="187">+HW10*$H$8</f>
        <v>0</v>
      </c>
      <c r="HZ10" s="522"/>
      <c r="IA10" s="523">
        <f t="shared" si="76"/>
        <v>0</v>
      </c>
      <c r="IB10" s="524">
        <f t="shared" ref="IB10:IB39" si="188">+HZ10*$H$8</f>
        <v>0</v>
      </c>
      <c r="IC10" s="522"/>
      <c r="ID10" s="523">
        <f t="shared" si="77"/>
        <v>0</v>
      </c>
      <c r="IE10" s="524">
        <f t="shared" ref="IE10:IE39" si="189">+IC10*$H$8</f>
        <v>0</v>
      </c>
      <c r="IF10" s="522"/>
      <c r="IG10" s="523">
        <f t="shared" si="78"/>
        <v>0</v>
      </c>
      <c r="IH10" s="524">
        <f t="shared" ref="IH10:IH39" si="190">+IF10*$H$8</f>
        <v>0</v>
      </c>
      <c r="II10" s="522"/>
      <c r="IJ10" s="523">
        <f t="shared" si="79"/>
        <v>0</v>
      </c>
      <c r="IK10" s="524">
        <f t="shared" ref="IK10:IK39" si="191">+II10*$H$8</f>
        <v>0</v>
      </c>
      <c r="IL10" s="522"/>
      <c r="IM10" s="523">
        <f t="shared" si="80"/>
        <v>0</v>
      </c>
      <c r="IN10" s="524">
        <f t="shared" ref="IN10:IN39" si="192">+IL10*$H$8</f>
        <v>0</v>
      </c>
      <c r="IO10" s="522"/>
      <c r="IP10" s="523">
        <f t="shared" si="81"/>
        <v>0</v>
      </c>
      <c r="IQ10" s="524">
        <f t="shared" ref="IQ10:IQ39" si="193">+IO10*$H$8</f>
        <v>0</v>
      </c>
      <c r="IR10" s="522"/>
      <c r="IS10" s="523">
        <f t="shared" si="82"/>
        <v>0</v>
      </c>
      <c r="IT10" s="524">
        <f t="shared" ref="IT10:IT39" si="194">+IR10*$H$8</f>
        <v>0</v>
      </c>
      <c r="IU10" s="522"/>
      <c r="IV10" s="523">
        <f t="shared" si="83"/>
        <v>0</v>
      </c>
      <c r="IW10" s="524">
        <f t="shared" ref="IW10:IW39" si="195">+IU10*$H$8</f>
        <v>0</v>
      </c>
      <c r="IX10" s="522"/>
      <c r="IY10" s="523">
        <f t="shared" si="84"/>
        <v>0</v>
      </c>
      <c r="IZ10" s="524">
        <f t="shared" ref="IZ10:IZ39" si="196">+IX10*$H$8</f>
        <v>0</v>
      </c>
      <c r="JA10" s="522"/>
      <c r="JB10" s="523">
        <f t="shared" si="85"/>
        <v>0</v>
      </c>
      <c r="JC10" s="524">
        <f t="shared" ref="JC10:JC39" si="197">+JA10*$H$8</f>
        <v>0</v>
      </c>
      <c r="JD10" s="522"/>
      <c r="JE10" s="523">
        <f t="shared" si="86"/>
        <v>0</v>
      </c>
      <c r="JF10" s="524">
        <f t="shared" ref="JF10:JF39" si="198">+JD10*$H$8</f>
        <v>0</v>
      </c>
      <c r="JG10" s="522"/>
      <c r="JH10" s="523">
        <f t="shared" si="87"/>
        <v>0</v>
      </c>
      <c r="JI10" s="524">
        <f t="shared" ref="JI10:JI39" si="199">+JG10*$H$8</f>
        <v>0</v>
      </c>
      <c r="JJ10" s="522"/>
      <c r="JK10" s="524" t="str">
        <f t="shared" si="88"/>
        <v>0</v>
      </c>
      <c r="JL10" s="524" t="str">
        <f t="shared" si="89"/>
        <v>0</v>
      </c>
      <c r="JM10" s="522"/>
      <c r="JN10" s="524" t="str">
        <f t="shared" si="90"/>
        <v>0</v>
      </c>
      <c r="JO10" s="524" t="str">
        <f t="shared" si="91"/>
        <v>0</v>
      </c>
      <c r="JP10" s="522"/>
      <c r="JQ10" s="524" t="str">
        <f t="shared" si="92"/>
        <v>0</v>
      </c>
      <c r="JR10" s="524" t="str">
        <f t="shared" si="93"/>
        <v>0</v>
      </c>
      <c r="JS10" s="522"/>
      <c r="JT10" s="524" t="str">
        <f t="shared" si="94"/>
        <v>0</v>
      </c>
      <c r="JU10" s="524" t="str">
        <f t="shared" si="95"/>
        <v>0</v>
      </c>
      <c r="JV10" s="522"/>
      <c r="JW10" s="524" t="str">
        <f t="shared" si="96"/>
        <v>0</v>
      </c>
      <c r="JX10" s="524" t="str">
        <f t="shared" si="97"/>
        <v>0</v>
      </c>
      <c r="JY10" s="522"/>
      <c r="JZ10" s="524" t="str">
        <f t="shared" si="98"/>
        <v>0</v>
      </c>
      <c r="KA10" s="524" t="str">
        <f t="shared" si="99"/>
        <v>0</v>
      </c>
      <c r="KB10" s="522"/>
      <c r="KC10" s="524" t="str">
        <f t="shared" si="100"/>
        <v>0</v>
      </c>
      <c r="KD10" s="524" t="str">
        <f t="shared" si="101"/>
        <v>0</v>
      </c>
      <c r="KE10" s="522"/>
      <c r="KF10" s="524" t="str">
        <f t="shared" si="102"/>
        <v>0</v>
      </c>
      <c r="KG10" s="524" t="str">
        <f t="shared" si="103"/>
        <v>0</v>
      </c>
      <c r="KH10" s="522"/>
      <c r="KI10" s="524" t="str">
        <f t="shared" si="104"/>
        <v>0</v>
      </c>
      <c r="KJ10" s="524" t="str">
        <f t="shared" si="105"/>
        <v>0</v>
      </c>
      <c r="KK10" s="522"/>
      <c r="KL10" s="524" t="str">
        <f t="shared" si="106"/>
        <v>0</v>
      </c>
      <c r="KM10" s="524" t="str">
        <f t="shared" si="107"/>
        <v>0</v>
      </c>
      <c r="KN10" s="522"/>
      <c r="KO10" s="524" t="str">
        <f t="shared" si="108"/>
        <v>0</v>
      </c>
      <c r="KP10" s="524" t="str">
        <f t="shared" si="109"/>
        <v>0</v>
      </c>
      <c r="KQ10" s="522"/>
      <c r="KR10" s="524" t="str">
        <f t="shared" si="110"/>
        <v>0</v>
      </c>
      <c r="KS10" s="524" t="str">
        <f t="shared" si="111"/>
        <v>0</v>
      </c>
      <c r="KT10" s="524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24">
        <f>GF10+GI10+GL10+GO10+GR10+GU10+GX10+HA10+HD10+HG10+HJ10+HM10+HP10+HS10+HV10+HY10+IB10+IE10+IH10+IK10+IN10+IQ10+IT10+IW10+IZ10+JC10+JF10+JI10+JL10+JO10+JR10+JU10+JX10++KA10+KD10+KG10+KJ10++KM10+KP10+KS10</f>
        <v>0</v>
      </c>
      <c r="KV10" s="261">
        <f t="shared" si="112"/>
        <v>649.61779157792103</v>
      </c>
    </row>
    <row r="11" spans="1:309">
      <c r="A11" s="262">
        <f t="shared" ref="A11:A39" si="200">+A10+1</f>
        <v>45994</v>
      </c>
      <c r="B11" s="263" t="str">
        <f>+Report1!B11</f>
        <v>Facial</v>
      </c>
      <c r="C11" s="263" t="str">
        <f>+Report1!C11</f>
        <v>15</v>
      </c>
      <c r="D11" s="264">
        <f>+Report1!P11</f>
        <v>43.881</v>
      </c>
      <c r="E11" s="560">
        <f>+Report1!R11</f>
        <v>41.976999999999997</v>
      </c>
      <c r="F11" s="522"/>
      <c r="G11" s="523">
        <f t="shared" si="0"/>
        <v>0</v>
      </c>
      <c r="H11" s="524">
        <f t="shared" si="113"/>
        <v>0</v>
      </c>
      <c r="I11" s="522">
        <v>267.44186046511629</v>
      </c>
      <c r="J11" s="523">
        <f t="shared" si="1"/>
        <v>6.371152308767094</v>
      </c>
      <c r="K11" s="524">
        <f t="shared" si="114"/>
        <v>0</v>
      </c>
      <c r="L11" s="522"/>
      <c r="M11" s="523">
        <f t="shared" si="2"/>
        <v>0</v>
      </c>
      <c r="N11" s="524">
        <f t="shared" si="115"/>
        <v>0</v>
      </c>
      <c r="O11" s="522">
        <v>3.0000000000000284</v>
      </c>
      <c r="P11" s="523">
        <f t="shared" si="3"/>
        <v>7.1467708507040248E-2</v>
      </c>
      <c r="Q11" s="524">
        <f t="shared" si="116"/>
        <v>0</v>
      </c>
      <c r="R11" s="522"/>
      <c r="S11" s="523">
        <f t="shared" si="4"/>
        <v>0</v>
      </c>
      <c r="T11" s="524">
        <f t="shared" si="117"/>
        <v>0</v>
      </c>
      <c r="U11" s="522">
        <v>2.5625</v>
      </c>
      <c r="V11" s="523">
        <f t="shared" si="5"/>
        <v>6.1045334349762968E-2</v>
      </c>
      <c r="W11" s="524">
        <f t="shared" si="118"/>
        <v>0</v>
      </c>
      <c r="X11" s="522"/>
      <c r="Y11" s="523">
        <f t="shared" si="6"/>
        <v>0</v>
      </c>
      <c r="Z11" s="524">
        <f t="shared" si="119"/>
        <v>0</v>
      </c>
      <c r="AA11" s="522"/>
      <c r="AB11" s="523">
        <f t="shared" si="7"/>
        <v>0</v>
      </c>
      <c r="AC11" s="524">
        <f t="shared" si="120"/>
        <v>0</v>
      </c>
      <c r="AD11" s="522"/>
      <c r="AE11" s="523">
        <f t="shared" si="8"/>
        <v>0</v>
      </c>
      <c r="AF11" s="524">
        <f t="shared" si="121"/>
        <v>0</v>
      </c>
      <c r="AG11" s="522"/>
      <c r="AH11" s="523">
        <f t="shared" si="9"/>
        <v>0</v>
      </c>
      <c r="AI11" s="524">
        <f t="shared" si="122"/>
        <v>0</v>
      </c>
      <c r="AJ11" s="522"/>
      <c r="AK11" s="523">
        <f t="shared" si="10"/>
        <v>0</v>
      </c>
      <c r="AL11" s="524">
        <f t="shared" si="123"/>
        <v>0</v>
      </c>
      <c r="AM11" s="522"/>
      <c r="AN11" s="523">
        <f t="shared" si="11"/>
        <v>0</v>
      </c>
      <c r="AO11" s="524">
        <f t="shared" si="124"/>
        <v>0</v>
      </c>
      <c r="AP11" s="522">
        <v>54.113924050632875</v>
      </c>
      <c r="AQ11" s="523">
        <f t="shared" si="12"/>
        <v>1.2891327167409028</v>
      </c>
      <c r="AR11" s="524">
        <f t="shared" si="125"/>
        <v>0</v>
      </c>
      <c r="AS11" s="522"/>
      <c r="AT11" s="523">
        <f t="shared" si="13"/>
        <v>0</v>
      </c>
      <c r="AU11" s="524">
        <f t="shared" si="126"/>
        <v>0</v>
      </c>
      <c r="AV11" s="522"/>
      <c r="AW11" s="523">
        <f t="shared" si="14"/>
        <v>0</v>
      </c>
      <c r="AX11" s="524">
        <f t="shared" si="127"/>
        <v>0</v>
      </c>
      <c r="AY11" s="522">
        <v>51.333333333333371</v>
      </c>
      <c r="AZ11" s="523">
        <f t="shared" si="15"/>
        <v>1.2228919011204558</v>
      </c>
      <c r="BA11" s="524">
        <f t="shared" si="128"/>
        <v>0</v>
      </c>
      <c r="BB11" s="522"/>
      <c r="BC11" s="523">
        <f t="shared" si="16"/>
        <v>0</v>
      </c>
      <c r="BD11" s="524">
        <f t="shared" si="129"/>
        <v>0</v>
      </c>
      <c r="BE11" s="522"/>
      <c r="BF11" s="523">
        <f t="shared" si="17"/>
        <v>0</v>
      </c>
      <c r="BG11" s="524">
        <f t="shared" si="130"/>
        <v>0</v>
      </c>
      <c r="BH11" s="522"/>
      <c r="BI11" s="523">
        <f t="shared" si="18"/>
        <v>0</v>
      </c>
      <c r="BJ11" s="524">
        <f t="shared" si="131"/>
        <v>0</v>
      </c>
      <c r="BK11" s="522"/>
      <c r="BL11" s="523">
        <f t="shared" si="19"/>
        <v>0</v>
      </c>
      <c r="BM11" s="524">
        <f t="shared" si="132"/>
        <v>0</v>
      </c>
      <c r="BN11" s="522"/>
      <c r="BO11" s="523">
        <f t="shared" si="20"/>
        <v>0</v>
      </c>
      <c r="BP11" s="524">
        <f t="shared" si="133"/>
        <v>0</v>
      </c>
      <c r="BQ11" s="522">
        <v>329.11392405063299</v>
      </c>
      <c r="BR11" s="523">
        <f t="shared" si="21"/>
        <v>7.8403393298862003</v>
      </c>
      <c r="BS11" s="524">
        <f t="shared" si="134"/>
        <v>0</v>
      </c>
      <c r="BT11" s="522"/>
      <c r="BU11" s="523">
        <f t="shared" si="22"/>
        <v>0</v>
      </c>
      <c r="BV11" s="524">
        <f t="shared" si="135"/>
        <v>0</v>
      </c>
      <c r="BW11" s="522"/>
      <c r="BX11" s="523">
        <f t="shared" si="23"/>
        <v>0</v>
      </c>
      <c r="BY11" s="524">
        <f t="shared" si="136"/>
        <v>0</v>
      </c>
      <c r="BZ11" s="522"/>
      <c r="CA11" s="523">
        <f t="shared" si="24"/>
        <v>0</v>
      </c>
      <c r="CB11" s="524">
        <f t="shared" si="137"/>
        <v>0</v>
      </c>
      <c r="CC11" s="522"/>
      <c r="CD11" s="523">
        <f t="shared" si="25"/>
        <v>0</v>
      </c>
      <c r="CE11" s="524">
        <f t="shared" si="138"/>
        <v>0</v>
      </c>
      <c r="CF11" s="522">
        <v>1.5</v>
      </c>
      <c r="CG11" s="523">
        <f t="shared" si="26"/>
        <v>3.5733854253519784E-2</v>
      </c>
      <c r="CH11" s="524">
        <f t="shared" si="139"/>
        <v>0</v>
      </c>
      <c r="CI11" s="522"/>
      <c r="CJ11" s="523">
        <f t="shared" si="27"/>
        <v>0</v>
      </c>
      <c r="CK11" s="524">
        <f t="shared" si="140"/>
        <v>0</v>
      </c>
      <c r="CL11" s="522"/>
      <c r="CM11" s="523">
        <f t="shared" si="28"/>
        <v>0</v>
      </c>
      <c r="CN11" s="524">
        <f t="shared" si="141"/>
        <v>0</v>
      </c>
      <c r="CO11" s="522"/>
      <c r="CP11" s="523">
        <f t="shared" si="29"/>
        <v>0</v>
      </c>
      <c r="CQ11" s="524">
        <f t="shared" si="142"/>
        <v>0</v>
      </c>
      <c r="CR11" s="522"/>
      <c r="CS11" s="523">
        <f t="shared" si="30"/>
        <v>0</v>
      </c>
      <c r="CT11" s="524">
        <f t="shared" si="143"/>
        <v>0</v>
      </c>
      <c r="CU11" s="522"/>
      <c r="CV11" s="523">
        <f t="shared" si="31"/>
        <v>0</v>
      </c>
      <c r="CW11" s="524">
        <f t="shared" si="144"/>
        <v>0</v>
      </c>
      <c r="CX11" s="522"/>
      <c r="CY11" s="523">
        <f t="shared" si="32"/>
        <v>0</v>
      </c>
      <c r="CZ11" s="524">
        <f t="shared" si="145"/>
        <v>0</v>
      </c>
      <c r="DA11" s="522"/>
      <c r="DB11" s="523">
        <f t="shared" si="33"/>
        <v>0</v>
      </c>
      <c r="DC11" s="524">
        <f t="shared" si="146"/>
        <v>0</v>
      </c>
      <c r="DD11" s="522"/>
      <c r="DE11" s="523">
        <f t="shared" si="34"/>
        <v>0</v>
      </c>
      <c r="DF11" s="524">
        <f t="shared" si="147"/>
        <v>0</v>
      </c>
      <c r="DG11" s="522"/>
      <c r="DH11" s="523">
        <f t="shared" si="35"/>
        <v>0</v>
      </c>
      <c r="DI11" s="524">
        <v>0</v>
      </c>
      <c r="DJ11" s="522"/>
      <c r="DK11" s="523">
        <f t="shared" si="36"/>
        <v>0</v>
      </c>
      <c r="DL11" s="524">
        <f t="shared" si="148"/>
        <v>0</v>
      </c>
      <c r="DM11" s="522"/>
      <c r="DN11" s="523">
        <f t="shared" si="37"/>
        <v>0</v>
      </c>
      <c r="DO11" s="524">
        <f t="shared" si="149"/>
        <v>0</v>
      </c>
      <c r="DP11" s="522"/>
      <c r="DQ11" s="523">
        <f t="shared" si="38"/>
        <v>0</v>
      </c>
      <c r="DR11" s="524">
        <f t="shared" si="150"/>
        <v>0</v>
      </c>
      <c r="DS11" s="522"/>
      <c r="DT11" s="523">
        <f t="shared" si="39"/>
        <v>0</v>
      </c>
      <c r="DU11" s="524">
        <f t="shared" si="151"/>
        <v>0</v>
      </c>
      <c r="DV11" s="522"/>
      <c r="DW11" s="523">
        <f t="shared" si="40"/>
        <v>0</v>
      </c>
      <c r="DX11" s="524">
        <f t="shared" si="152"/>
        <v>0</v>
      </c>
      <c r="DY11" s="522"/>
      <c r="DZ11" s="523">
        <f t="shared" si="41"/>
        <v>0</v>
      </c>
      <c r="EA11" s="524">
        <f t="shared" si="153"/>
        <v>0</v>
      </c>
      <c r="EB11" s="522"/>
      <c r="EC11" s="523">
        <f t="shared" si="42"/>
        <v>0</v>
      </c>
      <c r="ED11" s="524">
        <f t="shared" si="154"/>
        <v>0</v>
      </c>
      <c r="EE11" s="522">
        <v>93.929411764705719</v>
      </c>
      <c r="EF11" s="523">
        <f t="shared" si="43"/>
        <v>2.2376399400792275</v>
      </c>
      <c r="EG11" s="524">
        <f t="shared" si="155"/>
        <v>0</v>
      </c>
      <c r="EH11" s="522"/>
      <c r="EI11" s="523">
        <f t="shared" si="44"/>
        <v>0</v>
      </c>
      <c r="EJ11" s="524">
        <f t="shared" si="156"/>
        <v>0</v>
      </c>
      <c r="EK11" s="522"/>
      <c r="EL11" s="523">
        <f t="shared" si="45"/>
        <v>0</v>
      </c>
      <c r="EM11" s="524">
        <f t="shared" si="157"/>
        <v>0</v>
      </c>
      <c r="EN11" s="522"/>
      <c r="EO11" s="523">
        <f t="shared" si="46"/>
        <v>0</v>
      </c>
      <c r="EP11" s="524">
        <f t="shared" si="158"/>
        <v>0</v>
      </c>
      <c r="EQ11" s="522"/>
      <c r="ER11" s="523">
        <f t="shared" si="47"/>
        <v>0</v>
      </c>
      <c r="ES11" s="524">
        <f t="shared" si="159"/>
        <v>0</v>
      </c>
      <c r="ET11" s="522"/>
      <c r="EU11" s="523">
        <f t="shared" si="48"/>
        <v>0</v>
      </c>
      <c r="EV11" s="524">
        <f t="shared" si="160"/>
        <v>0</v>
      </c>
      <c r="EW11" s="522"/>
      <c r="EX11" s="523">
        <f t="shared" si="49"/>
        <v>0</v>
      </c>
      <c r="EY11" s="524">
        <f t="shared" si="161"/>
        <v>0</v>
      </c>
      <c r="EZ11" s="522"/>
      <c r="FA11" s="523">
        <f t="shared" si="50"/>
        <v>0</v>
      </c>
      <c r="FB11" s="524">
        <f t="shared" si="162"/>
        <v>0</v>
      </c>
      <c r="FC11" s="522"/>
      <c r="FD11" s="523">
        <f t="shared" si="51"/>
        <v>0</v>
      </c>
      <c r="FE11" s="524">
        <f t="shared" si="163"/>
        <v>0</v>
      </c>
      <c r="FF11" s="522"/>
      <c r="FG11" s="523">
        <f t="shared" si="52"/>
        <v>0</v>
      </c>
      <c r="FH11" s="524">
        <f t="shared" si="164"/>
        <v>0</v>
      </c>
      <c r="FI11" s="522"/>
      <c r="FJ11" s="523">
        <f t="shared" si="53"/>
        <v>0</v>
      </c>
      <c r="FK11" s="524">
        <f t="shared" si="165"/>
        <v>0</v>
      </c>
      <c r="FL11" s="522"/>
      <c r="FM11" s="523">
        <f t="shared" si="54"/>
        <v>0</v>
      </c>
      <c r="FN11" s="524">
        <f t="shared" si="166"/>
        <v>0</v>
      </c>
      <c r="FO11" s="522"/>
      <c r="FP11" s="523">
        <f t="shared" si="55"/>
        <v>0</v>
      </c>
      <c r="FQ11" s="524">
        <f t="shared" si="167"/>
        <v>0</v>
      </c>
      <c r="FR11" s="522"/>
      <c r="FS11" s="523">
        <f t="shared" si="56"/>
        <v>0</v>
      </c>
      <c r="FT11" s="524">
        <f t="shared" si="168"/>
        <v>0</v>
      </c>
      <c r="FU11" s="522"/>
      <c r="FV11" s="523">
        <f t="shared" si="57"/>
        <v>0</v>
      </c>
      <c r="FW11" s="524">
        <f t="shared" si="169"/>
        <v>0</v>
      </c>
      <c r="FX11" s="522"/>
      <c r="FY11" s="523">
        <f t="shared" si="58"/>
        <v>0</v>
      </c>
      <c r="FZ11" s="524">
        <f t="shared" si="170"/>
        <v>0</v>
      </c>
      <c r="GA11" s="522"/>
      <c r="GB11" s="523">
        <f t="shared" si="59"/>
        <v>0</v>
      </c>
      <c r="GC11" s="524">
        <f t="shared" si="171"/>
        <v>0</v>
      </c>
      <c r="GD11" s="522"/>
      <c r="GE11" s="523">
        <f t="shared" si="60"/>
        <v>0</v>
      </c>
      <c r="GF11" s="524">
        <f t="shared" si="172"/>
        <v>0</v>
      </c>
      <c r="GG11" s="522"/>
      <c r="GH11" s="523">
        <f t="shared" si="61"/>
        <v>0</v>
      </c>
      <c r="GI11" s="524">
        <f t="shared" si="173"/>
        <v>0</v>
      </c>
      <c r="GJ11" s="522"/>
      <c r="GK11" s="523">
        <f t="shared" si="62"/>
        <v>0</v>
      </c>
      <c r="GL11" s="524">
        <f t="shared" si="174"/>
        <v>0</v>
      </c>
      <c r="GM11" s="522"/>
      <c r="GN11" s="523">
        <f t="shared" si="63"/>
        <v>0</v>
      </c>
      <c r="GO11" s="524">
        <f t="shared" si="175"/>
        <v>0</v>
      </c>
      <c r="GP11" s="522"/>
      <c r="GQ11" s="523">
        <f t="shared" si="64"/>
        <v>0</v>
      </c>
      <c r="GR11" s="524">
        <f t="shared" si="176"/>
        <v>0</v>
      </c>
      <c r="GS11" s="522"/>
      <c r="GT11" s="523">
        <f t="shared" si="65"/>
        <v>0</v>
      </c>
      <c r="GU11" s="524">
        <f t="shared" si="177"/>
        <v>0</v>
      </c>
      <c r="GV11" s="522"/>
      <c r="GW11" s="523">
        <f t="shared" si="66"/>
        <v>0</v>
      </c>
      <c r="GX11" s="524">
        <f t="shared" si="178"/>
        <v>0</v>
      </c>
      <c r="GY11" s="522"/>
      <c r="GZ11" s="523">
        <f t="shared" si="67"/>
        <v>0</v>
      </c>
      <c r="HA11" s="524">
        <f t="shared" si="179"/>
        <v>0</v>
      </c>
      <c r="HB11" s="522"/>
      <c r="HC11" s="523">
        <f t="shared" si="68"/>
        <v>0</v>
      </c>
      <c r="HD11" s="524">
        <f t="shared" si="180"/>
        <v>0</v>
      </c>
      <c r="HE11" s="522"/>
      <c r="HF11" s="523">
        <f t="shared" si="69"/>
        <v>0</v>
      </c>
      <c r="HG11" s="524">
        <f t="shared" si="181"/>
        <v>0</v>
      </c>
      <c r="HH11" s="522"/>
      <c r="HI11" s="523">
        <f t="shared" si="70"/>
        <v>0</v>
      </c>
      <c r="HJ11" s="524">
        <f t="shared" si="182"/>
        <v>0</v>
      </c>
      <c r="HK11" s="522"/>
      <c r="HL11" s="523">
        <f t="shared" si="71"/>
        <v>0</v>
      </c>
      <c r="HM11" s="524">
        <f t="shared" si="183"/>
        <v>0</v>
      </c>
      <c r="HN11" s="522"/>
      <c r="HO11" s="523">
        <f t="shared" si="72"/>
        <v>0</v>
      </c>
      <c r="HP11" s="524">
        <f t="shared" si="184"/>
        <v>0</v>
      </c>
      <c r="HQ11" s="522"/>
      <c r="HR11" s="523">
        <f t="shared" si="73"/>
        <v>0</v>
      </c>
      <c r="HS11" s="524">
        <f t="shared" si="185"/>
        <v>0</v>
      </c>
      <c r="HT11" s="522"/>
      <c r="HU11" s="523">
        <f t="shared" si="74"/>
        <v>0</v>
      </c>
      <c r="HV11" s="524">
        <f t="shared" si="186"/>
        <v>0</v>
      </c>
      <c r="HW11" s="522"/>
      <c r="HX11" s="523">
        <f t="shared" si="75"/>
        <v>0</v>
      </c>
      <c r="HY11" s="524">
        <f t="shared" si="187"/>
        <v>0</v>
      </c>
      <c r="HZ11" s="522"/>
      <c r="IA11" s="523">
        <f t="shared" si="76"/>
        <v>0</v>
      </c>
      <c r="IB11" s="524">
        <f t="shared" si="188"/>
        <v>0</v>
      </c>
      <c r="IC11" s="522"/>
      <c r="ID11" s="523">
        <f t="shared" si="77"/>
        <v>0</v>
      </c>
      <c r="IE11" s="524">
        <f t="shared" si="189"/>
        <v>0</v>
      </c>
      <c r="IF11" s="522"/>
      <c r="IG11" s="523">
        <f t="shared" si="78"/>
        <v>0</v>
      </c>
      <c r="IH11" s="524">
        <f t="shared" si="190"/>
        <v>0</v>
      </c>
      <c r="II11" s="522"/>
      <c r="IJ11" s="523">
        <f t="shared" si="79"/>
        <v>0</v>
      </c>
      <c r="IK11" s="524">
        <f t="shared" si="191"/>
        <v>0</v>
      </c>
      <c r="IL11" s="522"/>
      <c r="IM11" s="523">
        <f t="shared" si="80"/>
        <v>0</v>
      </c>
      <c r="IN11" s="524">
        <f t="shared" si="192"/>
        <v>0</v>
      </c>
      <c r="IO11" s="522"/>
      <c r="IP11" s="523">
        <f t="shared" si="81"/>
        <v>0</v>
      </c>
      <c r="IQ11" s="524">
        <f t="shared" si="193"/>
        <v>0</v>
      </c>
      <c r="IR11" s="522"/>
      <c r="IS11" s="523">
        <f t="shared" si="82"/>
        <v>0</v>
      </c>
      <c r="IT11" s="524">
        <f t="shared" si="194"/>
        <v>0</v>
      </c>
      <c r="IU11" s="522"/>
      <c r="IV11" s="523">
        <f t="shared" si="83"/>
        <v>0</v>
      </c>
      <c r="IW11" s="524">
        <f t="shared" si="195"/>
        <v>0</v>
      </c>
      <c r="IX11" s="522"/>
      <c r="IY11" s="523">
        <f t="shared" si="84"/>
        <v>0</v>
      </c>
      <c r="IZ11" s="524">
        <f t="shared" si="196"/>
        <v>0</v>
      </c>
      <c r="JA11" s="522"/>
      <c r="JB11" s="523">
        <f t="shared" si="85"/>
        <v>0</v>
      </c>
      <c r="JC11" s="524">
        <f t="shared" si="197"/>
        <v>0</v>
      </c>
      <c r="JD11" s="522"/>
      <c r="JE11" s="523">
        <f t="shared" si="86"/>
        <v>0</v>
      </c>
      <c r="JF11" s="524">
        <f t="shared" si="198"/>
        <v>0</v>
      </c>
      <c r="JG11" s="522"/>
      <c r="JH11" s="523">
        <f t="shared" si="87"/>
        <v>0</v>
      </c>
      <c r="JI11" s="524">
        <f t="shared" si="199"/>
        <v>0</v>
      </c>
      <c r="JJ11" s="522"/>
      <c r="JK11" s="524" t="str">
        <f t="shared" si="88"/>
        <v>0</v>
      </c>
      <c r="JL11" s="524" t="str">
        <f t="shared" si="89"/>
        <v>0</v>
      </c>
      <c r="JM11" s="522"/>
      <c r="JN11" s="524" t="str">
        <f t="shared" si="90"/>
        <v>0</v>
      </c>
      <c r="JO11" s="524" t="str">
        <f t="shared" si="91"/>
        <v>0</v>
      </c>
      <c r="JP11" s="522"/>
      <c r="JQ11" s="524" t="str">
        <f t="shared" si="92"/>
        <v>0</v>
      </c>
      <c r="JR11" s="524" t="str">
        <f t="shared" si="93"/>
        <v>0</v>
      </c>
      <c r="JS11" s="522"/>
      <c r="JT11" s="524" t="str">
        <f t="shared" si="94"/>
        <v>0</v>
      </c>
      <c r="JU11" s="524" t="str">
        <f t="shared" si="95"/>
        <v>0</v>
      </c>
      <c r="JV11" s="522"/>
      <c r="JW11" s="524" t="str">
        <f t="shared" si="96"/>
        <v>0</v>
      </c>
      <c r="JX11" s="524" t="str">
        <f t="shared" si="97"/>
        <v>0</v>
      </c>
      <c r="JY11" s="522"/>
      <c r="JZ11" s="524" t="str">
        <f t="shared" si="98"/>
        <v>0</v>
      </c>
      <c r="KA11" s="524" t="str">
        <f t="shared" si="99"/>
        <v>0</v>
      </c>
      <c r="KB11" s="522"/>
      <c r="KC11" s="524" t="str">
        <f t="shared" si="100"/>
        <v>0</v>
      </c>
      <c r="KD11" s="524" t="str">
        <f t="shared" si="101"/>
        <v>0</v>
      </c>
      <c r="KE11" s="522"/>
      <c r="KF11" s="524" t="str">
        <f t="shared" si="102"/>
        <v>0</v>
      </c>
      <c r="KG11" s="524" t="str">
        <f t="shared" si="103"/>
        <v>0</v>
      </c>
      <c r="KH11" s="522"/>
      <c r="KI11" s="524" t="str">
        <f t="shared" si="104"/>
        <v>0</v>
      </c>
      <c r="KJ11" s="524" t="str">
        <f t="shared" si="105"/>
        <v>0</v>
      </c>
      <c r="KK11" s="522"/>
      <c r="KL11" s="524" t="str">
        <f t="shared" si="106"/>
        <v>0</v>
      </c>
      <c r="KM11" s="524" t="str">
        <f t="shared" si="107"/>
        <v>0</v>
      </c>
      <c r="KN11" s="522"/>
      <c r="KO11" s="524" t="str">
        <f t="shared" si="108"/>
        <v>0</v>
      </c>
      <c r="KP11" s="524" t="str">
        <f t="shared" si="109"/>
        <v>0</v>
      </c>
      <c r="KQ11" s="522"/>
      <c r="KR11" s="524" t="str">
        <f t="shared" si="110"/>
        <v>0</v>
      </c>
      <c r="KS11" s="524" t="str">
        <f t="shared" si="111"/>
        <v>0</v>
      </c>
      <c r="KT11" s="524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24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1">
        <f t="shared" si="112"/>
        <v>802.99495366442125</v>
      </c>
    </row>
    <row r="12" spans="1:309">
      <c r="A12" s="262">
        <f t="shared" si="200"/>
        <v>45995</v>
      </c>
      <c r="B12" s="263" t="str">
        <f>+Report1!B12</f>
        <v>Facial</v>
      </c>
      <c r="C12" s="263" t="str">
        <f>+Report1!C12</f>
        <v>15/14</v>
      </c>
      <c r="D12" s="264">
        <f>+Report1!P12</f>
        <v>44.146999999999998</v>
      </c>
      <c r="E12" s="560">
        <f>+Report1!R12</f>
        <v>40.161999999999999</v>
      </c>
      <c r="F12" s="522"/>
      <c r="G12" s="523">
        <f t="shared" si="0"/>
        <v>0</v>
      </c>
      <c r="H12" s="524">
        <f t="shared" si="113"/>
        <v>0</v>
      </c>
      <c r="I12" s="522">
        <v>255.81395348837214</v>
      </c>
      <c r="J12" s="523">
        <f t="shared" si="1"/>
        <v>6.3695521509977624</v>
      </c>
      <c r="K12" s="524">
        <f t="shared" si="114"/>
        <v>0</v>
      </c>
      <c r="L12" s="522"/>
      <c r="M12" s="523">
        <f t="shared" si="2"/>
        <v>0</v>
      </c>
      <c r="N12" s="524">
        <f t="shared" si="115"/>
        <v>0</v>
      </c>
      <c r="O12" s="522">
        <v>2.9999999999999716</v>
      </c>
      <c r="P12" s="523">
        <f t="shared" si="3"/>
        <v>7.4697475225336679E-2</v>
      </c>
      <c r="Q12" s="524">
        <f t="shared" si="116"/>
        <v>0</v>
      </c>
      <c r="R12" s="522"/>
      <c r="S12" s="523">
        <f t="shared" si="4"/>
        <v>0</v>
      </c>
      <c r="T12" s="524">
        <f t="shared" si="117"/>
        <v>0</v>
      </c>
      <c r="U12" s="522">
        <v>2.5624999999999716</v>
      </c>
      <c r="V12" s="523">
        <f t="shared" si="5"/>
        <v>6.3804093421641644E-2</v>
      </c>
      <c r="W12" s="524">
        <f t="shared" si="118"/>
        <v>0</v>
      </c>
      <c r="X12" s="522"/>
      <c r="Y12" s="523">
        <f t="shared" si="6"/>
        <v>0</v>
      </c>
      <c r="Z12" s="524">
        <f t="shared" si="119"/>
        <v>0</v>
      </c>
      <c r="AA12" s="522"/>
      <c r="AB12" s="523">
        <f t="shared" si="7"/>
        <v>0</v>
      </c>
      <c r="AC12" s="524">
        <f t="shared" si="120"/>
        <v>0</v>
      </c>
      <c r="AD12" s="522"/>
      <c r="AE12" s="523">
        <f t="shared" si="8"/>
        <v>0</v>
      </c>
      <c r="AF12" s="524">
        <f t="shared" si="121"/>
        <v>0</v>
      </c>
      <c r="AG12" s="522"/>
      <c r="AH12" s="523">
        <f t="shared" si="9"/>
        <v>0</v>
      </c>
      <c r="AI12" s="524">
        <f t="shared" si="122"/>
        <v>0</v>
      </c>
      <c r="AJ12" s="522"/>
      <c r="AK12" s="523">
        <f t="shared" si="10"/>
        <v>0</v>
      </c>
      <c r="AL12" s="524">
        <f t="shared" si="123"/>
        <v>0</v>
      </c>
      <c r="AM12" s="522"/>
      <c r="AN12" s="523">
        <f t="shared" si="11"/>
        <v>0</v>
      </c>
      <c r="AO12" s="524">
        <f t="shared" si="124"/>
        <v>0</v>
      </c>
      <c r="AP12" s="522">
        <v>59.810126582278542</v>
      </c>
      <c r="AQ12" s="523">
        <f t="shared" si="12"/>
        <v>1.4892218162013482</v>
      </c>
      <c r="AR12" s="524">
        <f t="shared" si="125"/>
        <v>0</v>
      </c>
      <c r="AS12" s="522"/>
      <c r="AT12" s="523">
        <f t="shared" si="13"/>
        <v>0</v>
      </c>
      <c r="AU12" s="524">
        <f t="shared" si="126"/>
        <v>0</v>
      </c>
      <c r="AV12" s="522"/>
      <c r="AW12" s="523">
        <f t="shared" si="14"/>
        <v>0</v>
      </c>
      <c r="AX12" s="524">
        <f t="shared" si="127"/>
        <v>0</v>
      </c>
      <c r="AY12" s="522">
        <v>46.666666666666686</v>
      </c>
      <c r="AZ12" s="523">
        <f t="shared" si="15"/>
        <v>1.1619607257274709</v>
      </c>
      <c r="BA12" s="524">
        <f t="shared" si="128"/>
        <v>0</v>
      </c>
      <c r="BB12" s="522"/>
      <c r="BC12" s="523">
        <f t="shared" si="16"/>
        <v>0</v>
      </c>
      <c r="BD12" s="524">
        <f t="shared" si="129"/>
        <v>0</v>
      </c>
      <c r="BE12" s="522"/>
      <c r="BF12" s="523">
        <f t="shared" si="17"/>
        <v>0</v>
      </c>
      <c r="BG12" s="524">
        <f t="shared" si="130"/>
        <v>0</v>
      </c>
      <c r="BH12" s="522"/>
      <c r="BI12" s="523">
        <f t="shared" si="18"/>
        <v>0</v>
      </c>
      <c r="BJ12" s="524">
        <f t="shared" si="131"/>
        <v>0</v>
      </c>
      <c r="BK12" s="522"/>
      <c r="BL12" s="523">
        <f t="shared" si="19"/>
        <v>0</v>
      </c>
      <c r="BM12" s="524">
        <f t="shared" si="132"/>
        <v>0</v>
      </c>
      <c r="BN12" s="522"/>
      <c r="BO12" s="523">
        <f t="shared" si="20"/>
        <v>0</v>
      </c>
      <c r="BP12" s="524">
        <f t="shared" si="133"/>
        <v>0</v>
      </c>
      <c r="BQ12" s="522">
        <v>344.30379746835445</v>
      </c>
      <c r="BR12" s="523">
        <f t="shared" si="21"/>
        <v>8.5728747937939964</v>
      </c>
      <c r="BS12" s="524">
        <f t="shared" si="134"/>
        <v>0</v>
      </c>
      <c r="BT12" s="522"/>
      <c r="BU12" s="523">
        <f t="shared" si="22"/>
        <v>0</v>
      </c>
      <c r="BV12" s="524">
        <f t="shared" si="135"/>
        <v>0</v>
      </c>
      <c r="BW12" s="522"/>
      <c r="BX12" s="523">
        <f t="shared" si="23"/>
        <v>0</v>
      </c>
      <c r="BY12" s="524">
        <f t="shared" si="136"/>
        <v>0</v>
      </c>
      <c r="BZ12" s="522"/>
      <c r="CA12" s="523">
        <f t="shared" si="24"/>
        <v>0</v>
      </c>
      <c r="CB12" s="524">
        <f t="shared" si="137"/>
        <v>0</v>
      </c>
      <c r="CC12" s="522"/>
      <c r="CD12" s="523">
        <f t="shared" si="25"/>
        <v>0</v>
      </c>
      <c r="CE12" s="524">
        <f t="shared" si="138"/>
        <v>0</v>
      </c>
      <c r="CF12" s="522">
        <v>1.5</v>
      </c>
      <c r="CG12" s="523">
        <f t="shared" si="26"/>
        <v>3.7348737612668693E-2</v>
      </c>
      <c r="CH12" s="524">
        <f t="shared" si="139"/>
        <v>0</v>
      </c>
      <c r="CI12" s="522"/>
      <c r="CJ12" s="523">
        <f t="shared" si="27"/>
        <v>0</v>
      </c>
      <c r="CK12" s="524">
        <f t="shared" si="140"/>
        <v>0</v>
      </c>
      <c r="CL12" s="522"/>
      <c r="CM12" s="523">
        <f t="shared" si="28"/>
        <v>0</v>
      </c>
      <c r="CN12" s="524">
        <f t="shared" si="141"/>
        <v>0</v>
      </c>
      <c r="CO12" s="522"/>
      <c r="CP12" s="523">
        <f t="shared" si="29"/>
        <v>0</v>
      </c>
      <c r="CQ12" s="524">
        <f t="shared" si="142"/>
        <v>0</v>
      </c>
      <c r="CR12" s="522"/>
      <c r="CS12" s="523">
        <f t="shared" si="30"/>
        <v>0</v>
      </c>
      <c r="CT12" s="524">
        <f t="shared" si="143"/>
        <v>0</v>
      </c>
      <c r="CU12" s="522"/>
      <c r="CV12" s="523">
        <f t="shared" si="31"/>
        <v>0</v>
      </c>
      <c r="CW12" s="524">
        <f t="shared" si="144"/>
        <v>0</v>
      </c>
      <c r="CX12" s="522"/>
      <c r="CY12" s="523">
        <f t="shared" si="32"/>
        <v>0</v>
      </c>
      <c r="CZ12" s="524">
        <f t="shared" si="145"/>
        <v>0</v>
      </c>
      <c r="DA12" s="522"/>
      <c r="DB12" s="523">
        <f t="shared" si="33"/>
        <v>0</v>
      </c>
      <c r="DC12" s="524">
        <f t="shared" si="146"/>
        <v>0</v>
      </c>
      <c r="DD12" s="522"/>
      <c r="DE12" s="523">
        <f t="shared" si="34"/>
        <v>0</v>
      </c>
      <c r="DF12" s="524">
        <f t="shared" si="147"/>
        <v>0</v>
      </c>
      <c r="DG12" s="522"/>
      <c r="DH12" s="523">
        <f t="shared" si="35"/>
        <v>0</v>
      </c>
      <c r="DI12" s="524">
        <v>0</v>
      </c>
      <c r="DJ12" s="522"/>
      <c r="DK12" s="523">
        <f t="shared" si="36"/>
        <v>0</v>
      </c>
      <c r="DL12" s="524">
        <f t="shared" si="148"/>
        <v>0</v>
      </c>
      <c r="DM12" s="522"/>
      <c r="DN12" s="523">
        <f t="shared" si="37"/>
        <v>0</v>
      </c>
      <c r="DO12" s="524">
        <f t="shared" si="149"/>
        <v>0</v>
      </c>
      <c r="DP12" s="522"/>
      <c r="DQ12" s="523">
        <f t="shared" si="38"/>
        <v>0</v>
      </c>
      <c r="DR12" s="524">
        <f t="shared" si="150"/>
        <v>0</v>
      </c>
      <c r="DS12" s="522"/>
      <c r="DT12" s="523">
        <f t="shared" si="39"/>
        <v>0</v>
      </c>
      <c r="DU12" s="524">
        <f t="shared" si="151"/>
        <v>0</v>
      </c>
      <c r="DV12" s="522"/>
      <c r="DW12" s="523">
        <f t="shared" si="40"/>
        <v>0</v>
      </c>
      <c r="DX12" s="524">
        <f t="shared" si="152"/>
        <v>0</v>
      </c>
      <c r="DY12" s="522"/>
      <c r="DZ12" s="523">
        <f t="shared" si="41"/>
        <v>0</v>
      </c>
      <c r="EA12" s="524">
        <f t="shared" si="153"/>
        <v>0</v>
      </c>
      <c r="EB12" s="522"/>
      <c r="EC12" s="523">
        <f t="shared" si="42"/>
        <v>0</v>
      </c>
      <c r="ED12" s="524">
        <f t="shared" si="154"/>
        <v>0</v>
      </c>
      <c r="EE12" s="522">
        <v>93.929411764705947</v>
      </c>
      <c r="EF12" s="523">
        <f t="shared" si="43"/>
        <v>2.3387633027415453</v>
      </c>
      <c r="EG12" s="524">
        <f t="shared" si="155"/>
        <v>0</v>
      </c>
      <c r="EH12" s="522"/>
      <c r="EI12" s="523">
        <f t="shared" si="44"/>
        <v>0</v>
      </c>
      <c r="EJ12" s="524">
        <f t="shared" si="156"/>
        <v>0</v>
      </c>
      <c r="EK12" s="522"/>
      <c r="EL12" s="523">
        <f t="shared" si="45"/>
        <v>0</v>
      </c>
      <c r="EM12" s="524">
        <f t="shared" si="157"/>
        <v>0</v>
      </c>
      <c r="EN12" s="522"/>
      <c r="EO12" s="523">
        <f t="shared" si="46"/>
        <v>0</v>
      </c>
      <c r="EP12" s="524">
        <f t="shared" si="158"/>
        <v>0</v>
      </c>
      <c r="EQ12" s="522"/>
      <c r="ER12" s="523">
        <f t="shared" si="47"/>
        <v>0</v>
      </c>
      <c r="ES12" s="524">
        <f t="shared" si="159"/>
        <v>0</v>
      </c>
      <c r="ET12" s="522"/>
      <c r="EU12" s="523">
        <f t="shared" si="48"/>
        <v>0</v>
      </c>
      <c r="EV12" s="524">
        <f t="shared" si="160"/>
        <v>0</v>
      </c>
      <c r="EW12" s="522"/>
      <c r="EX12" s="523">
        <f t="shared" si="49"/>
        <v>0</v>
      </c>
      <c r="EY12" s="524">
        <f t="shared" si="161"/>
        <v>0</v>
      </c>
      <c r="EZ12" s="522"/>
      <c r="FA12" s="523">
        <f t="shared" si="50"/>
        <v>0</v>
      </c>
      <c r="FB12" s="524">
        <f t="shared" si="162"/>
        <v>0</v>
      </c>
      <c r="FC12" s="522"/>
      <c r="FD12" s="523">
        <f t="shared" si="51"/>
        <v>0</v>
      </c>
      <c r="FE12" s="524">
        <f t="shared" si="163"/>
        <v>0</v>
      </c>
      <c r="FF12" s="522"/>
      <c r="FG12" s="523">
        <f t="shared" si="52"/>
        <v>0</v>
      </c>
      <c r="FH12" s="524">
        <f t="shared" si="164"/>
        <v>0</v>
      </c>
      <c r="FI12" s="522"/>
      <c r="FJ12" s="523">
        <f t="shared" si="53"/>
        <v>0</v>
      </c>
      <c r="FK12" s="524">
        <f t="shared" si="165"/>
        <v>0</v>
      </c>
      <c r="FL12" s="522"/>
      <c r="FM12" s="523">
        <f t="shared" si="54"/>
        <v>0</v>
      </c>
      <c r="FN12" s="524">
        <f t="shared" si="166"/>
        <v>0</v>
      </c>
      <c r="FO12" s="522"/>
      <c r="FP12" s="523">
        <f t="shared" si="55"/>
        <v>0</v>
      </c>
      <c r="FQ12" s="524">
        <f t="shared" si="167"/>
        <v>0</v>
      </c>
      <c r="FR12" s="522"/>
      <c r="FS12" s="523">
        <f t="shared" si="56"/>
        <v>0</v>
      </c>
      <c r="FT12" s="524">
        <f t="shared" si="168"/>
        <v>0</v>
      </c>
      <c r="FU12" s="522"/>
      <c r="FV12" s="523">
        <f t="shared" si="57"/>
        <v>0</v>
      </c>
      <c r="FW12" s="524">
        <f t="shared" si="169"/>
        <v>0</v>
      </c>
      <c r="FX12" s="522"/>
      <c r="FY12" s="523">
        <f t="shared" si="58"/>
        <v>0</v>
      </c>
      <c r="FZ12" s="524">
        <f t="shared" si="170"/>
        <v>0</v>
      </c>
      <c r="GA12" s="522"/>
      <c r="GB12" s="523">
        <f t="shared" si="59"/>
        <v>0</v>
      </c>
      <c r="GC12" s="524">
        <f t="shared" si="171"/>
        <v>0</v>
      </c>
      <c r="GD12" s="522"/>
      <c r="GE12" s="523">
        <f t="shared" si="60"/>
        <v>0</v>
      </c>
      <c r="GF12" s="524">
        <f t="shared" si="172"/>
        <v>0</v>
      </c>
      <c r="GG12" s="522"/>
      <c r="GH12" s="523">
        <f t="shared" si="61"/>
        <v>0</v>
      </c>
      <c r="GI12" s="524">
        <f t="shared" si="173"/>
        <v>0</v>
      </c>
      <c r="GJ12" s="522"/>
      <c r="GK12" s="523">
        <f t="shared" si="62"/>
        <v>0</v>
      </c>
      <c r="GL12" s="524">
        <f t="shared" si="174"/>
        <v>0</v>
      </c>
      <c r="GM12" s="522"/>
      <c r="GN12" s="523">
        <f t="shared" si="63"/>
        <v>0</v>
      </c>
      <c r="GO12" s="524">
        <f t="shared" si="175"/>
        <v>0</v>
      </c>
      <c r="GP12" s="522"/>
      <c r="GQ12" s="523">
        <f t="shared" si="64"/>
        <v>0</v>
      </c>
      <c r="GR12" s="524">
        <f t="shared" si="176"/>
        <v>0</v>
      </c>
      <c r="GS12" s="522"/>
      <c r="GT12" s="523">
        <f t="shared" si="65"/>
        <v>0</v>
      </c>
      <c r="GU12" s="524">
        <f t="shared" si="177"/>
        <v>0</v>
      </c>
      <c r="GV12" s="522"/>
      <c r="GW12" s="523">
        <f t="shared" si="66"/>
        <v>0</v>
      </c>
      <c r="GX12" s="524">
        <f t="shared" si="178"/>
        <v>0</v>
      </c>
      <c r="GY12" s="522"/>
      <c r="GZ12" s="523">
        <f t="shared" si="67"/>
        <v>0</v>
      </c>
      <c r="HA12" s="524">
        <f t="shared" si="179"/>
        <v>0</v>
      </c>
      <c r="HB12" s="522"/>
      <c r="HC12" s="523">
        <f t="shared" si="68"/>
        <v>0</v>
      </c>
      <c r="HD12" s="524">
        <f t="shared" si="180"/>
        <v>0</v>
      </c>
      <c r="HE12" s="522"/>
      <c r="HF12" s="523">
        <f t="shared" si="69"/>
        <v>0</v>
      </c>
      <c r="HG12" s="524">
        <f t="shared" si="181"/>
        <v>0</v>
      </c>
      <c r="HH12" s="522"/>
      <c r="HI12" s="523">
        <f t="shared" si="70"/>
        <v>0</v>
      </c>
      <c r="HJ12" s="524">
        <f t="shared" si="182"/>
        <v>0</v>
      </c>
      <c r="HK12" s="522"/>
      <c r="HL12" s="523">
        <f t="shared" si="71"/>
        <v>0</v>
      </c>
      <c r="HM12" s="524">
        <f t="shared" si="183"/>
        <v>0</v>
      </c>
      <c r="HN12" s="522"/>
      <c r="HO12" s="523">
        <f t="shared" si="72"/>
        <v>0</v>
      </c>
      <c r="HP12" s="524">
        <f t="shared" si="184"/>
        <v>0</v>
      </c>
      <c r="HQ12" s="522"/>
      <c r="HR12" s="523">
        <f t="shared" si="73"/>
        <v>0</v>
      </c>
      <c r="HS12" s="524">
        <f t="shared" si="185"/>
        <v>0</v>
      </c>
      <c r="HT12" s="522"/>
      <c r="HU12" s="523">
        <f t="shared" si="74"/>
        <v>0</v>
      </c>
      <c r="HV12" s="524">
        <f t="shared" si="186"/>
        <v>0</v>
      </c>
      <c r="HW12" s="522"/>
      <c r="HX12" s="523">
        <f t="shared" si="75"/>
        <v>0</v>
      </c>
      <c r="HY12" s="524">
        <f t="shared" si="187"/>
        <v>0</v>
      </c>
      <c r="HZ12" s="522"/>
      <c r="IA12" s="523">
        <f t="shared" si="76"/>
        <v>0</v>
      </c>
      <c r="IB12" s="524">
        <f t="shared" si="188"/>
        <v>0</v>
      </c>
      <c r="IC12" s="522"/>
      <c r="ID12" s="523">
        <f t="shared" si="77"/>
        <v>0</v>
      </c>
      <c r="IE12" s="524">
        <f t="shared" si="189"/>
        <v>0</v>
      </c>
      <c r="IF12" s="522"/>
      <c r="IG12" s="523">
        <f t="shared" si="78"/>
        <v>0</v>
      </c>
      <c r="IH12" s="524">
        <f t="shared" si="190"/>
        <v>0</v>
      </c>
      <c r="II12" s="522"/>
      <c r="IJ12" s="523">
        <f t="shared" si="79"/>
        <v>0</v>
      </c>
      <c r="IK12" s="524">
        <f t="shared" si="191"/>
        <v>0</v>
      </c>
      <c r="IL12" s="522"/>
      <c r="IM12" s="523">
        <f t="shared" si="80"/>
        <v>0</v>
      </c>
      <c r="IN12" s="524">
        <f t="shared" si="192"/>
        <v>0</v>
      </c>
      <c r="IO12" s="522"/>
      <c r="IP12" s="523">
        <f t="shared" si="81"/>
        <v>0</v>
      </c>
      <c r="IQ12" s="524">
        <f t="shared" si="193"/>
        <v>0</v>
      </c>
      <c r="IR12" s="522"/>
      <c r="IS12" s="523">
        <f t="shared" si="82"/>
        <v>0</v>
      </c>
      <c r="IT12" s="524">
        <f t="shared" si="194"/>
        <v>0</v>
      </c>
      <c r="IU12" s="522"/>
      <c r="IV12" s="523">
        <f t="shared" si="83"/>
        <v>0</v>
      </c>
      <c r="IW12" s="524">
        <f t="shared" si="195"/>
        <v>0</v>
      </c>
      <c r="IX12" s="522"/>
      <c r="IY12" s="523">
        <f t="shared" si="84"/>
        <v>0</v>
      </c>
      <c r="IZ12" s="524">
        <f t="shared" si="196"/>
        <v>0</v>
      </c>
      <c r="JA12" s="522"/>
      <c r="JB12" s="523">
        <f t="shared" si="85"/>
        <v>0</v>
      </c>
      <c r="JC12" s="524">
        <f t="shared" si="197"/>
        <v>0</v>
      </c>
      <c r="JD12" s="522"/>
      <c r="JE12" s="523">
        <f t="shared" si="86"/>
        <v>0</v>
      </c>
      <c r="JF12" s="524">
        <f t="shared" si="198"/>
        <v>0</v>
      </c>
      <c r="JG12" s="522"/>
      <c r="JH12" s="523">
        <f t="shared" si="87"/>
        <v>0</v>
      </c>
      <c r="JI12" s="524">
        <f t="shared" si="199"/>
        <v>0</v>
      </c>
      <c r="JJ12" s="522"/>
      <c r="JK12" s="524" t="str">
        <f t="shared" si="88"/>
        <v>0</v>
      </c>
      <c r="JL12" s="524" t="str">
        <f t="shared" si="89"/>
        <v>0</v>
      </c>
      <c r="JM12" s="522"/>
      <c r="JN12" s="524" t="str">
        <f t="shared" si="90"/>
        <v>0</v>
      </c>
      <c r="JO12" s="524" t="str">
        <f t="shared" si="91"/>
        <v>0</v>
      </c>
      <c r="JP12" s="522"/>
      <c r="JQ12" s="524" t="str">
        <f t="shared" si="92"/>
        <v>0</v>
      </c>
      <c r="JR12" s="524" t="str">
        <f t="shared" si="93"/>
        <v>0</v>
      </c>
      <c r="JS12" s="522"/>
      <c r="JT12" s="524" t="str">
        <f t="shared" si="94"/>
        <v>0</v>
      </c>
      <c r="JU12" s="524" t="str">
        <f t="shared" si="95"/>
        <v>0</v>
      </c>
      <c r="JV12" s="522"/>
      <c r="JW12" s="524" t="str">
        <f t="shared" si="96"/>
        <v>0</v>
      </c>
      <c r="JX12" s="524" t="str">
        <f t="shared" si="97"/>
        <v>0</v>
      </c>
      <c r="JY12" s="522"/>
      <c r="JZ12" s="524" t="str">
        <f t="shared" si="98"/>
        <v>0</v>
      </c>
      <c r="KA12" s="524" t="str">
        <f t="shared" si="99"/>
        <v>0</v>
      </c>
      <c r="KB12" s="522"/>
      <c r="KC12" s="524" t="str">
        <f t="shared" si="100"/>
        <v>0</v>
      </c>
      <c r="KD12" s="524" t="str">
        <f t="shared" si="101"/>
        <v>0</v>
      </c>
      <c r="KE12" s="522"/>
      <c r="KF12" s="524" t="str">
        <f t="shared" si="102"/>
        <v>0</v>
      </c>
      <c r="KG12" s="524" t="str">
        <f t="shared" si="103"/>
        <v>0</v>
      </c>
      <c r="KH12" s="522"/>
      <c r="KI12" s="524" t="str">
        <f t="shared" si="104"/>
        <v>0</v>
      </c>
      <c r="KJ12" s="524" t="str">
        <f t="shared" si="105"/>
        <v>0</v>
      </c>
      <c r="KK12" s="522"/>
      <c r="KL12" s="524" t="str">
        <f t="shared" si="106"/>
        <v>0</v>
      </c>
      <c r="KM12" s="524" t="str">
        <f t="shared" si="107"/>
        <v>0</v>
      </c>
      <c r="KN12" s="522"/>
      <c r="KO12" s="524" t="str">
        <f t="shared" si="108"/>
        <v>0</v>
      </c>
      <c r="KP12" s="524" t="str">
        <f t="shared" si="109"/>
        <v>0</v>
      </c>
      <c r="KQ12" s="522"/>
      <c r="KR12" s="524" t="str">
        <f t="shared" si="110"/>
        <v>0</v>
      </c>
      <c r="KS12" s="524" t="str">
        <f t="shared" si="111"/>
        <v>0</v>
      </c>
      <c r="KT12" s="524">
        <f t="shared" si="201"/>
        <v>0</v>
      </c>
      <c r="KU12" s="524">
        <f t="shared" si="202"/>
        <v>0</v>
      </c>
      <c r="KV12" s="261">
        <f t="shared" si="112"/>
        <v>807.58645597037776</v>
      </c>
    </row>
    <row r="13" spans="1:309">
      <c r="A13" s="262">
        <f t="shared" si="200"/>
        <v>45996</v>
      </c>
      <c r="B13" s="263" t="str">
        <f>+Report1!B13</f>
        <v>Facial</v>
      </c>
      <c r="C13" s="263" t="str">
        <f>+Report1!C13</f>
        <v>14</v>
      </c>
      <c r="D13" s="264">
        <f>+Report1!P13</f>
        <v>42.655000000000001</v>
      </c>
      <c r="E13" s="560">
        <f>+Report1!R13</f>
        <v>45.195999999999998</v>
      </c>
      <c r="F13" s="522"/>
      <c r="G13" s="523">
        <f t="shared" si="0"/>
        <v>0</v>
      </c>
      <c r="H13" s="524">
        <f t="shared" si="113"/>
        <v>0</v>
      </c>
      <c r="I13" s="522">
        <v>244.18604651162786</v>
      </c>
      <c r="J13" s="523">
        <f t="shared" si="1"/>
        <v>5.4028242878048474</v>
      </c>
      <c r="K13" s="524">
        <f t="shared" si="114"/>
        <v>0</v>
      </c>
      <c r="L13" s="522"/>
      <c r="M13" s="523">
        <f t="shared" si="2"/>
        <v>0</v>
      </c>
      <c r="N13" s="524">
        <f t="shared" si="115"/>
        <v>0</v>
      </c>
      <c r="O13" s="522">
        <v>3</v>
      </c>
      <c r="P13" s="523">
        <f t="shared" si="3"/>
        <v>6.637755553588813E-2</v>
      </c>
      <c r="Q13" s="524">
        <f t="shared" si="116"/>
        <v>0</v>
      </c>
      <c r="R13" s="522"/>
      <c r="S13" s="523">
        <f t="shared" si="4"/>
        <v>0</v>
      </c>
      <c r="T13" s="524">
        <f t="shared" si="117"/>
        <v>0</v>
      </c>
      <c r="U13" s="522">
        <v>2.5625000000000284</v>
      </c>
      <c r="V13" s="523">
        <f t="shared" si="5"/>
        <v>5.6697495353571742E-2</v>
      </c>
      <c r="W13" s="524">
        <f t="shared" si="118"/>
        <v>0</v>
      </c>
      <c r="X13" s="522"/>
      <c r="Y13" s="523">
        <f t="shared" si="6"/>
        <v>0</v>
      </c>
      <c r="Z13" s="524">
        <f t="shared" si="119"/>
        <v>0</v>
      </c>
      <c r="AA13" s="522"/>
      <c r="AB13" s="523">
        <f t="shared" si="7"/>
        <v>0</v>
      </c>
      <c r="AC13" s="524">
        <f t="shared" si="120"/>
        <v>0</v>
      </c>
      <c r="AD13" s="522"/>
      <c r="AE13" s="523">
        <f t="shared" si="8"/>
        <v>0</v>
      </c>
      <c r="AF13" s="524">
        <f t="shared" si="121"/>
        <v>0</v>
      </c>
      <c r="AG13" s="522"/>
      <c r="AH13" s="523">
        <f t="shared" si="9"/>
        <v>0</v>
      </c>
      <c r="AI13" s="524">
        <f t="shared" si="122"/>
        <v>0</v>
      </c>
      <c r="AJ13" s="522"/>
      <c r="AK13" s="523">
        <f t="shared" si="10"/>
        <v>0</v>
      </c>
      <c r="AL13" s="524">
        <f t="shared" si="123"/>
        <v>0</v>
      </c>
      <c r="AM13" s="522"/>
      <c r="AN13" s="523">
        <f t="shared" si="11"/>
        <v>0</v>
      </c>
      <c r="AO13" s="524">
        <f t="shared" si="124"/>
        <v>0</v>
      </c>
      <c r="AP13" s="522">
        <v>62.658227848101234</v>
      </c>
      <c r="AQ13" s="523">
        <f t="shared" si="12"/>
        <v>1.3863666662558907</v>
      </c>
      <c r="AR13" s="524">
        <f t="shared" si="125"/>
        <v>0</v>
      </c>
      <c r="AS13" s="522"/>
      <c r="AT13" s="523">
        <f t="shared" si="13"/>
        <v>0</v>
      </c>
      <c r="AU13" s="524">
        <f t="shared" si="126"/>
        <v>0</v>
      </c>
      <c r="AV13" s="522"/>
      <c r="AW13" s="523">
        <f t="shared" si="14"/>
        <v>0</v>
      </c>
      <c r="AX13" s="524">
        <f t="shared" si="127"/>
        <v>0</v>
      </c>
      <c r="AY13" s="522">
        <v>72.333333333333286</v>
      </c>
      <c r="AZ13" s="523">
        <f t="shared" si="15"/>
        <v>1.6004366168097461</v>
      </c>
      <c r="BA13" s="524">
        <f t="shared" si="128"/>
        <v>0</v>
      </c>
      <c r="BB13" s="522"/>
      <c r="BC13" s="523">
        <f t="shared" si="16"/>
        <v>0</v>
      </c>
      <c r="BD13" s="524">
        <f t="shared" si="129"/>
        <v>0</v>
      </c>
      <c r="BE13" s="522"/>
      <c r="BF13" s="523">
        <f t="shared" si="17"/>
        <v>0</v>
      </c>
      <c r="BG13" s="524">
        <f t="shared" si="130"/>
        <v>0</v>
      </c>
      <c r="BH13" s="522"/>
      <c r="BI13" s="523">
        <f t="shared" si="18"/>
        <v>0</v>
      </c>
      <c r="BJ13" s="524">
        <f t="shared" si="131"/>
        <v>0</v>
      </c>
      <c r="BK13" s="522"/>
      <c r="BL13" s="523">
        <f t="shared" si="19"/>
        <v>0</v>
      </c>
      <c r="BM13" s="524">
        <f t="shared" si="132"/>
        <v>0</v>
      </c>
      <c r="BN13" s="522"/>
      <c r="BO13" s="523">
        <f t="shared" si="20"/>
        <v>0</v>
      </c>
      <c r="BP13" s="524">
        <f t="shared" si="133"/>
        <v>0</v>
      </c>
      <c r="BQ13" s="522"/>
      <c r="BR13" s="523">
        <f t="shared" si="21"/>
        <v>0</v>
      </c>
      <c r="BS13" s="524">
        <f t="shared" si="134"/>
        <v>0</v>
      </c>
      <c r="BT13" s="522"/>
      <c r="BU13" s="523">
        <f t="shared" si="22"/>
        <v>0</v>
      </c>
      <c r="BV13" s="524">
        <f t="shared" si="135"/>
        <v>0</v>
      </c>
      <c r="BW13" s="522"/>
      <c r="BX13" s="523">
        <f t="shared" si="23"/>
        <v>0</v>
      </c>
      <c r="BY13" s="524">
        <f t="shared" si="136"/>
        <v>0</v>
      </c>
      <c r="BZ13" s="522"/>
      <c r="CA13" s="523">
        <f t="shared" si="24"/>
        <v>0</v>
      </c>
      <c r="CB13" s="524">
        <f t="shared" si="137"/>
        <v>0</v>
      </c>
      <c r="CC13" s="522"/>
      <c r="CD13" s="523">
        <f t="shared" si="25"/>
        <v>0</v>
      </c>
      <c r="CE13" s="524">
        <f t="shared" si="138"/>
        <v>0</v>
      </c>
      <c r="CF13" s="522">
        <v>1.5</v>
      </c>
      <c r="CG13" s="523">
        <f t="shared" si="26"/>
        <v>3.3188777767944065E-2</v>
      </c>
      <c r="CH13" s="524">
        <f t="shared" si="139"/>
        <v>0</v>
      </c>
      <c r="CI13" s="522"/>
      <c r="CJ13" s="523">
        <f t="shared" si="27"/>
        <v>0</v>
      </c>
      <c r="CK13" s="524">
        <f t="shared" si="140"/>
        <v>0</v>
      </c>
      <c r="CL13" s="522"/>
      <c r="CM13" s="523">
        <f t="shared" si="28"/>
        <v>0</v>
      </c>
      <c r="CN13" s="524">
        <f t="shared" si="141"/>
        <v>0</v>
      </c>
      <c r="CO13" s="522"/>
      <c r="CP13" s="523">
        <f t="shared" si="29"/>
        <v>0</v>
      </c>
      <c r="CQ13" s="524">
        <f t="shared" si="142"/>
        <v>0</v>
      </c>
      <c r="CR13" s="522"/>
      <c r="CS13" s="523">
        <f t="shared" si="30"/>
        <v>0</v>
      </c>
      <c r="CT13" s="524">
        <f t="shared" si="143"/>
        <v>0</v>
      </c>
      <c r="CU13" s="522"/>
      <c r="CV13" s="523">
        <f t="shared" si="31"/>
        <v>0</v>
      </c>
      <c r="CW13" s="524">
        <f t="shared" si="144"/>
        <v>0</v>
      </c>
      <c r="CX13" s="522"/>
      <c r="CY13" s="523">
        <f t="shared" si="32"/>
        <v>0</v>
      </c>
      <c r="CZ13" s="524">
        <f t="shared" si="145"/>
        <v>0</v>
      </c>
      <c r="DA13" s="522"/>
      <c r="DB13" s="523">
        <f t="shared" si="33"/>
        <v>0</v>
      </c>
      <c r="DC13" s="524">
        <f t="shared" si="146"/>
        <v>0</v>
      </c>
      <c r="DD13" s="522"/>
      <c r="DE13" s="523">
        <f t="shared" si="34"/>
        <v>0</v>
      </c>
      <c r="DF13" s="524">
        <f t="shared" si="147"/>
        <v>0</v>
      </c>
      <c r="DG13" s="522"/>
      <c r="DH13" s="523">
        <f t="shared" si="35"/>
        <v>0</v>
      </c>
      <c r="DI13" s="524">
        <v>0</v>
      </c>
      <c r="DJ13" s="522"/>
      <c r="DK13" s="523">
        <f t="shared" si="36"/>
        <v>0</v>
      </c>
      <c r="DL13" s="524">
        <f t="shared" si="148"/>
        <v>0</v>
      </c>
      <c r="DM13" s="522"/>
      <c r="DN13" s="523">
        <f t="shared" si="37"/>
        <v>0</v>
      </c>
      <c r="DO13" s="524">
        <f t="shared" si="149"/>
        <v>0</v>
      </c>
      <c r="DP13" s="522"/>
      <c r="DQ13" s="523">
        <f t="shared" si="38"/>
        <v>0</v>
      </c>
      <c r="DR13" s="524">
        <f t="shared" si="150"/>
        <v>0</v>
      </c>
      <c r="DS13" s="522"/>
      <c r="DT13" s="523">
        <f t="shared" si="39"/>
        <v>0</v>
      </c>
      <c r="DU13" s="524">
        <f t="shared" si="151"/>
        <v>0</v>
      </c>
      <c r="DV13" s="522"/>
      <c r="DW13" s="523">
        <f t="shared" si="40"/>
        <v>0</v>
      </c>
      <c r="DX13" s="524">
        <f t="shared" si="152"/>
        <v>0</v>
      </c>
      <c r="DY13" s="522"/>
      <c r="DZ13" s="523">
        <f t="shared" si="41"/>
        <v>0</v>
      </c>
      <c r="EA13" s="524">
        <f t="shared" si="153"/>
        <v>0</v>
      </c>
      <c r="EB13" s="522"/>
      <c r="EC13" s="523">
        <f t="shared" si="42"/>
        <v>0</v>
      </c>
      <c r="ED13" s="524">
        <f t="shared" si="154"/>
        <v>0</v>
      </c>
      <c r="EE13" s="522">
        <v>46.964705882352973</v>
      </c>
      <c r="EF13" s="523">
        <f t="shared" si="43"/>
        <v>1.0391341243108456</v>
      </c>
      <c r="EG13" s="524">
        <f t="shared" si="155"/>
        <v>0</v>
      </c>
      <c r="EH13" s="522">
        <v>523.25581395348831</v>
      </c>
      <c r="EI13" s="523">
        <f t="shared" si="44"/>
        <v>11.577480616724673</v>
      </c>
      <c r="EJ13" s="524">
        <f t="shared" si="156"/>
        <v>0</v>
      </c>
      <c r="EK13" s="522"/>
      <c r="EL13" s="523">
        <f t="shared" si="45"/>
        <v>0</v>
      </c>
      <c r="EM13" s="524">
        <f t="shared" si="157"/>
        <v>0</v>
      </c>
      <c r="EN13" s="522"/>
      <c r="EO13" s="523">
        <f t="shared" si="46"/>
        <v>0</v>
      </c>
      <c r="EP13" s="524">
        <f t="shared" si="158"/>
        <v>0</v>
      </c>
      <c r="EQ13" s="522"/>
      <c r="ER13" s="523">
        <f t="shared" si="47"/>
        <v>0</v>
      </c>
      <c r="ES13" s="524">
        <f t="shared" si="159"/>
        <v>0</v>
      </c>
      <c r="ET13" s="522"/>
      <c r="EU13" s="523">
        <f t="shared" si="48"/>
        <v>0</v>
      </c>
      <c r="EV13" s="524">
        <f t="shared" si="160"/>
        <v>0</v>
      </c>
      <c r="EW13" s="522"/>
      <c r="EX13" s="523">
        <f t="shared" si="49"/>
        <v>0</v>
      </c>
      <c r="EY13" s="524">
        <f t="shared" si="161"/>
        <v>0</v>
      </c>
      <c r="EZ13" s="522"/>
      <c r="FA13" s="523">
        <f t="shared" si="50"/>
        <v>0</v>
      </c>
      <c r="FB13" s="524">
        <f t="shared" si="162"/>
        <v>0</v>
      </c>
      <c r="FC13" s="522"/>
      <c r="FD13" s="523">
        <f t="shared" si="51"/>
        <v>0</v>
      </c>
      <c r="FE13" s="524">
        <f t="shared" si="163"/>
        <v>0</v>
      </c>
      <c r="FF13" s="522"/>
      <c r="FG13" s="523">
        <f t="shared" si="52"/>
        <v>0</v>
      </c>
      <c r="FH13" s="524">
        <f t="shared" si="164"/>
        <v>0</v>
      </c>
      <c r="FI13" s="522"/>
      <c r="FJ13" s="523">
        <f t="shared" si="53"/>
        <v>0</v>
      </c>
      <c r="FK13" s="524">
        <f t="shared" si="165"/>
        <v>0</v>
      </c>
      <c r="FL13" s="522"/>
      <c r="FM13" s="523">
        <f t="shared" si="54"/>
        <v>0</v>
      </c>
      <c r="FN13" s="524">
        <f t="shared" si="166"/>
        <v>0</v>
      </c>
      <c r="FO13" s="522"/>
      <c r="FP13" s="523">
        <f t="shared" si="55"/>
        <v>0</v>
      </c>
      <c r="FQ13" s="524">
        <f t="shared" si="167"/>
        <v>0</v>
      </c>
      <c r="FR13" s="522"/>
      <c r="FS13" s="523">
        <f t="shared" si="56"/>
        <v>0</v>
      </c>
      <c r="FT13" s="524">
        <f t="shared" si="168"/>
        <v>0</v>
      </c>
      <c r="FU13" s="522"/>
      <c r="FV13" s="523">
        <f t="shared" si="57"/>
        <v>0</v>
      </c>
      <c r="FW13" s="524">
        <f t="shared" si="169"/>
        <v>0</v>
      </c>
      <c r="FX13" s="522"/>
      <c r="FY13" s="523">
        <f t="shared" si="58"/>
        <v>0</v>
      </c>
      <c r="FZ13" s="524">
        <f t="shared" si="170"/>
        <v>0</v>
      </c>
      <c r="GA13" s="522"/>
      <c r="GB13" s="523">
        <f t="shared" si="59"/>
        <v>0</v>
      </c>
      <c r="GC13" s="524">
        <f t="shared" si="171"/>
        <v>0</v>
      </c>
      <c r="GD13" s="522"/>
      <c r="GE13" s="523">
        <f t="shared" si="60"/>
        <v>0</v>
      </c>
      <c r="GF13" s="524">
        <f t="shared" si="172"/>
        <v>0</v>
      </c>
      <c r="GG13" s="522"/>
      <c r="GH13" s="523">
        <f t="shared" si="61"/>
        <v>0</v>
      </c>
      <c r="GI13" s="524">
        <f t="shared" si="173"/>
        <v>0</v>
      </c>
      <c r="GJ13" s="522"/>
      <c r="GK13" s="523">
        <f t="shared" si="62"/>
        <v>0</v>
      </c>
      <c r="GL13" s="524">
        <f t="shared" si="174"/>
        <v>0</v>
      </c>
      <c r="GM13" s="522"/>
      <c r="GN13" s="523">
        <f t="shared" si="63"/>
        <v>0</v>
      </c>
      <c r="GO13" s="524">
        <f t="shared" si="175"/>
        <v>0</v>
      </c>
      <c r="GP13" s="522"/>
      <c r="GQ13" s="523">
        <f t="shared" si="64"/>
        <v>0</v>
      </c>
      <c r="GR13" s="524">
        <f t="shared" si="176"/>
        <v>0</v>
      </c>
      <c r="GS13" s="522"/>
      <c r="GT13" s="523">
        <f t="shared" si="65"/>
        <v>0</v>
      </c>
      <c r="GU13" s="524">
        <f t="shared" si="177"/>
        <v>0</v>
      </c>
      <c r="GV13" s="522"/>
      <c r="GW13" s="523">
        <f t="shared" si="66"/>
        <v>0</v>
      </c>
      <c r="GX13" s="524">
        <f t="shared" si="178"/>
        <v>0</v>
      </c>
      <c r="GY13" s="522"/>
      <c r="GZ13" s="523">
        <f t="shared" si="67"/>
        <v>0</v>
      </c>
      <c r="HA13" s="524">
        <f t="shared" si="179"/>
        <v>0</v>
      </c>
      <c r="HB13" s="522"/>
      <c r="HC13" s="523">
        <f t="shared" si="68"/>
        <v>0</v>
      </c>
      <c r="HD13" s="524">
        <f t="shared" si="180"/>
        <v>0</v>
      </c>
      <c r="HE13" s="522"/>
      <c r="HF13" s="523">
        <f t="shared" si="69"/>
        <v>0</v>
      </c>
      <c r="HG13" s="524">
        <f t="shared" si="181"/>
        <v>0</v>
      </c>
      <c r="HH13" s="522"/>
      <c r="HI13" s="523">
        <f t="shared" si="70"/>
        <v>0</v>
      </c>
      <c r="HJ13" s="524">
        <f t="shared" si="182"/>
        <v>0</v>
      </c>
      <c r="HK13" s="522"/>
      <c r="HL13" s="523">
        <f t="shared" si="71"/>
        <v>0</v>
      </c>
      <c r="HM13" s="524">
        <f t="shared" si="183"/>
        <v>0</v>
      </c>
      <c r="HN13" s="522"/>
      <c r="HO13" s="523">
        <f t="shared" si="72"/>
        <v>0</v>
      </c>
      <c r="HP13" s="524">
        <f t="shared" si="184"/>
        <v>0</v>
      </c>
      <c r="HQ13" s="522"/>
      <c r="HR13" s="523">
        <f t="shared" si="73"/>
        <v>0</v>
      </c>
      <c r="HS13" s="524">
        <f t="shared" si="185"/>
        <v>0</v>
      </c>
      <c r="HT13" s="522"/>
      <c r="HU13" s="523">
        <f t="shared" si="74"/>
        <v>0</v>
      </c>
      <c r="HV13" s="524">
        <f t="shared" si="186"/>
        <v>0</v>
      </c>
      <c r="HW13" s="522"/>
      <c r="HX13" s="523">
        <f t="shared" si="75"/>
        <v>0</v>
      </c>
      <c r="HY13" s="524">
        <f t="shared" si="187"/>
        <v>0</v>
      </c>
      <c r="HZ13" s="522"/>
      <c r="IA13" s="523">
        <f t="shared" si="76"/>
        <v>0</v>
      </c>
      <c r="IB13" s="524">
        <f t="shared" si="188"/>
        <v>0</v>
      </c>
      <c r="IC13" s="522"/>
      <c r="ID13" s="523">
        <f t="shared" si="77"/>
        <v>0</v>
      </c>
      <c r="IE13" s="524">
        <f t="shared" si="189"/>
        <v>0</v>
      </c>
      <c r="IF13" s="522"/>
      <c r="IG13" s="523">
        <f t="shared" si="78"/>
        <v>0</v>
      </c>
      <c r="IH13" s="524">
        <f t="shared" si="190"/>
        <v>0</v>
      </c>
      <c r="II13" s="522"/>
      <c r="IJ13" s="523">
        <f t="shared" si="79"/>
        <v>0</v>
      </c>
      <c r="IK13" s="524">
        <f t="shared" si="191"/>
        <v>0</v>
      </c>
      <c r="IL13" s="522"/>
      <c r="IM13" s="523">
        <f t="shared" si="80"/>
        <v>0</v>
      </c>
      <c r="IN13" s="524">
        <f t="shared" si="192"/>
        <v>0</v>
      </c>
      <c r="IO13" s="522"/>
      <c r="IP13" s="523">
        <f t="shared" si="81"/>
        <v>0</v>
      </c>
      <c r="IQ13" s="524">
        <f t="shared" si="193"/>
        <v>0</v>
      </c>
      <c r="IR13" s="522"/>
      <c r="IS13" s="523">
        <f t="shared" si="82"/>
        <v>0</v>
      </c>
      <c r="IT13" s="524">
        <f t="shared" si="194"/>
        <v>0</v>
      </c>
      <c r="IU13" s="522"/>
      <c r="IV13" s="523">
        <f t="shared" si="83"/>
        <v>0</v>
      </c>
      <c r="IW13" s="524">
        <f t="shared" si="195"/>
        <v>0</v>
      </c>
      <c r="IX13" s="522"/>
      <c r="IY13" s="523">
        <f t="shared" si="84"/>
        <v>0</v>
      </c>
      <c r="IZ13" s="524">
        <f t="shared" si="196"/>
        <v>0</v>
      </c>
      <c r="JA13" s="522"/>
      <c r="JB13" s="523">
        <f t="shared" si="85"/>
        <v>0</v>
      </c>
      <c r="JC13" s="524">
        <f t="shared" si="197"/>
        <v>0</v>
      </c>
      <c r="JD13" s="522"/>
      <c r="JE13" s="523">
        <f t="shared" si="86"/>
        <v>0</v>
      </c>
      <c r="JF13" s="524">
        <f t="shared" si="198"/>
        <v>0</v>
      </c>
      <c r="JG13" s="522"/>
      <c r="JH13" s="523">
        <f t="shared" si="87"/>
        <v>0</v>
      </c>
      <c r="JI13" s="524">
        <f t="shared" si="199"/>
        <v>0</v>
      </c>
      <c r="JJ13" s="522"/>
      <c r="JK13" s="524" t="str">
        <f t="shared" si="88"/>
        <v>0</v>
      </c>
      <c r="JL13" s="524" t="str">
        <f t="shared" si="89"/>
        <v>0</v>
      </c>
      <c r="JM13" s="522"/>
      <c r="JN13" s="524" t="str">
        <f t="shared" si="90"/>
        <v>0</v>
      </c>
      <c r="JO13" s="524" t="str">
        <f t="shared" si="91"/>
        <v>0</v>
      </c>
      <c r="JP13" s="522"/>
      <c r="JQ13" s="524" t="str">
        <f t="shared" si="92"/>
        <v>0</v>
      </c>
      <c r="JR13" s="524" t="str">
        <f t="shared" si="93"/>
        <v>0</v>
      </c>
      <c r="JS13" s="522"/>
      <c r="JT13" s="524" t="str">
        <f t="shared" si="94"/>
        <v>0</v>
      </c>
      <c r="JU13" s="524" t="str">
        <f t="shared" si="95"/>
        <v>0</v>
      </c>
      <c r="JV13" s="522"/>
      <c r="JW13" s="524" t="str">
        <f t="shared" si="96"/>
        <v>0</v>
      </c>
      <c r="JX13" s="524" t="str">
        <f t="shared" si="97"/>
        <v>0</v>
      </c>
      <c r="JY13" s="522"/>
      <c r="JZ13" s="524" t="str">
        <f t="shared" si="98"/>
        <v>0</v>
      </c>
      <c r="KA13" s="524" t="str">
        <f t="shared" si="99"/>
        <v>0</v>
      </c>
      <c r="KB13" s="522"/>
      <c r="KC13" s="524" t="str">
        <f t="shared" si="100"/>
        <v>0</v>
      </c>
      <c r="KD13" s="524" t="str">
        <f t="shared" si="101"/>
        <v>0</v>
      </c>
      <c r="KE13" s="522"/>
      <c r="KF13" s="524" t="str">
        <f t="shared" si="102"/>
        <v>0</v>
      </c>
      <c r="KG13" s="524" t="str">
        <f t="shared" si="103"/>
        <v>0</v>
      </c>
      <c r="KH13" s="522"/>
      <c r="KI13" s="524" t="str">
        <f t="shared" si="104"/>
        <v>0</v>
      </c>
      <c r="KJ13" s="524" t="str">
        <f t="shared" si="105"/>
        <v>0</v>
      </c>
      <c r="KK13" s="522"/>
      <c r="KL13" s="524" t="str">
        <f t="shared" si="106"/>
        <v>0</v>
      </c>
      <c r="KM13" s="524" t="str">
        <f t="shared" si="107"/>
        <v>0</v>
      </c>
      <c r="KN13" s="522"/>
      <c r="KO13" s="524" t="str">
        <f t="shared" si="108"/>
        <v>0</v>
      </c>
      <c r="KP13" s="524" t="str">
        <f t="shared" si="109"/>
        <v>0</v>
      </c>
      <c r="KQ13" s="522"/>
      <c r="KR13" s="524" t="str">
        <f t="shared" si="110"/>
        <v>0</v>
      </c>
      <c r="KS13" s="524" t="str">
        <f t="shared" si="111"/>
        <v>0</v>
      </c>
      <c r="KT13" s="524">
        <f t="shared" si="201"/>
        <v>0</v>
      </c>
      <c r="KU13" s="524">
        <f t="shared" si="202"/>
        <v>0</v>
      </c>
      <c r="KV13" s="261">
        <f t="shared" si="112"/>
        <v>956.46062752890373</v>
      </c>
    </row>
    <row r="14" spans="1:309">
      <c r="A14" s="262">
        <f t="shared" si="200"/>
        <v>45997</v>
      </c>
      <c r="B14" s="263" t="str">
        <f>+Report1!B14</f>
        <v>Facial</v>
      </c>
      <c r="C14" s="263" t="str">
        <f>+Report1!C14</f>
        <v>14</v>
      </c>
      <c r="D14" s="264">
        <f>+Report1!P14</f>
        <v>41.825000000000003</v>
      </c>
      <c r="E14" s="560">
        <f>+Report1!R14</f>
        <v>40.381999999999998</v>
      </c>
      <c r="F14" s="522"/>
      <c r="G14" s="523">
        <f t="shared" si="0"/>
        <v>0</v>
      </c>
      <c r="H14" s="524">
        <f t="shared" si="113"/>
        <v>0</v>
      </c>
      <c r="I14" s="522">
        <v>296.5116279069768</v>
      </c>
      <c r="J14" s="523">
        <f t="shared" si="1"/>
        <v>7.3426682162096188</v>
      </c>
      <c r="K14" s="524">
        <f t="shared" si="114"/>
        <v>0</v>
      </c>
      <c r="L14" s="522"/>
      <c r="M14" s="523">
        <f t="shared" si="2"/>
        <v>0</v>
      </c>
      <c r="N14" s="524">
        <f t="shared" si="115"/>
        <v>0</v>
      </c>
      <c r="O14" s="522">
        <v>3</v>
      </c>
      <c r="P14" s="523">
        <f t="shared" si="3"/>
        <v>7.4290525481650244E-2</v>
      </c>
      <c r="Q14" s="524">
        <f t="shared" si="116"/>
        <v>0</v>
      </c>
      <c r="R14" s="522"/>
      <c r="S14" s="523">
        <f t="shared" si="4"/>
        <v>0</v>
      </c>
      <c r="T14" s="524">
        <f t="shared" si="117"/>
        <v>0</v>
      </c>
      <c r="U14" s="522">
        <v>2.5624999999999929</v>
      </c>
      <c r="V14" s="523">
        <f t="shared" si="5"/>
        <v>6.3456490515576072E-2</v>
      </c>
      <c r="W14" s="524">
        <f t="shared" si="118"/>
        <v>0</v>
      </c>
      <c r="X14" s="522"/>
      <c r="Y14" s="523">
        <f t="shared" si="6"/>
        <v>0</v>
      </c>
      <c r="Z14" s="524">
        <f t="shared" si="119"/>
        <v>0</v>
      </c>
      <c r="AA14" s="522"/>
      <c r="AB14" s="523">
        <f t="shared" si="7"/>
        <v>0</v>
      </c>
      <c r="AC14" s="524">
        <f t="shared" si="120"/>
        <v>0</v>
      </c>
      <c r="AD14" s="522"/>
      <c r="AE14" s="523">
        <f t="shared" si="8"/>
        <v>0</v>
      </c>
      <c r="AF14" s="524">
        <f t="shared" si="121"/>
        <v>0</v>
      </c>
      <c r="AG14" s="522"/>
      <c r="AH14" s="523">
        <f t="shared" si="9"/>
        <v>0</v>
      </c>
      <c r="AI14" s="524">
        <f t="shared" si="122"/>
        <v>0</v>
      </c>
      <c r="AJ14" s="522"/>
      <c r="AK14" s="523">
        <f t="shared" si="10"/>
        <v>0</v>
      </c>
      <c r="AL14" s="524">
        <f t="shared" si="123"/>
        <v>0</v>
      </c>
      <c r="AM14" s="522"/>
      <c r="AN14" s="523">
        <f t="shared" si="11"/>
        <v>0</v>
      </c>
      <c r="AO14" s="524">
        <f t="shared" si="124"/>
        <v>0</v>
      </c>
      <c r="AP14" s="522">
        <v>42.721518987341767</v>
      </c>
      <c r="AQ14" s="523">
        <f t="shared" si="12"/>
        <v>1.0579346983146394</v>
      </c>
      <c r="AR14" s="524">
        <f t="shared" si="125"/>
        <v>0</v>
      </c>
      <c r="AS14" s="522"/>
      <c r="AT14" s="523">
        <f t="shared" si="13"/>
        <v>0</v>
      </c>
      <c r="AU14" s="524">
        <f t="shared" si="126"/>
        <v>0</v>
      </c>
      <c r="AV14" s="522"/>
      <c r="AW14" s="523">
        <f t="shared" si="14"/>
        <v>0</v>
      </c>
      <c r="AX14" s="524">
        <f t="shared" si="127"/>
        <v>0</v>
      </c>
      <c r="AY14" s="522">
        <v>55.999999999999993</v>
      </c>
      <c r="AZ14" s="523">
        <f t="shared" si="15"/>
        <v>1.3867564756574711</v>
      </c>
      <c r="BA14" s="524">
        <f t="shared" si="128"/>
        <v>0</v>
      </c>
      <c r="BB14" s="522"/>
      <c r="BC14" s="523">
        <f t="shared" si="16"/>
        <v>0</v>
      </c>
      <c r="BD14" s="524">
        <f t="shared" si="129"/>
        <v>0</v>
      </c>
      <c r="BE14" s="522"/>
      <c r="BF14" s="523">
        <f t="shared" si="17"/>
        <v>0</v>
      </c>
      <c r="BG14" s="524">
        <f t="shared" si="130"/>
        <v>0</v>
      </c>
      <c r="BH14" s="522"/>
      <c r="BI14" s="523">
        <f t="shared" si="18"/>
        <v>0</v>
      </c>
      <c r="BJ14" s="524">
        <f t="shared" si="131"/>
        <v>0</v>
      </c>
      <c r="BK14" s="522"/>
      <c r="BL14" s="523">
        <f t="shared" si="19"/>
        <v>0</v>
      </c>
      <c r="BM14" s="524">
        <f t="shared" si="132"/>
        <v>0</v>
      </c>
      <c r="BN14" s="522"/>
      <c r="BO14" s="523">
        <f t="shared" si="20"/>
        <v>0</v>
      </c>
      <c r="BP14" s="524">
        <f t="shared" si="133"/>
        <v>0</v>
      </c>
      <c r="BQ14" s="522"/>
      <c r="BR14" s="523">
        <f t="shared" si="21"/>
        <v>0</v>
      </c>
      <c r="BS14" s="524">
        <f t="shared" si="134"/>
        <v>0</v>
      </c>
      <c r="BT14" s="522"/>
      <c r="BU14" s="523">
        <f t="shared" si="22"/>
        <v>0</v>
      </c>
      <c r="BV14" s="524">
        <f t="shared" si="135"/>
        <v>0</v>
      </c>
      <c r="BW14" s="522"/>
      <c r="BX14" s="523">
        <f t="shared" si="23"/>
        <v>0</v>
      </c>
      <c r="BY14" s="524">
        <f t="shared" si="136"/>
        <v>0</v>
      </c>
      <c r="BZ14" s="522"/>
      <c r="CA14" s="523">
        <f t="shared" si="24"/>
        <v>0</v>
      </c>
      <c r="CB14" s="524">
        <f t="shared" si="137"/>
        <v>0</v>
      </c>
      <c r="CC14" s="522"/>
      <c r="CD14" s="523">
        <f t="shared" si="25"/>
        <v>0</v>
      </c>
      <c r="CE14" s="524">
        <f t="shared" si="138"/>
        <v>0</v>
      </c>
      <c r="CF14" s="522">
        <v>1.5</v>
      </c>
      <c r="CG14" s="523">
        <f t="shared" si="26"/>
        <v>3.7145262740825122E-2</v>
      </c>
      <c r="CH14" s="524">
        <f t="shared" si="139"/>
        <v>0</v>
      </c>
      <c r="CI14" s="522"/>
      <c r="CJ14" s="523">
        <f t="shared" si="27"/>
        <v>0</v>
      </c>
      <c r="CK14" s="524">
        <f t="shared" si="140"/>
        <v>0</v>
      </c>
      <c r="CL14" s="522"/>
      <c r="CM14" s="523">
        <f t="shared" si="28"/>
        <v>0</v>
      </c>
      <c r="CN14" s="524">
        <f t="shared" si="141"/>
        <v>0</v>
      </c>
      <c r="CO14" s="522"/>
      <c r="CP14" s="523">
        <f t="shared" si="29"/>
        <v>0</v>
      </c>
      <c r="CQ14" s="524">
        <f t="shared" si="142"/>
        <v>0</v>
      </c>
      <c r="CR14" s="522"/>
      <c r="CS14" s="523">
        <f t="shared" si="30"/>
        <v>0</v>
      </c>
      <c r="CT14" s="524">
        <f t="shared" si="143"/>
        <v>0</v>
      </c>
      <c r="CU14" s="522"/>
      <c r="CV14" s="523">
        <f t="shared" si="31"/>
        <v>0</v>
      </c>
      <c r="CW14" s="524">
        <f t="shared" si="144"/>
        <v>0</v>
      </c>
      <c r="CX14" s="522"/>
      <c r="CY14" s="523">
        <f t="shared" si="32"/>
        <v>0</v>
      </c>
      <c r="CZ14" s="524">
        <f t="shared" si="145"/>
        <v>0</v>
      </c>
      <c r="DA14" s="522"/>
      <c r="DB14" s="523">
        <f t="shared" si="33"/>
        <v>0</v>
      </c>
      <c r="DC14" s="524">
        <f t="shared" si="146"/>
        <v>0</v>
      </c>
      <c r="DD14" s="522"/>
      <c r="DE14" s="523">
        <f t="shared" si="34"/>
        <v>0</v>
      </c>
      <c r="DF14" s="524">
        <f t="shared" si="147"/>
        <v>0</v>
      </c>
      <c r="DG14" s="522"/>
      <c r="DH14" s="523">
        <f t="shared" si="35"/>
        <v>0</v>
      </c>
      <c r="DI14" s="524">
        <f t="shared" ref="DI14:DI39" si="203">+DG14*$H$8</f>
        <v>0</v>
      </c>
      <c r="DJ14" s="522"/>
      <c r="DK14" s="523">
        <f t="shared" si="36"/>
        <v>0</v>
      </c>
      <c r="DL14" s="524">
        <f t="shared" si="148"/>
        <v>0</v>
      </c>
      <c r="DM14" s="522"/>
      <c r="DN14" s="523">
        <f t="shared" si="37"/>
        <v>0</v>
      </c>
      <c r="DO14" s="524">
        <f t="shared" si="149"/>
        <v>0</v>
      </c>
      <c r="DP14" s="522"/>
      <c r="DQ14" s="523">
        <f t="shared" si="38"/>
        <v>0</v>
      </c>
      <c r="DR14" s="524">
        <f t="shared" si="150"/>
        <v>0</v>
      </c>
      <c r="DS14" s="522"/>
      <c r="DT14" s="523">
        <f t="shared" si="39"/>
        <v>0</v>
      </c>
      <c r="DU14" s="524">
        <f t="shared" si="151"/>
        <v>0</v>
      </c>
      <c r="DV14" s="522"/>
      <c r="DW14" s="523">
        <f t="shared" si="40"/>
        <v>0</v>
      </c>
      <c r="DX14" s="524">
        <f t="shared" si="152"/>
        <v>0</v>
      </c>
      <c r="DY14" s="522"/>
      <c r="DZ14" s="523">
        <f t="shared" si="41"/>
        <v>0</v>
      </c>
      <c r="EA14" s="524">
        <f t="shared" si="153"/>
        <v>0</v>
      </c>
      <c r="EB14" s="522"/>
      <c r="EC14" s="523">
        <f t="shared" si="42"/>
        <v>0</v>
      </c>
      <c r="ED14" s="524">
        <f t="shared" si="154"/>
        <v>0</v>
      </c>
      <c r="EE14" s="522">
        <v>82.188235294117646</v>
      </c>
      <c r="EF14" s="523">
        <f t="shared" si="43"/>
        <v>2.0352690628031711</v>
      </c>
      <c r="EG14" s="524">
        <f t="shared" si="155"/>
        <v>0</v>
      </c>
      <c r="EH14" s="522">
        <v>209.30232558139534</v>
      </c>
      <c r="EI14" s="523">
        <f t="shared" si="44"/>
        <v>5.1830599173244352</v>
      </c>
      <c r="EJ14" s="524">
        <f t="shared" si="156"/>
        <v>0</v>
      </c>
      <c r="EK14" s="522"/>
      <c r="EL14" s="523">
        <f t="shared" si="45"/>
        <v>0</v>
      </c>
      <c r="EM14" s="524">
        <f t="shared" si="157"/>
        <v>0</v>
      </c>
      <c r="EN14" s="522"/>
      <c r="EO14" s="523">
        <f t="shared" si="46"/>
        <v>0</v>
      </c>
      <c r="EP14" s="524">
        <f t="shared" si="158"/>
        <v>0</v>
      </c>
      <c r="EQ14" s="522"/>
      <c r="ER14" s="523">
        <f t="shared" si="47"/>
        <v>0</v>
      </c>
      <c r="ES14" s="524">
        <f t="shared" si="159"/>
        <v>0</v>
      </c>
      <c r="ET14" s="522"/>
      <c r="EU14" s="523">
        <f t="shared" si="48"/>
        <v>0</v>
      </c>
      <c r="EV14" s="524">
        <f t="shared" si="160"/>
        <v>0</v>
      </c>
      <c r="EW14" s="522"/>
      <c r="EX14" s="523">
        <f t="shared" si="49"/>
        <v>0</v>
      </c>
      <c r="EY14" s="524">
        <f t="shared" si="161"/>
        <v>0</v>
      </c>
      <c r="EZ14" s="522"/>
      <c r="FA14" s="523">
        <f t="shared" si="50"/>
        <v>0</v>
      </c>
      <c r="FB14" s="524">
        <f t="shared" si="162"/>
        <v>0</v>
      </c>
      <c r="FC14" s="522"/>
      <c r="FD14" s="523">
        <f t="shared" si="51"/>
        <v>0</v>
      </c>
      <c r="FE14" s="524">
        <f t="shared" si="163"/>
        <v>0</v>
      </c>
      <c r="FF14" s="522"/>
      <c r="FG14" s="523">
        <f t="shared" si="52"/>
        <v>0</v>
      </c>
      <c r="FH14" s="524">
        <f t="shared" si="164"/>
        <v>0</v>
      </c>
      <c r="FI14" s="522"/>
      <c r="FJ14" s="523">
        <f t="shared" si="53"/>
        <v>0</v>
      </c>
      <c r="FK14" s="524">
        <f t="shared" si="165"/>
        <v>0</v>
      </c>
      <c r="FL14" s="522"/>
      <c r="FM14" s="523">
        <f t="shared" si="54"/>
        <v>0</v>
      </c>
      <c r="FN14" s="524">
        <f t="shared" si="166"/>
        <v>0</v>
      </c>
      <c r="FO14" s="522"/>
      <c r="FP14" s="523">
        <f t="shared" si="55"/>
        <v>0</v>
      </c>
      <c r="FQ14" s="524">
        <f t="shared" si="167"/>
        <v>0</v>
      </c>
      <c r="FR14" s="522"/>
      <c r="FS14" s="523">
        <f t="shared" si="56"/>
        <v>0</v>
      </c>
      <c r="FT14" s="524">
        <f t="shared" si="168"/>
        <v>0</v>
      </c>
      <c r="FU14" s="522"/>
      <c r="FV14" s="523">
        <f t="shared" si="57"/>
        <v>0</v>
      </c>
      <c r="FW14" s="524">
        <f t="shared" si="169"/>
        <v>0</v>
      </c>
      <c r="FX14" s="522"/>
      <c r="FY14" s="523">
        <f t="shared" si="58"/>
        <v>0</v>
      </c>
      <c r="FZ14" s="524">
        <f t="shared" si="170"/>
        <v>0</v>
      </c>
      <c r="GA14" s="522"/>
      <c r="GB14" s="523">
        <f t="shared" si="59"/>
        <v>0</v>
      </c>
      <c r="GC14" s="524">
        <f t="shared" si="171"/>
        <v>0</v>
      </c>
      <c r="GD14" s="522"/>
      <c r="GE14" s="523">
        <f t="shared" si="60"/>
        <v>0</v>
      </c>
      <c r="GF14" s="524">
        <f t="shared" si="172"/>
        <v>0</v>
      </c>
      <c r="GG14" s="522"/>
      <c r="GH14" s="523">
        <f t="shared" si="61"/>
        <v>0</v>
      </c>
      <c r="GI14" s="524">
        <f t="shared" si="173"/>
        <v>0</v>
      </c>
      <c r="GJ14" s="522"/>
      <c r="GK14" s="523">
        <f t="shared" si="62"/>
        <v>0</v>
      </c>
      <c r="GL14" s="524">
        <f t="shared" si="174"/>
        <v>0</v>
      </c>
      <c r="GM14" s="522"/>
      <c r="GN14" s="523">
        <f t="shared" si="63"/>
        <v>0</v>
      </c>
      <c r="GO14" s="524">
        <f t="shared" si="175"/>
        <v>0</v>
      </c>
      <c r="GP14" s="522"/>
      <c r="GQ14" s="523">
        <f t="shared" si="64"/>
        <v>0</v>
      </c>
      <c r="GR14" s="524">
        <f t="shared" si="176"/>
        <v>0</v>
      </c>
      <c r="GS14" s="522"/>
      <c r="GT14" s="523">
        <f t="shared" si="65"/>
        <v>0</v>
      </c>
      <c r="GU14" s="524">
        <f t="shared" si="177"/>
        <v>0</v>
      </c>
      <c r="GV14" s="522"/>
      <c r="GW14" s="523">
        <f t="shared" si="66"/>
        <v>0</v>
      </c>
      <c r="GX14" s="524">
        <f t="shared" si="178"/>
        <v>0</v>
      </c>
      <c r="GY14" s="522"/>
      <c r="GZ14" s="523">
        <f t="shared" si="67"/>
        <v>0</v>
      </c>
      <c r="HA14" s="524">
        <f t="shared" si="179"/>
        <v>0</v>
      </c>
      <c r="HB14" s="522"/>
      <c r="HC14" s="523">
        <f t="shared" si="68"/>
        <v>0</v>
      </c>
      <c r="HD14" s="524">
        <f t="shared" si="180"/>
        <v>0</v>
      </c>
      <c r="HE14" s="522"/>
      <c r="HF14" s="523">
        <f t="shared" si="69"/>
        <v>0</v>
      </c>
      <c r="HG14" s="524">
        <f t="shared" si="181"/>
        <v>0</v>
      </c>
      <c r="HH14" s="522"/>
      <c r="HI14" s="523">
        <f t="shared" si="70"/>
        <v>0</v>
      </c>
      <c r="HJ14" s="524">
        <f t="shared" si="182"/>
        <v>0</v>
      </c>
      <c r="HK14" s="522"/>
      <c r="HL14" s="523">
        <f t="shared" si="71"/>
        <v>0</v>
      </c>
      <c r="HM14" s="524">
        <f t="shared" si="183"/>
        <v>0</v>
      </c>
      <c r="HN14" s="522"/>
      <c r="HO14" s="523">
        <f t="shared" si="72"/>
        <v>0</v>
      </c>
      <c r="HP14" s="524">
        <f t="shared" si="184"/>
        <v>0</v>
      </c>
      <c r="HQ14" s="522"/>
      <c r="HR14" s="523">
        <f t="shared" si="73"/>
        <v>0</v>
      </c>
      <c r="HS14" s="524">
        <f t="shared" si="185"/>
        <v>0</v>
      </c>
      <c r="HT14" s="522"/>
      <c r="HU14" s="523">
        <f t="shared" si="74"/>
        <v>0</v>
      </c>
      <c r="HV14" s="524">
        <f t="shared" si="186"/>
        <v>0</v>
      </c>
      <c r="HW14" s="522"/>
      <c r="HX14" s="523">
        <f t="shared" si="75"/>
        <v>0</v>
      </c>
      <c r="HY14" s="524">
        <f t="shared" si="187"/>
        <v>0</v>
      </c>
      <c r="HZ14" s="522"/>
      <c r="IA14" s="523">
        <f t="shared" si="76"/>
        <v>0</v>
      </c>
      <c r="IB14" s="524">
        <f t="shared" si="188"/>
        <v>0</v>
      </c>
      <c r="IC14" s="522"/>
      <c r="ID14" s="523">
        <f t="shared" si="77"/>
        <v>0</v>
      </c>
      <c r="IE14" s="524">
        <f t="shared" si="189"/>
        <v>0</v>
      </c>
      <c r="IF14" s="522"/>
      <c r="IG14" s="523">
        <f t="shared" si="78"/>
        <v>0</v>
      </c>
      <c r="IH14" s="524">
        <f t="shared" si="190"/>
        <v>0</v>
      </c>
      <c r="II14" s="522"/>
      <c r="IJ14" s="523">
        <f t="shared" si="79"/>
        <v>0</v>
      </c>
      <c r="IK14" s="524">
        <f t="shared" si="191"/>
        <v>0</v>
      </c>
      <c r="IL14" s="522"/>
      <c r="IM14" s="523">
        <f t="shared" si="80"/>
        <v>0</v>
      </c>
      <c r="IN14" s="524">
        <f t="shared" si="192"/>
        <v>0</v>
      </c>
      <c r="IO14" s="522"/>
      <c r="IP14" s="523">
        <f t="shared" si="81"/>
        <v>0</v>
      </c>
      <c r="IQ14" s="524">
        <f t="shared" si="193"/>
        <v>0</v>
      </c>
      <c r="IR14" s="522"/>
      <c r="IS14" s="523">
        <f t="shared" si="82"/>
        <v>0</v>
      </c>
      <c r="IT14" s="524">
        <f t="shared" si="194"/>
        <v>0</v>
      </c>
      <c r="IU14" s="522"/>
      <c r="IV14" s="523">
        <f t="shared" si="83"/>
        <v>0</v>
      </c>
      <c r="IW14" s="524">
        <f t="shared" si="195"/>
        <v>0</v>
      </c>
      <c r="IX14" s="522"/>
      <c r="IY14" s="523">
        <f t="shared" si="84"/>
        <v>0</v>
      </c>
      <c r="IZ14" s="524">
        <f t="shared" si="196"/>
        <v>0</v>
      </c>
      <c r="JA14" s="522"/>
      <c r="JB14" s="523">
        <f t="shared" si="85"/>
        <v>0</v>
      </c>
      <c r="JC14" s="524">
        <f t="shared" si="197"/>
        <v>0</v>
      </c>
      <c r="JD14" s="522"/>
      <c r="JE14" s="523">
        <f t="shared" si="86"/>
        <v>0</v>
      </c>
      <c r="JF14" s="524">
        <f t="shared" si="198"/>
        <v>0</v>
      </c>
      <c r="JG14" s="522"/>
      <c r="JH14" s="523">
        <f t="shared" si="87"/>
        <v>0</v>
      </c>
      <c r="JI14" s="524">
        <f t="shared" si="199"/>
        <v>0</v>
      </c>
      <c r="JJ14" s="522"/>
      <c r="JK14" s="524" t="str">
        <f t="shared" si="88"/>
        <v>0</v>
      </c>
      <c r="JL14" s="524" t="str">
        <f t="shared" si="89"/>
        <v>0</v>
      </c>
      <c r="JM14" s="522"/>
      <c r="JN14" s="524" t="str">
        <f t="shared" si="90"/>
        <v>0</v>
      </c>
      <c r="JO14" s="524" t="str">
        <f t="shared" si="91"/>
        <v>0</v>
      </c>
      <c r="JP14" s="522"/>
      <c r="JQ14" s="524" t="str">
        <f t="shared" si="92"/>
        <v>0</v>
      </c>
      <c r="JR14" s="524" t="str">
        <f t="shared" si="93"/>
        <v>0</v>
      </c>
      <c r="JS14" s="522"/>
      <c r="JT14" s="524" t="str">
        <f t="shared" si="94"/>
        <v>0</v>
      </c>
      <c r="JU14" s="524" t="str">
        <f t="shared" si="95"/>
        <v>0</v>
      </c>
      <c r="JV14" s="522"/>
      <c r="JW14" s="524" t="str">
        <f t="shared" si="96"/>
        <v>0</v>
      </c>
      <c r="JX14" s="524" t="str">
        <f t="shared" si="97"/>
        <v>0</v>
      </c>
      <c r="JY14" s="522"/>
      <c r="JZ14" s="524" t="str">
        <f t="shared" si="98"/>
        <v>0</v>
      </c>
      <c r="KA14" s="524" t="str">
        <f t="shared" si="99"/>
        <v>0</v>
      </c>
      <c r="KB14" s="522"/>
      <c r="KC14" s="524" t="str">
        <f t="shared" si="100"/>
        <v>0</v>
      </c>
      <c r="KD14" s="524" t="str">
        <f t="shared" si="101"/>
        <v>0</v>
      </c>
      <c r="KE14" s="522"/>
      <c r="KF14" s="524" t="str">
        <f t="shared" si="102"/>
        <v>0</v>
      </c>
      <c r="KG14" s="524" t="str">
        <f t="shared" si="103"/>
        <v>0</v>
      </c>
      <c r="KH14" s="522"/>
      <c r="KI14" s="524" t="str">
        <f t="shared" si="104"/>
        <v>0</v>
      </c>
      <c r="KJ14" s="524" t="str">
        <f t="shared" si="105"/>
        <v>0</v>
      </c>
      <c r="KK14" s="522"/>
      <c r="KL14" s="524" t="str">
        <f t="shared" si="106"/>
        <v>0</v>
      </c>
      <c r="KM14" s="524" t="str">
        <f t="shared" si="107"/>
        <v>0</v>
      </c>
      <c r="KN14" s="522"/>
      <c r="KO14" s="524" t="str">
        <f t="shared" si="108"/>
        <v>0</v>
      </c>
      <c r="KP14" s="524" t="str">
        <f t="shared" si="109"/>
        <v>0</v>
      </c>
      <c r="KQ14" s="522"/>
      <c r="KR14" s="524" t="str">
        <f t="shared" si="110"/>
        <v>0</v>
      </c>
      <c r="KS14" s="524" t="str">
        <f t="shared" si="111"/>
        <v>0</v>
      </c>
      <c r="KT14" s="524">
        <f t="shared" si="201"/>
        <v>0</v>
      </c>
      <c r="KU14" s="524">
        <f t="shared" si="202"/>
        <v>0</v>
      </c>
      <c r="KV14" s="261">
        <f t="shared" si="112"/>
        <v>693.78620776983155</v>
      </c>
    </row>
    <row r="15" spans="1:309">
      <c r="A15" s="262">
        <f t="shared" si="200"/>
        <v>45998</v>
      </c>
      <c r="B15" s="263" t="str">
        <f>+Report1!B15</f>
        <v>Facial</v>
      </c>
      <c r="C15" s="263" t="str">
        <f>+Report1!C15</f>
        <v>14</v>
      </c>
      <c r="D15" s="264">
        <f>+Report1!P15</f>
        <v>41.730000000000004</v>
      </c>
      <c r="E15" s="560">
        <f>+Report1!R15</f>
        <v>41.706000000000003</v>
      </c>
      <c r="F15" s="522"/>
      <c r="G15" s="523">
        <f t="shared" si="0"/>
        <v>0</v>
      </c>
      <c r="H15" s="524">
        <f t="shared" si="113"/>
        <v>0</v>
      </c>
      <c r="I15" s="522">
        <v>296.5116279069768</v>
      </c>
      <c r="J15" s="523">
        <f t="shared" si="1"/>
        <v>7.109567637917249</v>
      </c>
      <c r="K15" s="524">
        <f t="shared" si="114"/>
        <v>0</v>
      </c>
      <c r="L15" s="522"/>
      <c r="M15" s="523">
        <f t="shared" si="2"/>
        <v>0</v>
      </c>
      <c r="N15" s="524">
        <f t="shared" si="115"/>
        <v>0</v>
      </c>
      <c r="O15" s="522">
        <v>3</v>
      </c>
      <c r="P15" s="523">
        <f t="shared" si="3"/>
        <v>7.1932096101280388E-2</v>
      </c>
      <c r="Q15" s="524">
        <f t="shared" si="116"/>
        <v>0</v>
      </c>
      <c r="R15" s="522"/>
      <c r="S15" s="523">
        <f t="shared" si="4"/>
        <v>0</v>
      </c>
      <c r="T15" s="524">
        <f t="shared" si="117"/>
        <v>0</v>
      </c>
      <c r="U15" s="522">
        <v>2.5624999999999929</v>
      </c>
      <c r="V15" s="523">
        <f>+U15/$E15</f>
        <v>6.1441998753176824E-2</v>
      </c>
      <c r="W15" s="524">
        <f t="shared" si="118"/>
        <v>0</v>
      </c>
      <c r="X15" s="522"/>
      <c r="Y15" s="523">
        <f t="shared" si="6"/>
        <v>0</v>
      </c>
      <c r="Z15" s="524">
        <f t="shared" si="119"/>
        <v>0</v>
      </c>
      <c r="AA15" s="522"/>
      <c r="AB15" s="523">
        <f t="shared" si="7"/>
        <v>0</v>
      </c>
      <c r="AC15" s="524">
        <f t="shared" si="120"/>
        <v>0</v>
      </c>
      <c r="AD15" s="522"/>
      <c r="AE15" s="523">
        <f t="shared" si="8"/>
        <v>0</v>
      </c>
      <c r="AF15" s="524">
        <f t="shared" si="121"/>
        <v>0</v>
      </c>
      <c r="AG15" s="522"/>
      <c r="AH15" s="523">
        <f t="shared" si="9"/>
        <v>0</v>
      </c>
      <c r="AI15" s="524">
        <f t="shared" si="122"/>
        <v>0</v>
      </c>
      <c r="AJ15" s="522"/>
      <c r="AK15" s="523">
        <f t="shared" si="10"/>
        <v>0</v>
      </c>
      <c r="AL15" s="524">
        <f t="shared" si="123"/>
        <v>0</v>
      </c>
      <c r="AM15" s="522"/>
      <c r="AN15" s="523">
        <f t="shared" si="11"/>
        <v>0</v>
      </c>
      <c r="AO15" s="524">
        <f t="shared" si="124"/>
        <v>0</v>
      </c>
      <c r="AP15" s="522">
        <v>42.721518987341767</v>
      </c>
      <c r="AQ15" s="523">
        <f t="shared" si="12"/>
        <v>1.0243494697967142</v>
      </c>
      <c r="AR15" s="524">
        <f t="shared" si="125"/>
        <v>0</v>
      </c>
      <c r="AS15" s="522"/>
      <c r="AT15" s="523">
        <f t="shared" si="13"/>
        <v>0</v>
      </c>
      <c r="AU15" s="524">
        <f t="shared" si="126"/>
        <v>0</v>
      </c>
      <c r="AV15" s="522"/>
      <c r="AW15" s="523">
        <f t="shared" si="14"/>
        <v>0</v>
      </c>
      <c r="AX15" s="524">
        <f t="shared" si="127"/>
        <v>0</v>
      </c>
      <c r="AY15" s="522">
        <v>55.999999999999993</v>
      </c>
      <c r="AZ15" s="523">
        <f t="shared" si="15"/>
        <v>1.3427324605572337</v>
      </c>
      <c r="BA15" s="524">
        <f t="shared" si="128"/>
        <v>0</v>
      </c>
      <c r="BB15" s="522"/>
      <c r="BC15" s="523">
        <f t="shared" si="16"/>
        <v>0</v>
      </c>
      <c r="BD15" s="524">
        <f t="shared" si="129"/>
        <v>0</v>
      </c>
      <c r="BE15" s="522"/>
      <c r="BF15" s="523">
        <f t="shared" si="17"/>
        <v>0</v>
      </c>
      <c r="BG15" s="524">
        <f t="shared" si="130"/>
        <v>0</v>
      </c>
      <c r="BH15" s="522"/>
      <c r="BI15" s="523">
        <f t="shared" si="18"/>
        <v>0</v>
      </c>
      <c r="BJ15" s="524">
        <f t="shared" si="131"/>
        <v>0</v>
      </c>
      <c r="BK15" s="522"/>
      <c r="BL15" s="523">
        <f t="shared" si="19"/>
        <v>0</v>
      </c>
      <c r="BM15" s="524">
        <f t="shared" si="132"/>
        <v>0</v>
      </c>
      <c r="BN15" s="522"/>
      <c r="BO15" s="523">
        <f t="shared" si="20"/>
        <v>0</v>
      </c>
      <c r="BP15" s="524">
        <f t="shared" si="133"/>
        <v>0</v>
      </c>
      <c r="BQ15" s="522"/>
      <c r="BR15" s="523">
        <f t="shared" si="21"/>
        <v>0</v>
      </c>
      <c r="BS15" s="524">
        <f t="shared" si="134"/>
        <v>0</v>
      </c>
      <c r="BT15" s="522"/>
      <c r="BU15" s="523">
        <f t="shared" si="22"/>
        <v>0</v>
      </c>
      <c r="BV15" s="524">
        <f t="shared" si="135"/>
        <v>0</v>
      </c>
      <c r="BW15" s="522"/>
      <c r="BX15" s="523">
        <f t="shared" si="23"/>
        <v>0</v>
      </c>
      <c r="BY15" s="524">
        <f t="shared" si="136"/>
        <v>0</v>
      </c>
      <c r="BZ15" s="522"/>
      <c r="CA15" s="523">
        <f t="shared" si="24"/>
        <v>0</v>
      </c>
      <c r="CB15" s="524">
        <f t="shared" si="137"/>
        <v>0</v>
      </c>
      <c r="CC15" s="522"/>
      <c r="CD15" s="523">
        <f t="shared" si="25"/>
        <v>0</v>
      </c>
      <c r="CE15" s="524">
        <f t="shared" si="138"/>
        <v>0</v>
      </c>
      <c r="CF15" s="522">
        <v>1.5</v>
      </c>
      <c r="CG15" s="523">
        <f t="shared" si="26"/>
        <v>3.5966048050640194E-2</v>
      </c>
      <c r="CH15" s="524">
        <f t="shared" si="139"/>
        <v>0</v>
      </c>
      <c r="CI15" s="522"/>
      <c r="CJ15" s="523">
        <f t="shared" si="27"/>
        <v>0</v>
      </c>
      <c r="CK15" s="524">
        <f t="shared" si="140"/>
        <v>0</v>
      </c>
      <c r="CL15" s="522"/>
      <c r="CM15" s="523">
        <f t="shared" si="28"/>
        <v>0</v>
      </c>
      <c r="CN15" s="524">
        <f t="shared" si="141"/>
        <v>0</v>
      </c>
      <c r="CO15" s="522"/>
      <c r="CP15" s="523">
        <f t="shared" si="29"/>
        <v>0</v>
      </c>
      <c r="CQ15" s="524">
        <f t="shared" si="142"/>
        <v>0</v>
      </c>
      <c r="CR15" s="522"/>
      <c r="CS15" s="523">
        <f t="shared" si="30"/>
        <v>0</v>
      </c>
      <c r="CT15" s="524">
        <f t="shared" si="143"/>
        <v>0</v>
      </c>
      <c r="CU15" s="522"/>
      <c r="CV15" s="523">
        <f t="shared" si="31"/>
        <v>0</v>
      </c>
      <c r="CW15" s="524">
        <f t="shared" si="144"/>
        <v>0</v>
      </c>
      <c r="CX15" s="522"/>
      <c r="CY15" s="523">
        <f t="shared" si="32"/>
        <v>0</v>
      </c>
      <c r="CZ15" s="524">
        <f t="shared" si="145"/>
        <v>0</v>
      </c>
      <c r="DA15" s="522"/>
      <c r="DB15" s="523">
        <f t="shared" si="33"/>
        <v>0</v>
      </c>
      <c r="DC15" s="524">
        <f t="shared" si="146"/>
        <v>0</v>
      </c>
      <c r="DD15" s="522"/>
      <c r="DE15" s="523">
        <f t="shared" si="34"/>
        <v>0</v>
      </c>
      <c r="DF15" s="524">
        <f t="shared" si="147"/>
        <v>0</v>
      </c>
      <c r="DG15" s="522"/>
      <c r="DH15" s="523">
        <f t="shared" si="35"/>
        <v>0</v>
      </c>
      <c r="DI15" s="524">
        <f t="shared" si="203"/>
        <v>0</v>
      </c>
      <c r="DJ15" s="522"/>
      <c r="DK15" s="523">
        <f t="shared" si="36"/>
        <v>0</v>
      </c>
      <c r="DL15" s="524">
        <f t="shared" si="148"/>
        <v>0</v>
      </c>
      <c r="DM15" s="522"/>
      <c r="DN15" s="523">
        <f t="shared" si="37"/>
        <v>0</v>
      </c>
      <c r="DO15" s="524">
        <f t="shared" si="149"/>
        <v>0</v>
      </c>
      <c r="DP15" s="522"/>
      <c r="DQ15" s="523">
        <f t="shared" si="38"/>
        <v>0</v>
      </c>
      <c r="DR15" s="524">
        <f t="shared" si="150"/>
        <v>0</v>
      </c>
      <c r="DS15" s="522"/>
      <c r="DT15" s="523">
        <f t="shared" si="39"/>
        <v>0</v>
      </c>
      <c r="DU15" s="524">
        <f t="shared" si="151"/>
        <v>0</v>
      </c>
      <c r="DV15" s="522"/>
      <c r="DW15" s="523">
        <f t="shared" si="40"/>
        <v>0</v>
      </c>
      <c r="DX15" s="524">
        <f t="shared" si="152"/>
        <v>0</v>
      </c>
      <c r="DY15" s="522"/>
      <c r="DZ15" s="523">
        <f t="shared" si="41"/>
        <v>0</v>
      </c>
      <c r="EA15" s="524">
        <f t="shared" si="153"/>
        <v>0</v>
      </c>
      <c r="EB15" s="522"/>
      <c r="EC15" s="523">
        <f t="shared" si="42"/>
        <v>0</v>
      </c>
      <c r="ED15" s="524">
        <f t="shared" si="154"/>
        <v>0</v>
      </c>
      <c r="EE15" s="522">
        <v>82.188235294117646</v>
      </c>
      <c r="EF15" s="523">
        <f t="shared" si="43"/>
        <v>1.9706573465237049</v>
      </c>
      <c r="EG15" s="524">
        <f t="shared" si="155"/>
        <v>0</v>
      </c>
      <c r="EH15" s="522">
        <v>209.30232558139534</v>
      </c>
      <c r="EI15" s="523">
        <f t="shared" si="44"/>
        <v>5.0185183326474689</v>
      </c>
      <c r="EJ15" s="524">
        <f t="shared" si="156"/>
        <v>0</v>
      </c>
      <c r="EK15" s="522"/>
      <c r="EL15" s="523">
        <f t="shared" si="45"/>
        <v>0</v>
      </c>
      <c r="EM15" s="524">
        <f t="shared" si="157"/>
        <v>0</v>
      </c>
      <c r="EN15" s="522"/>
      <c r="EO15" s="523">
        <f t="shared" si="46"/>
        <v>0</v>
      </c>
      <c r="EP15" s="524">
        <f t="shared" si="158"/>
        <v>0</v>
      </c>
      <c r="EQ15" s="522"/>
      <c r="ER15" s="523">
        <f t="shared" si="47"/>
        <v>0</v>
      </c>
      <c r="ES15" s="524">
        <f t="shared" si="159"/>
        <v>0</v>
      </c>
      <c r="ET15" s="522"/>
      <c r="EU15" s="523">
        <f t="shared" si="48"/>
        <v>0</v>
      </c>
      <c r="EV15" s="524">
        <f t="shared" si="160"/>
        <v>0</v>
      </c>
      <c r="EW15" s="522"/>
      <c r="EX15" s="523">
        <f t="shared" si="49"/>
        <v>0</v>
      </c>
      <c r="EY15" s="524">
        <f t="shared" si="161"/>
        <v>0</v>
      </c>
      <c r="EZ15" s="522"/>
      <c r="FA15" s="523">
        <f t="shared" si="50"/>
        <v>0</v>
      </c>
      <c r="FB15" s="524">
        <f t="shared" si="162"/>
        <v>0</v>
      </c>
      <c r="FC15" s="522"/>
      <c r="FD15" s="523">
        <f t="shared" si="51"/>
        <v>0</v>
      </c>
      <c r="FE15" s="524">
        <f t="shared" si="163"/>
        <v>0</v>
      </c>
      <c r="FF15" s="522"/>
      <c r="FG15" s="523">
        <f t="shared" si="52"/>
        <v>0</v>
      </c>
      <c r="FH15" s="524">
        <f t="shared" si="164"/>
        <v>0</v>
      </c>
      <c r="FI15" s="522"/>
      <c r="FJ15" s="523">
        <f t="shared" si="53"/>
        <v>0</v>
      </c>
      <c r="FK15" s="524">
        <f t="shared" si="165"/>
        <v>0</v>
      </c>
      <c r="FL15" s="522"/>
      <c r="FM15" s="523">
        <f t="shared" si="54"/>
        <v>0</v>
      </c>
      <c r="FN15" s="524">
        <f t="shared" si="166"/>
        <v>0</v>
      </c>
      <c r="FO15" s="522"/>
      <c r="FP15" s="523">
        <f t="shared" si="55"/>
        <v>0</v>
      </c>
      <c r="FQ15" s="524">
        <f t="shared" si="167"/>
        <v>0</v>
      </c>
      <c r="FR15" s="522"/>
      <c r="FS15" s="523">
        <f t="shared" si="56"/>
        <v>0</v>
      </c>
      <c r="FT15" s="524">
        <f t="shared" si="168"/>
        <v>0</v>
      </c>
      <c r="FU15" s="522"/>
      <c r="FV15" s="523">
        <f t="shared" si="57"/>
        <v>0</v>
      </c>
      <c r="FW15" s="524">
        <f t="shared" si="169"/>
        <v>0</v>
      </c>
      <c r="FX15" s="522"/>
      <c r="FY15" s="523">
        <f t="shared" si="58"/>
        <v>0</v>
      </c>
      <c r="FZ15" s="524">
        <f t="shared" si="170"/>
        <v>0</v>
      </c>
      <c r="GA15" s="522"/>
      <c r="GB15" s="523">
        <f t="shared" si="59"/>
        <v>0</v>
      </c>
      <c r="GC15" s="524">
        <f t="shared" si="171"/>
        <v>0</v>
      </c>
      <c r="GD15" s="522"/>
      <c r="GE15" s="523">
        <f t="shared" si="60"/>
        <v>0</v>
      </c>
      <c r="GF15" s="524">
        <f t="shared" si="172"/>
        <v>0</v>
      </c>
      <c r="GG15" s="522"/>
      <c r="GH15" s="523">
        <f t="shared" si="61"/>
        <v>0</v>
      </c>
      <c r="GI15" s="524">
        <f t="shared" si="173"/>
        <v>0</v>
      </c>
      <c r="GJ15" s="522"/>
      <c r="GK15" s="523">
        <f t="shared" si="62"/>
        <v>0</v>
      </c>
      <c r="GL15" s="524">
        <f t="shared" si="174"/>
        <v>0</v>
      </c>
      <c r="GM15" s="522"/>
      <c r="GN15" s="523">
        <f t="shared" si="63"/>
        <v>0</v>
      </c>
      <c r="GO15" s="524">
        <f t="shared" si="175"/>
        <v>0</v>
      </c>
      <c r="GP15" s="522"/>
      <c r="GQ15" s="523">
        <f t="shared" si="64"/>
        <v>0</v>
      </c>
      <c r="GR15" s="524">
        <f t="shared" si="176"/>
        <v>0</v>
      </c>
      <c r="GS15" s="522"/>
      <c r="GT15" s="523">
        <f t="shared" si="65"/>
        <v>0</v>
      </c>
      <c r="GU15" s="524">
        <f t="shared" si="177"/>
        <v>0</v>
      </c>
      <c r="GV15" s="522"/>
      <c r="GW15" s="523">
        <f t="shared" si="66"/>
        <v>0</v>
      </c>
      <c r="GX15" s="524">
        <f t="shared" si="178"/>
        <v>0</v>
      </c>
      <c r="GY15" s="522"/>
      <c r="GZ15" s="523">
        <f t="shared" si="67"/>
        <v>0</v>
      </c>
      <c r="HA15" s="524">
        <f t="shared" si="179"/>
        <v>0</v>
      </c>
      <c r="HB15" s="522"/>
      <c r="HC15" s="523">
        <f t="shared" si="68"/>
        <v>0</v>
      </c>
      <c r="HD15" s="524">
        <f t="shared" si="180"/>
        <v>0</v>
      </c>
      <c r="HE15" s="522"/>
      <c r="HF15" s="523">
        <f t="shared" si="69"/>
        <v>0</v>
      </c>
      <c r="HG15" s="524">
        <f t="shared" si="181"/>
        <v>0</v>
      </c>
      <c r="HH15" s="522"/>
      <c r="HI15" s="523">
        <f t="shared" si="70"/>
        <v>0</v>
      </c>
      <c r="HJ15" s="524">
        <f t="shared" si="182"/>
        <v>0</v>
      </c>
      <c r="HK15" s="522"/>
      <c r="HL15" s="523">
        <f t="shared" si="71"/>
        <v>0</v>
      </c>
      <c r="HM15" s="524">
        <f t="shared" si="183"/>
        <v>0</v>
      </c>
      <c r="HN15" s="522"/>
      <c r="HO15" s="523">
        <f t="shared" si="72"/>
        <v>0</v>
      </c>
      <c r="HP15" s="524">
        <f t="shared" si="184"/>
        <v>0</v>
      </c>
      <c r="HQ15" s="522"/>
      <c r="HR15" s="523">
        <f t="shared" si="73"/>
        <v>0</v>
      </c>
      <c r="HS15" s="524">
        <f t="shared" si="185"/>
        <v>0</v>
      </c>
      <c r="HT15" s="522"/>
      <c r="HU15" s="523">
        <f t="shared" si="74"/>
        <v>0</v>
      </c>
      <c r="HV15" s="524">
        <f t="shared" si="186"/>
        <v>0</v>
      </c>
      <c r="HW15" s="522"/>
      <c r="HX15" s="523">
        <f t="shared" si="75"/>
        <v>0</v>
      </c>
      <c r="HY15" s="524">
        <f t="shared" si="187"/>
        <v>0</v>
      </c>
      <c r="HZ15" s="522"/>
      <c r="IA15" s="523">
        <f t="shared" si="76"/>
        <v>0</v>
      </c>
      <c r="IB15" s="524">
        <f t="shared" si="188"/>
        <v>0</v>
      </c>
      <c r="IC15" s="522"/>
      <c r="ID15" s="523">
        <f t="shared" si="77"/>
        <v>0</v>
      </c>
      <c r="IE15" s="524">
        <f t="shared" si="189"/>
        <v>0</v>
      </c>
      <c r="IF15" s="522"/>
      <c r="IG15" s="523">
        <f t="shared" si="78"/>
        <v>0</v>
      </c>
      <c r="IH15" s="524">
        <f t="shared" si="190"/>
        <v>0</v>
      </c>
      <c r="II15" s="522"/>
      <c r="IJ15" s="523">
        <f t="shared" si="79"/>
        <v>0</v>
      </c>
      <c r="IK15" s="524">
        <f t="shared" si="191"/>
        <v>0</v>
      </c>
      <c r="IL15" s="522"/>
      <c r="IM15" s="523">
        <f t="shared" si="80"/>
        <v>0</v>
      </c>
      <c r="IN15" s="524">
        <f t="shared" si="192"/>
        <v>0</v>
      </c>
      <c r="IO15" s="522"/>
      <c r="IP15" s="523">
        <f t="shared" si="81"/>
        <v>0</v>
      </c>
      <c r="IQ15" s="524">
        <f t="shared" si="193"/>
        <v>0</v>
      </c>
      <c r="IR15" s="522"/>
      <c r="IS15" s="523">
        <f t="shared" si="82"/>
        <v>0</v>
      </c>
      <c r="IT15" s="524">
        <f t="shared" si="194"/>
        <v>0</v>
      </c>
      <c r="IU15" s="522"/>
      <c r="IV15" s="523">
        <f t="shared" si="83"/>
        <v>0</v>
      </c>
      <c r="IW15" s="524">
        <f t="shared" si="195"/>
        <v>0</v>
      </c>
      <c r="IX15" s="522"/>
      <c r="IY15" s="523">
        <f t="shared" si="84"/>
        <v>0</v>
      </c>
      <c r="IZ15" s="524">
        <f t="shared" si="196"/>
        <v>0</v>
      </c>
      <c r="JA15" s="522"/>
      <c r="JB15" s="523">
        <f t="shared" si="85"/>
        <v>0</v>
      </c>
      <c r="JC15" s="524">
        <f t="shared" si="197"/>
        <v>0</v>
      </c>
      <c r="JD15" s="522"/>
      <c r="JE15" s="523">
        <f t="shared" si="86"/>
        <v>0</v>
      </c>
      <c r="JF15" s="524">
        <f t="shared" si="198"/>
        <v>0</v>
      </c>
      <c r="JG15" s="522"/>
      <c r="JH15" s="523">
        <f t="shared" si="87"/>
        <v>0</v>
      </c>
      <c r="JI15" s="524">
        <f t="shared" si="199"/>
        <v>0</v>
      </c>
      <c r="JJ15" s="522"/>
      <c r="JK15" s="524" t="str">
        <f t="shared" si="88"/>
        <v>0</v>
      </c>
      <c r="JL15" s="524" t="str">
        <f t="shared" si="89"/>
        <v>0</v>
      </c>
      <c r="JM15" s="522"/>
      <c r="JN15" s="524" t="str">
        <f t="shared" si="90"/>
        <v>0</v>
      </c>
      <c r="JO15" s="524" t="str">
        <f t="shared" si="91"/>
        <v>0</v>
      </c>
      <c r="JP15" s="522"/>
      <c r="JQ15" s="524" t="str">
        <f t="shared" si="92"/>
        <v>0</v>
      </c>
      <c r="JR15" s="524" t="str">
        <f t="shared" si="93"/>
        <v>0</v>
      </c>
      <c r="JS15" s="522"/>
      <c r="JT15" s="524" t="str">
        <f t="shared" si="94"/>
        <v>0</v>
      </c>
      <c r="JU15" s="524" t="str">
        <f t="shared" si="95"/>
        <v>0</v>
      </c>
      <c r="JV15" s="522"/>
      <c r="JW15" s="524" t="str">
        <f t="shared" si="96"/>
        <v>0</v>
      </c>
      <c r="JX15" s="524" t="str">
        <f t="shared" si="97"/>
        <v>0</v>
      </c>
      <c r="JY15" s="522"/>
      <c r="JZ15" s="524" t="str">
        <f t="shared" si="98"/>
        <v>0</v>
      </c>
      <c r="KA15" s="524" t="str">
        <f t="shared" si="99"/>
        <v>0</v>
      </c>
      <c r="KB15" s="522"/>
      <c r="KC15" s="524" t="str">
        <f t="shared" si="100"/>
        <v>0</v>
      </c>
      <c r="KD15" s="524" t="str">
        <f t="shared" si="101"/>
        <v>0</v>
      </c>
      <c r="KE15" s="522"/>
      <c r="KF15" s="524" t="str">
        <f t="shared" si="102"/>
        <v>0</v>
      </c>
      <c r="KG15" s="524" t="str">
        <f t="shared" si="103"/>
        <v>0</v>
      </c>
      <c r="KH15" s="522"/>
      <c r="KI15" s="524" t="str">
        <f t="shared" si="104"/>
        <v>0</v>
      </c>
      <c r="KJ15" s="524" t="str">
        <f t="shared" si="105"/>
        <v>0</v>
      </c>
      <c r="KK15" s="522"/>
      <c r="KL15" s="524" t="str">
        <f t="shared" si="106"/>
        <v>0</v>
      </c>
      <c r="KM15" s="524" t="str">
        <f t="shared" si="107"/>
        <v>0</v>
      </c>
      <c r="KN15" s="522"/>
      <c r="KO15" s="524" t="str">
        <f t="shared" si="108"/>
        <v>0</v>
      </c>
      <c r="KP15" s="524" t="str">
        <f t="shared" si="109"/>
        <v>0</v>
      </c>
      <c r="KQ15" s="522"/>
      <c r="KR15" s="524" t="str">
        <f t="shared" si="110"/>
        <v>0</v>
      </c>
      <c r="KS15" s="524" t="str">
        <f t="shared" si="111"/>
        <v>0</v>
      </c>
      <c r="KT15" s="524">
        <f t="shared" si="201"/>
        <v>0</v>
      </c>
      <c r="KU15" s="524">
        <f t="shared" si="202"/>
        <v>0</v>
      </c>
      <c r="KV15" s="261">
        <f t="shared" si="112"/>
        <v>693.78620776983155</v>
      </c>
    </row>
    <row r="16" spans="1:309">
      <c r="A16" s="262">
        <f t="shared" si="200"/>
        <v>45999</v>
      </c>
      <c r="B16" s="263" t="str">
        <f>+Report1!B16</f>
        <v>Facial/Toilet</v>
      </c>
      <c r="C16" s="263" t="str">
        <f>+Report1!C16</f>
        <v>14/12/13</v>
      </c>
      <c r="D16" s="264">
        <f>+Report1!P16</f>
        <v>38.814999999999998</v>
      </c>
      <c r="E16" s="560">
        <f>+Report1!R16</f>
        <v>37.368000000000002</v>
      </c>
      <c r="F16" s="522"/>
      <c r="G16" s="523">
        <f t="shared" si="0"/>
        <v>0</v>
      </c>
      <c r="H16" s="524">
        <f t="shared" si="113"/>
        <v>0</v>
      </c>
      <c r="I16" s="522"/>
      <c r="J16" s="523">
        <f t="shared" si="1"/>
        <v>0</v>
      </c>
      <c r="K16" s="524">
        <f t="shared" si="114"/>
        <v>0</v>
      </c>
      <c r="L16" s="522"/>
      <c r="M16" s="523">
        <f t="shared" si="2"/>
        <v>0</v>
      </c>
      <c r="N16" s="524">
        <f t="shared" si="115"/>
        <v>0</v>
      </c>
      <c r="O16" s="522">
        <v>3</v>
      </c>
      <c r="P16" s="523">
        <f t="shared" si="3"/>
        <v>8.0282594733461776E-2</v>
      </c>
      <c r="Q16" s="524">
        <f t="shared" si="116"/>
        <v>0</v>
      </c>
      <c r="R16" s="522"/>
      <c r="S16" s="523">
        <f t="shared" si="4"/>
        <v>0</v>
      </c>
      <c r="T16" s="524">
        <f t="shared" si="117"/>
        <v>0</v>
      </c>
      <c r="U16" s="522">
        <v>2.5625</v>
      </c>
      <c r="V16" s="523">
        <f t="shared" si="5"/>
        <v>6.8574716334831934E-2</v>
      </c>
      <c r="W16" s="524">
        <f t="shared" si="118"/>
        <v>0</v>
      </c>
      <c r="X16" s="522"/>
      <c r="Y16" s="523">
        <f t="shared" si="6"/>
        <v>0</v>
      </c>
      <c r="Z16" s="524">
        <f t="shared" si="119"/>
        <v>0</v>
      </c>
      <c r="AA16" s="522"/>
      <c r="AB16" s="523">
        <f t="shared" si="7"/>
        <v>0</v>
      </c>
      <c r="AC16" s="524">
        <f t="shared" si="120"/>
        <v>0</v>
      </c>
      <c r="AD16" s="522"/>
      <c r="AE16" s="523">
        <f t="shared" si="8"/>
        <v>0</v>
      </c>
      <c r="AF16" s="524">
        <f t="shared" si="121"/>
        <v>0</v>
      </c>
      <c r="AG16" s="522"/>
      <c r="AH16" s="523">
        <f t="shared" si="9"/>
        <v>0</v>
      </c>
      <c r="AI16" s="524">
        <f t="shared" si="122"/>
        <v>0</v>
      </c>
      <c r="AJ16" s="522"/>
      <c r="AK16" s="523">
        <f t="shared" si="10"/>
        <v>0</v>
      </c>
      <c r="AL16" s="524">
        <f t="shared" si="123"/>
        <v>0</v>
      </c>
      <c r="AM16" s="522"/>
      <c r="AN16" s="523">
        <f t="shared" si="11"/>
        <v>0</v>
      </c>
      <c r="AO16" s="524">
        <f t="shared" si="124"/>
        <v>0</v>
      </c>
      <c r="AP16" s="522">
        <v>42.721518987341824</v>
      </c>
      <c r="AQ16" s="523">
        <f t="shared" si="12"/>
        <v>1.1432647984195521</v>
      </c>
      <c r="AR16" s="524">
        <f t="shared" si="125"/>
        <v>0</v>
      </c>
      <c r="AS16" s="522"/>
      <c r="AT16" s="523">
        <f t="shared" si="13"/>
        <v>0</v>
      </c>
      <c r="AU16" s="524">
        <f t="shared" si="126"/>
        <v>0</v>
      </c>
      <c r="AV16" s="522"/>
      <c r="AW16" s="523">
        <f t="shared" si="14"/>
        <v>0</v>
      </c>
      <c r="AX16" s="524">
        <f t="shared" si="127"/>
        <v>0</v>
      </c>
      <c r="AY16" s="522">
        <v>53.666666666666714</v>
      </c>
      <c r="AZ16" s="523">
        <f t="shared" si="15"/>
        <v>1.4361664168985953</v>
      </c>
      <c r="BA16" s="524">
        <f t="shared" si="128"/>
        <v>0</v>
      </c>
      <c r="BB16" s="522"/>
      <c r="BC16" s="523">
        <f t="shared" si="16"/>
        <v>0</v>
      </c>
      <c r="BD16" s="524">
        <f t="shared" si="129"/>
        <v>0</v>
      </c>
      <c r="BE16" s="522"/>
      <c r="BF16" s="523">
        <f t="shared" si="17"/>
        <v>0</v>
      </c>
      <c r="BG16" s="524">
        <f t="shared" si="130"/>
        <v>0</v>
      </c>
      <c r="BH16" s="522"/>
      <c r="BI16" s="523">
        <f t="shared" si="18"/>
        <v>0</v>
      </c>
      <c r="BJ16" s="524">
        <f t="shared" si="131"/>
        <v>0</v>
      </c>
      <c r="BK16" s="522"/>
      <c r="BL16" s="523">
        <f t="shared" si="19"/>
        <v>0</v>
      </c>
      <c r="BM16" s="524">
        <f t="shared" si="132"/>
        <v>0</v>
      </c>
      <c r="BN16" s="522"/>
      <c r="BO16" s="523">
        <f t="shared" si="20"/>
        <v>0</v>
      </c>
      <c r="BP16" s="524">
        <f t="shared" si="133"/>
        <v>0</v>
      </c>
      <c r="BQ16" s="522">
        <v>106.32911392405066</v>
      </c>
      <c r="BR16" s="523">
        <f t="shared" si="21"/>
        <v>2.8454590538442157</v>
      </c>
      <c r="BS16" s="524">
        <f t="shared" si="134"/>
        <v>0</v>
      </c>
      <c r="BT16" s="522"/>
      <c r="BU16" s="523">
        <f t="shared" si="22"/>
        <v>0</v>
      </c>
      <c r="BV16" s="524">
        <f t="shared" si="135"/>
        <v>0</v>
      </c>
      <c r="BW16" s="522"/>
      <c r="BX16" s="523">
        <f t="shared" si="23"/>
        <v>0</v>
      </c>
      <c r="BY16" s="524">
        <f t="shared" si="136"/>
        <v>0</v>
      </c>
      <c r="BZ16" s="522"/>
      <c r="CA16" s="523">
        <f t="shared" si="24"/>
        <v>0</v>
      </c>
      <c r="CB16" s="524">
        <f t="shared" si="137"/>
        <v>0</v>
      </c>
      <c r="CC16" s="522"/>
      <c r="CD16" s="523">
        <f t="shared" si="25"/>
        <v>0</v>
      </c>
      <c r="CE16" s="524">
        <f t="shared" si="138"/>
        <v>0</v>
      </c>
      <c r="CF16" s="522">
        <v>1.5</v>
      </c>
      <c r="CG16" s="523">
        <f t="shared" si="26"/>
        <v>4.0141297366730888E-2</v>
      </c>
      <c r="CH16" s="524">
        <f t="shared" si="139"/>
        <v>0</v>
      </c>
      <c r="CI16" s="522"/>
      <c r="CJ16" s="523">
        <f t="shared" si="27"/>
        <v>0</v>
      </c>
      <c r="CK16" s="524">
        <f t="shared" si="140"/>
        <v>0</v>
      </c>
      <c r="CL16" s="522"/>
      <c r="CM16" s="523">
        <f t="shared" si="28"/>
        <v>0</v>
      </c>
      <c r="CN16" s="524">
        <f t="shared" si="141"/>
        <v>0</v>
      </c>
      <c r="CO16" s="522"/>
      <c r="CP16" s="523">
        <f t="shared" si="29"/>
        <v>0</v>
      </c>
      <c r="CQ16" s="524">
        <f t="shared" si="142"/>
        <v>0</v>
      </c>
      <c r="CR16" s="522"/>
      <c r="CS16" s="523">
        <f t="shared" si="30"/>
        <v>0</v>
      </c>
      <c r="CT16" s="524">
        <f t="shared" si="143"/>
        <v>0</v>
      </c>
      <c r="CU16" s="522"/>
      <c r="CV16" s="523">
        <f t="shared" si="31"/>
        <v>0</v>
      </c>
      <c r="CW16" s="524">
        <f t="shared" si="144"/>
        <v>0</v>
      </c>
      <c r="CX16" s="522"/>
      <c r="CY16" s="523">
        <f t="shared" si="32"/>
        <v>0</v>
      </c>
      <c r="CZ16" s="524">
        <f t="shared" si="145"/>
        <v>0</v>
      </c>
      <c r="DA16" s="522"/>
      <c r="DB16" s="523">
        <f t="shared" si="33"/>
        <v>0</v>
      </c>
      <c r="DC16" s="524">
        <f t="shared" si="146"/>
        <v>0</v>
      </c>
      <c r="DD16" s="522"/>
      <c r="DE16" s="523">
        <f t="shared" si="34"/>
        <v>0</v>
      </c>
      <c r="DF16" s="524">
        <f t="shared" si="147"/>
        <v>0</v>
      </c>
      <c r="DG16" s="522"/>
      <c r="DH16" s="523">
        <f t="shared" si="35"/>
        <v>0</v>
      </c>
      <c r="DI16" s="524">
        <f t="shared" si="203"/>
        <v>0</v>
      </c>
      <c r="DJ16" s="522"/>
      <c r="DK16" s="523">
        <f t="shared" si="36"/>
        <v>0</v>
      </c>
      <c r="DL16" s="524">
        <f t="shared" si="148"/>
        <v>0</v>
      </c>
      <c r="DM16" s="522"/>
      <c r="DN16" s="523">
        <f t="shared" si="37"/>
        <v>0</v>
      </c>
      <c r="DO16" s="524">
        <f t="shared" si="149"/>
        <v>0</v>
      </c>
      <c r="DP16" s="522"/>
      <c r="DQ16" s="523">
        <f t="shared" si="38"/>
        <v>0</v>
      </c>
      <c r="DR16" s="524">
        <f t="shared" si="150"/>
        <v>0</v>
      </c>
      <c r="DS16" s="522"/>
      <c r="DT16" s="523">
        <f t="shared" si="39"/>
        <v>0</v>
      </c>
      <c r="DU16" s="524">
        <f t="shared" si="151"/>
        <v>0</v>
      </c>
      <c r="DV16" s="522"/>
      <c r="DW16" s="523">
        <f t="shared" si="40"/>
        <v>0</v>
      </c>
      <c r="DX16" s="524">
        <f t="shared" si="152"/>
        <v>0</v>
      </c>
      <c r="DY16" s="522"/>
      <c r="DZ16" s="523">
        <f t="shared" si="41"/>
        <v>0</v>
      </c>
      <c r="EA16" s="524">
        <f t="shared" si="153"/>
        <v>0</v>
      </c>
      <c r="EB16" s="522"/>
      <c r="EC16" s="523">
        <f t="shared" si="42"/>
        <v>0</v>
      </c>
      <c r="ED16" s="524">
        <f t="shared" si="154"/>
        <v>0</v>
      </c>
      <c r="EE16" s="522">
        <v>152.63529411764705</v>
      </c>
      <c r="EF16" s="523">
        <f t="shared" si="43"/>
        <v>4.0846524865566005</v>
      </c>
      <c r="EG16" s="524">
        <f t="shared" si="155"/>
        <v>0</v>
      </c>
      <c r="EH16" s="522"/>
      <c r="EI16" s="523">
        <f t="shared" si="44"/>
        <v>0</v>
      </c>
      <c r="EJ16" s="524">
        <f t="shared" si="156"/>
        <v>0</v>
      </c>
      <c r="EK16" s="522">
        <v>22.674418604651237</v>
      </c>
      <c r="EL16" s="523">
        <f t="shared" si="45"/>
        <v>0.60678705321802706</v>
      </c>
      <c r="EM16" s="524">
        <f t="shared" si="157"/>
        <v>0</v>
      </c>
      <c r="EN16" s="522"/>
      <c r="EO16" s="523">
        <f t="shared" si="46"/>
        <v>0</v>
      </c>
      <c r="EP16" s="524">
        <f t="shared" si="158"/>
        <v>0</v>
      </c>
      <c r="EQ16" s="522"/>
      <c r="ER16" s="523">
        <f t="shared" si="47"/>
        <v>0</v>
      </c>
      <c r="ES16" s="524">
        <f t="shared" si="159"/>
        <v>0</v>
      </c>
      <c r="ET16" s="522"/>
      <c r="EU16" s="523">
        <f t="shared" si="48"/>
        <v>0</v>
      </c>
      <c r="EV16" s="524">
        <f t="shared" si="160"/>
        <v>0</v>
      </c>
      <c r="EW16" s="522"/>
      <c r="EX16" s="523">
        <f t="shared" si="49"/>
        <v>0</v>
      </c>
      <c r="EY16" s="524">
        <f t="shared" si="161"/>
        <v>0</v>
      </c>
      <c r="EZ16" s="522"/>
      <c r="FA16" s="523">
        <f t="shared" si="50"/>
        <v>0</v>
      </c>
      <c r="FB16" s="524">
        <f t="shared" si="162"/>
        <v>0</v>
      </c>
      <c r="FC16" s="522"/>
      <c r="FD16" s="523">
        <f t="shared" si="51"/>
        <v>0</v>
      </c>
      <c r="FE16" s="524">
        <f t="shared" si="163"/>
        <v>0</v>
      </c>
      <c r="FF16" s="522"/>
      <c r="FG16" s="523">
        <f t="shared" si="52"/>
        <v>0</v>
      </c>
      <c r="FH16" s="524">
        <f t="shared" si="164"/>
        <v>0</v>
      </c>
      <c r="FI16" s="522"/>
      <c r="FJ16" s="523">
        <f t="shared" si="53"/>
        <v>0</v>
      </c>
      <c r="FK16" s="524">
        <f t="shared" si="165"/>
        <v>0</v>
      </c>
      <c r="FL16" s="522"/>
      <c r="FM16" s="523">
        <f t="shared" si="54"/>
        <v>0</v>
      </c>
      <c r="FN16" s="524">
        <f t="shared" si="166"/>
        <v>0</v>
      </c>
      <c r="FO16" s="522"/>
      <c r="FP16" s="523">
        <f t="shared" si="55"/>
        <v>0</v>
      </c>
      <c r="FQ16" s="524">
        <f t="shared" si="167"/>
        <v>0</v>
      </c>
      <c r="FR16" s="522"/>
      <c r="FS16" s="523">
        <f t="shared" si="56"/>
        <v>0</v>
      </c>
      <c r="FT16" s="524">
        <f t="shared" si="168"/>
        <v>0</v>
      </c>
      <c r="FU16" s="522"/>
      <c r="FV16" s="523">
        <f t="shared" si="57"/>
        <v>0</v>
      </c>
      <c r="FW16" s="524">
        <f t="shared" si="169"/>
        <v>0</v>
      </c>
      <c r="FX16" s="522"/>
      <c r="FY16" s="523">
        <f t="shared" si="58"/>
        <v>0</v>
      </c>
      <c r="FZ16" s="524">
        <f t="shared" si="170"/>
        <v>0</v>
      </c>
      <c r="GA16" s="522"/>
      <c r="GB16" s="523">
        <f t="shared" si="59"/>
        <v>0</v>
      </c>
      <c r="GC16" s="524">
        <f t="shared" si="171"/>
        <v>0</v>
      </c>
      <c r="GD16" s="522"/>
      <c r="GE16" s="523">
        <f t="shared" si="60"/>
        <v>0</v>
      </c>
      <c r="GF16" s="524">
        <f t="shared" si="172"/>
        <v>0</v>
      </c>
      <c r="GG16" s="522"/>
      <c r="GH16" s="523">
        <f t="shared" si="61"/>
        <v>0</v>
      </c>
      <c r="GI16" s="524">
        <f t="shared" si="173"/>
        <v>0</v>
      </c>
      <c r="GJ16" s="522"/>
      <c r="GK16" s="523">
        <f t="shared" si="62"/>
        <v>0</v>
      </c>
      <c r="GL16" s="524">
        <f t="shared" si="174"/>
        <v>0</v>
      </c>
      <c r="GM16" s="522"/>
      <c r="GN16" s="523">
        <f t="shared" si="63"/>
        <v>0</v>
      </c>
      <c r="GO16" s="524">
        <f t="shared" si="175"/>
        <v>0</v>
      </c>
      <c r="GP16" s="522"/>
      <c r="GQ16" s="523">
        <f t="shared" si="64"/>
        <v>0</v>
      </c>
      <c r="GR16" s="524">
        <f t="shared" si="176"/>
        <v>0</v>
      </c>
      <c r="GS16" s="522"/>
      <c r="GT16" s="523">
        <f t="shared" si="65"/>
        <v>0</v>
      </c>
      <c r="GU16" s="524">
        <f t="shared" si="177"/>
        <v>0</v>
      </c>
      <c r="GV16" s="522"/>
      <c r="GW16" s="523">
        <f t="shared" si="66"/>
        <v>0</v>
      </c>
      <c r="GX16" s="524">
        <f t="shared" si="178"/>
        <v>0</v>
      </c>
      <c r="GY16" s="522"/>
      <c r="GZ16" s="523">
        <f t="shared" si="67"/>
        <v>0</v>
      </c>
      <c r="HA16" s="524">
        <f t="shared" si="179"/>
        <v>0</v>
      </c>
      <c r="HB16" s="522"/>
      <c r="HC16" s="523">
        <f t="shared" si="68"/>
        <v>0</v>
      </c>
      <c r="HD16" s="524">
        <f t="shared" si="180"/>
        <v>0</v>
      </c>
      <c r="HE16" s="522"/>
      <c r="HF16" s="523">
        <f t="shared" si="69"/>
        <v>0</v>
      </c>
      <c r="HG16" s="524">
        <f t="shared" si="181"/>
        <v>0</v>
      </c>
      <c r="HH16" s="522"/>
      <c r="HI16" s="523">
        <f t="shared" si="70"/>
        <v>0</v>
      </c>
      <c r="HJ16" s="524">
        <f t="shared" si="182"/>
        <v>0</v>
      </c>
      <c r="HK16" s="522"/>
      <c r="HL16" s="523">
        <f t="shared" si="71"/>
        <v>0</v>
      </c>
      <c r="HM16" s="524">
        <f t="shared" si="183"/>
        <v>0</v>
      </c>
      <c r="HN16" s="522"/>
      <c r="HO16" s="523">
        <f t="shared" si="72"/>
        <v>0</v>
      </c>
      <c r="HP16" s="524">
        <f t="shared" si="184"/>
        <v>0</v>
      </c>
      <c r="HQ16" s="522"/>
      <c r="HR16" s="523">
        <f t="shared" si="73"/>
        <v>0</v>
      </c>
      <c r="HS16" s="524">
        <f t="shared" si="185"/>
        <v>0</v>
      </c>
      <c r="HT16" s="522"/>
      <c r="HU16" s="523">
        <f t="shared" si="74"/>
        <v>0</v>
      </c>
      <c r="HV16" s="524">
        <f t="shared" si="186"/>
        <v>0</v>
      </c>
      <c r="HW16" s="522"/>
      <c r="HX16" s="523">
        <f t="shared" si="75"/>
        <v>0</v>
      </c>
      <c r="HY16" s="524">
        <f t="shared" si="187"/>
        <v>0</v>
      </c>
      <c r="HZ16" s="522"/>
      <c r="IA16" s="523">
        <f t="shared" si="76"/>
        <v>0</v>
      </c>
      <c r="IB16" s="524">
        <f t="shared" si="188"/>
        <v>0</v>
      </c>
      <c r="IC16" s="522"/>
      <c r="ID16" s="523">
        <f t="shared" si="77"/>
        <v>0</v>
      </c>
      <c r="IE16" s="524">
        <f t="shared" si="189"/>
        <v>0</v>
      </c>
      <c r="IF16" s="522"/>
      <c r="IG16" s="523">
        <f t="shared" si="78"/>
        <v>0</v>
      </c>
      <c r="IH16" s="524">
        <f t="shared" si="190"/>
        <v>0</v>
      </c>
      <c r="II16" s="522"/>
      <c r="IJ16" s="523">
        <f t="shared" si="79"/>
        <v>0</v>
      </c>
      <c r="IK16" s="524">
        <f t="shared" si="191"/>
        <v>0</v>
      </c>
      <c r="IL16" s="522"/>
      <c r="IM16" s="523">
        <f t="shared" si="80"/>
        <v>0</v>
      </c>
      <c r="IN16" s="524">
        <f t="shared" si="192"/>
        <v>0</v>
      </c>
      <c r="IO16" s="522"/>
      <c r="IP16" s="523">
        <f t="shared" si="81"/>
        <v>0</v>
      </c>
      <c r="IQ16" s="524">
        <f t="shared" si="193"/>
        <v>0</v>
      </c>
      <c r="IR16" s="522"/>
      <c r="IS16" s="523">
        <f t="shared" si="82"/>
        <v>0</v>
      </c>
      <c r="IT16" s="524">
        <f t="shared" si="194"/>
        <v>0</v>
      </c>
      <c r="IU16" s="522"/>
      <c r="IV16" s="523">
        <f t="shared" si="83"/>
        <v>0</v>
      </c>
      <c r="IW16" s="524">
        <f t="shared" si="195"/>
        <v>0</v>
      </c>
      <c r="IX16" s="522"/>
      <c r="IY16" s="523">
        <f t="shared" si="84"/>
        <v>0</v>
      </c>
      <c r="IZ16" s="524">
        <f t="shared" si="196"/>
        <v>0</v>
      </c>
      <c r="JA16" s="522"/>
      <c r="JB16" s="523">
        <f t="shared" si="85"/>
        <v>0</v>
      </c>
      <c r="JC16" s="524">
        <f t="shared" si="197"/>
        <v>0</v>
      </c>
      <c r="JD16" s="522"/>
      <c r="JE16" s="523">
        <f t="shared" si="86"/>
        <v>0</v>
      </c>
      <c r="JF16" s="524">
        <f t="shared" si="198"/>
        <v>0</v>
      </c>
      <c r="JG16" s="522"/>
      <c r="JH16" s="523">
        <f t="shared" si="87"/>
        <v>0</v>
      </c>
      <c r="JI16" s="524">
        <f t="shared" si="199"/>
        <v>0</v>
      </c>
      <c r="JJ16" s="522"/>
      <c r="JK16" s="524" t="str">
        <f t="shared" si="88"/>
        <v>0</v>
      </c>
      <c r="JL16" s="524" t="str">
        <f t="shared" si="89"/>
        <v>0</v>
      </c>
      <c r="JM16" s="522"/>
      <c r="JN16" s="524" t="str">
        <f t="shared" si="90"/>
        <v>0</v>
      </c>
      <c r="JO16" s="524" t="str">
        <f t="shared" si="91"/>
        <v>0</v>
      </c>
      <c r="JP16" s="522"/>
      <c r="JQ16" s="524" t="str">
        <f t="shared" si="92"/>
        <v>0</v>
      </c>
      <c r="JR16" s="524" t="str">
        <f t="shared" si="93"/>
        <v>0</v>
      </c>
      <c r="JS16" s="522"/>
      <c r="JT16" s="524" t="str">
        <f t="shared" si="94"/>
        <v>0</v>
      </c>
      <c r="JU16" s="524" t="str">
        <f t="shared" si="95"/>
        <v>0</v>
      </c>
      <c r="JV16" s="522"/>
      <c r="JW16" s="524" t="str">
        <f t="shared" si="96"/>
        <v>0</v>
      </c>
      <c r="JX16" s="524" t="str">
        <f t="shared" si="97"/>
        <v>0</v>
      </c>
      <c r="JY16" s="522"/>
      <c r="JZ16" s="524" t="str">
        <f t="shared" si="98"/>
        <v>0</v>
      </c>
      <c r="KA16" s="524" t="str">
        <f t="shared" si="99"/>
        <v>0</v>
      </c>
      <c r="KB16" s="522"/>
      <c r="KC16" s="524" t="str">
        <f t="shared" si="100"/>
        <v>0</v>
      </c>
      <c r="KD16" s="524" t="str">
        <f t="shared" si="101"/>
        <v>0</v>
      </c>
      <c r="KE16" s="522"/>
      <c r="KF16" s="524" t="str">
        <f t="shared" si="102"/>
        <v>0</v>
      </c>
      <c r="KG16" s="524" t="str">
        <f t="shared" si="103"/>
        <v>0</v>
      </c>
      <c r="KH16" s="522"/>
      <c r="KI16" s="524" t="str">
        <f t="shared" si="104"/>
        <v>0</v>
      </c>
      <c r="KJ16" s="524" t="str">
        <f t="shared" si="105"/>
        <v>0</v>
      </c>
      <c r="KK16" s="522"/>
      <c r="KL16" s="524" t="str">
        <f t="shared" si="106"/>
        <v>0</v>
      </c>
      <c r="KM16" s="524" t="str">
        <f t="shared" si="107"/>
        <v>0</v>
      </c>
      <c r="KN16" s="522"/>
      <c r="KO16" s="524" t="str">
        <f t="shared" si="108"/>
        <v>0</v>
      </c>
      <c r="KP16" s="524" t="str">
        <f t="shared" si="109"/>
        <v>0</v>
      </c>
      <c r="KQ16" s="522"/>
      <c r="KR16" s="524" t="str">
        <f t="shared" si="110"/>
        <v>0</v>
      </c>
      <c r="KS16" s="524" t="str">
        <f t="shared" si="111"/>
        <v>0</v>
      </c>
      <c r="KT16" s="524">
        <f t="shared" si="201"/>
        <v>0</v>
      </c>
      <c r="KU16" s="524">
        <f t="shared" si="202"/>
        <v>0</v>
      </c>
      <c r="KV16" s="261">
        <f>+F16+I16+L16+O16+R16+U16+X16+AA16+AD16+AG16+AJ16+AM16+AP16+AS16+AV16+AY16+BB16+BE16+BH16+BK16+BN16+BQ16+BT16+BW16+BZ16+CC16+CF16+CI16+CL16+CO16+CR16+CU16+CX16+DA16+DD16+DJ16+DM16+DP16+DS16+DV16+DY16+EB16+GG16+GJ16+GM16+GP16+GS16+HN16+II16+IR16+GV16+IU16++HT16+HW16+HZ16+IC16+JA16+JJ16+JM16+HB16+EE16+GD16+EH16+EK16</f>
        <v>385.08951230035746</v>
      </c>
      <c r="KW16" s="261"/>
    </row>
    <row r="17" spans="1:308">
      <c r="A17" s="262">
        <f t="shared" si="200"/>
        <v>46000</v>
      </c>
      <c r="B17" s="263" t="str">
        <f>+Report1!B17</f>
        <v>Toilet</v>
      </c>
      <c r="C17" s="263" t="str">
        <f>+Report1!C17</f>
        <v>13</v>
      </c>
      <c r="D17" s="264">
        <f>+Report1!P17</f>
        <v>38.148000000000003</v>
      </c>
      <c r="E17" s="560">
        <f>+Report1!R17</f>
        <v>37.177999999999997</v>
      </c>
      <c r="F17" s="522"/>
      <c r="G17" s="523">
        <f t="shared" si="0"/>
        <v>0</v>
      </c>
      <c r="H17" s="524">
        <f t="shared" si="113"/>
        <v>0</v>
      </c>
      <c r="I17" s="522"/>
      <c r="J17" s="523">
        <f t="shared" si="1"/>
        <v>0</v>
      </c>
      <c r="K17" s="524">
        <f t="shared" si="114"/>
        <v>0</v>
      </c>
      <c r="L17" s="522"/>
      <c r="M17" s="523">
        <f t="shared" si="2"/>
        <v>0</v>
      </c>
      <c r="N17" s="524">
        <f t="shared" si="115"/>
        <v>0</v>
      </c>
      <c r="O17" s="522">
        <v>3</v>
      </c>
      <c r="P17" s="523">
        <f t="shared" si="3"/>
        <v>8.0692882887729314E-2</v>
      </c>
      <c r="Q17" s="524">
        <f t="shared" si="116"/>
        <v>0</v>
      </c>
      <c r="R17" s="522"/>
      <c r="S17" s="523">
        <f t="shared" si="4"/>
        <v>0</v>
      </c>
      <c r="T17" s="524">
        <f t="shared" si="117"/>
        <v>0</v>
      </c>
      <c r="U17" s="522">
        <v>2.5625</v>
      </c>
      <c r="V17" s="523">
        <f t="shared" si="5"/>
        <v>6.8925170799935445E-2</v>
      </c>
      <c r="W17" s="524">
        <f t="shared" si="118"/>
        <v>0</v>
      </c>
      <c r="X17" s="522"/>
      <c r="Y17" s="523">
        <f t="shared" si="6"/>
        <v>0</v>
      </c>
      <c r="Z17" s="524">
        <f t="shared" si="119"/>
        <v>0</v>
      </c>
      <c r="AA17" s="522"/>
      <c r="AB17" s="523">
        <f t="shared" si="7"/>
        <v>0</v>
      </c>
      <c r="AC17" s="524">
        <f t="shared" si="120"/>
        <v>0</v>
      </c>
      <c r="AD17" s="522"/>
      <c r="AE17" s="523">
        <f t="shared" si="8"/>
        <v>0</v>
      </c>
      <c r="AF17" s="524">
        <f t="shared" si="121"/>
        <v>0</v>
      </c>
      <c r="AG17" s="522"/>
      <c r="AH17" s="523">
        <f t="shared" si="9"/>
        <v>0</v>
      </c>
      <c r="AI17" s="524">
        <f t="shared" si="122"/>
        <v>0</v>
      </c>
      <c r="AJ17" s="522"/>
      <c r="AK17" s="523">
        <f t="shared" si="10"/>
        <v>0</v>
      </c>
      <c r="AL17" s="524">
        <f t="shared" si="123"/>
        <v>0</v>
      </c>
      <c r="AM17" s="522"/>
      <c r="AN17" s="523">
        <f t="shared" si="11"/>
        <v>0</v>
      </c>
      <c r="AO17" s="524">
        <f t="shared" si="124"/>
        <v>0</v>
      </c>
      <c r="AP17" s="522">
        <v>48.417721518987321</v>
      </c>
      <c r="AQ17" s="523">
        <f t="shared" si="12"/>
        <v>1.3023218440741118</v>
      </c>
      <c r="AR17" s="524">
        <f t="shared" si="125"/>
        <v>0</v>
      </c>
      <c r="AS17" s="522"/>
      <c r="AT17" s="523">
        <f t="shared" si="13"/>
        <v>0</v>
      </c>
      <c r="AU17" s="524">
        <f t="shared" si="126"/>
        <v>0</v>
      </c>
      <c r="AV17" s="522"/>
      <c r="AW17" s="523">
        <f t="shared" si="14"/>
        <v>0</v>
      </c>
      <c r="AX17" s="524">
        <f t="shared" si="127"/>
        <v>0</v>
      </c>
      <c r="AY17" s="522">
        <v>79.333333333333314</v>
      </c>
      <c r="AZ17" s="523">
        <f t="shared" si="15"/>
        <v>2.1338784585866191</v>
      </c>
      <c r="BA17" s="524">
        <f t="shared" si="128"/>
        <v>0</v>
      </c>
      <c r="BB17" s="522"/>
      <c r="BC17" s="523">
        <f t="shared" si="16"/>
        <v>0</v>
      </c>
      <c r="BD17" s="524">
        <f t="shared" si="129"/>
        <v>0</v>
      </c>
      <c r="BE17" s="522"/>
      <c r="BF17" s="523">
        <f t="shared" si="17"/>
        <v>0</v>
      </c>
      <c r="BG17" s="524">
        <f t="shared" si="130"/>
        <v>0</v>
      </c>
      <c r="BH17" s="522"/>
      <c r="BI17" s="523">
        <f t="shared" si="18"/>
        <v>0</v>
      </c>
      <c r="BJ17" s="524">
        <f t="shared" si="131"/>
        <v>0</v>
      </c>
      <c r="BK17" s="522"/>
      <c r="BL17" s="523">
        <f t="shared" si="19"/>
        <v>0</v>
      </c>
      <c r="BM17" s="524">
        <f t="shared" si="132"/>
        <v>0</v>
      </c>
      <c r="BN17" s="522"/>
      <c r="BO17" s="523">
        <f t="shared" si="20"/>
        <v>0</v>
      </c>
      <c r="BP17" s="524">
        <f t="shared" si="133"/>
        <v>0</v>
      </c>
      <c r="BQ17" s="522"/>
      <c r="BR17" s="523">
        <f t="shared" si="21"/>
        <v>0</v>
      </c>
      <c r="BS17" s="524">
        <f t="shared" si="134"/>
        <v>0</v>
      </c>
      <c r="BT17" s="522"/>
      <c r="BU17" s="523">
        <f t="shared" si="22"/>
        <v>0</v>
      </c>
      <c r="BV17" s="524">
        <f t="shared" si="135"/>
        <v>0</v>
      </c>
      <c r="BW17" s="522"/>
      <c r="BX17" s="523">
        <f t="shared" si="23"/>
        <v>0</v>
      </c>
      <c r="BY17" s="524">
        <f t="shared" si="136"/>
        <v>0</v>
      </c>
      <c r="BZ17" s="522"/>
      <c r="CA17" s="523">
        <f t="shared" si="24"/>
        <v>0</v>
      </c>
      <c r="CB17" s="524">
        <f t="shared" si="137"/>
        <v>0</v>
      </c>
      <c r="CC17" s="522"/>
      <c r="CD17" s="523">
        <f t="shared" si="25"/>
        <v>0</v>
      </c>
      <c r="CE17" s="524">
        <f t="shared" si="138"/>
        <v>0</v>
      </c>
      <c r="CF17" s="522">
        <v>1.5</v>
      </c>
      <c r="CG17" s="523">
        <f t="shared" si="26"/>
        <v>4.0346441443864657E-2</v>
      </c>
      <c r="CH17" s="524">
        <f t="shared" si="139"/>
        <v>0</v>
      </c>
      <c r="CI17" s="522"/>
      <c r="CJ17" s="523">
        <f t="shared" si="27"/>
        <v>0</v>
      </c>
      <c r="CK17" s="524">
        <f t="shared" si="140"/>
        <v>0</v>
      </c>
      <c r="CL17" s="522"/>
      <c r="CM17" s="523">
        <f t="shared" si="28"/>
        <v>0</v>
      </c>
      <c r="CN17" s="524">
        <f t="shared" si="141"/>
        <v>0</v>
      </c>
      <c r="CO17" s="522"/>
      <c r="CP17" s="523">
        <f t="shared" si="29"/>
        <v>0</v>
      </c>
      <c r="CQ17" s="524">
        <f t="shared" si="142"/>
        <v>0</v>
      </c>
      <c r="CR17" s="522"/>
      <c r="CS17" s="523">
        <f t="shared" si="30"/>
        <v>0</v>
      </c>
      <c r="CT17" s="524">
        <f t="shared" si="143"/>
        <v>0</v>
      </c>
      <c r="CU17" s="522"/>
      <c r="CV17" s="523">
        <f t="shared" si="31"/>
        <v>0</v>
      </c>
      <c r="CW17" s="524">
        <f t="shared" si="144"/>
        <v>0</v>
      </c>
      <c r="CX17" s="522"/>
      <c r="CY17" s="523">
        <f t="shared" si="32"/>
        <v>0</v>
      </c>
      <c r="CZ17" s="524">
        <f t="shared" si="145"/>
        <v>0</v>
      </c>
      <c r="DA17" s="522">
        <v>319.76744186046494</v>
      </c>
      <c r="DB17" s="523">
        <f t="shared" si="33"/>
        <v>8.6009855791184293</v>
      </c>
      <c r="DC17" s="524">
        <f t="shared" si="146"/>
        <v>0</v>
      </c>
      <c r="DD17" s="522"/>
      <c r="DE17" s="523">
        <f t="shared" si="34"/>
        <v>0</v>
      </c>
      <c r="DF17" s="524">
        <f t="shared" si="147"/>
        <v>0</v>
      </c>
      <c r="DG17" s="522"/>
      <c r="DH17" s="523">
        <f t="shared" si="35"/>
        <v>0</v>
      </c>
      <c r="DI17" s="524">
        <f t="shared" si="203"/>
        <v>0</v>
      </c>
      <c r="DJ17" s="522"/>
      <c r="DK17" s="523">
        <f t="shared" si="36"/>
        <v>0</v>
      </c>
      <c r="DL17" s="524">
        <f t="shared" si="148"/>
        <v>0</v>
      </c>
      <c r="DM17" s="522"/>
      <c r="DN17" s="523">
        <f t="shared" si="37"/>
        <v>0</v>
      </c>
      <c r="DO17" s="524">
        <f t="shared" si="149"/>
        <v>0</v>
      </c>
      <c r="DP17" s="522"/>
      <c r="DQ17" s="523">
        <f t="shared" si="38"/>
        <v>0</v>
      </c>
      <c r="DR17" s="524">
        <f t="shared" si="150"/>
        <v>0</v>
      </c>
      <c r="DS17" s="522"/>
      <c r="DT17" s="523">
        <f t="shared" si="39"/>
        <v>0</v>
      </c>
      <c r="DU17" s="524">
        <f t="shared" si="151"/>
        <v>0</v>
      </c>
      <c r="DV17" s="522"/>
      <c r="DW17" s="523">
        <f t="shared" si="40"/>
        <v>0</v>
      </c>
      <c r="DX17" s="524">
        <f t="shared" si="152"/>
        <v>0</v>
      </c>
      <c r="DY17" s="522"/>
      <c r="DZ17" s="523">
        <f t="shared" si="41"/>
        <v>0</v>
      </c>
      <c r="EA17" s="524">
        <f t="shared" si="153"/>
        <v>0</v>
      </c>
      <c r="EB17" s="522"/>
      <c r="EC17" s="523">
        <f t="shared" si="42"/>
        <v>0</v>
      </c>
      <c r="ED17" s="524">
        <f t="shared" si="154"/>
        <v>0</v>
      </c>
      <c r="EE17" s="522">
        <v>46.96470588235286</v>
      </c>
      <c r="EF17" s="523">
        <f t="shared" si="43"/>
        <v>1.2632391705404504</v>
      </c>
      <c r="EG17" s="524">
        <f t="shared" si="155"/>
        <v>0</v>
      </c>
      <c r="EH17" s="522"/>
      <c r="EI17" s="523">
        <f t="shared" si="44"/>
        <v>0</v>
      </c>
      <c r="EJ17" s="524">
        <f t="shared" si="156"/>
        <v>0</v>
      </c>
      <c r="EK17" s="522">
        <v>43.604651162790788</v>
      </c>
      <c r="EL17" s="523">
        <f t="shared" si="45"/>
        <v>1.1728616698797889</v>
      </c>
      <c r="EM17" s="524">
        <f t="shared" si="157"/>
        <v>0</v>
      </c>
      <c r="EN17" s="522"/>
      <c r="EO17" s="523">
        <f t="shared" si="46"/>
        <v>0</v>
      </c>
      <c r="EP17" s="524">
        <f t="shared" si="158"/>
        <v>0</v>
      </c>
      <c r="EQ17" s="522"/>
      <c r="ER17" s="523">
        <f t="shared" si="47"/>
        <v>0</v>
      </c>
      <c r="ES17" s="524">
        <f t="shared" si="159"/>
        <v>0</v>
      </c>
      <c r="ET17" s="522"/>
      <c r="EU17" s="523">
        <f t="shared" si="48"/>
        <v>0</v>
      </c>
      <c r="EV17" s="524">
        <f t="shared" si="160"/>
        <v>0</v>
      </c>
      <c r="EW17" s="522"/>
      <c r="EX17" s="523">
        <f t="shared" si="49"/>
        <v>0</v>
      </c>
      <c r="EY17" s="524">
        <f t="shared" si="161"/>
        <v>0</v>
      </c>
      <c r="EZ17" s="522"/>
      <c r="FA17" s="523">
        <f t="shared" si="50"/>
        <v>0</v>
      </c>
      <c r="FB17" s="524">
        <f t="shared" si="162"/>
        <v>0</v>
      </c>
      <c r="FC17" s="522"/>
      <c r="FD17" s="523">
        <f t="shared" si="51"/>
        <v>0</v>
      </c>
      <c r="FE17" s="524">
        <f t="shared" si="163"/>
        <v>0</v>
      </c>
      <c r="FF17" s="522"/>
      <c r="FG17" s="523">
        <f t="shared" si="52"/>
        <v>0</v>
      </c>
      <c r="FH17" s="524">
        <f t="shared" si="164"/>
        <v>0</v>
      </c>
      <c r="FI17" s="522"/>
      <c r="FJ17" s="523">
        <f t="shared" si="53"/>
        <v>0</v>
      </c>
      <c r="FK17" s="524">
        <f t="shared" si="165"/>
        <v>0</v>
      </c>
      <c r="FL17" s="522"/>
      <c r="FM17" s="523">
        <f t="shared" si="54"/>
        <v>0</v>
      </c>
      <c r="FN17" s="524">
        <f t="shared" si="166"/>
        <v>0</v>
      </c>
      <c r="FO17" s="522"/>
      <c r="FP17" s="523">
        <f t="shared" si="55"/>
        <v>0</v>
      </c>
      <c r="FQ17" s="524">
        <f t="shared" si="167"/>
        <v>0</v>
      </c>
      <c r="FR17" s="522"/>
      <c r="FS17" s="523">
        <f t="shared" si="56"/>
        <v>0</v>
      </c>
      <c r="FT17" s="524">
        <f t="shared" si="168"/>
        <v>0</v>
      </c>
      <c r="FU17" s="522"/>
      <c r="FV17" s="523">
        <f t="shared" si="57"/>
        <v>0</v>
      </c>
      <c r="FW17" s="524">
        <f t="shared" si="169"/>
        <v>0</v>
      </c>
      <c r="FX17" s="522"/>
      <c r="FY17" s="523">
        <f t="shared" si="58"/>
        <v>0</v>
      </c>
      <c r="FZ17" s="524">
        <f t="shared" si="170"/>
        <v>0</v>
      </c>
      <c r="GA17" s="522"/>
      <c r="GB17" s="523">
        <f t="shared" si="59"/>
        <v>0</v>
      </c>
      <c r="GC17" s="524">
        <f t="shared" si="171"/>
        <v>0</v>
      </c>
      <c r="GD17" s="522"/>
      <c r="GE17" s="523">
        <f t="shared" si="60"/>
        <v>0</v>
      </c>
      <c r="GF17" s="524">
        <f t="shared" si="172"/>
        <v>0</v>
      </c>
      <c r="GG17" s="522"/>
      <c r="GH17" s="523">
        <f t="shared" si="61"/>
        <v>0</v>
      </c>
      <c r="GI17" s="524">
        <f t="shared" si="173"/>
        <v>0</v>
      </c>
      <c r="GJ17" s="522"/>
      <c r="GK17" s="523">
        <f t="shared" si="62"/>
        <v>0</v>
      </c>
      <c r="GL17" s="524">
        <f t="shared" si="174"/>
        <v>0</v>
      </c>
      <c r="GM17" s="522"/>
      <c r="GN17" s="523">
        <f t="shared" si="63"/>
        <v>0</v>
      </c>
      <c r="GO17" s="524">
        <f t="shared" si="175"/>
        <v>0</v>
      </c>
      <c r="GP17" s="522"/>
      <c r="GQ17" s="523">
        <f t="shared" si="64"/>
        <v>0</v>
      </c>
      <c r="GR17" s="524">
        <f t="shared" si="176"/>
        <v>0</v>
      </c>
      <c r="GS17" s="522"/>
      <c r="GT17" s="523">
        <f t="shared" si="65"/>
        <v>0</v>
      </c>
      <c r="GU17" s="524">
        <f t="shared" si="177"/>
        <v>0</v>
      </c>
      <c r="GV17" s="522"/>
      <c r="GW17" s="523">
        <f t="shared" si="66"/>
        <v>0</v>
      </c>
      <c r="GX17" s="524">
        <f t="shared" si="178"/>
        <v>0</v>
      </c>
      <c r="GY17" s="522"/>
      <c r="GZ17" s="523">
        <f t="shared" si="67"/>
        <v>0</v>
      </c>
      <c r="HA17" s="524">
        <f t="shared" si="179"/>
        <v>0</v>
      </c>
      <c r="HB17" s="522"/>
      <c r="HC17" s="523">
        <f t="shared" si="68"/>
        <v>0</v>
      </c>
      <c r="HD17" s="524">
        <f t="shared" si="180"/>
        <v>0</v>
      </c>
      <c r="HE17" s="522"/>
      <c r="HF17" s="523">
        <f t="shared" si="69"/>
        <v>0</v>
      </c>
      <c r="HG17" s="524">
        <f t="shared" si="181"/>
        <v>0</v>
      </c>
      <c r="HH17" s="522"/>
      <c r="HI17" s="523">
        <f t="shared" si="70"/>
        <v>0</v>
      </c>
      <c r="HJ17" s="524">
        <f t="shared" si="182"/>
        <v>0</v>
      </c>
      <c r="HK17" s="522"/>
      <c r="HL17" s="523">
        <f t="shared" si="71"/>
        <v>0</v>
      </c>
      <c r="HM17" s="524">
        <f t="shared" si="183"/>
        <v>0</v>
      </c>
      <c r="HN17" s="522"/>
      <c r="HO17" s="523">
        <f t="shared" si="72"/>
        <v>0</v>
      </c>
      <c r="HP17" s="524">
        <f t="shared" si="184"/>
        <v>0</v>
      </c>
      <c r="HQ17" s="522"/>
      <c r="HR17" s="523">
        <f t="shared" si="73"/>
        <v>0</v>
      </c>
      <c r="HS17" s="524">
        <f t="shared" si="185"/>
        <v>0</v>
      </c>
      <c r="HT17" s="522"/>
      <c r="HU17" s="523">
        <f t="shared" si="74"/>
        <v>0</v>
      </c>
      <c r="HV17" s="524">
        <f t="shared" si="186"/>
        <v>0</v>
      </c>
      <c r="HW17" s="522"/>
      <c r="HX17" s="523">
        <f t="shared" si="75"/>
        <v>0</v>
      </c>
      <c r="HY17" s="524">
        <f t="shared" si="187"/>
        <v>0</v>
      </c>
      <c r="HZ17" s="522"/>
      <c r="IA17" s="523">
        <f t="shared" si="76"/>
        <v>0</v>
      </c>
      <c r="IB17" s="524">
        <f t="shared" si="188"/>
        <v>0</v>
      </c>
      <c r="IC17" s="522"/>
      <c r="ID17" s="523">
        <f t="shared" si="77"/>
        <v>0</v>
      </c>
      <c r="IE17" s="524">
        <f t="shared" si="189"/>
        <v>0</v>
      </c>
      <c r="IF17" s="522"/>
      <c r="IG17" s="523">
        <f t="shared" si="78"/>
        <v>0</v>
      </c>
      <c r="IH17" s="524">
        <f t="shared" si="190"/>
        <v>0</v>
      </c>
      <c r="II17" s="522"/>
      <c r="IJ17" s="523">
        <f t="shared" si="79"/>
        <v>0</v>
      </c>
      <c r="IK17" s="524">
        <f t="shared" si="191"/>
        <v>0</v>
      </c>
      <c r="IL17" s="522"/>
      <c r="IM17" s="523">
        <f t="shared" si="80"/>
        <v>0</v>
      </c>
      <c r="IN17" s="524">
        <f t="shared" si="192"/>
        <v>0</v>
      </c>
      <c r="IO17" s="522"/>
      <c r="IP17" s="523">
        <f t="shared" si="81"/>
        <v>0</v>
      </c>
      <c r="IQ17" s="524">
        <f t="shared" si="193"/>
        <v>0</v>
      </c>
      <c r="IR17" s="522"/>
      <c r="IS17" s="523">
        <f t="shared" si="82"/>
        <v>0</v>
      </c>
      <c r="IT17" s="524">
        <f t="shared" si="194"/>
        <v>0</v>
      </c>
      <c r="IU17" s="522"/>
      <c r="IV17" s="523">
        <f t="shared" si="83"/>
        <v>0</v>
      </c>
      <c r="IW17" s="524">
        <f t="shared" si="195"/>
        <v>0</v>
      </c>
      <c r="IX17" s="522"/>
      <c r="IY17" s="523">
        <f t="shared" si="84"/>
        <v>0</v>
      </c>
      <c r="IZ17" s="524">
        <f t="shared" si="196"/>
        <v>0</v>
      </c>
      <c r="JA17" s="522"/>
      <c r="JB17" s="523">
        <f t="shared" si="85"/>
        <v>0</v>
      </c>
      <c r="JC17" s="524">
        <f t="shared" si="197"/>
        <v>0</v>
      </c>
      <c r="JD17" s="522"/>
      <c r="JE17" s="523">
        <f t="shared" si="86"/>
        <v>0</v>
      </c>
      <c r="JF17" s="524">
        <f t="shared" si="198"/>
        <v>0</v>
      </c>
      <c r="JG17" s="522"/>
      <c r="JH17" s="523">
        <f t="shared" si="87"/>
        <v>0</v>
      </c>
      <c r="JI17" s="524">
        <f t="shared" si="199"/>
        <v>0</v>
      </c>
      <c r="JJ17" s="522"/>
      <c r="JK17" s="524" t="str">
        <f t="shared" si="88"/>
        <v>0</v>
      </c>
      <c r="JL17" s="524" t="str">
        <f t="shared" si="89"/>
        <v>0</v>
      </c>
      <c r="JM17" s="522"/>
      <c r="JN17" s="524" t="str">
        <f t="shared" si="90"/>
        <v>0</v>
      </c>
      <c r="JO17" s="524" t="str">
        <f t="shared" si="91"/>
        <v>0</v>
      </c>
      <c r="JP17" s="522"/>
      <c r="JQ17" s="524" t="str">
        <f t="shared" si="92"/>
        <v>0</v>
      </c>
      <c r="JR17" s="524" t="str">
        <f t="shared" si="93"/>
        <v>0</v>
      </c>
      <c r="JS17" s="522"/>
      <c r="JT17" s="524" t="str">
        <f t="shared" si="94"/>
        <v>0</v>
      </c>
      <c r="JU17" s="524" t="str">
        <f t="shared" si="95"/>
        <v>0</v>
      </c>
      <c r="JV17" s="522"/>
      <c r="JW17" s="524" t="str">
        <f t="shared" si="96"/>
        <v>0</v>
      </c>
      <c r="JX17" s="524" t="str">
        <f t="shared" si="97"/>
        <v>0</v>
      </c>
      <c r="JY17" s="522"/>
      <c r="JZ17" s="524" t="str">
        <f t="shared" si="98"/>
        <v>0</v>
      </c>
      <c r="KA17" s="524" t="str">
        <f t="shared" si="99"/>
        <v>0</v>
      </c>
      <c r="KB17" s="522"/>
      <c r="KC17" s="524" t="str">
        <f t="shared" si="100"/>
        <v>0</v>
      </c>
      <c r="KD17" s="524" t="str">
        <f t="shared" si="101"/>
        <v>0</v>
      </c>
      <c r="KE17" s="522"/>
      <c r="KF17" s="524" t="str">
        <f t="shared" si="102"/>
        <v>0</v>
      </c>
      <c r="KG17" s="524" t="str">
        <f t="shared" si="103"/>
        <v>0</v>
      </c>
      <c r="KH17" s="522"/>
      <c r="KI17" s="524" t="str">
        <f t="shared" si="104"/>
        <v>0</v>
      </c>
      <c r="KJ17" s="524" t="str">
        <f t="shared" si="105"/>
        <v>0</v>
      </c>
      <c r="KK17" s="522"/>
      <c r="KL17" s="524" t="str">
        <f t="shared" si="106"/>
        <v>0</v>
      </c>
      <c r="KM17" s="524" t="str">
        <f t="shared" si="107"/>
        <v>0</v>
      </c>
      <c r="KN17" s="522"/>
      <c r="KO17" s="524" t="str">
        <f t="shared" si="108"/>
        <v>0</v>
      </c>
      <c r="KP17" s="524" t="str">
        <f t="shared" si="109"/>
        <v>0</v>
      </c>
      <c r="KQ17" s="522"/>
      <c r="KR17" s="524" t="str">
        <f t="shared" si="110"/>
        <v>0</v>
      </c>
      <c r="KS17" s="524" t="str">
        <f t="shared" si="111"/>
        <v>0</v>
      </c>
      <c r="KT17" s="524">
        <f t="shared" si="201"/>
        <v>0</v>
      </c>
      <c r="KU17" s="524">
        <f t="shared" si="202"/>
        <v>0</v>
      </c>
      <c r="KV17" s="261">
        <f t="shared" ref="KV17:KV41" si="204">+F17+I17+L17+O17+R17+U17+X17+AA17+AD17+AG17+AJ17+AM17+AP17+AS17+AV17+AY17+BB17+BE17+BH17+BK17+BN17+BQ17+BT17+BW17+BZ17+CC17+CF17+CI17+CL17+CO17+CR17+CU17+CX17+DA17+DD17+DJ17+DM17+DP17+DS17+DV17+DY17+EB17+GG17+GJ17+GM17+GP17+GS17+HN17+II17+IR17+GV17+IU17++HT17+HW17+HZ17+IC17+JA17+JJ17+JM17+HB17+EE17+GD17+EH17+EK17</f>
        <v>545.15035375792922</v>
      </c>
    </row>
    <row r="18" spans="1:308">
      <c r="A18" s="262">
        <f t="shared" si="200"/>
        <v>46001</v>
      </c>
      <c r="B18" s="263" t="str">
        <f>+Report1!B18</f>
        <v>Toilet</v>
      </c>
      <c r="C18" s="263" t="str">
        <f>+Report1!C18</f>
        <v>13</v>
      </c>
      <c r="D18" s="264">
        <f>+Report1!P18</f>
        <v>38.79</v>
      </c>
      <c r="E18" s="560">
        <f>+Report1!R18</f>
        <v>37.624000000000002</v>
      </c>
      <c r="F18" s="522"/>
      <c r="G18" s="523">
        <f t="shared" si="0"/>
        <v>0</v>
      </c>
      <c r="H18" s="524">
        <f t="shared" si="113"/>
        <v>0</v>
      </c>
      <c r="I18" s="522"/>
      <c r="J18" s="523">
        <f t="shared" si="1"/>
        <v>0</v>
      </c>
      <c r="K18" s="524">
        <f t="shared" si="114"/>
        <v>0</v>
      </c>
      <c r="L18" s="522"/>
      <c r="M18" s="523">
        <f t="shared" si="2"/>
        <v>0</v>
      </c>
      <c r="N18" s="524">
        <f t="shared" si="115"/>
        <v>0</v>
      </c>
      <c r="O18" s="522">
        <v>3</v>
      </c>
      <c r="P18" s="523">
        <f t="shared" si="3"/>
        <v>7.9736338507335733E-2</v>
      </c>
      <c r="Q18" s="524">
        <f t="shared" si="116"/>
        <v>0</v>
      </c>
      <c r="R18" s="522"/>
      <c r="S18" s="523">
        <f t="shared" si="4"/>
        <v>0</v>
      </c>
      <c r="T18" s="524">
        <f t="shared" si="117"/>
        <v>0</v>
      </c>
      <c r="U18" s="522">
        <v>2.5625</v>
      </c>
      <c r="V18" s="523">
        <f t="shared" si="5"/>
        <v>6.8108122475015936E-2</v>
      </c>
      <c r="W18" s="524">
        <f t="shared" si="118"/>
        <v>0</v>
      </c>
      <c r="X18" s="522"/>
      <c r="Y18" s="523">
        <f t="shared" si="6"/>
        <v>0</v>
      </c>
      <c r="Z18" s="524">
        <f t="shared" si="119"/>
        <v>0</v>
      </c>
      <c r="AA18" s="522"/>
      <c r="AB18" s="523">
        <f t="shared" si="7"/>
        <v>0</v>
      </c>
      <c r="AC18" s="524">
        <f t="shared" si="120"/>
        <v>0</v>
      </c>
      <c r="AD18" s="522"/>
      <c r="AE18" s="523">
        <f t="shared" si="8"/>
        <v>0</v>
      </c>
      <c r="AF18" s="524">
        <f t="shared" si="121"/>
        <v>0</v>
      </c>
      <c r="AG18" s="522"/>
      <c r="AH18" s="523">
        <f t="shared" si="9"/>
        <v>0</v>
      </c>
      <c r="AI18" s="524">
        <f t="shared" si="122"/>
        <v>0</v>
      </c>
      <c r="AJ18" s="522"/>
      <c r="AK18" s="523">
        <f t="shared" si="10"/>
        <v>0</v>
      </c>
      <c r="AL18" s="524">
        <f t="shared" si="123"/>
        <v>0</v>
      </c>
      <c r="AM18" s="522"/>
      <c r="AN18" s="523">
        <f t="shared" si="11"/>
        <v>0</v>
      </c>
      <c r="AO18" s="524">
        <f t="shared" si="124"/>
        <v>0</v>
      </c>
      <c r="AP18" s="522">
        <v>37.025316455696213</v>
      </c>
      <c r="AQ18" s="523">
        <f t="shared" si="12"/>
        <v>0.98408772208420714</v>
      </c>
      <c r="AR18" s="524">
        <f t="shared" si="125"/>
        <v>0</v>
      </c>
      <c r="AS18" s="522"/>
      <c r="AT18" s="523">
        <f t="shared" si="13"/>
        <v>0</v>
      </c>
      <c r="AU18" s="524">
        <f t="shared" si="126"/>
        <v>0</v>
      </c>
      <c r="AV18" s="522"/>
      <c r="AW18" s="523">
        <f t="shared" si="14"/>
        <v>0</v>
      </c>
      <c r="AX18" s="524">
        <f t="shared" si="127"/>
        <v>0</v>
      </c>
      <c r="AY18" s="522">
        <v>46.666666666666657</v>
      </c>
      <c r="AZ18" s="523">
        <f t="shared" si="15"/>
        <v>1.2403430434474445</v>
      </c>
      <c r="BA18" s="524">
        <f t="shared" si="128"/>
        <v>0</v>
      </c>
      <c r="BB18" s="522"/>
      <c r="BC18" s="523">
        <f t="shared" si="16"/>
        <v>0</v>
      </c>
      <c r="BD18" s="524">
        <f t="shared" si="129"/>
        <v>0</v>
      </c>
      <c r="BE18" s="522"/>
      <c r="BF18" s="523">
        <f t="shared" si="17"/>
        <v>0</v>
      </c>
      <c r="BG18" s="524">
        <f t="shared" si="130"/>
        <v>0</v>
      </c>
      <c r="BH18" s="522"/>
      <c r="BI18" s="523">
        <f t="shared" si="18"/>
        <v>0</v>
      </c>
      <c r="BJ18" s="524">
        <f t="shared" si="131"/>
        <v>0</v>
      </c>
      <c r="BK18" s="522"/>
      <c r="BL18" s="523">
        <f t="shared" si="19"/>
        <v>0</v>
      </c>
      <c r="BM18" s="524">
        <f t="shared" si="132"/>
        <v>0</v>
      </c>
      <c r="BN18" s="522"/>
      <c r="BO18" s="523">
        <f t="shared" si="20"/>
        <v>0</v>
      </c>
      <c r="BP18" s="524">
        <f t="shared" si="133"/>
        <v>0</v>
      </c>
      <c r="BQ18" s="522"/>
      <c r="BR18" s="523">
        <f t="shared" si="21"/>
        <v>0</v>
      </c>
      <c r="BS18" s="524">
        <f t="shared" si="134"/>
        <v>0</v>
      </c>
      <c r="BT18" s="522"/>
      <c r="BU18" s="523">
        <f t="shared" si="22"/>
        <v>0</v>
      </c>
      <c r="BV18" s="524">
        <f t="shared" si="135"/>
        <v>0</v>
      </c>
      <c r="BW18" s="522"/>
      <c r="BX18" s="523">
        <f t="shared" si="23"/>
        <v>0</v>
      </c>
      <c r="BY18" s="524">
        <f t="shared" si="136"/>
        <v>0</v>
      </c>
      <c r="BZ18" s="522"/>
      <c r="CA18" s="523">
        <f t="shared" si="24"/>
        <v>0</v>
      </c>
      <c r="CB18" s="524">
        <f t="shared" si="137"/>
        <v>0</v>
      </c>
      <c r="CC18" s="522"/>
      <c r="CD18" s="523">
        <f t="shared" si="25"/>
        <v>0</v>
      </c>
      <c r="CE18" s="524">
        <f t="shared" si="138"/>
        <v>0</v>
      </c>
      <c r="CF18" s="522">
        <v>1.5</v>
      </c>
      <c r="CG18" s="523">
        <f t="shared" si="26"/>
        <v>3.9868169253667866E-2</v>
      </c>
      <c r="CH18" s="524">
        <f t="shared" si="139"/>
        <v>0</v>
      </c>
      <c r="CI18" s="522"/>
      <c r="CJ18" s="523">
        <f t="shared" si="27"/>
        <v>0</v>
      </c>
      <c r="CK18" s="524">
        <f t="shared" si="140"/>
        <v>0</v>
      </c>
      <c r="CL18" s="522"/>
      <c r="CM18" s="523">
        <f t="shared" si="28"/>
        <v>0</v>
      </c>
      <c r="CN18" s="524">
        <f t="shared" si="141"/>
        <v>0</v>
      </c>
      <c r="CO18" s="522"/>
      <c r="CP18" s="523">
        <f t="shared" si="29"/>
        <v>0</v>
      </c>
      <c r="CQ18" s="524">
        <f t="shared" si="142"/>
        <v>0</v>
      </c>
      <c r="CR18" s="522"/>
      <c r="CS18" s="523">
        <f t="shared" si="30"/>
        <v>0</v>
      </c>
      <c r="CT18" s="524">
        <f t="shared" si="143"/>
        <v>0</v>
      </c>
      <c r="CU18" s="522"/>
      <c r="CV18" s="523">
        <f t="shared" si="31"/>
        <v>0</v>
      </c>
      <c r="CW18" s="524">
        <f t="shared" si="144"/>
        <v>0</v>
      </c>
      <c r="CX18" s="522"/>
      <c r="CY18" s="523">
        <f t="shared" si="32"/>
        <v>0</v>
      </c>
      <c r="CZ18" s="524">
        <f t="shared" si="145"/>
        <v>0</v>
      </c>
      <c r="DA18" s="522">
        <v>116.27906976744202</v>
      </c>
      <c r="DB18" s="523">
        <f t="shared" si="33"/>
        <v>3.0905557560982886</v>
      </c>
      <c r="DC18" s="524">
        <f t="shared" si="146"/>
        <v>0</v>
      </c>
      <c r="DD18" s="522"/>
      <c r="DE18" s="523">
        <f t="shared" si="34"/>
        <v>0</v>
      </c>
      <c r="DF18" s="524">
        <f t="shared" si="147"/>
        <v>0</v>
      </c>
      <c r="DG18" s="522"/>
      <c r="DH18" s="523">
        <f t="shared" si="35"/>
        <v>0</v>
      </c>
      <c r="DI18" s="524">
        <f t="shared" si="203"/>
        <v>0</v>
      </c>
      <c r="DJ18" s="522"/>
      <c r="DK18" s="523">
        <f t="shared" si="36"/>
        <v>0</v>
      </c>
      <c r="DL18" s="524">
        <f t="shared" si="148"/>
        <v>0</v>
      </c>
      <c r="DM18" s="522"/>
      <c r="DN18" s="523">
        <f t="shared" si="37"/>
        <v>0</v>
      </c>
      <c r="DO18" s="524">
        <f t="shared" si="149"/>
        <v>0</v>
      </c>
      <c r="DP18" s="522"/>
      <c r="DQ18" s="523">
        <f t="shared" si="38"/>
        <v>0</v>
      </c>
      <c r="DR18" s="524">
        <f t="shared" si="150"/>
        <v>0</v>
      </c>
      <c r="DS18" s="522"/>
      <c r="DT18" s="523">
        <f t="shared" si="39"/>
        <v>0</v>
      </c>
      <c r="DU18" s="524">
        <f t="shared" si="151"/>
        <v>0</v>
      </c>
      <c r="DV18" s="522"/>
      <c r="DW18" s="523">
        <f t="shared" si="40"/>
        <v>0</v>
      </c>
      <c r="DX18" s="524">
        <f t="shared" si="152"/>
        <v>0</v>
      </c>
      <c r="DY18" s="522"/>
      <c r="DZ18" s="523">
        <f t="shared" si="41"/>
        <v>0</v>
      </c>
      <c r="EA18" s="524">
        <f t="shared" si="153"/>
        <v>0</v>
      </c>
      <c r="EB18" s="522"/>
      <c r="EC18" s="523">
        <f t="shared" si="42"/>
        <v>0</v>
      </c>
      <c r="ED18" s="524">
        <f t="shared" si="154"/>
        <v>0</v>
      </c>
      <c r="EE18" s="522">
        <v>35.22352941176473</v>
      </c>
      <c r="EF18" s="523">
        <f t="shared" si="43"/>
        <v>0.93619842153318966</v>
      </c>
      <c r="EG18" s="524">
        <f t="shared" si="155"/>
        <v>0</v>
      </c>
      <c r="EH18" s="522"/>
      <c r="EI18" s="523">
        <f t="shared" si="44"/>
        <v>0</v>
      </c>
      <c r="EJ18" s="524">
        <f t="shared" si="156"/>
        <v>0</v>
      </c>
      <c r="EK18" s="522">
        <v>43.604651162790333</v>
      </c>
      <c r="EL18" s="523">
        <f t="shared" si="45"/>
        <v>1.158958408536847</v>
      </c>
      <c r="EM18" s="524">
        <f t="shared" si="157"/>
        <v>0</v>
      </c>
      <c r="EN18" s="522"/>
      <c r="EO18" s="523">
        <f t="shared" si="46"/>
        <v>0</v>
      </c>
      <c r="EP18" s="524">
        <f t="shared" si="158"/>
        <v>0</v>
      </c>
      <c r="EQ18" s="522"/>
      <c r="ER18" s="523">
        <f t="shared" si="47"/>
        <v>0</v>
      </c>
      <c r="ES18" s="524">
        <f t="shared" si="159"/>
        <v>0</v>
      </c>
      <c r="ET18" s="522"/>
      <c r="EU18" s="523">
        <f t="shared" si="48"/>
        <v>0</v>
      </c>
      <c r="EV18" s="524">
        <f t="shared" si="160"/>
        <v>0</v>
      </c>
      <c r="EW18" s="522"/>
      <c r="EX18" s="523">
        <f t="shared" si="49"/>
        <v>0</v>
      </c>
      <c r="EY18" s="524">
        <f t="shared" si="161"/>
        <v>0</v>
      </c>
      <c r="EZ18" s="522"/>
      <c r="FA18" s="523">
        <f t="shared" si="50"/>
        <v>0</v>
      </c>
      <c r="FB18" s="524">
        <f t="shared" si="162"/>
        <v>0</v>
      </c>
      <c r="FC18" s="522"/>
      <c r="FD18" s="523">
        <f t="shared" si="51"/>
        <v>0</v>
      </c>
      <c r="FE18" s="524">
        <f t="shared" si="163"/>
        <v>0</v>
      </c>
      <c r="FF18" s="522"/>
      <c r="FG18" s="523">
        <f t="shared" si="52"/>
        <v>0</v>
      </c>
      <c r="FH18" s="524">
        <f t="shared" si="164"/>
        <v>0</v>
      </c>
      <c r="FI18" s="522"/>
      <c r="FJ18" s="523">
        <f t="shared" si="53"/>
        <v>0</v>
      </c>
      <c r="FK18" s="524">
        <f t="shared" si="165"/>
        <v>0</v>
      </c>
      <c r="FL18" s="522"/>
      <c r="FM18" s="523">
        <f t="shared" si="54"/>
        <v>0</v>
      </c>
      <c r="FN18" s="524">
        <f t="shared" si="166"/>
        <v>0</v>
      </c>
      <c r="FO18" s="522"/>
      <c r="FP18" s="523">
        <f t="shared" si="55"/>
        <v>0</v>
      </c>
      <c r="FQ18" s="524">
        <f t="shared" si="167"/>
        <v>0</v>
      </c>
      <c r="FR18" s="522"/>
      <c r="FS18" s="523">
        <f t="shared" si="56"/>
        <v>0</v>
      </c>
      <c r="FT18" s="524">
        <f t="shared" si="168"/>
        <v>0</v>
      </c>
      <c r="FU18" s="522"/>
      <c r="FV18" s="523">
        <f t="shared" si="57"/>
        <v>0</v>
      </c>
      <c r="FW18" s="524">
        <f t="shared" si="169"/>
        <v>0</v>
      </c>
      <c r="FX18" s="522"/>
      <c r="FY18" s="523">
        <f t="shared" si="58"/>
        <v>0</v>
      </c>
      <c r="FZ18" s="524">
        <f t="shared" si="170"/>
        <v>0</v>
      </c>
      <c r="GA18" s="522"/>
      <c r="GB18" s="523">
        <f t="shared" si="59"/>
        <v>0</v>
      </c>
      <c r="GC18" s="524">
        <f t="shared" si="171"/>
        <v>0</v>
      </c>
      <c r="GD18" s="522"/>
      <c r="GE18" s="523">
        <f t="shared" si="60"/>
        <v>0</v>
      </c>
      <c r="GF18" s="524">
        <f t="shared" si="172"/>
        <v>0</v>
      </c>
      <c r="GG18" s="522"/>
      <c r="GH18" s="523">
        <f t="shared" si="61"/>
        <v>0</v>
      </c>
      <c r="GI18" s="524">
        <f t="shared" si="173"/>
        <v>0</v>
      </c>
      <c r="GJ18" s="522"/>
      <c r="GK18" s="523">
        <f t="shared" si="62"/>
        <v>0</v>
      </c>
      <c r="GL18" s="524">
        <f t="shared" si="174"/>
        <v>0</v>
      </c>
      <c r="GM18" s="522"/>
      <c r="GN18" s="523">
        <f t="shared" si="63"/>
        <v>0</v>
      </c>
      <c r="GO18" s="524">
        <f t="shared" si="175"/>
        <v>0</v>
      </c>
      <c r="GP18" s="522"/>
      <c r="GQ18" s="523">
        <f t="shared" si="64"/>
        <v>0</v>
      </c>
      <c r="GR18" s="524">
        <f t="shared" si="176"/>
        <v>0</v>
      </c>
      <c r="GS18" s="522"/>
      <c r="GT18" s="523">
        <f t="shared" si="65"/>
        <v>0</v>
      </c>
      <c r="GU18" s="524">
        <f t="shared" si="177"/>
        <v>0</v>
      </c>
      <c r="GV18" s="522"/>
      <c r="GW18" s="523">
        <f t="shared" si="66"/>
        <v>0</v>
      </c>
      <c r="GX18" s="524">
        <f t="shared" si="178"/>
        <v>0</v>
      </c>
      <c r="GY18" s="522"/>
      <c r="GZ18" s="523">
        <f t="shared" si="67"/>
        <v>0</v>
      </c>
      <c r="HA18" s="524">
        <f t="shared" si="179"/>
        <v>0</v>
      </c>
      <c r="HB18" s="522"/>
      <c r="HC18" s="523">
        <f t="shared" si="68"/>
        <v>0</v>
      </c>
      <c r="HD18" s="524">
        <f t="shared" si="180"/>
        <v>0</v>
      </c>
      <c r="HE18" s="522"/>
      <c r="HF18" s="523">
        <f t="shared" si="69"/>
        <v>0</v>
      </c>
      <c r="HG18" s="524">
        <f t="shared" si="181"/>
        <v>0</v>
      </c>
      <c r="HH18" s="522"/>
      <c r="HI18" s="523">
        <f t="shared" si="70"/>
        <v>0</v>
      </c>
      <c r="HJ18" s="524">
        <f t="shared" si="182"/>
        <v>0</v>
      </c>
      <c r="HK18" s="522"/>
      <c r="HL18" s="523">
        <f t="shared" si="71"/>
        <v>0</v>
      </c>
      <c r="HM18" s="524">
        <f t="shared" si="183"/>
        <v>0</v>
      </c>
      <c r="HN18" s="522"/>
      <c r="HO18" s="523">
        <f t="shared" si="72"/>
        <v>0</v>
      </c>
      <c r="HP18" s="524">
        <f t="shared" si="184"/>
        <v>0</v>
      </c>
      <c r="HQ18" s="522"/>
      <c r="HR18" s="523">
        <f t="shared" si="73"/>
        <v>0</v>
      </c>
      <c r="HS18" s="524">
        <f t="shared" si="185"/>
        <v>0</v>
      </c>
      <c r="HT18" s="522"/>
      <c r="HU18" s="523">
        <f t="shared" si="74"/>
        <v>0</v>
      </c>
      <c r="HV18" s="524">
        <f t="shared" si="186"/>
        <v>0</v>
      </c>
      <c r="HW18" s="522"/>
      <c r="HX18" s="523">
        <f t="shared" si="75"/>
        <v>0</v>
      </c>
      <c r="HY18" s="524">
        <f t="shared" si="187"/>
        <v>0</v>
      </c>
      <c r="HZ18" s="522"/>
      <c r="IA18" s="523">
        <f t="shared" si="76"/>
        <v>0</v>
      </c>
      <c r="IB18" s="524">
        <f t="shared" si="188"/>
        <v>0</v>
      </c>
      <c r="IC18" s="522"/>
      <c r="ID18" s="523">
        <f t="shared" si="77"/>
        <v>0</v>
      </c>
      <c r="IE18" s="524">
        <f t="shared" si="189"/>
        <v>0</v>
      </c>
      <c r="IF18" s="522"/>
      <c r="IG18" s="523">
        <f t="shared" si="78"/>
        <v>0</v>
      </c>
      <c r="IH18" s="524">
        <f t="shared" si="190"/>
        <v>0</v>
      </c>
      <c r="II18" s="522"/>
      <c r="IJ18" s="523">
        <f t="shared" si="79"/>
        <v>0</v>
      </c>
      <c r="IK18" s="524">
        <f t="shared" si="191"/>
        <v>0</v>
      </c>
      <c r="IL18" s="522"/>
      <c r="IM18" s="523">
        <f t="shared" si="80"/>
        <v>0</v>
      </c>
      <c r="IN18" s="524">
        <f t="shared" si="192"/>
        <v>0</v>
      </c>
      <c r="IO18" s="522"/>
      <c r="IP18" s="523">
        <f t="shared" si="81"/>
        <v>0</v>
      </c>
      <c r="IQ18" s="524">
        <f t="shared" si="193"/>
        <v>0</v>
      </c>
      <c r="IR18" s="522"/>
      <c r="IS18" s="523">
        <f t="shared" si="82"/>
        <v>0</v>
      </c>
      <c r="IT18" s="524">
        <f t="shared" si="194"/>
        <v>0</v>
      </c>
      <c r="IU18" s="522"/>
      <c r="IV18" s="523">
        <f t="shared" si="83"/>
        <v>0</v>
      </c>
      <c r="IW18" s="524">
        <f t="shared" si="195"/>
        <v>0</v>
      </c>
      <c r="IX18" s="522"/>
      <c r="IY18" s="523">
        <f t="shared" si="84"/>
        <v>0</v>
      </c>
      <c r="IZ18" s="524">
        <f t="shared" si="196"/>
        <v>0</v>
      </c>
      <c r="JA18" s="522"/>
      <c r="JB18" s="523">
        <f t="shared" si="85"/>
        <v>0</v>
      </c>
      <c r="JC18" s="524">
        <f t="shared" si="197"/>
        <v>0</v>
      </c>
      <c r="JD18" s="522"/>
      <c r="JE18" s="523">
        <f t="shared" si="86"/>
        <v>0</v>
      </c>
      <c r="JF18" s="524">
        <f t="shared" si="198"/>
        <v>0</v>
      </c>
      <c r="JG18" s="522"/>
      <c r="JH18" s="523">
        <f t="shared" si="87"/>
        <v>0</v>
      </c>
      <c r="JI18" s="524">
        <f t="shared" si="199"/>
        <v>0</v>
      </c>
      <c r="JJ18" s="522"/>
      <c r="JK18" s="524" t="str">
        <f t="shared" si="88"/>
        <v>0</v>
      </c>
      <c r="JL18" s="524" t="str">
        <f t="shared" si="89"/>
        <v>0</v>
      </c>
      <c r="JM18" s="522"/>
      <c r="JN18" s="524" t="str">
        <f t="shared" si="90"/>
        <v>0</v>
      </c>
      <c r="JO18" s="524" t="str">
        <f t="shared" si="91"/>
        <v>0</v>
      </c>
      <c r="JP18" s="522"/>
      <c r="JQ18" s="524" t="str">
        <f t="shared" si="92"/>
        <v>0</v>
      </c>
      <c r="JR18" s="524" t="str">
        <f t="shared" si="93"/>
        <v>0</v>
      </c>
      <c r="JS18" s="522"/>
      <c r="JT18" s="524" t="str">
        <f t="shared" si="94"/>
        <v>0</v>
      </c>
      <c r="JU18" s="524" t="str">
        <f t="shared" si="95"/>
        <v>0</v>
      </c>
      <c r="JV18" s="522"/>
      <c r="JW18" s="524" t="str">
        <f t="shared" si="96"/>
        <v>0</v>
      </c>
      <c r="JX18" s="524" t="str">
        <f t="shared" si="97"/>
        <v>0</v>
      </c>
      <c r="JY18" s="522"/>
      <c r="JZ18" s="524" t="str">
        <f t="shared" si="98"/>
        <v>0</v>
      </c>
      <c r="KA18" s="524" t="str">
        <f t="shared" si="99"/>
        <v>0</v>
      </c>
      <c r="KB18" s="522"/>
      <c r="KC18" s="524" t="str">
        <f t="shared" si="100"/>
        <v>0</v>
      </c>
      <c r="KD18" s="524" t="str">
        <f t="shared" si="101"/>
        <v>0</v>
      </c>
      <c r="KE18" s="522"/>
      <c r="KF18" s="524" t="str">
        <f t="shared" si="102"/>
        <v>0</v>
      </c>
      <c r="KG18" s="524" t="str">
        <f t="shared" si="103"/>
        <v>0</v>
      </c>
      <c r="KH18" s="522"/>
      <c r="KI18" s="524" t="str">
        <f t="shared" si="104"/>
        <v>0</v>
      </c>
      <c r="KJ18" s="524" t="str">
        <f t="shared" si="105"/>
        <v>0</v>
      </c>
      <c r="KK18" s="522"/>
      <c r="KL18" s="524" t="str">
        <f t="shared" si="106"/>
        <v>0</v>
      </c>
      <c r="KM18" s="524" t="str">
        <f t="shared" si="107"/>
        <v>0</v>
      </c>
      <c r="KN18" s="522"/>
      <c r="KO18" s="524" t="str">
        <f t="shared" si="108"/>
        <v>0</v>
      </c>
      <c r="KP18" s="524" t="str">
        <f t="shared" si="109"/>
        <v>0</v>
      </c>
      <c r="KQ18" s="522"/>
      <c r="KR18" s="524" t="str">
        <f t="shared" si="110"/>
        <v>0</v>
      </c>
      <c r="KS18" s="524" t="str">
        <f t="shared" si="111"/>
        <v>0</v>
      </c>
      <c r="KT18" s="524">
        <f t="shared" si="201"/>
        <v>0</v>
      </c>
      <c r="KU18" s="524">
        <f t="shared" si="202"/>
        <v>0</v>
      </c>
      <c r="KV18" s="261">
        <f t="shared" si="204"/>
        <v>285.86173346435999</v>
      </c>
    </row>
    <row r="19" spans="1:308">
      <c r="A19" s="262">
        <f t="shared" si="200"/>
        <v>46002</v>
      </c>
      <c r="B19" s="263" t="str">
        <f>+Report1!B19</f>
        <v>Toilet</v>
      </c>
      <c r="C19" s="263" t="str">
        <f>+Report1!C19</f>
        <v>13/15</v>
      </c>
      <c r="D19" s="264">
        <f>+Report1!P19</f>
        <v>36.974000000000004</v>
      </c>
      <c r="E19" s="560">
        <f>+Report1!R19</f>
        <v>36.598999999999997</v>
      </c>
      <c r="F19" s="522"/>
      <c r="G19" s="523">
        <f t="shared" si="0"/>
        <v>0</v>
      </c>
      <c r="H19" s="524">
        <f t="shared" si="113"/>
        <v>0</v>
      </c>
      <c r="I19" s="522"/>
      <c r="J19" s="523">
        <f t="shared" si="1"/>
        <v>0</v>
      </c>
      <c r="K19" s="524">
        <f t="shared" si="114"/>
        <v>0</v>
      </c>
      <c r="L19" s="522"/>
      <c r="M19" s="523">
        <f t="shared" si="2"/>
        <v>0</v>
      </c>
      <c r="N19" s="524">
        <f t="shared" si="115"/>
        <v>0</v>
      </c>
      <c r="O19" s="522">
        <v>3</v>
      </c>
      <c r="P19" s="523">
        <f t="shared" si="3"/>
        <v>8.1969452717287367E-2</v>
      </c>
      <c r="Q19" s="524">
        <f t="shared" si="116"/>
        <v>0</v>
      </c>
      <c r="R19" s="522"/>
      <c r="S19" s="523">
        <f t="shared" si="4"/>
        <v>0</v>
      </c>
      <c r="T19" s="524">
        <f t="shared" si="117"/>
        <v>0</v>
      </c>
      <c r="U19" s="522">
        <v>2.5625000000000142</v>
      </c>
      <c r="V19" s="523">
        <f t="shared" si="5"/>
        <v>7.0015574196016686E-2</v>
      </c>
      <c r="W19" s="524">
        <f t="shared" si="118"/>
        <v>0</v>
      </c>
      <c r="X19" s="522"/>
      <c r="Y19" s="523">
        <f t="shared" si="6"/>
        <v>0</v>
      </c>
      <c r="Z19" s="524">
        <f t="shared" si="119"/>
        <v>0</v>
      </c>
      <c r="AA19" s="522"/>
      <c r="AB19" s="523">
        <f t="shared" si="7"/>
        <v>0</v>
      </c>
      <c r="AC19" s="524">
        <f t="shared" si="120"/>
        <v>0</v>
      </c>
      <c r="AD19" s="522"/>
      <c r="AE19" s="523">
        <f t="shared" si="8"/>
        <v>0</v>
      </c>
      <c r="AF19" s="524">
        <f t="shared" si="121"/>
        <v>0</v>
      </c>
      <c r="AG19" s="522"/>
      <c r="AH19" s="523">
        <f t="shared" si="9"/>
        <v>0</v>
      </c>
      <c r="AI19" s="524">
        <f t="shared" si="122"/>
        <v>0</v>
      </c>
      <c r="AJ19" s="522"/>
      <c r="AK19" s="523">
        <f t="shared" si="10"/>
        <v>0</v>
      </c>
      <c r="AL19" s="524">
        <f t="shared" si="123"/>
        <v>0</v>
      </c>
      <c r="AM19" s="522"/>
      <c r="AN19" s="523">
        <f t="shared" si="11"/>
        <v>0</v>
      </c>
      <c r="AO19" s="524">
        <f t="shared" si="124"/>
        <v>0</v>
      </c>
      <c r="AP19" s="522">
        <v>48.417721518987321</v>
      </c>
      <c r="AQ19" s="523">
        <f t="shared" si="12"/>
        <v>1.3229247115764726</v>
      </c>
      <c r="AR19" s="524">
        <f t="shared" si="125"/>
        <v>0</v>
      </c>
      <c r="AS19" s="522"/>
      <c r="AT19" s="523">
        <f t="shared" si="13"/>
        <v>0</v>
      </c>
      <c r="AU19" s="524">
        <f t="shared" si="126"/>
        <v>0</v>
      </c>
      <c r="AV19" s="522"/>
      <c r="AW19" s="523">
        <f t="shared" si="14"/>
        <v>0</v>
      </c>
      <c r="AX19" s="524">
        <f t="shared" si="127"/>
        <v>0</v>
      </c>
      <c r="AY19" s="522">
        <v>51.333333333333371</v>
      </c>
      <c r="AZ19" s="523">
        <f t="shared" si="15"/>
        <v>1.4025884131624737</v>
      </c>
      <c r="BA19" s="524">
        <f t="shared" si="128"/>
        <v>0</v>
      </c>
      <c r="BB19" s="522"/>
      <c r="BC19" s="523">
        <f t="shared" si="16"/>
        <v>0</v>
      </c>
      <c r="BD19" s="524">
        <f t="shared" si="129"/>
        <v>0</v>
      </c>
      <c r="BE19" s="522"/>
      <c r="BF19" s="523">
        <f t="shared" si="17"/>
        <v>0</v>
      </c>
      <c r="BG19" s="524">
        <f t="shared" si="130"/>
        <v>0</v>
      </c>
      <c r="BH19" s="522"/>
      <c r="BI19" s="523">
        <f t="shared" si="18"/>
        <v>0</v>
      </c>
      <c r="BJ19" s="524">
        <f t="shared" si="131"/>
        <v>0</v>
      </c>
      <c r="BK19" s="522"/>
      <c r="BL19" s="523">
        <f t="shared" si="19"/>
        <v>0</v>
      </c>
      <c r="BM19" s="524">
        <f t="shared" si="132"/>
        <v>0</v>
      </c>
      <c r="BN19" s="522"/>
      <c r="BO19" s="523">
        <f t="shared" si="20"/>
        <v>0</v>
      </c>
      <c r="BP19" s="524">
        <f t="shared" si="133"/>
        <v>0</v>
      </c>
      <c r="BQ19" s="522"/>
      <c r="BR19" s="523">
        <f t="shared" si="21"/>
        <v>0</v>
      </c>
      <c r="BS19" s="524">
        <f t="shared" si="134"/>
        <v>0</v>
      </c>
      <c r="BT19" s="522"/>
      <c r="BU19" s="523">
        <f t="shared" si="22"/>
        <v>0</v>
      </c>
      <c r="BV19" s="524">
        <f t="shared" si="135"/>
        <v>0</v>
      </c>
      <c r="BW19" s="522"/>
      <c r="BX19" s="523">
        <f t="shared" si="23"/>
        <v>0</v>
      </c>
      <c r="BY19" s="524">
        <f t="shared" si="136"/>
        <v>0</v>
      </c>
      <c r="BZ19" s="522"/>
      <c r="CA19" s="523">
        <f t="shared" si="24"/>
        <v>0</v>
      </c>
      <c r="CB19" s="524">
        <f t="shared" si="137"/>
        <v>0</v>
      </c>
      <c r="CC19" s="522"/>
      <c r="CD19" s="523">
        <f t="shared" si="25"/>
        <v>0</v>
      </c>
      <c r="CE19" s="524">
        <f t="shared" si="138"/>
        <v>0</v>
      </c>
      <c r="CF19" s="522">
        <v>1.5</v>
      </c>
      <c r="CG19" s="523">
        <f t="shared" si="26"/>
        <v>4.0984726358643683E-2</v>
      </c>
      <c r="CH19" s="524">
        <f t="shared" si="139"/>
        <v>0</v>
      </c>
      <c r="CI19" s="522"/>
      <c r="CJ19" s="523">
        <f t="shared" si="27"/>
        <v>0</v>
      </c>
      <c r="CK19" s="524">
        <f t="shared" si="140"/>
        <v>0</v>
      </c>
      <c r="CL19" s="522"/>
      <c r="CM19" s="523">
        <f t="shared" si="28"/>
        <v>0</v>
      </c>
      <c r="CN19" s="524">
        <f t="shared" si="141"/>
        <v>0</v>
      </c>
      <c r="CO19" s="522"/>
      <c r="CP19" s="523">
        <f t="shared" si="29"/>
        <v>0</v>
      </c>
      <c r="CQ19" s="524">
        <f t="shared" si="142"/>
        <v>0</v>
      </c>
      <c r="CR19" s="522"/>
      <c r="CS19" s="523">
        <f t="shared" si="30"/>
        <v>0</v>
      </c>
      <c r="CT19" s="524">
        <f t="shared" si="143"/>
        <v>0</v>
      </c>
      <c r="CU19" s="522"/>
      <c r="CV19" s="523">
        <f t="shared" si="31"/>
        <v>0</v>
      </c>
      <c r="CW19" s="524">
        <f t="shared" si="144"/>
        <v>0</v>
      </c>
      <c r="CX19" s="522"/>
      <c r="CY19" s="523">
        <f t="shared" si="32"/>
        <v>0</v>
      </c>
      <c r="CZ19" s="524">
        <f t="shared" si="145"/>
        <v>0</v>
      </c>
      <c r="DA19" s="522">
        <v>188.95348837209303</v>
      </c>
      <c r="DB19" s="523">
        <f t="shared" si="33"/>
        <v>5.1628046769609295</v>
      </c>
      <c r="DC19" s="524">
        <f t="shared" si="146"/>
        <v>0</v>
      </c>
      <c r="DD19" s="522"/>
      <c r="DE19" s="523">
        <f t="shared" si="34"/>
        <v>0</v>
      </c>
      <c r="DF19" s="524">
        <f t="shared" si="147"/>
        <v>0</v>
      </c>
      <c r="DG19" s="522"/>
      <c r="DH19" s="523">
        <f t="shared" si="35"/>
        <v>0</v>
      </c>
      <c r="DI19" s="524">
        <f t="shared" si="203"/>
        <v>0</v>
      </c>
      <c r="DJ19" s="522"/>
      <c r="DK19" s="523">
        <f t="shared" si="36"/>
        <v>0</v>
      </c>
      <c r="DL19" s="524">
        <f t="shared" si="148"/>
        <v>0</v>
      </c>
      <c r="DM19" s="522"/>
      <c r="DN19" s="523">
        <f t="shared" si="37"/>
        <v>0</v>
      </c>
      <c r="DO19" s="524">
        <f t="shared" si="149"/>
        <v>0</v>
      </c>
      <c r="DP19" s="522"/>
      <c r="DQ19" s="523">
        <f t="shared" si="38"/>
        <v>0</v>
      </c>
      <c r="DR19" s="524">
        <f t="shared" si="150"/>
        <v>0</v>
      </c>
      <c r="DS19" s="522"/>
      <c r="DT19" s="523">
        <f t="shared" si="39"/>
        <v>0</v>
      </c>
      <c r="DU19" s="524">
        <f t="shared" si="151"/>
        <v>0</v>
      </c>
      <c r="DV19" s="522"/>
      <c r="DW19" s="523">
        <f t="shared" si="40"/>
        <v>0</v>
      </c>
      <c r="DX19" s="524">
        <f t="shared" si="152"/>
        <v>0</v>
      </c>
      <c r="DY19" s="522"/>
      <c r="DZ19" s="523">
        <f t="shared" si="41"/>
        <v>0</v>
      </c>
      <c r="EA19" s="524">
        <f t="shared" si="153"/>
        <v>0</v>
      </c>
      <c r="EB19" s="522"/>
      <c r="EC19" s="523">
        <f t="shared" si="42"/>
        <v>0</v>
      </c>
      <c r="ED19" s="524">
        <f t="shared" si="154"/>
        <v>0</v>
      </c>
      <c r="EE19" s="522">
        <v>35.22352941176473</v>
      </c>
      <c r="EF19" s="523">
        <f t="shared" si="43"/>
        <v>0.96241780955120992</v>
      </c>
      <c r="EG19" s="524">
        <f t="shared" si="155"/>
        <v>0</v>
      </c>
      <c r="EH19" s="522"/>
      <c r="EI19" s="523">
        <f t="shared" si="44"/>
        <v>0</v>
      </c>
      <c r="EJ19" s="524">
        <f t="shared" si="156"/>
        <v>0</v>
      </c>
      <c r="EK19" s="522">
        <v>43.604651162790788</v>
      </c>
      <c r="EL19" s="523">
        <f t="shared" si="45"/>
        <v>1.191416463914063</v>
      </c>
      <c r="EM19" s="524">
        <f t="shared" si="157"/>
        <v>0</v>
      </c>
      <c r="EN19" s="522"/>
      <c r="EO19" s="523">
        <f t="shared" si="46"/>
        <v>0</v>
      </c>
      <c r="EP19" s="524">
        <f t="shared" si="158"/>
        <v>0</v>
      </c>
      <c r="EQ19" s="522"/>
      <c r="ER19" s="523">
        <f t="shared" si="47"/>
        <v>0</v>
      </c>
      <c r="ES19" s="524">
        <f t="shared" si="159"/>
        <v>0</v>
      </c>
      <c r="ET19" s="522"/>
      <c r="EU19" s="523">
        <f t="shared" si="48"/>
        <v>0</v>
      </c>
      <c r="EV19" s="524">
        <f t="shared" si="160"/>
        <v>0</v>
      </c>
      <c r="EW19" s="522"/>
      <c r="EX19" s="523">
        <f t="shared" si="49"/>
        <v>0</v>
      </c>
      <c r="EY19" s="524">
        <f t="shared" si="161"/>
        <v>0</v>
      </c>
      <c r="EZ19" s="522"/>
      <c r="FA19" s="523">
        <f t="shared" si="50"/>
        <v>0</v>
      </c>
      <c r="FB19" s="524">
        <f t="shared" si="162"/>
        <v>0</v>
      </c>
      <c r="FC19" s="522"/>
      <c r="FD19" s="523">
        <f t="shared" si="51"/>
        <v>0</v>
      </c>
      <c r="FE19" s="524">
        <f t="shared" si="163"/>
        <v>0</v>
      </c>
      <c r="FF19" s="522"/>
      <c r="FG19" s="523">
        <f t="shared" si="52"/>
        <v>0</v>
      </c>
      <c r="FH19" s="524">
        <f t="shared" si="164"/>
        <v>0</v>
      </c>
      <c r="FI19" s="522"/>
      <c r="FJ19" s="523">
        <f t="shared" si="53"/>
        <v>0</v>
      </c>
      <c r="FK19" s="524">
        <f t="shared" si="165"/>
        <v>0</v>
      </c>
      <c r="FL19" s="522"/>
      <c r="FM19" s="523">
        <f t="shared" si="54"/>
        <v>0</v>
      </c>
      <c r="FN19" s="524">
        <f t="shared" si="166"/>
        <v>0</v>
      </c>
      <c r="FO19" s="522"/>
      <c r="FP19" s="523">
        <f t="shared" si="55"/>
        <v>0</v>
      </c>
      <c r="FQ19" s="524">
        <f t="shared" si="167"/>
        <v>0</v>
      </c>
      <c r="FR19" s="522"/>
      <c r="FS19" s="523">
        <f t="shared" si="56"/>
        <v>0</v>
      </c>
      <c r="FT19" s="524">
        <f t="shared" si="168"/>
        <v>0</v>
      </c>
      <c r="FU19" s="522"/>
      <c r="FV19" s="523">
        <f t="shared" si="57"/>
        <v>0</v>
      </c>
      <c r="FW19" s="524">
        <f t="shared" si="169"/>
        <v>0</v>
      </c>
      <c r="FX19" s="522"/>
      <c r="FY19" s="523">
        <f t="shared" si="58"/>
        <v>0</v>
      </c>
      <c r="FZ19" s="524">
        <f t="shared" si="170"/>
        <v>0</v>
      </c>
      <c r="GA19" s="522"/>
      <c r="GB19" s="523">
        <f t="shared" si="59"/>
        <v>0</v>
      </c>
      <c r="GC19" s="524">
        <f t="shared" si="171"/>
        <v>0</v>
      </c>
      <c r="GD19" s="522"/>
      <c r="GE19" s="523">
        <f t="shared" si="60"/>
        <v>0</v>
      </c>
      <c r="GF19" s="524">
        <f t="shared" si="172"/>
        <v>0</v>
      </c>
      <c r="GG19" s="522"/>
      <c r="GH19" s="523">
        <f t="shared" si="61"/>
        <v>0</v>
      </c>
      <c r="GI19" s="524">
        <f t="shared" si="173"/>
        <v>0</v>
      </c>
      <c r="GJ19" s="522"/>
      <c r="GK19" s="523">
        <f t="shared" si="62"/>
        <v>0</v>
      </c>
      <c r="GL19" s="524">
        <f t="shared" si="174"/>
        <v>0</v>
      </c>
      <c r="GM19" s="522"/>
      <c r="GN19" s="523">
        <f t="shared" si="63"/>
        <v>0</v>
      </c>
      <c r="GO19" s="524">
        <f t="shared" si="175"/>
        <v>0</v>
      </c>
      <c r="GP19" s="522"/>
      <c r="GQ19" s="523">
        <f t="shared" si="64"/>
        <v>0</v>
      </c>
      <c r="GR19" s="524">
        <f t="shared" si="176"/>
        <v>0</v>
      </c>
      <c r="GS19" s="522"/>
      <c r="GT19" s="523">
        <f t="shared" si="65"/>
        <v>0</v>
      </c>
      <c r="GU19" s="524">
        <f t="shared" si="177"/>
        <v>0</v>
      </c>
      <c r="GV19" s="522"/>
      <c r="GW19" s="523">
        <f t="shared" si="66"/>
        <v>0</v>
      </c>
      <c r="GX19" s="524">
        <f t="shared" si="178"/>
        <v>0</v>
      </c>
      <c r="GY19" s="522"/>
      <c r="GZ19" s="523">
        <f t="shared" si="67"/>
        <v>0</v>
      </c>
      <c r="HA19" s="524">
        <f t="shared" si="179"/>
        <v>0</v>
      </c>
      <c r="HB19" s="522"/>
      <c r="HC19" s="523">
        <f t="shared" si="68"/>
        <v>0</v>
      </c>
      <c r="HD19" s="524">
        <f t="shared" si="180"/>
        <v>0</v>
      </c>
      <c r="HE19" s="522"/>
      <c r="HF19" s="523">
        <f t="shared" si="69"/>
        <v>0</v>
      </c>
      <c r="HG19" s="524">
        <f t="shared" si="181"/>
        <v>0</v>
      </c>
      <c r="HH19" s="522"/>
      <c r="HI19" s="523">
        <f t="shared" si="70"/>
        <v>0</v>
      </c>
      <c r="HJ19" s="524">
        <f t="shared" si="182"/>
        <v>0</v>
      </c>
      <c r="HK19" s="522"/>
      <c r="HL19" s="523">
        <f t="shared" si="71"/>
        <v>0</v>
      </c>
      <c r="HM19" s="524">
        <f t="shared" si="183"/>
        <v>0</v>
      </c>
      <c r="HN19" s="522"/>
      <c r="HO19" s="523">
        <f t="shared" si="72"/>
        <v>0</v>
      </c>
      <c r="HP19" s="524">
        <f t="shared" si="184"/>
        <v>0</v>
      </c>
      <c r="HQ19" s="522"/>
      <c r="HR19" s="523">
        <f t="shared" si="73"/>
        <v>0</v>
      </c>
      <c r="HS19" s="524">
        <f t="shared" si="185"/>
        <v>0</v>
      </c>
      <c r="HT19" s="522"/>
      <c r="HU19" s="523">
        <f t="shared" si="74"/>
        <v>0</v>
      </c>
      <c r="HV19" s="524">
        <f t="shared" si="186"/>
        <v>0</v>
      </c>
      <c r="HW19" s="522"/>
      <c r="HX19" s="523">
        <f t="shared" si="75"/>
        <v>0</v>
      </c>
      <c r="HY19" s="524">
        <f t="shared" si="187"/>
        <v>0</v>
      </c>
      <c r="HZ19" s="522"/>
      <c r="IA19" s="523">
        <f t="shared" si="76"/>
        <v>0</v>
      </c>
      <c r="IB19" s="524">
        <f t="shared" si="188"/>
        <v>0</v>
      </c>
      <c r="IC19" s="522"/>
      <c r="ID19" s="523">
        <f t="shared" si="77"/>
        <v>0</v>
      </c>
      <c r="IE19" s="524">
        <f t="shared" si="189"/>
        <v>0</v>
      </c>
      <c r="IF19" s="522"/>
      <c r="IG19" s="523">
        <f t="shared" si="78"/>
        <v>0</v>
      </c>
      <c r="IH19" s="524">
        <f t="shared" si="190"/>
        <v>0</v>
      </c>
      <c r="II19" s="522"/>
      <c r="IJ19" s="523">
        <f t="shared" si="79"/>
        <v>0</v>
      </c>
      <c r="IK19" s="524">
        <f t="shared" si="191"/>
        <v>0</v>
      </c>
      <c r="IL19" s="522"/>
      <c r="IM19" s="523">
        <f t="shared" si="80"/>
        <v>0</v>
      </c>
      <c r="IN19" s="524">
        <f t="shared" si="192"/>
        <v>0</v>
      </c>
      <c r="IO19" s="522"/>
      <c r="IP19" s="523">
        <f t="shared" si="81"/>
        <v>0</v>
      </c>
      <c r="IQ19" s="524">
        <f t="shared" si="193"/>
        <v>0</v>
      </c>
      <c r="IR19" s="522"/>
      <c r="IS19" s="523">
        <f t="shared" si="82"/>
        <v>0</v>
      </c>
      <c r="IT19" s="524">
        <f t="shared" si="194"/>
        <v>0</v>
      </c>
      <c r="IU19" s="522"/>
      <c r="IV19" s="523">
        <f t="shared" si="83"/>
        <v>0</v>
      </c>
      <c r="IW19" s="524">
        <f t="shared" si="195"/>
        <v>0</v>
      </c>
      <c r="IX19" s="522"/>
      <c r="IY19" s="523">
        <f t="shared" si="84"/>
        <v>0</v>
      </c>
      <c r="IZ19" s="524">
        <f t="shared" si="196"/>
        <v>0</v>
      </c>
      <c r="JA19" s="522"/>
      <c r="JB19" s="523">
        <f t="shared" si="85"/>
        <v>0</v>
      </c>
      <c r="JC19" s="524">
        <f t="shared" si="197"/>
        <v>0</v>
      </c>
      <c r="JD19" s="522"/>
      <c r="JE19" s="523">
        <f t="shared" si="86"/>
        <v>0</v>
      </c>
      <c r="JF19" s="524">
        <f t="shared" si="198"/>
        <v>0</v>
      </c>
      <c r="JG19" s="522"/>
      <c r="JH19" s="523">
        <f t="shared" si="87"/>
        <v>0</v>
      </c>
      <c r="JI19" s="524">
        <f t="shared" si="199"/>
        <v>0</v>
      </c>
      <c r="JJ19" s="522"/>
      <c r="JK19" s="524" t="str">
        <f t="shared" si="88"/>
        <v>0</v>
      </c>
      <c r="JL19" s="524" t="str">
        <f t="shared" si="89"/>
        <v>0</v>
      </c>
      <c r="JM19" s="522"/>
      <c r="JN19" s="524" t="str">
        <f t="shared" si="90"/>
        <v>0</v>
      </c>
      <c r="JO19" s="524" t="str">
        <f t="shared" si="91"/>
        <v>0</v>
      </c>
      <c r="JP19" s="522"/>
      <c r="JQ19" s="524" t="str">
        <f t="shared" si="92"/>
        <v>0</v>
      </c>
      <c r="JR19" s="524" t="str">
        <f t="shared" si="93"/>
        <v>0</v>
      </c>
      <c r="JS19" s="522"/>
      <c r="JT19" s="524" t="str">
        <f t="shared" si="94"/>
        <v>0</v>
      </c>
      <c r="JU19" s="524" t="str">
        <f t="shared" si="95"/>
        <v>0</v>
      </c>
      <c r="JV19" s="522"/>
      <c r="JW19" s="524" t="str">
        <f t="shared" si="96"/>
        <v>0</v>
      </c>
      <c r="JX19" s="524" t="str">
        <f t="shared" si="97"/>
        <v>0</v>
      </c>
      <c r="JY19" s="522"/>
      <c r="JZ19" s="524" t="str">
        <f t="shared" si="98"/>
        <v>0</v>
      </c>
      <c r="KA19" s="524" t="str">
        <f t="shared" si="99"/>
        <v>0</v>
      </c>
      <c r="KB19" s="522"/>
      <c r="KC19" s="524" t="str">
        <f t="shared" si="100"/>
        <v>0</v>
      </c>
      <c r="KD19" s="524" t="str">
        <f t="shared" si="101"/>
        <v>0</v>
      </c>
      <c r="KE19" s="522"/>
      <c r="KF19" s="524" t="str">
        <f t="shared" si="102"/>
        <v>0</v>
      </c>
      <c r="KG19" s="524" t="str">
        <f t="shared" si="103"/>
        <v>0</v>
      </c>
      <c r="KH19" s="522"/>
      <c r="KI19" s="524" t="str">
        <f t="shared" si="104"/>
        <v>0</v>
      </c>
      <c r="KJ19" s="524" t="str">
        <f t="shared" si="105"/>
        <v>0</v>
      </c>
      <c r="KK19" s="522"/>
      <c r="KL19" s="524" t="str">
        <f t="shared" si="106"/>
        <v>0</v>
      </c>
      <c r="KM19" s="524" t="str">
        <f t="shared" si="107"/>
        <v>0</v>
      </c>
      <c r="KN19" s="522"/>
      <c r="KO19" s="524" t="str">
        <f t="shared" si="108"/>
        <v>0</v>
      </c>
      <c r="KP19" s="524" t="str">
        <f t="shared" si="109"/>
        <v>0</v>
      </c>
      <c r="KQ19" s="522"/>
      <c r="KR19" s="524" t="str">
        <f t="shared" si="110"/>
        <v>0</v>
      </c>
      <c r="KS19" s="524" t="str">
        <f t="shared" si="111"/>
        <v>0</v>
      </c>
      <c r="KT19" s="524">
        <f t="shared" si="201"/>
        <v>0</v>
      </c>
      <c r="KU19" s="524">
        <f t="shared" si="202"/>
        <v>0</v>
      </c>
      <c r="KV19" s="261">
        <f t="shared" si="204"/>
        <v>374.59522379896924</v>
      </c>
    </row>
    <row r="20" spans="1:308">
      <c r="A20" s="262">
        <f t="shared" si="200"/>
        <v>46003</v>
      </c>
      <c r="B20" s="263" t="str">
        <f>+Report1!B20</f>
        <v>Toilet</v>
      </c>
      <c r="C20" s="263" t="str">
        <f>+Report1!C20</f>
        <v>15/12</v>
      </c>
      <c r="D20" s="264">
        <f>+Report1!P20</f>
        <v>42.488999999999997</v>
      </c>
      <c r="E20" s="560">
        <f>+Report1!R20</f>
        <v>41.506999999999998</v>
      </c>
      <c r="F20" s="522"/>
      <c r="G20" s="523">
        <f t="shared" si="0"/>
        <v>0</v>
      </c>
      <c r="H20" s="524">
        <f t="shared" si="113"/>
        <v>0</v>
      </c>
      <c r="I20" s="522"/>
      <c r="J20" s="523">
        <f t="shared" si="1"/>
        <v>0</v>
      </c>
      <c r="K20" s="524">
        <f t="shared" si="114"/>
        <v>0</v>
      </c>
      <c r="L20" s="522"/>
      <c r="M20" s="523">
        <f t="shared" si="2"/>
        <v>0</v>
      </c>
      <c r="N20" s="524">
        <f t="shared" si="115"/>
        <v>0</v>
      </c>
      <c r="O20" s="522">
        <v>3</v>
      </c>
      <c r="P20" s="523">
        <f t="shared" si="3"/>
        <v>7.2276965331148968E-2</v>
      </c>
      <c r="Q20" s="524">
        <f t="shared" si="116"/>
        <v>0</v>
      </c>
      <c r="R20" s="522"/>
      <c r="S20" s="523">
        <f t="shared" si="4"/>
        <v>0</v>
      </c>
      <c r="T20" s="524">
        <f t="shared" si="117"/>
        <v>0</v>
      </c>
      <c r="U20" s="522">
        <v>2.5624999999999858</v>
      </c>
      <c r="V20" s="523">
        <f t="shared" si="5"/>
        <v>6.1736574553689402E-2</v>
      </c>
      <c r="W20" s="524">
        <f t="shared" si="118"/>
        <v>0</v>
      </c>
      <c r="X20" s="522"/>
      <c r="Y20" s="523">
        <f t="shared" si="6"/>
        <v>0</v>
      </c>
      <c r="Z20" s="524">
        <f t="shared" si="119"/>
        <v>0</v>
      </c>
      <c r="AA20" s="522"/>
      <c r="AB20" s="523">
        <f t="shared" si="7"/>
        <v>0</v>
      </c>
      <c r="AC20" s="524">
        <f t="shared" si="120"/>
        <v>0</v>
      </c>
      <c r="AD20" s="522"/>
      <c r="AE20" s="523">
        <f t="shared" si="8"/>
        <v>0</v>
      </c>
      <c r="AF20" s="524">
        <f t="shared" si="121"/>
        <v>0</v>
      </c>
      <c r="AG20" s="522"/>
      <c r="AH20" s="523">
        <f t="shared" si="9"/>
        <v>0</v>
      </c>
      <c r="AI20" s="524">
        <f t="shared" si="122"/>
        <v>0</v>
      </c>
      <c r="AJ20" s="522"/>
      <c r="AK20" s="523">
        <f t="shared" si="10"/>
        <v>0</v>
      </c>
      <c r="AL20" s="524">
        <f t="shared" si="123"/>
        <v>0</v>
      </c>
      <c r="AM20" s="522"/>
      <c r="AN20" s="523">
        <f t="shared" si="11"/>
        <v>0</v>
      </c>
      <c r="AO20" s="524">
        <f t="shared" si="124"/>
        <v>0</v>
      </c>
      <c r="AP20" s="522">
        <v>45.569620253164572</v>
      </c>
      <c r="AQ20" s="523">
        <f t="shared" si="12"/>
        <v>1.0978779543971999</v>
      </c>
      <c r="AR20" s="524">
        <f t="shared" si="125"/>
        <v>0</v>
      </c>
      <c r="AS20" s="522"/>
      <c r="AT20" s="523">
        <f t="shared" si="13"/>
        <v>0</v>
      </c>
      <c r="AU20" s="524">
        <f t="shared" si="126"/>
        <v>0</v>
      </c>
      <c r="AV20" s="522"/>
      <c r="AW20" s="523">
        <f t="shared" si="14"/>
        <v>0</v>
      </c>
      <c r="AX20" s="524">
        <f t="shared" si="127"/>
        <v>0</v>
      </c>
      <c r="AY20" s="522">
        <v>79.333333333333314</v>
      </c>
      <c r="AZ20" s="523">
        <f t="shared" si="15"/>
        <v>1.9113241943126056</v>
      </c>
      <c r="BA20" s="524">
        <f t="shared" si="128"/>
        <v>0</v>
      </c>
      <c r="BB20" s="522"/>
      <c r="BC20" s="523">
        <f t="shared" si="16"/>
        <v>0</v>
      </c>
      <c r="BD20" s="524">
        <f t="shared" si="129"/>
        <v>0</v>
      </c>
      <c r="BE20" s="522"/>
      <c r="BF20" s="523">
        <f t="shared" si="17"/>
        <v>0</v>
      </c>
      <c r="BG20" s="524">
        <f t="shared" si="130"/>
        <v>0</v>
      </c>
      <c r="BH20" s="522"/>
      <c r="BI20" s="523">
        <f t="shared" si="18"/>
        <v>0</v>
      </c>
      <c r="BJ20" s="524">
        <f t="shared" si="131"/>
        <v>0</v>
      </c>
      <c r="BK20" s="522"/>
      <c r="BL20" s="523">
        <f t="shared" si="19"/>
        <v>0</v>
      </c>
      <c r="BM20" s="524">
        <f t="shared" si="132"/>
        <v>0</v>
      </c>
      <c r="BN20" s="522"/>
      <c r="BO20" s="523">
        <f t="shared" si="20"/>
        <v>0</v>
      </c>
      <c r="BP20" s="524">
        <f t="shared" si="133"/>
        <v>0</v>
      </c>
      <c r="BQ20" s="522"/>
      <c r="BR20" s="523">
        <f t="shared" si="21"/>
        <v>0</v>
      </c>
      <c r="BS20" s="524">
        <f t="shared" si="134"/>
        <v>0</v>
      </c>
      <c r="BT20" s="522"/>
      <c r="BU20" s="523">
        <f t="shared" si="22"/>
        <v>0</v>
      </c>
      <c r="BV20" s="524">
        <f t="shared" si="135"/>
        <v>0</v>
      </c>
      <c r="BW20" s="522"/>
      <c r="BX20" s="523">
        <f t="shared" si="23"/>
        <v>0</v>
      </c>
      <c r="BY20" s="524">
        <f t="shared" si="136"/>
        <v>0</v>
      </c>
      <c r="BZ20" s="522"/>
      <c r="CA20" s="523">
        <f t="shared" si="24"/>
        <v>0</v>
      </c>
      <c r="CB20" s="524">
        <f t="shared" si="137"/>
        <v>0</v>
      </c>
      <c r="CC20" s="522"/>
      <c r="CD20" s="523">
        <f t="shared" si="25"/>
        <v>0</v>
      </c>
      <c r="CE20" s="524">
        <f t="shared" si="138"/>
        <v>0</v>
      </c>
      <c r="CF20" s="522">
        <v>1</v>
      </c>
      <c r="CG20" s="523">
        <f t="shared" si="26"/>
        <v>2.4092321777049657E-2</v>
      </c>
      <c r="CH20" s="524">
        <f t="shared" si="139"/>
        <v>0</v>
      </c>
      <c r="CI20" s="522"/>
      <c r="CJ20" s="523">
        <f t="shared" si="27"/>
        <v>0</v>
      </c>
      <c r="CK20" s="524">
        <f t="shared" si="140"/>
        <v>0</v>
      </c>
      <c r="CL20" s="522"/>
      <c r="CM20" s="523">
        <f t="shared" si="28"/>
        <v>0</v>
      </c>
      <c r="CN20" s="524">
        <f t="shared" si="141"/>
        <v>0</v>
      </c>
      <c r="CO20" s="522"/>
      <c r="CP20" s="523">
        <f t="shared" si="29"/>
        <v>0</v>
      </c>
      <c r="CQ20" s="524">
        <f t="shared" si="142"/>
        <v>0</v>
      </c>
      <c r="CR20" s="522"/>
      <c r="CS20" s="523">
        <f t="shared" si="30"/>
        <v>0</v>
      </c>
      <c r="CT20" s="524">
        <f t="shared" si="143"/>
        <v>0</v>
      </c>
      <c r="CU20" s="522"/>
      <c r="CV20" s="523">
        <f t="shared" si="31"/>
        <v>0</v>
      </c>
      <c r="CW20" s="524">
        <f t="shared" si="144"/>
        <v>0</v>
      </c>
      <c r="CX20" s="522"/>
      <c r="CY20" s="523">
        <f t="shared" si="32"/>
        <v>0</v>
      </c>
      <c r="CZ20" s="524">
        <f t="shared" si="145"/>
        <v>0</v>
      </c>
      <c r="DA20" s="522">
        <v>116.2790697674418</v>
      </c>
      <c r="DB20" s="523">
        <f t="shared" si="33"/>
        <v>2.8014327647732142</v>
      </c>
      <c r="DC20" s="524">
        <f t="shared" si="146"/>
        <v>0</v>
      </c>
      <c r="DD20" s="522"/>
      <c r="DE20" s="523">
        <f t="shared" si="34"/>
        <v>0</v>
      </c>
      <c r="DF20" s="524">
        <f t="shared" si="147"/>
        <v>0</v>
      </c>
      <c r="DG20" s="522"/>
      <c r="DH20" s="523">
        <f t="shared" si="35"/>
        <v>0</v>
      </c>
      <c r="DI20" s="524">
        <f t="shared" si="203"/>
        <v>0</v>
      </c>
      <c r="DJ20" s="522"/>
      <c r="DK20" s="523">
        <f t="shared" si="36"/>
        <v>0</v>
      </c>
      <c r="DL20" s="524">
        <f t="shared" si="148"/>
        <v>0</v>
      </c>
      <c r="DM20" s="522"/>
      <c r="DN20" s="523">
        <f t="shared" si="37"/>
        <v>0</v>
      </c>
      <c r="DO20" s="524">
        <f t="shared" si="149"/>
        <v>0</v>
      </c>
      <c r="DP20" s="522"/>
      <c r="DQ20" s="523">
        <f t="shared" si="38"/>
        <v>0</v>
      </c>
      <c r="DR20" s="524">
        <f t="shared" si="150"/>
        <v>0</v>
      </c>
      <c r="DS20" s="522"/>
      <c r="DT20" s="523">
        <f t="shared" si="39"/>
        <v>0</v>
      </c>
      <c r="DU20" s="524">
        <f t="shared" si="151"/>
        <v>0</v>
      </c>
      <c r="DV20" s="522"/>
      <c r="DW20" s="523">
        <f t="shared" si="40"/>
        <v>0</v>
      </c>
      <c r="DX20" s="524">
        <f t="shared" si="152"/>
        <v>0</v>
      </c>
      <c r="DY20" s="522"/>
      <c r="DZ20" s="523">
        <f t="shared" si="41"/>
        <v>0</v>
      </c>
      <c r="EA20" s="524">
        <f t="shared" si="153"/>
        <v>0</v>
      </c>
      <c r="EB20" s="522"/>
      <c r="EC20" s="523">
        <f t="shared" si="42"/>
        <v>0</v>
      </c>
      <c r="ED20" s="524">
        <f t="shared" si="154"/>
        <v>0</v>
      </c>
      <c r="EE20" s="522">
        <v>35.22352941176473</v>
      </c>
      <c r="EF20" s="523">
        <f t="shared" si="43"/>
        <v>0.84861660471160849</v>
      </c>
      <c r="EG20" s="524">
        <f t="shared" si="155"/>
        <v>0</v>
      </c>
      <c r="EH20" s="522"/>
      <c r="EI20" s="523">
        <f t="shared" si="44"/>
        <v>0</v>
      </c>
      <c r="EJ20" s="524">
        <f t="shared" si="156"/>
        <v>0</v>
      </c>
      <c r="EK20" s="522">
        <v>43.60465116279056</v>
      </c>
      <c r="EL20" s="523">
        <f t="shared" si="45"/>
        <v>1.0505372867899525</v>
      </c>
      <c r="EM20" s="524">
        <f t="shared" si="157"/>
        <v>0</v>
      </c>
      <c r="EN20" s="522"/>
      <c r="EO20" s="523">
        <f t="shared" si="46"/>
        <v>0</v>
      </c>
      <c r="EP20" s="524">
        <f t="shared" si="158"/>
        <v>0</v>
      </c>
      <c r="EQ20" s="522"/>
      <c r="ER20" s="523">
        <f t="shared" si="47"/>
        <v>0</v>
      </c>
      <c r="ES20" s="524">
        <f t="shared" si="159"/>
        <v>0</v>
      </c>
      <c r="ET20" s="522"/>
      <c r="EU20" s="523">
        <f t="shared" si="48"/>
        <v>0</v>
      </c>
      <c r="EV20" s="524">
        <f t="shared" si="160"/>
        <v>0</v>
      </c>
      <c r="EW20" s="522"/>
      <c r="EX20" s="523">
        <f t="shared" si="49"/>
        <v>0</v>
      </c>
      <c r="EY20" s="524">
        <f t="shared" si="161"/>
        <v>0</v>
      </c>
      <c r="EZ20" s="522"/>
      <c r="FA20" s="523">
        <f t="shared" si="50"/>
        <v>0</v>
      </c>
      <c r="FB20" s="524">
        <f t="shared" si="162"/>
        <v>0</v>
      </c>
      <c r="FC20" s="522"/>
      <c r="FD20" s="523">
        <f t="shared" si="51"/>
        <v>0</v>
      </c>
      <c r="FE20" s="524">
        <f t="shared" si="163"/>
        <v>0</v>
      </c>
      <c r="FF20" s="522"/>
      <c r="FG20" s="523">
        <f t="shared" si="52"/>
        <v>0</v>
      </c>
      <c r="FH20" s="524">
        <f t="shared" si="164"/>
        <v>0</v>
      </c>
      <c r="FI20" s="522"/>
      <c r="FJ20" s="523">
        <f t="shared" si="53"/>
        <v>0</v>
      </c>
      <c r="FK20" s="524">
        <f t="shared" si="165"/>
        <v>0</v>
      </c>
      <c r="FL20" s="522"/>
      <c r="FM20" s="523">
        <f t="shared" si="54"/>
        <v>0</v>
      </c>
      <c r="FN20" s="524">
        <f t="shared" si="166"/>
        <v>0</v>
      </c>
      <c r="FO20" s="522"/>
      <c r="FP20" s="523">
        <f t="shared" si="55"/>
        <v>0</v>
      </c>
      <c r="FQ20" s="524">
        <f t="shared" si="167"/>
        <v>0</v>
      </c>
      <c r="FR20" s="522"/>
      <c r="FS20" s="523">
        <f t="shared" si="56"/>
        <v>0</v>
      </c>
      <c r="FT20" s="524">
        <f t="shared" si="168"/>
        <v>0</v>
      </c>
      <c r="FU20" s="522"/>
      <c r="FV20" s="523">
        <f t="shared" si="57"/>
        <v>0</v>
      </c>
      <c r="FW20" s="524">
        <f t="shared" si="169"/>
        <v>0</v>
      </c>
      <c r="FX20" s="522"/>
      <c r="FY20" s="523">
        <f t="shared" si="58"/>
        <v>0</v>
      </c>
      <c r="FZ20" s="524">
        <f t="shared" si="170"/>
        <v>0</v>
      </c>
      <c r="GA20" s="522"/>
      <c r="GB20" s="523">
        <f t="shared" si="59"/>
        <v>0</v>
      </c>
      <c r="GC20" s="524">
        <f t="shared" si="171"/>
        <v>0</v>
      </c>
      <c r="GD20" s="522"/>
      <c r="GE20" s="523">
        <f t="shared" si="60"/>
        <v>0</v>
      </c>
      <c r="GF20" s="524">
        <f t="shared" si="172"/>
        <v>0</v>
      </c>
      <c r="GG20" s="522"/>
      <c r="GH20" s="523">
        <f t="shared" si="61"/>
        <v>0</v>
      </c>
      <c r="GI20" s="524">
        <f t="shared" si="173"/>
        <v>0</v>
      </c>
      <c r="GJ20" s="522"/>
      <c r="GK20" s="523">
        <f t="shared" si="62"/>
        <v>0</v>
      </c>
      <c r="GL20" s="524">
        <f t="shared" si="174"/>
        <v>0</v>
      </c>
      <c r="GM20" s="522"/>
      <c r="GN20" s="523">
        <f t="shared" si="63"/>
        <v>0</v>
      </c>
      <c r="GO20" s="524">
        <f t="shared" si="175"/>
        <v>0</v>
      </c>
      <c r="GP20" s="522"/>
      <c r="GQ20" s="523">
        <f t="shared" si="64"/>
        <v>0</v>
      </c>
      <c r="GR20" s="524">
        <f t="shared" si="176"/>
        <v>0</v>
      </c>
      <c r="GS20" s="522"/>
      <c r="GT20" s="523">
        <f t="shared" si="65"/>
        <v>0</v>
      </c>
      <c r="GU20" s="524">
        <f t="shared" si="177"/>
        <v>0</v>
      </c>
      <c r="GV20" s="522"/>
      <c r="GW20" s="523">
        <f t="shared" si="66"/>
        <v>0</v>
      </c>
      <c r="GX20" s="524">
        <f t="shared" si="178"/>
        <v>0</v>
      </c>
      <c r="GY20" s="522"/>
      <c r="GZ20" s="523">
        <f t="shared" si="67"/>
        <v>0</v>
      </c>
      <c r="HA20" s="524">
        <f t="shared" si="179"/>
        <v>0</v>
      </c>
      <c r="HB20" s="522"/>
      <c r="HC20" s="523">
        <f t="shared" si="68"/>
        <v>0</v>
      </c>
      <c r="HD20" s="524">
        <f t="shared" si="180"/>
        <v>0</v>
      </c>
      <c r="HE20" s="522"/>
      <c r="HF20" s="523">
        <f t="shared" si="69"/>
        <v>0</v>
      </c>
      <c r="HG20" s="524">
        <f t="shared" si="181"/>
        <v>0</v>
      </c>
      <c r="HH20" s="522"/>
      <c r="HI20" s="523">
        <f t="shared" si="70"/>
        <v>0</v>
      </c>
      <c r="HJ20" s="524">
        <f t="shared" si="182"/>
        <v>0</v>
      </c>
      <c r="HK20" s="522"/>
      <c r="HL20" s="523">
        <f t="shared" si="71"/>
        <v>0</v>
      </c>
      <c r="HM20" s="524">
        <f t="shared" si="183"/>
        <v>0</v>
      </c>
      <c r="HN20" s="522"/>
      <c r="HO20" s="523">
        <f t="shared" si="72"/>
        <v>0</v>
      </c>
      <c r="HP20" s="524">
        <f t="shared" si="184"/>
        <v>0</v>
      </c>
      <c r="HQ20" s="522"/>
      <c r="HR20" s="523">
        <f t="shared" si="73"/>
        <v>0</v>
      </c>
      <c r="HS20" s="524">
        <f t="shared" si="185"/>
        <v>0</v>
      </c>
      <c r="HT20" s="522"/>
      <c r="HU20" s="523">
        <f t="shared" si="74"/>
        <v>0</v>
      </c>
      <c r="HV20" s="524">
        <f t="shared" si="186"/>
        <v>0</v>
      </c>
      <c r="HW20" s="522"/>
      <c r="HX20" s="523">
        <f t="shared" si="75"/>
        <v>0</v>
      </c>
      <c r="HY20" s="524">
        <f t="shared" si="187"/>
        <v>0</v>
      </c>
      <c r="HZ20" s="522"/>
      <c r="IA20" s="523">
        <f t="shared" si="76"/>
        <v>0</v>
      </c>
      <c r="IB20" s="524">
        <f t="shared" si="188"/>
        <v>0</v>
      </c>
      <c r="IC20" s="522"/>
      <c r="ID20" s="523">
        <f t="shared" si="77"/>
        <v>0</v>
      </c>
      <c r="IE20" s="524">
        <f t="shared" si="189"/>
        <v>0</v>
      </c>
      <c r="IF20" s="522"/>
      <c r="IG20" s="523">
        <f t="shared" si="78"/>
        <v>0</v>
      </c>
      <c r="IH20" s="524">
        <f t="shared" si="190"/>
        <v>0</v>
      </c>
      <c r="II20" s="522"/>
      <c r="IJ20" s="523">
        <f t="shared" si="79"/>
        <v>0</v>
      </c>
      <c r="IK20" s="524">
        <f t="shared" si="191"/>
        <v>0</v>
      </c>
      <c r="IL20" s="522"/>
      <c r="IM20" s="523">
        <f t="shared" si="80"/>
        <v>0</v>
      </c>
      <c r="IN20" s="524">
        <f t="shared" si="192"/>
        <v>0</v>
      </c>
      <c r="IO20" s="522"/>
      <c r="IP20" s="523">
        <f t="shared" si="81"/>
        <v>0</v>
      </c>
      <c r="IQ20" s="524">
        <f t="shared" si="193"/>
        <v>0</v>
      </c>
      <c r="IR20" s="522"/>
      <c r="IS20" s="523">
        <f t="shared" si="82"/>
        <v>0</v>
      </c>
      <c r="IT20" s="524">
        <f t="shared" si="194"/>
        <v>0</v>
      </c>
      <c r="IU20" s="522"/>
      <c r="IV20" s="523">
        <f t="shared" si="83"/>
        <v>0</v>
      </c>
      <c r="IW20" s="524">
        <f t="shared" si="195"/>
        <v>0</v>
      </c>
      <c r="IX20" s="522"/>
      <c r="IY20" s="523">
        <f t="shared" si="84"/>
        <v>0</v>
      </c>
      <c r="IZ20" s="524">
        <f t="shared" si="196"/>
        <v>0</v>
      </c>
      <c r="JA20" s="522"/>
      <c r="JB20" s="523">
        <f t="shared" si="85"/>
        <v>0</v>
      </c>
      <c r="JC20" s="524">
        <f t="shared" si="197"/>
        <v>0</v>
      </c>
      <c r="JD20" s="522"/>
      <c r="JE20" s="523">
        <f t="shared" si="86"/>
        <v>0</v>
      </c>
      <c r="JF20" s="524">
        <f t="shared" si="198"/>
        <v>0</v>
      </c>
      <c r="JG20" s="522"/>
      <c r="JH20" s="523">
        <f t="shared" si="87"/>
        <v>0</v>
      </c>
      <c r="JI20" s="524">
        <f t="shared" si="199"/>
        <v>0</v>
      </c>
      <c r="JJ20" s="522"/>
      <c r="JK20" s="524" t="str">
        <f t="shared" si="88"/>
        <v>0</v>
      </c>
      <c r="JL20" s="524" t="str">
        <f t="shared" si="89"/>
        <v>0</v>
      </c>
      <c r="JM20" s="522"/>
      <c r="JN20" s="524" t="str">
        <f t="shared" si="90"/>
        <v>0</v>
      </c>
      <c r="JO20" s="524" t="str">
        <f t="shared" si="91"/>
        <v>0</v>
      </c>
      <c r="JP20" s="522"/>
      <c r="JQ20" s="524" t="str">
        <f t="shared" si="92"/>
        <v>0</v>
      </c>
      <c r="JR20" s="524" t="str">
        <f t="shared" si="93"/>
        <v>0</v>
      </c>
      <c r="JS20" s="522"/>
      <c r="JT20" s="524" t="str">
        <f t="shared" si="94"/>
        <v>0</v>
      </c>
      <c r="JU20" s="524" t="str">
        <f t="shared" si="95"/>
        <v>0</v>
      </c>
      <c r="JV20" s="522"/>
      <c r="JW20" s="524" t="str">
        <f t="shared" si="96"/>
        <v>0</v>
      </c>
      <c r="JX20" s="524" t="str">
        <f t="shared" si="97"/>
        <v>0</v>
      </c>
      <c r="JY20" s="522"/>
      <c r="JZ20" s="524" t="str">
        <f t="shared" si="98"/>
        <v>0</v>
      </c>
      <c r="KA20" s="524" t="str">
        <f t="shared" si="99"/>
        <v>0</v>
      </c>
      <c r="KB20" s="522"/>
      <c r="KC20" s="524" t="str">
        <f t="shared" si="100"/>
        <v>0</v>
      </c>
      <c r="KD20" s="524" t="str">
        <f t="shared" si="101"/>
        <v>0</v>
      </c>
      <c r="KE20" s="522"/>
      <c r="KF20" s="524" t="str">
        <f t="shared" si="102"/>
        <v>0</v>
      </c>
      <c r="KG20" s="524" t="str">
        <f t="shared" si="103"/>
        <v>0</v>
      </c>
      <c r="KH20" s="522"/>
      <c r="KI20" s="524" t="str">
        <f t="shared" si="104"/>
        <v>0</v>
      </c>
      <c r="KJ20" s="524" t="str">
        <f t="shared" si="105"/>
        <v>0</v>
      </c>
      <c r="KK20" s="522"/>
      <c r="KL20" s="524" t="str">
        <f t="shared" si="106"/>
        <v>0</v>
      </c>
      <c r="KM20" s="524" t="str">
        <f t="shared" si="107"/>
        <v>0</v>
      </c>
      <c r="KN20" s="522"/>
      <c r="KO20" s="524" t="str">
        <f t="shared" si="108"/>
        <v>0</v>
      </c>
      <c r="KP20" s="524" t="str">
        <f t="shared" si="109"/>
        <v>0</v>
      </c>
      <c r="KQ20" s="522"/>
      <c r="KR20" s="524" t="str">
        <f t="shared" si="110"/>
        <v>0</v>
      </c>
      <c r="KS20" s="524" t="str">
        <f t="shared" si="111"/>
        <v>0</v>
      </c>
      <c r="KT20" s="524">
        <f t="shared" si="201"/>
        <v>0</v>
      </c>
      <c r="KU20" s="524">
        <f t="shared" si="202"/>
        <v>0</v>
      </c>
      <c r="KV20" s="261">
        <f t="shared" si="204"/>
        <v>326.57270392849495</v>
      </c>
    </row>
    <row r="21" spans="1:308">
      <c r="A21" s="262">
        <f t="shared" si="200"/>
        <v>46004</v>
      </c>
      <c r="B21" s="263" t="str">
        <f>+Report1!B21</f>
        <v>Toilet/Facial</v>
      </c>
      <c r="C21" s="263" t="str">
        <f>+Report1!C21</f>
        <v>12/12</v>
      </c>
      <c r="D21" s="264">
        <f>+Report1!P21</f>
        <v>35.811999999999998</v>
      </c>
      <c r="E21" s="560">
        <f>+Report1!R21</f>
        <v>34.055999999999997</v>
      </c>
      <c r="F21" s="522"/>
      <c r="G21" s="523">
        <f t="shared" si="0"/>
        <v>0</v>
      </c>
      <c r="H21" s="524">
        <f t="shared" si="113"/>
        <v>0</v>
      </c>
      <c r="I21" s="522">
        <v>286.71009302325547</v>
      </c>
      <c r="J21" s="523">
        <f t="shared" si="1"/>
        <v>8.4187835630507255</v>
      </c>
      <c r="K21" s="524">
        <f t="shared" si="114"/>
        <v>0</v>
      </c>
      <c r="L21" s="522"/>
      <c r="M21" s="523">
        <f t="shared" si="2"/>
        <v>0</v>
      </c>
      <c r="N21" s="524">
        <f t="shared" si="115"/>
        <v>0</v>
      </c>
      <c r="O21" s="522">
        <v>2.9660000000000082</v>
      </c>
      <c r="P21" s="523">
        <f t="shared" si="3"/>
        <v>8.7091848719755949E-2</v>
      </c>
      <c r="Q21" s="524">
        <f t="shared" si="116"/>
        <v>0</v>
      </c>
      <c r="R21" s="522"/>
      <c r="S21" s="523">
        <f t="shared" si="4"/>
        <v>0</v>
      </c>
      <c r="T21" s="524">
        <f t="shared" si="117"/>
        <v>0</v>
      </c>
      <c r="U21" s="522">
        <v>2.5297000000000196</v>
      </c>
      <c r="V21" s="523">
        <f t="shared" si="5"/>
        <v>7.4280596664318174E-2</v>
      </c>
      <c r="W21" s="524">
        <f t="shared" si="118"/>
        <v>0</v>
      </c>
      <c r="X21" s="522"/>
      <c r="Y21" s="523">
        <f t="shared" si="6"/>
        <v>0</v>
      </c>
      <c r="Z21" s="524">
        <f t="shared" si="119"/>
        <v>0</v>
      </c>
      <c r="AA21" s="522"/>
      <c r="AB21" s="523">
        <f t="shared" si="7"/>
        <v>0</v>
      </c>
      <c r="AC21" s="524">
        <f t="shared" si="120"/>
        <v>0</v>
      </c>
      <c r="AD21" s="522"/>
      <c r="AE21" s="523">
        <f t="shared" si="8"/>
        <v>0</v>
      </c>
      <c r="AF21" s="524">
        <f t="shared" si="121"/>
        <v>0</v>
      </c>
      <c r="AG21" s="522"/>
      <c r="AH21" s="523">
        <f t="shared" si="9"/>
        <v>0</v>
      </c>
      <c r="AI21" s="524">
        <f t="shared" si="122"/>
        <v>0</v>
      </c>
      <c r="AJ21" s="522"/>
      <c r="AK21" s="523">
        <f t="shared" si="10"/>
        <v>0</v>
      </c>
      <c r="AL21" s="524">
        <f t="shared" si="123"/>
        <v>0</v>
      </c>
      <c r="AM21" s="522"/>
      <c r="AN21" s="523">
        <f t="shared" si="11"/>
        <v>0</v>
      </c>
      <c r="AO21" s="524">
        <f t="shared" si="124"/>
        <v>0</v>
      </c>
      <c r="AP21" s="522">
        <v>29.497869620253141</v>
      </c>
      <c r="AQ21" s="523">
        <f t="shared" si="12"/>
        <v>0.8661577877687674</v>
      </c>
      <c r="AR21" s="524">
        <f t="shared" si="125"/>
        <v>0</v>
      </c>
      <c r="AS21" s="522"/>
      <c r="AT21" s="523">
        <f t="shared" si="13"/>
        <v>0</v>
      </c>
      <c r="AU21" s="524">
        <f t="shared" si="126"/>
        <v>0</v>
      </c>
      <c r="AV21" s="522"/>
      <c r="AW21" s="523">
        <f t="shared" si="14"/>
        <v>0</v>
      </c>
      <c r="AX21" s="524">
        <f t="shared" si="127"/>
        <v>0</v>
      </c>
      <c r="AY21" s="522">
        <v>58.680933333333257</v>
      </c>
      <c r="AZ21" s="523">
        <f t="shared" si="15"/>
        <v>1.7230718033043593</v>
      </c>
      <c r="BA21" s="524">
        <f t="shared" si="128"/>
        <v>0</v>
      </c>
      <c r="BB21" s="522"/>
      <c r="BC21" s="523">
        <f t="shared" si="16"/>
        <v>0</v>
      </c>
      <c r="BD21" s="524">
        <f t="shared" si="129"/>
        <v>0</v>
      </c>
      <c r="BE21" s="522"/>
      <c r="BF21" s="523">
        <f t="shared" si="17"/>
        <v>0</v>
      </c>
      <c r="BG21" s="524">
        <f t="shared" si="130"/>
        <v>0</v>
      </c>
      <c r="BH21" s="522"/>
      <c r="BI21" s="523">
        <f t="shared" si="18"/>
        <v>0</v>
      </c>
      <c r="BJ21" s="524">
        <f t="shared" si="131"/>
        <v>0</v>
      </c>
      <c r="BK21" s="522"/>
      <c r="BL21" s="523">
        <f t="shared" si="19"/>
        <v>0</v>
      </c>
      <c r="BM21" s="524">
        <f t="shared" si="132"/>
        <v>0</v>
      </c>
      <c r="BN21" s="522"/>
      <c r="BO21" s="523">
        <f t="shared" si="20"/>
        <v>0</v>
      </c>
      <c r="BP21" s="524">
        <f t="shared" si="133"/>
        <v>0</v>
      </c>
      <c r="BQ21" s="522"/>
      <c r="BR21" s="523">
        <f t="shared" si="21"/>
        <v>0</v>
      </c>
      <c r="BS21" s="524">
        <f t="shared" si="134"/>
        <v>0</v>
      </c>
      <c r="BT21" s="522"/>
      <c r="BU21" s="523">
        <f t="shared" si="22"/>
        <v>0</v>
      </c>
      <c r="BV21" s="524">
        <f t="shared" si="135"/>
        <v>0</v>
      </c>
      <c r="BW21" s="522"/>
      <c r="BX21" s="523">
        <f t="shared" si="23"/>
        <v>0</v>
      </c>
      <c r="BY21" s="524">
        <f t="shared" si="136"/>
        <v>0</v>
      </c>
      <c r="BZ21" s="522"/>
      <c r="CA21" s="523">
        <f t="shared" si="24"/>
        <v>0</v>
      </c>
      <c r="CB21" s="524">
        <f t="shared" si="137"/>
        <v>0</v>
      </c>
      <c r="CC21" s="522"/>
      <c r="CD21" s="523">
        <f t="shared" si="25"/>
        <v>0</v>
      </c>
      <c r="CE21" s="524">
        <f t="shared" si="138"/>
        <v>0</v>
      </c>
      <c r="CF21" s="522">
        <v>0.64999999999999503</v>
      </c>
      <c r="CG21" s="523">
        <f t="shared" si="26"/>
        <v>1.9086210946675917E-2</v>
      </c>
      <c r="CH21" s="524">
        <f t="shared" si="139"/>
        <v>0</v>
      </c>
      <c r="CI21" s="522"/>
      <c r="CJ21" s="523">
        <f t="shared" si="27"/>
        <v>0</v>
      </c>
      <c r="CK21" s="524">
        <f t="shared" si="140"/>
        <v>0</v>
      </c>
      <c r="CL21" s="522"/>
      <c r="CM21" s="523">
        <f t="shared" si="28"/>
        <v>0</v>
      </c>
      <c r="CN21" s="524">
        <f t="shared" si="141"/>
        <v>0</v>
      </c>
      <c r="CO21" s="522"/>
      <c r="CP21" s="523">
        <f t="shared" si="29"/>
        <v>0</v>
      </c>
      <c r="CQ21" s="524">
        <f t="shared" si="142"/>
        <v>0</v>
      </c>
      <c r="CR21" s="522"/>
      <c r="CS21" s="523">
        <f t="shared" si="30"/>
        <v>0</v>
      </c>
      <c r="CT21" s="524">
        <f t="shared" si="143"/>
        <v>0</v>
      </c>
      <c r="CU21" s="522"/>
      <c r="CV21" s="523">
        <f t="shared" si="31"/>
        <v>0</v>
      </c>
      <c r="CW21" s="524">
        <f t="shared" si="144"/>
        <v>0</v>
      </c>
      <c r="CX21" s="522"/>
      <c r="CY21" s="523">
        <f t="shared" si="32"/>
        <v>0</v>
      </c>
      <c r="CZ21" s="524">
        <f t="shared" si="145"/>
        <v>0</v>
      </c>
      <c r="DA21" s="522"/>
      <c r="DB21" s="523">
        <f t="shared" si="33"/>
        <v>0</v>
      </c>
      <c r="DC21" s="524">
        <f t="shared" si="146"/>
        <v>0</v>
      </c>
      <c r="DD21" s="522"/>
      <c r="DE21" s="523">
        <f t="shared" si="34"/>
        <v>0</v>
      </c>
      <c r="DF21" s="524">
        <f t="shared" si="147"/>
        <v>0</v>
      </c>
      <c r="DG21" s="522"/>
      <c r="DH21" s="523">
        <f t="shared" si="35"/>
        <v>0</v>
      </c>
      <c r="DI21" s="524">
        <f t="shared" si="203"/>
        <v>0</v>
      </c>
      <c r="DJ21" s="522"/>
      <c r="DK21" s="523">
        <f t="shared" si="36"/>
        <v>0</v>
      </c>
      <c r="DL21" s="524">
        <f t="shared" si="148"/>
        <v>0</v>
      </c>
      <c r="DM21" s="522"/>
      <c r="DN21" s="523">
        <f t="shared" si="37"/>
        <v>0</v>
      </c>
      <c r="DO21" s="524">
        <f t="shared" si="149"/>
        <v>0</v>
      </c>
      <c r="DP21" s="522"/>
      <c r="DQ21" s="523">
        <f t="shared" si="38"/>
        <v>0</v>
      </c>
      <c r="DR21" s="524">
        <f t="shared" si="150"/>
        <v>0</v>
      </c>
      <c r="DS21" s="522"/>
      <c r="DT21" s="523">
        <f t="shared" si="39"/>
        <v>0</v>
      </c>
      <c r="DU21" s="524">
        <f t="shared" si="151"/>
        <v>0</v>
      </c>
      <c r="DV21" s="522"/>
      <c r="DW21" s="523">
        <f t="shared" si="40"/>
        <v>0</v>
      </c>
      <c r="DX21" s="524">
        <f t="shared" si="152"/>
        <v>0</v>
      </c>
      <c r="DY21" s="522"/>
      <c r="DZ21" s="523">
        <f t="shared" si="41"/>
        <v>0</v>
      </c>
      <c r="EA21" s="524">
        <f t="shared" si="153"/>
        <v>0</v>
      </c>
      <c r="EB21" s="522"/>
      <c r="EC21" s="523">
        <f t="shared" si="42"/>
        <v>0</v>
      </c>
      <c r="ED21" s="524">
        <f t="shared" si="154"/>
        <v>0</v>
      </c>
      <c r="EE21" s="522">
        <v>40.528235294117621</v>
      </c>
      <c r="EF21" s="523">
        <f t="shared" si="43"/>
        <v>1.1900468432616169</v>
      </c>
      <c r="EG21" s="524">
        <f t="shared" si="155"/>
        <v>0</v>
      </c>
      <c r="EH21" s="522"/>
      <c r="EI21" s="523">
        <f t="shared" si="44"/>
        <v>0</v>
      </c>
      <c r="EJ21" s="524">
        <f t="shared" si="156"/>
        <v>0</v>
      </c>
      <c r="EK21" s="522">
        <v>28.668251162790966</v>
      </c>
      <c r="EL21" s="523">
        <f t="shared" si="45"/>
        <v>0.84179736794664572</v>
      </c>
      <c r="EM21" s="524">
        <f t="shared" si="157"/>
        <v>0</v>
      </c>
      <c r="EN21" s="522"/>
      <c r="EO21" s="523">
        <f t="shared" si="46"/>
        <v>0</v>
      </c>
      <c r="EP21" s="524">
        <f t="shared" si="158"/>
        <v>0</v>
      </c>
      <c r="EQ21" s="522"/>
      <c r="ER21" s="523">
        <f t="shared" si="47"/>
        <v>0</v>
      </c>
      <c r="ES21" s="524">
        <f t="shared" si="159"/>
        <v>0</v>
      </c>
      <c r="ET21" s="522"/>
      <c r="EU21" s="523">
        <f t="shared" si="48"/>
        <v>0</v>
      </c>
      <c r="EV21" s="524">
        <f t="shared" si="160"/>
        <v>0</v>
      </c>
      <c r="EW21" s="522"/>
      <c r="EX21" s="523">
        <f t="shared" si="49"/>
        <v>0</v>
      </c>
      <c r="EY21" s="524">
        <f t="shared" si="161"/>
        <v>0</v>
      </c>
      <c r="EZ21" s="522"/>
      <c r="FA21" s="523">
        <f t="shared" si="50"/>
        <v>0</v>
      </c>
      <c r="FB21" s="524">
        <f t="shared" si="162"/>
        <v>0</v>
      </c>
      <c r="FC21" s="522"/>
      <c r="FD21" s="523">
        <f t="shared" si="51"/>
        <v>0</v>
      </c>
      <c r="FE21" s="524">
        <f t="shared" si="163"/>
        <v>0</v>
      </c>
      <c r="FF21" s="522"/>
      <c r="FG21" s="523">
        <f t="shared" si="52"/>
        <v>0</v>
      </c>
      <c r="FH21" s="524">
        <f t="shared" si="164"/>
        <v>0</v>
      </c>
      <c r="FI21" s="522"/>
      <c r="FJ21" s="523">
        <f t="shared" si="53"/>
        <v>0</v>
      </c>
      <c r="FK21" s="524">
        <f t="shared" si="165"/>
        <v>0</v>
      </c>
      <c r="FL21" s="522"/>
      <c r="FM21" s="523">
        <f t="shared" si="54"/>
        <v>0</v>
      </c>
      <c r="FN21" s="524">
        <f t="shared" si="166"/>
        <v>0</v>
      </c>
      <c r="FO21" s="522"/>
      <c r="FP21" s="523">
        <f t="shared" si="55"/>
        <v>0</v>
      </c>
      <c r="FQ21" s="524">
        <f t="shared" si="167"/>
        <v>0</v>
      </c>
      <c r="FR21" s="522"/>
      <c r="FS21" s="523">
        <f t="shared" si="56"/>
        <v>0</v>
      </c>
      <c r="FT21" s="524">
        <f t="shared" si="168"/>
        <v>0</v>
      </c>
      <c r="FU21" s="522"/>
      <c r="FV21" s="523">
        <f t="shared" si="57"/>
        <v>0</v>
      </c>
      <c r="FW21" s="524">
        <f t="shared" si="169"/>
        <v>0</v>
      </c>
      <c r="FX21" s="522"/>
      <c r="FY21" s="523">
        <f t="shared" si="58"/>
        <v>0</v>
      </c>
      <c r="FZ21" s="524">
        <f t="shared" si="170"/>
        <v>0</v>
      </c>
      <c r="GA21" s="522"/>
      <c r="GB21" s="523">
        <f t="shared" si="59"/>
        <v>0</v>
      </c>
      <c r="GC21" s="524">
        <f t="shared" si="171"/>
        <v>0</v>
      </c>
      <c r="GD21" s="522"/>
      <c r="GE21" s="523">
        <f t="shared" si="60"/>
        <v>0</v>
      </c>
      <c r="GF21" s="524">
        <f t="shared" si="172"/>
        <v>0</v>
      </c>
      <c r="GG21" s="522"/>
      <c r="GH21" s="523">
        <f t="shared" si="61"/>
        <v>0</v>
      </c>
      <c r="GI21" s="524">
        <f t="shared" si="173"/>
        <v>0</v>
      </c>
      <c r="GJ21" s="522"/>
      <c r="GK21" s="523">
        <f t="shared" si="62"/>
        <v>0</v>
      </c>
      <c r="GL21" s="524">
        <f t="shared" si="174"/>
        <v>0</v>
      </c>
      <c r="GM21" s="522"/>
      <c r="GN21" s="523">
        <f t="shared" si="63"/>
        <v>0</v>
      </c>
      <c r="GO21" s="524">
        <f t="shared" si="175"/>
        <v>0</v>
      </c>
      <c r="GP21" s="522"/>
      <c r="GQ21" s="523">
        <f t="shared" si="64"/>
        <v>0</v>
      </c>
      <c r="GR21" s="524">
        <f t="shared" si="176"/>
        <v>0</v>
      </c>
      <c r="GS21" s="522"/>
      <c r="GT21" s="523">
        <f t="shared" si="65"/>
        <v>0</v>
      </c>
      <c r="GU21" s="524">
        <f t="shared" si="177"/>
        <v>0</v>
      </c>
      <c r="GV21" s="522"/>
      <c r="GW21" s="523">
        <f t="shared" si="66"/>
        <v>0</v>
      </c>
      <c r="GX21" s="524">
        <f t="shared" si="178"/>
        <v>0</v>
      </c>
      <c r="GY21" s="522"/>
      <c r="GZ21" s="523">
        <f t="shared" si="67"/>
        <v>0</v>
      </c>
      <c r="HA21" s="524">
        <f t="shared" si="179"/>
        <v>0</v>
      </c>
      <c r="HB21" s="522"/>
      <c r="HC21" s="523">
        <f t="shared" si="68"/>
        <v>0</v>
      </c>
      <c r="HD21" s="524">
        <f t="shared" si="180"/>
        <v>0</v>
      </c>
      <c r="HE21" s="522"/>
      <c r="HF21" s="523">
        <f t="shared" si="69"/>
        <v>0</v>
      </c>
      <c r="HG21" s="524">
        <f t="shared" si="181"/>
        <v>0</v>
      </c>
      <c r="HH21" s="522"/>
      <c r="HI21" s="523">
        <f t="shared" si="70"/>
        <v>0</v>
      </c>
      <c r="HJ21" s="524">
        <f t="shared" si="182"/>
        <v>0</v>
      </c>
      <c r="HK21" s="522"/>
      <c r="HL21" s="523">
        <f t="shared" si="71"/>
        <v>0</v>
      </c>
      <c r="HM21" s="524">
        <f t="shared" si="183"/>
        <v>0</v>
      </c>
      <c r="HN21" s="522"/>
      <c r="HO21" s="523">
        <f t="shared" si="72"/>
        <v>0</v>
      </c>
      <c r="HP21" s="524">
        <f t="shared" si="184"/>
        <v>0</v>
      </c>
      <c r="HQ21" s="522"/>
      <c r="HR21" s="523">
        <f t="shared" si="73"/>
        <v>0</v>
      </c>
      <c r="HS21" s="524">
        <f t="shared" si="185"/>
        <v>0</v>
      </c>
      <c r="HT21" s="522"/>
      <c r="HU21" s="523">
        <f t="shared" si="74"/>
        <v>0</v>
      </c>
      <c r="HV21" s="524">
        <f t="shared" si="186"/>
        <v>0</v>
      </c>
      <c r="HW21" s="522"/>
      <c r="HX21" s="523">
        <f t="shared" si="75"/>
        <v>0</v>
      </c>
      <c r="HY21" s="524">
        <f t="shared" si="187"/>
        <v>0</v>
      </c>
      <c r="HZ21" s="522"/>
      <c r="IA21" s="523">
        <f t="shared" si="76"/>
        <v>0</v>
      </c>
      <c r="IB21" s="524">
        <f t="shared" si="188"/>
        <v>0</v>
      </c>
      <c r="IC21" s="522"/>
      <c r="ID21" s="523">
        <f t="shared" si="77"/>
        <v>0</v>
      </c>
      <c r="IE21" s="524">
        <f t="shared" si="189"/>
        <v>0</v>
      </c>
      <c r="IF21" s="522"/>
      <c r="IG21" s="523">
        <f t="shared" si="78"/>
        <v>0</v>
      </c>
      <c r="IH21" s="524">
        <f t="shared" si="190"/>
        <v>0</v>
      </c>
      <c r="II21" s="522"/>
      <c r="IJ21" s="523">
        <f t="shared" si="79"/>
        <v>0</v>
      </c>
      <c r="IK21" s="524">
        <f t="shared" si="191"/>
        <v>0</v>
      </c>
      <c r="IL21" s="522"/>
      <c r="IM21" s="523">
        <f t="shared" si="80"/>
        <v>0</v>
      </c>
      <c r="IN21" s="524">
        <f t="shared" si="192"/>
        <v>0</v>
      </c>
      <c r="IO21" s="522"/>
      <c r="IP21" s="523">
        <f t="shared" si="81"/>
        <v>0</v>
      </c>
      <c r="IQ21" s="524">
        <f t="shared" si="193"/>
        <v>0</v>
      </c>
      <c r="IR21" s="522"/>
      <c r="IS21" s="523">
        <f t="shared" si="82"/>
        <v>0</v>
      </c>
      <c r="IT21" s="524">
        <f t="shared" si="194"/>
        <v>0</v>
      </c>
      <c r="IU21" s="522"/>
      <c r="IV21" s="523">
        <f t="shared" si="83"/>
        <v>0</v>
      </c>
      <c r="IW21" s="524">
        <f t="shared" si="195"/>
        <v>0</v>
      </c>
      <c r="IX21" s="522"/>
      <c r="IY21" s="523">
        <f t="shared" si="84"/>
        <v>0</v>
      </c>
      <c r="IZ21" s="524">
        <f t="shared" si="196"/>
        <v>0</v>
      </c>
      <c r="JA21" s="522"/>
      <c r="JB21" s="523">
        <f t="shared" si="85"/>
        <v>0</v>
      </c>
      <c r="JC21" s="524">
        <f t="shared" si="197"/>
        <v>0</v>
      </c>
      <c r="JD21" s="522"/>
      <c r="JE21" s="523">
        <f t="shared" si="86"/>
        <v>0</v>
      </c>
      <c r="JF21" s="524">
        <f t="shared" si="198"/>
        <v>0</v>
      </c>
      <c r="JG21" s="522"/>
      <c r="JH21" s="523">
        <f t="shared" si="87"/>
        <v>0</v>
      </c>
      <c r="JI21" s="524">
        <f t="shared" si="199"/>
        <v>0</v>
      </c>
      <c r="JJ21" s="522"/>
      <c r="JK21" s="524" t="str">
        <f t="shared" si="88"/>
        <v>0</v>
      </c>
      <c r="JL21" s="524" t="str">
        <f t="shared" si="89"/>
        <v>0</v>
      </c>
      <c r="JM21" s="522"/>
      <c r="JN21" s="524" t="str">
        <f t="shared" si="90"/>
        <v>0</v>
      </c>
      <c r="JO21" s="524" t="str">
        <f t="shared" si="91"/>
        <v>0</v>
      </c>
      <c r="JP21" s="522"/>
      <c r="JQ21" s="524" t="str">
        <f t="shared" si="92"/>
        <v>0</v>
      </c>
      <c r="JR21" s="524" t="str">
        <f t="shared" si="93"/>
        <v>0</v>
      </c>
      <c r="JS21" s="522"/>
      <c r="JT21" s="524" t="str">
        <f t="shared" si="94"/>
        <v>0</v>
      </c>
      <c r="JU21" s="524" t="str">
        <f t="shared" si="95"/>
        <v>0</v>
      </c>
      <c r="JV21" s="522"/>
      <c r="JW21" s="524" t="str">
        <f t="shared" si="96"/>
        <v>0</v>
      </c>
      <c r="JX21" s="524" t="str">
        <f t="shared" si="97"/>
        <v>0</v>
      </c>
      <c r="JY21" s="522"/>
      <c r="JZ21" s="524" t="str">
        <f t="shared" si="98"/>
        <v>0</v>
      </c>
      <c r="KA21" s="524" t="str">
        <f t="shared" si="99"/>
        <v>0</v>
      </c>
      <c r="KB21" s="522"/>
      <c r="KC21" s="524" t="str">
        <f t="shared" si="100"/>
        <v>0</v>
      </c>
      <c r="KD21" s="524" t="str">
        <f t="shared" si="101"/>
        <v>0</v>
      </c>
      <c r="KE21" s="522"/>
      <c r="KF21" s="524" t="str">
        <f t="shared" si="102"/>
        <v>0</v>
      </c>
      <c r="KG21" s="524" t="str">
        <f t="shared" si="103"/>
        <v>0</v>
      </c>
      <c r="KH21" s="522"/>
      <c r="KI21" s="524" t="str">
        <f t="shared" si="104"/>
        <v>0</v>
      </c>
      <c r="KJ21" s="524" t="str">
        <f t="shared" si="105"/>
        <v>0</v>
      </c>
      <c r="KK21" s="522"/>
      <c r="KL21" s="524" t="str">
        <f t="shared" si="106"/>
        <v>0</v>
      </c>
      <c r="KM21" s="524" t="str">
        <f t="shared" si="107"/>
        <v>0</v>
      </c>
      <c r="KN21" s="522"/>
      <c r="KO21" s="524" t="str">
        <f t="shared" si="108"/>
        <v>0</v>
      </c>
      <c r="KP21" s="524" t="str">
        <f t="shared" si="109"/>
        <v>0</v>
      </c>
      <c r="KQ21" s="522"/>
      <c r="KR21" s="524" t="str">
        <f t="shared" si="110"/>
        <v>0</v>
      </c>
      <c r="KS21" s="524" t="str">
        <f t="shared" si="111"/>
        <v>0</v>
      </c>
      <c r="KT21" s="524">
        <f t="shared" si="201"/>
        <v>0</v>
      </c>
      <c r="KU21" s="524">
        <f t="shared" si="202"/>
        <v>0</v>
      </c>
      <c r="KV21" s="261">
        <f t="shared" si="204"/>
        <v>450.23108243375049</v>
      </c>
    </row>
    <row r="22" spans="1:308">
      <c r="A22" s="262">
        <f t="shared" si="200"/>
        <v>46005</v>
      </c>
      <c r="B22" s="263" t="str">
        <f>+Report1!B22</f>
        <v>Facial</v>
      </c>
      <c r="C22" s="263" t="str">
        <f>+Report1!C22</f>
        <v>12</v>
      </c>
      <c r="D22" s="264">
        <f>+Report1!P22</f>
        <v>36.808999999999997</v>
      </c>
      <c r="E22" s="560">
        <f>+Report1!R22</f>
        <v>33.35</v>
      </c>
      <c r="F22" s="522"/>
      <c r="G22" s="523">
        <f t="shared" si="0"/>
        <v>0</v>
      </c>
      <c r="H22" s="524">
        <f t="shared" si="113"/>
        <v>0</v>
      </c>
      <c r="I22" s="522">
        <v>294.68820000000017</v>
      </c>
      <c r="J22" s="523">
        <f t="shared" si="1"/>
        <v>8.8362278860569763</v>
      </c>
      <c r="K22" s="524">
        <f t="shared" si="114"/>
        <v>0</v>
      </c>
      <c r="L22" s="522"/>
      <c r="M22" s="523">
        <f t="shared" si="2"/>
        <v>0</v>
      </c>
      <c r="N22" s="524">
        <f t="shared" si="115"/>
        <v>0</v>
      </c>
      <c r="O22" s="522">
        <v>3.0391999999999939</v>
      </c>
      <c r="P22" s="523">
        <f t="shared" si="3"/>
        <v>9.1130434782608516E-2</v>
      </c>
      <c r="Q22" s="524">
        <f t="shared" si="116"/>
        <v>0</v>
      </c>
      <c r="R22" s="522"/>
      <c r="S22" s="523">
        <f t="shared" si="4"/>
        <v>0</v>
      </c>
      <c r="T22" s="524">
        <f t="shared" si="117"/>
        <v>0</v>
      </c>
      <c r="U22" s="522">
        <v>2.5955999999999904</v>
      </c>
      <c r="V22" s="523">
        <f t="shared" si="5"/>
        <v>7.7829085457271074E-2</v>
      </c>
      <c r="W22" s="524">
        <f t="shared" si="118"/>
        <v>0</v>
      </c>
      <c r="X22" s="522"/>
      <c r="Y22" s="523">
        <f t="shared" si="6"/>
        <v>0</v>
      </c>
      <c r="Z22" s="524">
        <f t="shared" si="119"/>
        <v>0</v>
      </c>
      <c r="AA22" s="522"/>
      <c r="AB22" s="523">
        <f t="shared" si="7"/>
        <v>0</v>
      </c>
      <c r="AC22" s="524">
        <f t="shared" si="120"/>
        <v>0</v>
      </c>
      <c r="AD22" s="522"/>
      <c r="AE22" s="523">
        <f t="shared" si="8"/>
        <v>0</v>
      </c>
      <c r="AF22" s="524">
        <f t="shared" si="121"/>
        <v>0</v>
      </c>
      <c r="AG22" s="522"/>
      <c r="AH22" s="523">
        <f t="shared" si="9"/>
        <v>0</v>
      </c>
      <c r="AI22" s="524">
        <f t="shared" si="122"/>
        <v>0</v>
      </c>
      <c r="AJ22" s="522"/>
      <c r="AK22" s="523">
        <f t="shared" si="10"/>
        <v>0</v>
      </c>
      <c r="AL22" s="524">
        <f t="shared" si="123"/>
        <v>0</v>
      </c>
      <c r="AM22" s="522"/>
      <c r="AN22" s="523">
        <f t="shared" si="11"/>
        <v>0</v>
      </c>
      <c r="AO22" s="524">
        <f t="shared" si="124"/>
        <v>0</v>
      </c>
      <c r="AP22" s="522">
        <v>30.31310000000002</v>
      </c>
      <c r="AQ22" s="523">
        <f t="shared" si="12"/>
        <v>0.90893853073463327</v>
      </c>
      <c r="AR22" s="524">
        <f t="shared" si="125"/>
        <v>0</v>
      </c>
      <c r="AS22" s="522"/>
      <c r="AT22" s="523">
        <f t="shared" si="13"/>
        <v>0</v>
      </c>
      <c r="AU22" s="524">
        <f t="shared" si="126"/>
        <v>0</v>
      </c>
      <c r="AV22" s="522"/>
      <c r="AW22" s="523">
        <f t="shared" si="14"/>
        <v>0</v>
      </c>
      <c r="AX22" s="524">
        <f t="shared" si="127"/>
        <v>0</v>
      </c>
      <c r="AY22" s="522">
        <v>60.315200000000061</v>
      </c>
      <c r="AZ22" s="523">
        <f t="shared" si="15"/>
        <v>1.8085517241379327</v>
      </c>
      <c r="BA22" s="524">
        <f t="shared" si="128"/>
        <v>0</v>
      </c>
      <c r="BB22" s="522"/>
      <c r="BC22" s="523">
        <f t="shared" si="16"/>
        <v>0</v>
      </c>
      <c r="BD22" s="524">
        <f t="shared" si="129"/>
        <v>0</v>
      </c>
      <c r="BE22" s="522"/>
      <c r="BF22" s="523">
        <f t="shared" si="17"/>
        <v>0</v>
      </c>
      <c r="BG22" s="524">
        <f t="shared" si="130"/>
        <v>0</v>
      </c>
      <c r="BH22" s="522"/>
      <c r="BI22" s="523">
        <f t="shared" si="18"/>
        <v>0</v>
      </c>
      <c r="BJ22" s="524">
        <f t="shared" si="131"/>
        <v>0</v>
      </c>
      <c r="BK22" s="522"/>
      <c r="BL22" s="523">
        <f t="shared" si="19"/>
        <v>0</v>
      </c>
      <c r="BM22" s="524">
        <f t="shared" si="132"/>
        <v>0</v>
      </c>
      <c r="BN22" s="522"/>
      <c r="BO22" s="523">
        <f t="shared" si="20"/>
        <v>0</v>
      </c>
      <c r="BP22" s="524">
        <f t="shared" si="133"/>
        <v>0</v>
      </c>
      <c r="BQ22" s="522"/>
      <c r="BR22" s="523">
        <f t="shared" si="21"/>
        <v>0</v>
      </c>
      <c r="BS22" s="524">
        <f t="shared" si="134"/>
        <v>0</v>
      </c>
      <c r="BT22" s="522"/>
      <c r="BU22" s="523">
        <f t="shared" si="22"/>
        <v>0</v>
      </c>
      <c r="BV22" s="524">
        <f t="shared" si="135"/>
        <v>0</v>
      </c>
      <c r="BW22" s="522"/>
      <c r="BX22" s="523">
        <f t="shared" si="23"/>
        <v>0</v>
      </c>
      <c r="BY22" s="524">
        <f t="shared" si="136"/>
        <v>0</v>
      </c>
      <c r="BZ22" s="522"/>
      <c r="CA22" s="523">
        <f t="shared" si="24"/>
        <v>0</v>
      </c>
      <c r="CB22" s="524">
        <f t="shared" si="137"/>
        <v>0</v>
      </c>
      <c r="CC22" s="522"/>
      <c r="CD22" s="523">
        <f t="shared" si="25"/>
        <v>0</v>
      </c>
      <c r="CE22" s="524">
        <f t="shared" si="138"/>
        <v>0</v>
      </c>
      <c r="CF22" s="522">
        <v>0.64999999999999503</v>
      </c>
      <c r="CG22" s="523">
        <f t="shared" si="26"/>
        <v>1.9490254872563569E-2</v>
      </c>
      <c r="CH22" s="524">
        <f t="shared" si="139"/>
        <v>0</v>
      </c>
      <c r="CI22" s="522"/>
      <c r="CJ22" s="523">
        <f t="shared" si="27"/>
        <v>0</v>
      </c>
      <c r="CK22" s="524">
        <f t="shared" si="140"/>
        <v>0</v>
      </c>
      <c r="CL22" s="522"/>
      <c r="CM22" s="523">
        <f t="shared" si="28"/>
        <v>0</v>
      </c>
      <c r="CN22" s="524">
        <f t="shared" si="141"/>
        <v>0</v>
      </c>
      <c r="CO22" s="522"/>
      <c r="CP22" s="523">
        <f t="shared" si="29"/>
        <v>0</v>
      </c>
      <c r="CQ22" s="524">
        <f t="shared" si="142"/>
        <v>0</v>
      </c>
      <c r="CR22" s="522"/>
      <c r="CS22" s="523">
        <f t="shared" si="30"/>
        <v>0</v>
      </c>
      <c r="CT22" s="524">
        <f t="shared" si="143"/>
        <v>0</v>
      </c>
      <c r="CU22" s="522"/>
      <c r="CV22" s="523">
        <f t="shared" si="31"/>
        <v>0</v>
      </c>
      <c r="CW22" s="524">
        <f t="shared" si="144"/>
        <v>0</v>
      </c>
      <c r="CX22" s="522"/>
      <c r="CY22" s="523">
        <f t="shared" si="32"/>
        <v>0</v>
      </c>
      <c r="CZ22" s="524">
        <f t="shared" si="145"/>
        <v>0</v>
      </c>
      <c r="DA22" s="522"/>
      <c r="DB22" s="523">
        <f t="shared" si="33"/>
        <v>0</v>
      </c>
      <c r="DC22" s="524">
        <f t="shared" si="146"/>
        <v>0</v>
      </c>
      <c r="DD22" s="522"/>
      <c r="DE22" s="523">
        <f t="shared" si="34"/>
        <v>0</v>
      </c>
      <c r="DF22" s="524">
        <f t="shared" si="147"/>
        <v>0</v>
      </c>
      <c r="DG22" s="522"/>
      <c r="DH22" s="523">
        <f t="shared" si="35"/>
        <v>0</v>
      </c>
      <c r="DI22" s="524">
        <f t="shared" si="203"/>
        <v>0</v>
      </c>
      <c r="DJ22" s="522"/>
      <c r="DK22" s="523">
        <f t="shared" si="36"/>
        <v>0</v>
      </c>
      <c r="DL22" s="524">
        <f t="shared" si="148"/>
        <v>0</v>
      </c>
      <c r="DM22" s="522"/>
      <c r="DN22" s="523">
        <f t="shared" si="37"/>
        <v>0</v>
      </c>
      <c r="DO22" s="524">
        <f t="shared" si="149"/>
        <v>0</v>
      </c>
      <c r="DP22" s="522"/>
      <c r="DQ22" s="523">
        <f t="shared" si="38"/>
        <v>0</v>
      </c>
      <c r="DR22" s="524">
        <f t="shared" si="150"/>
        <v>0</v>
      </c>
      <c r="DS22" s="522"/>
      <c r="DT22" s="523">
        <f t="shared" si="39"/>
        <v>0</v>
      </c>
      <c r="DU22" s="524">
        <f t="shared" si="151"/>
        <v>0</v>
      </c>
      <c r="DV22" s="522"/>
      <c r="DW22" s="523">
        <f t="shared" si="40"/>
        <v>0</v>
      </c>
      <c r="DX22" s="524">
        <f t="shared" si="152"/>
        <v>0</v>
      </c>
      <c r="DY22" s="522"/>
      <c r="DZ22" s="523">
        <f t="shared" si="41"/>
        <v>0</v>
      </c>
      <c r="EA22" s="524">
        <f t="shared" si="153"/>
        <v>0</v>
      </c>
      <c r="EB22" s="522"/>
      <c r="EC22" s="523">
        <f t="shared" si="42"/>
        <v>0</v>
      </c>
      <c r="ED22" s="524">
        <f t="shared" si="154"/>
        <v>0</v>
      </c>
      <c r="EE22" s="522">
        <v>41.659999999999968</v>
      </c>
      <c r="EF22" s="523">
        <f t="shared" si="43"/>
        <v>1.2491754122938521</v>
      </c>
      <c r="EG22" s="524">
        <f t="shared" si="155"/>
        <v>0</v>
      </c>
      <c r="EH22" s="522"/>
      <c r="EI22" s="523">
        <f t="shared" si="44"/>
        <v>0</v>
      </c>
      <c r="EJ22" s="524">
        <f t="shared" si="156"/>
        <v>0</v>
      </c>
      <c r="EK22" s="522">
        <v>29.474799999999959</v>
      </c>
      <c r="EL22" s="523">
        <f t="shared" si="45"/>
        <v>0.88380209895052353</v>
      </c>
      <c r="EM22" s="524">
        <f t="shared" si="157"/>
        <v>0</v>
      </c>
      <c r="EN22" s="522"/>
      <c r="EO22" s="523">
        <f t="shared" si="46"/>
        <v>0</v>
      </c>
      <c r="EP22" s="524">
        <f t="shared" si="158"/>
        <v>0</v>
      </c>
      <c r="EQ22" s="522"/>
      <c r="ER22" s="523">
        <f t="shared" si="47"/>
        <v>0</v>
      </c>
      <c r="ES22" s="524">
        <f t="shared" si="159"/>
        <v>0</v>
      </c>
      <c r="ET22" s="522"/>
      <c r="EU22" s="523">
        <f t="shared" si="48"/>
        <v>0</v>
      </c>
      <c r="EV22" s="524">
        <f t="shared" si="160"/>
        <v>0</v>
      </c>
      <c r="EW22" s="522"/>
      <c r="EX22" s="523">
        <f t="shared" si="49"/>
        <v>0</v>
      </c>
      <c r="EY22" s="524">
        <f t="shared" si="161"/>
        <v>0</v>
      </c>
      <c r="EZ22" s="522"/>
      <c r="FA22" s="523">
        <f t="shared" si="50"/>
        <v>0</v>
      </c>
      <c r="FB22" s="524">
        <f t="shared" si="162"/>
        <v>0</v>
      </c>
      <c r="FC22" s="522"/>
      <c r="FD22" s="523">
        <f t="shared" si="51"/>
        <v>0</v>
      </c>
      <c r="FE22" s="524">
        <f t="shared" si="163"/>
        <v>0</v>
      </c>
      <c r="FF22" s="522"/>
      <c r="FG22" s="523">
        <f t="shared" si="52"/>
        <v>0</v>
      </c>
      <c r="FH22" s="524">
        <f t="shared" si="164"/>
        <v>0</v>
      </c>
      <c r="FI22" s="522"/>
      <c r="FJ22" s="523">
        <f t="shared" si="53"/>
        <v>0</v>
      </c>
      <c r="FK22" s="524">
        <f t="shared" si="165"/>
        <v>0</v>
      </c>
      <c r="FL22" s="522"/>
      <c r="FM22" s="523">
        <f t="shared" si="54"/>
        <v>0</v>
      </c>
      <c r="FN22" s="524">
        <f t="shared" si="166"/>
        <v>0</v>
      </c>
      <c r="FO22" s="522"/>
      <c r="FP22" s="523">
        <f t="shared" si="55"/>
        <v>0</v>
      </c>
      <c r="FQ22" s="524">
        <f t="shared" si="167"/>
        <v>0</v>
      </c>
      <c r="FR22" s="522"/>
      <c r="FS22" s="523">
        <f t="shared" si="56"/>
        <v>0</v>
      </c>
      <c r="FT22" s="524">
        <f t="shared" si="168"/>
        <v>0</v>
      </c>
      <c r="FU22" s="522"/>
      <c r="FV22" s="523">
        <f t="shared" si="57"/>
        <v>0</v>
      </c>
      <c r="FW22" s="524">
        <f t="shared" si="169"/>
        <v>0</v>
      </c>
      <c r="FX22" s="522"/>
      <c r="FY22" s="523">
        <f t="shared" si="58"/>
        <v>0</v>
      </c>
      <c r="FZ22" s="524">
        <f t="shared" si="170"/>
        <v>0</v>
      </c>
      <c r="GA22" s="522"/>
      <c r="GB22" s="523">
        <f t="shared" si="59"/>
        <v>0</v>
      </c>
      <c r="GC22" s="524">
        <f t="shared" si="171"/>
        <v>0</v>
      </c>
      <c r="GD22" s="522"/>
      <c r="GE22" s="523">
        <f t="shared" si="60"/>
        <v>0</v>
      </c>
      <c r="GF22" s="524">
        <f t="shared" si="172"/>
        <v>0</v>
      </c>
      <c r="GG22" s="522"/>
      <c r="GH22" s="523">
        <f t="shared" si="61"/>
        <v>0</v>
      </c>
      <c r="GI22" s="524">
        <f t="shared" si="173"/>
        <v>0</v>
      </c>
      <c r="GJ22" s="522"/>
      <c r="GK22" s="523">
        <f t="shared" si="62"/>
        <v>0</v>
      </c>
      <c r="GL22" s="524">
        <f t="shared" si="174"/>
        <v>0</v>
      </c>
      <c r="GM22" s="522"/>
      <c r="GN22" s="523">
        <f t="shared" si="63"/>
        <v>0</v>
      </c>
      <c r="GO22" s="524">
        <f t="shared" si="175"/>
        <v>0</v>
      </c>
      <c r="GP22" s="522"/>
      <c r="GQ22" s="523">
        <f t="shared" si="64"/>
        <v>0</v>
      </c>
      <c r="GR22" s="524">
        <f t="shared" si="176"/>
        <v>0</v>
      </c>
      <c r="GS22" s="522"/>
      <c r="GT22" s="523">
        <f t="shared" si="65"/>
        <v>0</v>
      </c>
      <c r="GU22" s="524">
        <f t="shared" si="177"/>
        <v>0</v>
      </c>
      <c r="GV22" s="522"/>
      <c r="GW22" s="523">
        <f t="shared" si="66"/>
        <v>0</v>
      </c>
      <c r="GX22" s="524">
        <f t="shared" si="178"/>
        <v>0</v>
      </c>
      <c r="GY22" s="522"/>
      <c r="GZ22" s="523">
        <f t="shared" si="67"/>
        <v>0</v>
      </c>
      <c r="HA22" s="524">
        <f t="shared" si="179"/>
        <v>0</v>
      </c>
      <c r="HB22" s="522"/>
      <c r="HC22" s="523">
        <f t="shared" si="68"/>
        <v>0</v>
      </c>
      <c r="HD22" s="524">
        <f t="shared" si="180"/>
        <v>0</v>
      </c>
      <c r="HE22" s="522"/>
      <c r="HF22" s="523">
        <f t="shared" si="69"/>
        <v>0</v>
      </c>
      <c r="HG22" s="524">
        <f t="shared" si="181"/>
        <v>0</v>
      </c>
      <c r="HH22" s="522"/>
      <c r="HI22" s="523">
        <f t="shared" si="70"/>
        <v>0</v>
      </c>
      <c r="HJ22" s="524">
        <f t="shared" si="182"/>
        <v>0</v>
      </c>
      <c r="HK22" s="522"/>
      <c r="HL22" s="523">
        <f t="shared" si="71"/>
        <v>0</v>
      </c>
      <c r="HM22" s="524">
        <f t="shared" si="183"/>
        <v>0</v>
      </c>
      <c r="HN22" s="522"/>
      <c r="HO22" s="523">
        <f t="shared" si="72"/>
        <v>0</v>
      </c>
      <c r="HP22" s="524">
        <f t="shared" si="184"/>
        <v>0</v>
      </c>
      <c r="HQ22" s="522"/>
      <c r="HR22" s="523">
        <f t="shared" si="73"/>
        <v>0</v>
      </c>
      <c r="HS22" s="524">
        <f t="shared" si="185"/>
        <v>0</v>
      </c>
      <c r="HT22" s="522"/>
      <c r="HU22" s="523">
        <f t="shared" si="74"/>
        <v>0</v>
      </c>
      <c r="HV22" s="524">
        <f t="shared" si="186"/>
        <v>0</v>
      </c>
      <c r="HW22" s="522"/>
      <c r="HX22" s="523">
        <f t="shared" si="75"/>
        <v>0</v>
      </c>
      <c r="HY22" s="524">
        <f t="shared" si="187"/>
        <v>0</v>
      </c>
      <c r="HZ22" s="522"/>
      <c r="IA22" s="523">
        <f t="shared" si="76"/>
        <v>0</v>
      </c>
      <c r="IB22" s="524">
        <f t="shared" si="188"/>
        <v>0</v>
      </c>
      <c r="IC22" s="522"/>
      <c r="ID22" s="523">
        <f t="shared" si="77"/>
        <v>0</v>
      </c>
      <c r="IE22" s="524">
        <f t="shared" si="189"/>
        <v>0</v>
      </c>
      <c r="IF22" s="522"/>
      <c r="IG22" s="523">
        <f t="shared" si="78"/>
        <v>0</v>
      </c>
      <c r="IH22" s="524">
        <f t="shared" si="190"/>
        <v>0</v>
      </c>
      <c r="II22" s="522"/>
      <c r="IJ22" s="523">
        <f t="shared" si="79"/>
        <v>0</v>
      </c>
      <c r="IK22" s="524">
        <f t="shared" si="191"/>
        <v>0</v>
      </c>
      <c r="IL22" s="522"/>
      <c r="IM22" s="523">
        <f t="shared" si="80"/>
        <v>0</v>
      </c>
      <c r="IN22" s="524">
        <f t="shared" si="192"/>
        <v>0</v>
      </c>
      <c r="IO22" s="522"/>
      <c r="IP22" s="523">
        <f t="shared" si="81"/>
        <v>0</v>
      </c>
      <c r="IQ22" s="524">
        <f t="shared" si="193"/>
        <v>0</v>
      </c>
      <c r="IR22" s="522"/>
      <c r="IS22" s="523">
        <f t="shared" si="82"/>
        <v>0</v>
      </c>
      <c r="IT22" s="524">
        <f t="shared" si="194"/>
        <v>0</v>
      </c>
      <c r="IU22" s="522"/>
      <c r="IV22" s="523">
        <f t="shared" si="83"/>
        <v>0</v>
      </c>
      <c r="IW22" s="524">
        <f t="shared" si="195"/>
        <v>0</v>
      </c>
      <c r="IX22" s="522"/>
      <c r="IY22" s="523">
        <f t="shared" si="84"/>
        <v>0</v>
      </c>
      <c r="IZ22" s="524">
        <f t="shared" si="196"/>
        <v>0</v>
      </c>
      <c r="JA22" s="522"/>
      <c r="JB22" s="523">
        <f t="shared" si="85"/>
        <v>0</v>
      </c>
      <c r="JC22" s="524">
        <f t="shared" si="197"/>
        <v>0</v>
      </c>
      <c r="JD22" s="522"/>
      <c r="JE22" s="523">
        <f t="shared" si="86"/>
        <v>0</v>
      </c>
      <c r="JF22" s="524">
        <f t="shared" si="198"/>
        <v>0</v>
      </c>
      <c r="JG22" s="522"/>
      <c r="JH22" s="523">
        <f t="shared" si="87"/>
        <v>0</v>
      </c>
      <c r="JI22" s="524">
        <f t="shared" si="199"/>
        <v>0</v>
      </c>
      <c r="JJ22" s="522"/>
      <c r="JK22" s="524" t="str">
        <f t="shared" si="88"/>
        <v>0</v>
      </c>
      <c r="JL22" s="524" t="str">
        <f t="shared" si="89"/>
        <v>0</v>
      </c>
      <c r="JM22" s="522"/>
      <c r="JN22" s="524" t="str">
        <f t="shared" si="90"/>
        <v>0</v>
      </c>
      <c r="JO22" s="524" t="str">
        <f t="shared" si="91"/>
        <v>0</v>
      </c>
      <c r="JP22" s="522"/>
      <c r="JQ22" s="524" t="str">
        <f t="shared" si="92"/>
        <v>0</v>
      </c>
      <c r="JR22" s="524" t="str">
        <f t="shared" si="93"/>
        <v>0</v>
      </c>
      <c r="JS22" s="522"/>
      <c r="JT22" s="524" t="str">
        <f t="shared" si="94"/>
        <v>0</v>
      </c>
      <c r="JU22" s="524" t="str">
        <f t="shared" si="95"/>
        <v>0</v>
      </c>
      <c r="JV22" s="522"/>
      <c r="JW22" s="524" t="str">
        <f t="shared" si="96"/>
        <v>0</v>
      </c>
      <c r="JX22" s="524" t="str">
        <f t="shared" si="97"/>
        <v>0</v>
      </c>
      <c r="JY22" s="522"/>
      <c r="JZ22" s="524" t="str">
        <f t="shared" si="98"/>
        <v>0</v>
      </c>
      <c r="KA22" s="524" t="str">
        <f t="shared" si="99"/>
        <v>0</v>
      </c>
      <c r="KB22" s="522"/>
      <c r="KC22" s="524" t="str">
        <f t="shared" si="100"/>
        <v>0</v>
      </c>
      <c r="KD22" s="524" t="str">
        <f t="shared" si="101"/>
        <v>0</v>
      </c>
      <c r="KE22" s="522"/>
      <c r="KF22" s="524" t="str">
        <f t="shared" si="102"/>
        <v>0</v>
      </c>
      <c r="KG22" s="524" t="str">
        <f t="shared" si="103"/>
        <v>0</v>
      </c>
      <c r="KH22" s="522"/>
      <c r="KI22" s="524" t="str">
        <f t="shared" si="104"/>
        <v>0</v>
      </c>
      <c r="KJ22" s="524" t="str">
        <f t="shared" si="105"/>
        <v>0</v>
      </c>
      <c r="KK22" s="522"/>
      <c r="KL22" s="524" t="str">
        <f t="shared" si="106"/>
        <v>0</v>
      </c>
      <c r="KM22" s="524" t="str">
        <f t="shared" si="107"/>
        <v>0</v>
      </c>
      <c r="KN22" s="522"/>
      <c r="KO22" s="524" t="str">
        <f t="shared" si="108"/>
        <v>0</v>
      </c>
      <c r="KP22" s="524" t="str">
        <f t="shared" si="109"/>
        <v>0</v>
      </c>
      <c r="KQ22" s="522"/>
      <c r="KR22" s="524" t="str">
        <f t="shared" si="110"/>
        <v>0</v>
      </c>
      <c r="KS22" s="524" t="str">
        <f t="shared" si="111"/>
        <v>0</v>
      </c>
      <c r="KT22" s="524">
        <f t="shared" si="201"/>
        <v>0</v>
      </c>
      <c r="KU22" s="524">
        <f t="shared" si="202"/>
        <v>0</v>
      </c>
      <c r="KV22" s="261">
        <f t="shared" si="204"/>
        <v>462.73610000000014</v>
      </c>
    </row>
    <row r="23" spans="1:308">
      <c r="A23" s="262">
        <f t="shared" si="200"/>
        <v>46006</v>
      </c>
      <c r="B23" s="263" t="str">
        <f>+Report1!B23</f>
        <v>Facial</v>
      </c>
      <c r="C23" s="263" t="str">
        <f>+Report1!C23</f>
        <v>12/13</v>
      </c>
      <c r="D23" s="264">
        <f>+Report1!P23</f>
        <v>38.225999999999999</v>
      </c>
      <c r="E23" s="560">
        <f>+Report1!R23</f>
        <v>37.173000000000002</v>
      </c>
      <c r="F23" s="522"/>
      <c r="G23" s="523">
        <f t="shared" si="0"/>
        <v>0</v>
      </c>
      <c r="H23" s="524">
        <f t="shared" si="113"/>
        <v>0</v>
      </c>
      <c r="I23" s="522">
        <v>232.55519534883729</v>
      </c>
      <c r="J23" s="523">
        <f t="shared" si="1"/>
        <v>6.2560244088138512</v>
      </c>
      <c r="K23" s="524">
        <f t="shared" si="114"/>
        <v>0</v>
      </c>
      <c r="L23" s="522"/>
      <c r="M23" s="523">
        <f t="shared" si="2"/>
        <v>0</v>
      </c>
      <c r="N23" s="524">
        <f t="shared" si="115"/>
        <v>0</v>
      </c>
      <c r="O23" s="522">
        <v>2.9947999999999979</v>
      </c>
      <c r="P23" s="523">
        <f t="shared" si="3"/>
        <v>8.0563850106259854E-2</v>
      </c>
      <c r="Q23" s="524">
        <f t="shared" si="116"/>
        <v>0</v>
      </c>
      <c r="R23" s="522"/>
      <c r="S23" s="523">
        <f t="shared" si="4"/>
        <v>0</v>
      </c>
      <c r="T23" s="524">
        <f t="shared" si="117"/>
        <v>0</v>
      </c>
      <c r="U23" s="522">
        <v>2.56219999999999</v>
      </c>
      <c r="V23" s="523">
        <f t="shared" si="5"/>
        <v>6.8926371290990496E-2</v>
      </c>
      <c r="W23" s="524">
        <f t="shared" si="118"/>
        <v>0</v>
      </c>
      <c r="X23" s="522"/>
      <c r="Y23" s="523">
        <f t="shared" si="6"/>
        <v>0</v>
      </c>
      <c r="Z23" s="524">
        <f t="shared" si="119"/>
        <v>0</v>
      </c>
      <c r="AA23" s="522"/>
      <c r="AB23" s="523">
        <f t="shared" si="7"/>
        <v>0</v>
      </c>
      <c r="AC23" s="524">
        <f t="shared" si="120"/>
        <v>0</v>
      </c>
      <c r="AD23" s="522"/>
      <c r="AE23" s="523">
        <f t="shared" si="8"/>
        <v>0</v>
      </c>
      <c r="AF23" s="524">
        <f t="shared" si="121"/>
        <v>0</v>
      </c>
      <c r="AG23" s="522"/>
      <c r="AH23" s="523">
        <f t="shared" si="9"/>
        <v>0</v>
      </c>
      <c r="AI23" s="524">
        <f t="shared" si="122"/>
        <v>0</v>
      </c>
      <c r="AJ23" s="522"/>
      <c r="AK23" s="523">
        <f t="shared" si="10"/>
        <v>0</v>
      </c>
      <c r="AL23" s="524">
        <f t="shared" si="123"/>
        <v>0</v>
      </c>
      <c r="AM23" s="522"/>
      <c r="AN23" s="523">
        <f t="shared" si="11"/>
        <v>0</v>
      </c>
      <c r="AO23" s="524">
        <f t="shared" si="124"/>
        <v>0</v>
      </c>
      <c r="AP23" s="522">
        <v>39.872574683544258</v>
      </c>
      <c r="AQ23" s="523">
        <f t="shared" si="12"/>
        <v>1.0726219213823005</v>
      </c>
      <c r="AR23" s="524">
        <f t="shared" si="125"/>
        <v>0</v>
      </c>
      <c r="AS23" s="522"/>
      <c r="AT23" s="523">
        <f t="shared" si="13"/>
        <v>0</v>
      </c>
      <c r="AU23" s="524">
        <f t="shared" si="126"/>
        <v>0</v>
      </c>
      <c r="AV23" s="522"/>
      <c r="AW23" s="523">
        <f t="shared" si="14"/>
        <v>0</v>
      </c>
      <c r="AX23" s="524">
        <f t="shared" si="127"/>
        <v>0</v>
      </c>
      <c r="AY23" s="522">
        <v>58.337200000000024</v>
      </c>
      <c r="AZ23" s="523">
        <f t="shared" si="15"/>
        <v>1.5693433405966701</v>
      </c>
      <c r="BA23" s="524">
        <f t="shared" si="128"/>
        <v>0</v>
      </c>
      <c r="BB23" s="522"/>
      <c r="BC23" s="523">
        <f t="shared" si="16"/>
        <v>0</v>
      </c>
      <c r="BD23" s="524">
        <f t="shared" si="129"/>
        <v>0</v>
      </c>
      <c r="BE23" s="522"/>
      <c r="BF23" s="523">
        <f t="shared" si="17"/>
        <v>0</v>
      </c>
      <c r="BG23" s="524">
        <f t="shared" si="130"/>
        <v>0</v>
      </c>
      <c r="BH23" s="522"/>
      <c r="BI23" s="523">
        <f t="shared" si="18"/>
        <v>0</v>
      </c>
      <c r="BJ23" s="524">
        <f t="shared" si="131"/>
        <v>0</v>
      </c>
      <c r="BK23" s="522"/>
      <c r="BL23" s="523">
        <f t="shared" si="19"/>
        <v>0</v>
      </c>
      <c r="BM23" s="524">
        <f t="shared" si="132"/>
        <v>0</v>
      </c>
      <c r="BN23" s="522"/>
      <c r="BO23" s="523">
        <f t="shared" si="20"/>
        <v>0</v>
      </c>
      <c r="BP23" s="524">
        <f t="shared" si="133"/>
        <v>0</v>
      </c>
      <c r="BQ23" s="522"/>
      <c r="BR23" s="523">
        <f t="shared" si="21"/>
        <v>0</v>
      </c>
      <c r="BS23" s="524">
        <f t="shared" si="134"/>
        <v>0</v>
      </c>
      <c r="BT23" s="522"/>
      <c r="BU23" s="523">
        <f t="shared" si="22"/>
        <v>0</v>
      </c>
      <c r="BV23" s="524">
        <f t="shared" si="135"/>
        <v>0</v>
      </c>
      <c r="BW23" s="522"/>
      <c r="BX23" s="523">
        <f t="shared" si="23"/>
        <v>0</v>
      </c>
      <c r="BY23" s="524">
        <f t="shared" si="136"/>
        <v>0</v>
      </c>
      <c r="BZ23" s="522"/>
      <c r="CA23" s="523">
        <f t="shared" si="24"/>
        <v>0</v>
      </c>
      <c r="CB23" s="524">
        <f t="shared" si="137"/>
        <v>0</v>
      </c>
      <c r="CC23" s="522"/>
      <c r="CD23" s="523">
        <f t="shared" si="25"/>
        <v>0</v>
      </c>
      <c r="CE23" s="524">
        <f t="shared" si="138"/>
        <v>0</v>
      </c>
      <c r="CF23" s="522"/>
      <c r="CG23" s="523">
        <f t="shared" si="26"/>
        <v>0</v>
      </c>
      <c r="CH23" s="524">
        <f t="shared" si="139"/>
        <v>0</v>
      </c>
      <c r="CI23" s="522"/>
      <c r="CJ23" s="523">
        <f t="shared" si="27"/>
        <v>0</v>
      </c>
      <c r="CK23" s="524">
        <f t="shared" si="140"/>
        <v>0</v>
      </c>
      <c r="CL23" s="522"/>
      <c r="CM23" s="523">
        <f t="shared" si="28"/>
        <v>0</v>
      </c>
      <c r="CN23" s="524">
        <f t="shared" si="141"/>
        <v>0</v>
      </c>
      <c r="CO23" s="522"/>
      <c r="CP23" s="523">
        <f t="shared" si="29"/>
        <v>0</v>
      </c>
      <c r="CQ23" s="524">
        <f t="shared" si="142"/>
        <v>0</v>
      </c>
      <c r="CR23" s="522"/>
      <c r="CS23" s="523">
        <f t="shared" si="30"/>
        <v>0</v>
      </c>
      <c r="CT23" s="524">
        <f t="shared" si="143"/>
        <v>0</v>
      </c>
      <c r="CU23" s="522"/>
      <c r="CV23" s="523">
        <f t="shared" si="31"/>
        <v>0</v>
      </c>
      <c r="CW23" s="524">
        <f t="shared" si="144"/>
        <v>0</v>
      </c>
      <c r="CX23" s="522"/>
      <c r="CY23" s="523">
        <f t="shared" si="32"/>
        <v>0</v>
      </c>
      <c r="CZ23" s="524">
        <f t="shared" si="145"/>
        <v>0</v>
      </c>
      <c r="DA23" s="522"/>
      <c r="DB23" s="523">
        <f t="shared" si="33"/>
        <v>0</v>
      </c>
      <c r="DC23" s="524">
        <f t="shared" si="146"/>
        <v>0</v>
      </c>
      <c r="DD23" s="522"/>
      <c r="DE23" s="523">
        <f t="shared" si="34"/>
        <v>0</v>
      </c>
      <c r="DF23" s="524">
        <f t="shared" si="147"/>
        <v>0</v>
      </c>
      <c r="DG23" s="522"/>
      <c r="DH23" s="523">
        <f t="shared" si="35"/>
        <v>0</v>
      </c>
      <c r="DI23" s="524">
        <f t="shared" si="203"/>
        <v>0</v>
      </c>
      <c r="DJ23" s="522"/>
      <c r="DK23" s="523">
        <f t="shared" si="36"/>
        <v>0</v>
      </c>
      <c r="DL23" s="524">
        <f t="shared" si="148"/>
        <v>0</v>
      </c>
      <c r="DM23" s="522"/>
      <c r="DN23" s="523">
        <f t="shared" si="37"/>
        <v>0</v>
      </c>
      <c r="DO23" s="524">
        <f t="shared" si="149"/>
        <v>0</v>
      </c>
      <c r="DP23" s="522"/>
      <c r="DQ23" s="523">
        <f t="shared" si="38"/>
        <v>0</v>
      </c>
      <c r="DR23" s="524">
        <f t="shared" si="150"/>
        <v>0</v>
      </c>
      <c r="DS23" s="522"/>
      <c r="DT23" s="523">
        <f t="shared" si="39"/>
        <v>0</v>
      </c>
      <c r="DU23" s="524">
        <f t="shared" si="151"/>
        <v>0</v>
      </c>
      <c r="DV23" s="522"/>
      <c r="DW23" s="523">
        <f t="shared" si="40"/>
        <v>0</v>
      </c>
      <c r="DX23" s="524">
        <f t="shared" si="152"/>
        <v>0</v>
      </c>
      <c r="DY23" s="522"/>
      <c r="DZ23" s="523">
        <f t="shared" si="41"/>
        <v>0</v>
      </c>
      <c r="EA23" s="524">
        <f t="shared" si="153"/>
        <v>0</v>
      </c>
      <c r="EB23" s="522"/>
      <c r="EC23" s="523">
        <f t="shared" si="42"/>
        <v>0</v>
      </c>
      <c r="ED23" s="524">
        <f t="shared" si="154"/>
        <v>0</v>
      </c>
      <c r="EE23" s="522">
        <v>46.964705882352973</v>
      </c>
      <c r="EF23" s="523">
        <f t="shared" si="43"/>
        <v>1.2634090840758876</v>
      </c>
      <c r="EG23" s="524">
        <f t="shared" si="155"/>
        <v>0</v>
      </c>
      <c r="EH23" s="522"/>
      <c r="EI23" s="523">
        <f t="shared" si="44"/>
        <v>0</v>
      </c>
      <c r="EJ23" s="524">
        <f t="shared" si="156"/>
        <v>0</v>
      </c>
      <c r="EK23" s="522">
        <v>29.06625116279065</v>
      </c>
      <c r="EL23" s="523">
        <f t="shared" si="45"/>
        <v>0.78191835909909468</v>
      </c>
      <c r="EM23" s="524">
        <f t="shared" si="157"/>
        <v>0</v>
      </c>
      <c r="EN23" s="522"/>
      <c r="EO23" s="523">
        <f t="shared" si="46"/>
        <v>0</v>
      </c>
      <c r="EP23" s="524">
        <f t="shared" si="158"/>
        <v>0</v>
      </c>
      <c r="EQ23" s="522"/>
      <c r="ER23" s="523">
        <f t="shared" si="47"/>
        <v>0</v>
      </c>
      <c r="ES23" s="524">
        <f t="shared" si="159"/>
        <v>0</v>
      </c>
      <c r="ET23" s="522"/>
      <c r="EU23" s="523">
        <f t="shared" si="48"/>
        <v>0</v>
      </c>
      <c r="EV23" s="524">
        <f t="shared" si="160"/>
        <v>0</v>
      </c>
      <c r="EW23" s="522"/>
      <c r="EX23" s="523">
        <f t="shared" si="49"/>
        <v>0</v>
      </c>
      <c r="EY23" s="524">
        <f t="shared" si="161"/>
        <v>0</v>
      </c>
      <c r="EZ23" s="522"/>
      <c r="FA23" s="523">
        <f t="shared" si="50"/>
        <v>0</v>
      </c>
      <c r="FB23" s="524">
        <f t="shared" si="162"/>
        <v>0</v>
      </c>
      <c r="FC23" s="522"/>
      <c r="FD23" s="523">
        <f t="shared" si="51"/>
        <v>0</v>
      </c>
      <c r="FE23" s="524">
        <f t="shared" si="163"/>
        <v>0</v>
      </c>
      <c r="FF23" s="522"/>
      <c r="FG23" s="523">
        <f t="shared" si="52"/>
        <v>0</v>
      </c>
      <c r="FH23" s="524">
        <f t="shared" si="164"/>
        <v>0</v>
      </c>
      <c r="FI23" s="522"/>
      <c r="FJ23" s="523">
        <f t="shared" si="53"/>
        <v>0</v>
      </c>
      <c r="FK23" s="524">
        <f t="shared" si="165"/>
        <v>0</v>
      </c>
      <c r="FL23" s="522"/>
      <c r="FM23" s="523">
        <f t="shared" si="54"/>
        <v>0</v>
      </c>
      <c r="FN23" s="524">
        <f t="shared" si="166"/>
        <v>0</v>
      </c>
      <c r="FO23" s="522"/>
      <c r="FP23" s="523">
        <f t="shared" si="55"/>
        <v>0</v>
      </c>
      <c r="FQ23" s="524">
        <f t="shared" si="167"/>
        <v>0</v>
      </c>
      <c r="FR23" s="522"/>
      <c r="FS23" s="523">
        <f t="shared" si="56"/>
        <v>0</v>
      </c>
      <c r="FT23" s="524">
        <f t="shared" si="168"/>
        <v>0</v>
      </c>
      <c r="FU23" s="522"/>
      <c r="FV23" s="523">
        <f t="shared" si="57"/>
        <v>0</v>
      </c>
      <c r="FW23" s="524">
        <f t="shared" si="169"/>
        <v>0</v>
      </c>
      <c r="FX23" s="522"/>
      <c r="FY23" s="523">
        <f t="shared" si="58"/>
        <v>0</v>
      </c>
      <c r="FZ23" s="524">
        <f t="shared" si="170"/>
        <v>0</v>
      </c>
      <c r="GA23" s="522"/>
      <c r="GB23" s="523">
        <f t="shared" si="59"/>
        <v>0</v>
      </c>
      <c r="GC23" s="524">
        <f t="shared" si="171"/>
        <v>0</v>
      </c>
      <c r="GD23" s="522"/>
      <c r="GE23" s="523">
        <f t="shared" si="60"/>
        <v>0</v>
      </c>
      <c r="GF23" s="524">
        <f t="shared" si="172"/>
        <v>0</v>
      </c>
      <c r="GG23" s="522"/>
      <c r="GH23" s="523">
        <f t="shared" si="61"/>
        <v>0</v>
      </c>
      <c r="GI23" s="524">
        <f t="shared" si="173"/>
        <v>0</v>
      </c>
      <c r="GJ23" s="522"/>
      <c r="GK23" s="523">
        <f t="shared" si="62"/>
        <v>0</v>
      </c>
      <c r="GL23" s="524">
        <f t="shared" si="174"/>
        <v>0</v>
      </c>
      <c r="GM23" s="522"/>
      <c r="GN23" s="523">
        <f t="shared" si="63"/>
        <v>0</v>
      </c>
      <c r="GO23" s="524">
        <f t="shared" si="175"/>
        <v>0</v>
      </c>
      <c r="GP23" s="522"/>
      <c r="GQ23" s="523">
        <f t="shared" si="64"/>
        <v>0</v>
      </c>
      <c r="GR23" s="524">
        <f t="shared" si="176"/>
        <v>0</v>
      </c>
      <c r="GS23" s="522"/>
      <c r="GT23" s="523">
        <f t="shared" si="65"/>
        <v>0</v>
      </c>
      <c r="GU23" s="524">
        <f t="shared" si="177"/>
        <v>0</v>
      </c>
      <c r="GV23" s="522"/>
      <c r="GW23" s="523">
        <f t="shared" si="66"/>
        <v>0</v>
      </c>
      <c r="GX23" s="524">
        <f t="shared" si="178"/>
        <v>0</v>
      </c>
      <c r="GY23" s="522"/>
      <c r="GZ23" s="523">
        <f t="shared" si="67"/>
        <v>0</v>
      </c>
      <c r="HA23" s="524">
        <f t="shared" si="179"/>
        <v>0</v>
      </c>
      <c r="HB23" s="522"/>
      <c r="HC23" s="523">
        <f t="shared" si="68"/>
        <v>0</v>
      </c>
      <c r="HD23" s="524">
        <f t="shared" si="180"/>
        <v>0</v>
      </c>
      <c r="HE23" s="522"/>
      <c r="HF23" s="523">
        <f t="shared" si="69"/>
        <v>0</v>
      </c>
      <c r="HG23" s="524">
        <f t="shared" si="181"/>
        <v>0</v>
      </c>
      <c r="HH23" s="522"/>
      <c r="HI23" s="523">
        <f t="shared" si="70"/>
        <v>0</v>
      </c>
      <c r="HJ23" s="524">
        <f t="shared" si="182"/>
        <v>0</v>
      </c>
      <c r="HK23" s="522"/>
      <c r="HL23" s="523">
        <f t="shared" si="71"/>
        <v>0</v>
      </c>
      <c r="HM23" s="524">
        <f t="shared" si="183"/>
        <v>0</v>
      </c>
      <c r="HN23" s="522"/>
      <c r="HO23" s="523">
        <f t="shared" si="72"/>
        <v>0</v>
      </c>
      <c r="HP23" s="524">
        <f t="shared" si="184"/>
        <v>0</v>
      </c>
      <c r="HQ23" s="522"/>
      <c r="HR23" s="523">
        <f t="shared" si="73"/>
        <v>0</v>
      </c>
      <c r="HS23" s="524">
        <f t="shared" si="185"/>
        <v>0</v>
      </c>
      <c r="HT23" s="522"/>
      <c r="HU23" s="523">
        <f t="shared" si="74"/>
        <v>0</v>
      </c>
      <c r="HV23" s="524">
        <f t="shared" si="186"/>
        <v>0</v>
      </c>
      <c r="HW23" s="522"/>
      <c r="HX23" s="523">
        <f t="shared" si="75"/>
        <v>0</v>
      </c>
      <c r="HY23" s="524">
        <f t="shared" si="187"/>
        <v>0</v>
      </c>
      <c r="HZ23" s="522"/>
      <c r="IA23" s="523">
        <f t="shared" si="76"/>
        <v>0</v>
      </c>
      <c r="IB23" s="524">
        <f t="shared" si="188"/>
        <v>0</v>
      </c>
      <c r="IC23" s="522"/>
      <c r="ID23" s="523">
        <f t="shared" si="77"/>
        <v>0</v>
      </c>
      <c r="IE23" s="524">
        <f t="shared" si="189"/>
        <v>0</v>
      </c>
      <c r="IF23" s="522"/>
      <c r="IG23" s="523">
        <f t="shared" si="78"/>
        <v>0</v>
      </c>
      <c r="IH23" s="524">
        <f t="shared" si="190"/>
        <v>0</v>
      </c>
      <c r="II23" s="522"/>
      <c r="IJ23" s="523">
        <f t="shared" si="79"/>
        <v>0</v>
      </c>
      <c r="IK23" s="524">
        <f t="shared" si="191"/>
        <v>0</v>
      </c>
      <c r="IL23" s="522"/>
      <c r="IM23" s="523">
        <f t="shared" si="80"/>
        <v>0</v>
      </c>
      <c r="IN23" s="524">
        <f t="shared" si="192"/>
        <v>0</v>
      </c>
      <c r="IO23" s="522"/>
      <c r="IP23" s="523">
        <f t="shared" si="81"/>
        <v>0</v>
      </c>
      <c r="IQ23" s="524">
        <f t="shared" si="193"/>
        <v>0</v>
      </c>
      <c r="IR23" s="522"/>
      <c r="IS23" s="523">
        <f t="shared" si="82"/>
        <v>0</v>
      </c>
      <c r="IT23" s="524">
        <f t="shared" si="194"/>
        <v>0</v>
      </c>
      <c r="IU23" s="522"/>
      <c r="IV23" s="523">
        <f t="shared" si="83"/>
        <v>0</v>
      </c>
      <c r="IW23" s="524">
        <f t="shared" si="195"/>
        <v>0</v>
      </c>
      <c r="IX23" s="522"/>
      <c r="IY23" s="523">
        <f t="shared" si="84"/>
        <v>0</v>
      </c>
      <c r="IZ23" s="524">
        <f t="shared" si="196"/>
        <v>0</v>
      </c>
      <c r="JA23" s="522"/>
      <c r="JB23" s="523">
        <f t="shared" si="85"/>
        <v>0</v>
      </c>
      <c r="JC23" s="524">
        <f t="shared" si="197"/>
        <v>0</v>
      </c>
      <c r="JD23" s="522"/>
      <c r="JE23" s="523">
        <f t="shared" si="86"/>
        <v>0</v>
      </c>
      <c r="JF23" s="524">
        <f t="shared" si="198"/>
        <v>0</v>
      </c>
      <c r="JG23" s="522"/>
      <c r="JH23" s="523">
        <f t="shared" si="87"/>
        <v>0</v>
      </c>
      <c r="JI23" s="524">
        <f t="shared" si="199"/>
        <v>0</v>
      </c>
      <c r="JJ23" s="522"/>
      <c r="JK23" s="524" t="str">
        <f t="shared" si="88"/>
        <v>0</v>
      </c>
      <c r="JL23" s="524" t="str">
        <f t="shared" si="89"/>
        <v>0</v>
      </c>
      <c r="JM23" s="522"/>
      <c r="JN23" s="524" t="str">
        <f t="shared" si="90"/>
        <v>0</v>
      </c>
      <c r="JO23" s="524" t="str">
        <f t="shared" si="91"/>
        <v>0</v>
      </c>
      <c r="JP23" s="522"/>
      <c r="JQ23" s="524" t="str">
        <f t="shared" si="92"/>
        <v>0</v>
      </c>
      <c r="JR23" s="524" t="str">
        <f t="shared" si="93"/>
        <v>0</v>
      </c>
      <c r="JS23" s="522"/>
      <c r="JT23" s="524" t="str">
        <f t="shared" si="94"/>
        <v>0</v>
      </c>
      <c r="JU23" s="524" t="str">
        <f t="shared" si="95"/>
        <v>0</v>
      </c>
      <c r="JV23" s="522"/>
      <c r="JW23" s="524" t="str">
        <f t="shared" si="96"/>
        <v>0</v>
      </c>
      <c r="JX23" s="524" t="str">
        <f t="shared" si="97"/>
        <v>0</v>
      </c>
      <c r="JY23" s="522"/>
      <c r="JZ23" s="524" t="str">
        <f t="shared" si="98"/>
        <v>0</v>
      </c>
      <c r="KA23" s="524" t="str">
        <f t="shared" si="99"/>
        <v>0</v>
      </c>
      <c r="KB23" s="522"/>
      <c r="KC23" s="524" t="str">
        <f t="shared" si="100"/>
        <v>0</v>
      </c>
      <c r="KD23" s="524" t="str">
        <f t="shared" si="101"/>
        <v>0</v>
      </c>
      <c r="KE23" s="522"/>
      <c r="KF23" s="524" t="str">
        <f t="shared" si="102"/>
        <v>0</v>
      </c>
      <c r="KG23" s="524" t="str">
        <f t="shared" si="103"/>
        <v>0</v>
      </c>
      <c r="KH23" s="522"/>
      <c r="KI23" s="524" t="str">
        <f t="shared" si="104"/>
        <v>0</v>
      </c>
      <c r="KJ23" s="524" t="str">
        <f t="shared" si="105"/>
        <v>0</v>
      </c>
      <c r="KK23" s="522"/>
      <c r="KL23" s="524" t="str">
        <f t="shared" si="106"/>
        <v>0</v>
      </c>
      <c r="KM23" s="524" t="str">
        <f t="shared" si="107"/>
        <v>0</v>
      </c>
      <c r="KN23" s="522"/>
      <c r="KO23" s="524" t="str">
        <f t="shared" si="108"/>
        <v>0</v>
      </c>
      <c r="KP23" s="524" t="str">
        <f t="shared" si="109"/>
        <v>0</v>
      </c>
      <c r="KQ23" s="522"/>
      <c r="KR23" s="524" t="str">
        <f t="shared" si="110"/>
        <v>0</v>
      </c>
      <c r="KS23" s="524" t="str">
        <f t="shared" si="111"/>
        <v>0</v>
      </c>
      <c r="KT23" s="524">
        <f t="shared" si="201"/>
        <v>0</v>
      </c>
      <c r="KU23" s="524">
        <f t="shared" si="202"/>
        <v>0</v>
      </c>
      <c r="KV23" s="261">
        <f t="shared" si="204"/>
        <v>412.35292707752524</v>
      </c>
    </row>
    <row r="24" spans="1:308">
      <c r="A24" s="262">
        <f t="shared" si="200"/>
        <v>46007</v>
      </c>
      <c r="B24" s="263" t="str">
        <f>+Report1!B24</f>
        <v>Facial</v>
      </c>
      <c r="C24" s="263" t="str">
        <f>+Report1!C24</f>
        <v>13/12</v>
      </c>
      <c r="D24" s="264">
        <f>+Report1!P24</f>
        <v>34.789000000000001</v>
      </c>
      <c r="E24" s="560">
        <f>+Report1!R24</f>
        <v>30.58</v>
      </c>
      <c r="F24" s="522"/>
      <c r="G24" s="523">
        <f t="shared" si="0"/>
        <v>0</v>
      </c>
      <c r="H24" s="524">
        <f t="shared" si="113"/>
        <v>0</v>
      </c>
      <c r="I24" s="522">
        <v>290.69767441860449</v>
      </c>
      <c r="J24" s="523">
        <f t="shared" si="1"/>
        <v>9.5061371621518802</v>
      </c>
      <c r="K24" s="524">
        <f t="shared" si="114"/>
        <v>0</v>
      </c>
      <c r="L24" s="522"/>
      <c r="M24" s="523">
        <f t="shared" si="2"/>
        <v>0</v>
      </c>
      <c r="N24" s="524">
        <f t="shared" si="115"/>
        <v>0</v>
      </c>
      <c r="O24" s="522">
        <v>3.0000000000000142</v>
      </c>
      <c r="P24" s="523">
        <f t="shared" si="3"/>
        <v>9.8103335513407927E-2</v>
      </c>
      <c r="Q24" s="524">
        <f t="shared" si="116"/>
        <v>0</v>
      </c>
      <c r="R24" s="522"/>
      <c r="S24" s="523">
        <f t="shared" si="4"/>
        <v>0</v>
      </c>
      <c r="T24" s="524">
        <f t="shared" si="117"/>
        <v>0</v>
      </c>
      <c r="U24" s="522">
        <v>2.5625000000000142</v>
      </c>
      <c r="V24" s="523">
        <f t="shared" si="5"/>
        <v>8.3796599084369344E-2</v>
      </c>
      <c r="W24" s="524">
        <f t="shared" si="118"/>
        <v>0</v>
      </c>
      <c r="X24" s="522"/>
      <c r="Y24" s="523">
        <f t="shared" si="6"/>
        <v>0</v>
      </c>
      <c r="Z24" s="524">
        <f t="shared" si="119"/>
        <v>0</v>
      </c>
      <c r="AA24" s="522">
        <v>12.394000000000005</v>
      </c>
      <c r="AB24" s="523">
        <f t="shared" si="7"/>
        <v>0.40529758011772421</v>
      </c>
      <c r="AC24" s="524">
        <f t="shared" si="120"/>
        <v>0</v>
      </c>
      <c r="AD24" s="522"/>
      <c r="AE24" s="523">
        <f t="shared" si="8"/>
        <v>0</v>
      </c>
      <c r="AF24" s="524">
        <f t="shared" si="121"/>
        <v>0</v>
      </c>
      <c r="AG24" s="522"/>
      <c r="AH24" s="523">
        <f t="shared" si="9"/>
        <v>0</v>
      </c>
      <c r="AI24" s="524">
        <f t="shared" si="122"/>
        <v>0</v>
      </c>
      <c r="AJ24" s="522"/>
      <c r="AK24" s="523">
        <f t="shared" si="10"/>
        <v>0</v>
      </c>
      <c r="AL24" s="524">
        <f t="shared" si="123"/>
        <v>0</v>
      </c>
      <c r="AM24" s="522"/>
      <c r="AN24" s="523">
        <f t="shared" si="11"/>
        <v>0</v>
      </c>
      <c r="AO24" s="524">
        <f t="shared" si="124"/>
        <v>0</v>
      </c>
      <c r="AP24" s="522">
        <v>91.139240506329145</v>
      </c>
      <c r="AQ24" s="523">
        <f t="shared" si="12"/>
        <v>2.9803544966098481</v>
      </c>
      <c r="AR24" s="524">
        <f t="shared" si="125"/>
        <v>0</v>
      </c>
      <c r="AS24" s="522"/>
      <c r="AT24" s="523">
        <f t="shared" si="13"/>
        <v>0</v>
      </c>
      <c r="AU24" s="524">
        <f t="shared" si="126"/>
        <v>0</v>
      </c>
      <c r="AV24" s="522"/>
      <c r="AW24" s="523">
        <f t="shared" si="14"/>
        <v>0</v>
      </c>
      <c r="AX24" s="524">
        <f t="shared" si="127"/>
        <v>0</v>
      </c>
      <c r="AY24" s="522">
        <v>74.666666666666643</v>
      </c>
      <c r="AZ24" s="523">
        <f t="shared" si="15"/>
        <v>2.441683017222585</v>
      </c>
      <c r="BA24" s="524">
        <f t="shared" si="128"/>
        <v>0</v>
      </c>
      <c r="BB24" s="522"/>
      <c r="BC24" s="523">
        <f t="shared" si="16"/>
        <v>0</v>
      </c>
      <c r="BD24" s="524">
        <f t="shared" si="129"/>
        <v>0</v>
      </c>
      <c r="BE24" s="522"/>
      <c r="BF24" s="523">
        <f t="shared" si="17"/>
        <v>0</v>
      </c>
      <c r="BG24" s="524">
        <f t="shared" si="130"/>
        <v>0</v>
      </c>
      <c r="BH24" s="522"/>
      <c r="BI24" s="523">
        <f t="shared" si="18"/>
        <v>0</v>
      </c>
      <c r="BJ24" s="524">
        <f t="shared" si="131"/>
        <v>0</v>
      </c>
      <c r="BK24" s="522"/>
      <c r="BL24" s="523">
        <f t="shared" si="19"/>
        <v>0</v>
      </c>
      <c r="BM24" s="524">
        <f t="shared" si="132"/>
        <v>0</v>
      </c>
      <c r="BN24" s="522"/>
      <c r="BO24" s="523">
        <f t="shared" si="20"/>
        <v>0</v>
      </c>
      <c r="BP24" s="524">
        <f t="shared" si="133"/>
        <v>0</v>
      </c>
      <c r="BQ24" s="522"/>
      <c r="BR24" s="523">
        <f t="shared" si="21"/>
        <v>0</v>
      </c>
      <c r="BS24" s="524">
        <f t="shared" si="134"/>
        <v>0</v>
      </c>
      <c r="BT24" s="522"/>
      <c r="BU24" s="523">
        <f t="shared" si="22"/>
        <v>0</v>
      </c>
      <c r="BV24" s="524">
        <f t="shared" si="135"/>
        <v>0</v>
      </c>
      <c r="BW24" s="522"/>
      <c r="BX24" s="523">
        <f t="shared" si="23"/>
        <v>0</v>
      </c>
      <c r="BY24" s="524">
        <f t="shared" si="136"/>
        <v>0</v>
      </c>
      <c r="BZ24" s="522"/>
      <c r="CA24" s="523">
        <f t="shared" si="24"/>
        <v>0</v>
      </c>
      <c r="CB24" s="524">
        <f t="shared" si="137"/>
        <v>0</v>
      </c>
      <c r="CC24" s="522"/>
      <c r="CD24" s="523">
        <f t="shared" si="25"/>
        <v>0</v>
      </c>
      <c r="CE24" s="524">
        <f t="shared" si="138"/>
        <v>0</v>
      </c>
      <c r="CF24" s="522">
        <v>1</v>
      </c>
      <c r="CG24" s="523">
        <f t="shared" si="26"/>
        <v>3.2701111837802485E-2</v>
      </c>
      <c r="CH24" s="524">
        <f t="shared" si="139"/>
        <v>0</v>
      </c>
      <c r="CI24" s="522"/>
      <c r="CJ24" s="523">
        <f t="shared" si="27"/>
        <v>0</v>
      </c>
      <c r="CK24" s="524">
        <f t="shared" si="140"/>
        <v>0</v>
      </c>
      <c r="CL24" s="522"/>
      <c r="CM24" s="523">
        <f t="shared" si="28"/>
        <v>0</v>
      </c>
      <c r="CN24" s="524">
        <f t="shared" si="141"/>
        <v>0</v>
      </c>
      <c r="CO24" s="522"/>
      <c r="CP24" s="523">
        <f t="shared" si="29"/>
        <v>0</v>
      </c>
      <c r="CQ24" s="524">
        <f t="shared" si="142"/>
        <v>0</v>
      </c>
      <c r="CR24" s="522"/>
      <c r="CS24" s="523">
        <f t="shared" si="30"/>
        <v>0</v>
      </c>
      <c r="CT24" s="524">
        <f t="shared" si="143"/>
        <v>0</v>
      </c>
      <c r="CU24" s="522"/>
      <c r="CV24" s="523">
        <f t="shared" si="31"/>
        <v>0</v>
      </c>
      <c r="CW24" s="524">
        <f t="shared" si="144"/>
        <v>0</v>
      </c>
      <c r="CX24" s="522"/>
      <c r="CY24" s="523">
        <f t="shared" si="32"/>
        <v>0</v>
      </c>
      <c r="CZ24" s="524">
        <f t="shared" si="145"/>
        <v>0</v>
      </c>
      <c r="DA24" s="522"/>
      <c r="DB24" s="523">
        <f t="shared" si="33"/>
        <v>0</v>
      </c>
      <c r="DC24" s="524">
        <f t="shared" si="146"/>
        <v>0</v>
      </c>
      <c r="DD24" s="522"/>
      <c r="DE24" s="523">
        <f t="shared" si="34"/>
        <v>0</v>
      </c>
      <c r="DF24" s="524">
        <f t="shared" si="147"/>
        <v>0</v>
      </c>
      <c r="DG24" s="522"/>
      <c r="DH24" s="523">
        <f t="shared" si="35"/>
        <v>0</v>
      </c>
      <c r="DI24" s="524">
        <f t="shared" si="203"/>
        <v>0</v>
      </c>
      <c r="DJ24" s="522"/>
      <c r="DK24" s="523">
        <f t="shared" si="36"/>
        <v>0</v>
      </c>
      <c r="DL24" s="524">
        <f t="shared" si="148"/>
        <v>0</v>
      </c>
      <c r="DM24" s="522"/>
      <c r="DN24" s="523">
        <f t="shared" si="37"/>
        <v>0</v>
      </c>
      <c r="DO24" s="524">
        <f t="shared" si="149"/>
        <v>0</v>
      </c>
      <c r="DP24" s="522"/>
      <c r="DQ24" s="523">
        <f t="shared" si="38"/>
        <v>0</v>
      </c>
      <c r="DR24" s="524">
        <f t="shared" si="150"/>
        <v>0</v>
      </c>
      <c r="DS24" s="522"/>
      <c r="DT24" s="523">
        <f t="shared" si="39"/>
        <v>0</v>
      </c>
      <c r="DU24" s="524">
        <f t="shared" si="151"/>
        <v>0</v>
      </c>
      <c r="DV24" s="522"/>
      <c r="DW24" s="523">
        <f t="shared" si="40"/>
        <v>0</v>
      </c>
      <c r="DX24" s="524">
        <f t="shared" si="152"/>
        <v>0</v>
      </c>
      <c r="DY24" s="522"/>
      <c r="DZ24" s="523">
        <f t="shared" si="41"/>
        <v>0</v>
      </c>
      <c r="EA24" s="524">
        <f t="shared" si="153"/>
        <v>0</v>
      </c>
      <c r="EB24" s="522"/>
      <c r="EC24" s="523">
        <f t="shared" si="42"/>
        <v>0</v>
      </c>
      <c r="ED24" s="524">
        <f t="shared" si="154"/>
        <v>0</v>
      </c>
      <c r="EE24" s="522">
        <v>58.70588235294116</v>
      </c>
      <c r="EF24" s="523">
        <f t="shared" si="43"/>
        <v>1.9197476243604044</v>
      </c>
      <c r="EG24" s="524">
        <f t="shared" si="155"/>
        <v>0</v>
      </c>
      <c r="EH24" s="522"/>
      <c r="EI24" s="523">
        <f t="shared" si="44"/>
        <v>0</v>
      </c>
      <c r="EJ24" s="524">
        <f t="shared" si="156"/>
        <v>0</v>
      </c>
      <c r="EK24" s="522">
        <v>43.60465116279056</v>
      </c>
      <c r="EL24" s="523">
        <f t="shared" si="45"/>
        <v>1.4259205743227783</v>
      </c>
      <c r="EM24" s="524">
        <f t="shared" si="157"/>
        <v>0</v>
      </c>
      <c r="EN24" s="522"/>
      <c r="EO24" s="523">
        <f t="shared" si="46"/>
        <v>0</v>
      </c>
      <c r="EP24" s="524">
        <f t="shared" si="158"/>
        <v>0</v>
      </c>
      <c r="EQ24" s="522"/>
      <c r="ER24" s="523">
        <f t="shared" si="47"/>
        <v>0</v>
      </c>
      <c r="ES24" s="524">
        <f t="shared" si="159"/>
        <v>0</v>
      </c>
      <c r="ET24" s="522"/>
      <c r="EU24" s="523">
        <f t="shared" si="48"/>
        <v>0</v>
      </c>
      <c r="EV24" s="524">
        <f t="shared" si="160"/>
        <v>0</v>
      </c>
      <c r="EW24" s="522"/>
      <c r="EX24" s="523">
        <f t="shared" si="49"/>
        <v>0</v>
      </c>
      <c r="EY24" s="524">
        <f t="shared" si="161"/>
        <v>0</v>
      </c>
      <c r="EZ24" s="522"/>
      <c r="FA24" s="523">
        <f t="shared" si="50"/>
        <v>0</v>
      </c>
      <c r="FB24" s="524">
        <f t="shared" si="162"/>
        <v>0</v>
      </c>
      <c r="FC24" s="522"/>
      <c r="FD24" s="523">
        <f t="shared" si="51"/>
        <v>0</v>
      </c>
      <c r="FE24" s="524">
        <f t="shared" si="163"/>
        <v>0</v>
      </c>
      <c r="FF24" s="522"/>
      <c r="FG24" s="523">
        <f t="shared" si="52"/>
        <v>0</v>
      </c>
      <c r="FH24" s="524">
        <f t="shared" si="164"/>
        <v>0</v>
      </c>
      <c r="FI24" s="522"/>
      <c r="FJ24" s="523">
        <f t="shared" si="53"/>
        <v>0</v>
      </c>
      <c r="FK24" s="524">
        <f t="shared" si="165"/>
        <v>0</v>
      </c>
      <c r="FL24" s="522"/>
      <c r="FM24" s="523">
        <f t="shared" si="54"/>
        <v>0</v>
      </c>
      <c r="FN24" s="524">
        <f t="shared" si="166"/>
        <v>0</v>
      </c>
      <c r="FO24" s="522"/>
      <c r="FP24" s="523">
        <f t="shared" si="55"/>
        <v>0</v>
      </c>
      <c r="FQ24" s="524">
        <f t="shared" si="167"/>
        <v>0</v>
      </c>
      <c r="FR24" s="522"/>
      <c r="FS24" s="523">
        <f t="shared" si="56"/>
        <v>0</v>
      </c>
      <c r="FT24" s="524">
        <f t="shared" si="168"/>
        <v>0</v>
      </c>
      <c r="FU24" s="522"/>
      <c r="FV24" s="523">
        <f t="shared" si="57"/>
        <v>0</v>
      </c>
      <c r="FW24" s="524">
        <f t="shared" si="169"/>
        <v>0</v>
      </c>
      <c r="FX24" s="522"/>
      <c r="FY24" s="523">
        <f t="shared" si="58"/>
        <v>0</v>
      </c>
      <c r="FZ24" s="524">
        <f t="shared" si="170"/>
        <v>0</v>
      </c>
      <c r="GA24" s="522"/>
      <c r="GB24" s="523">
        <f t="shared" si="59"/>
        <v>0</v>
      </c>
      <c r="GC24" s="524">
        <f t="shared" si="171"/>
        <v>0</v>
      </c>
      <c r="GD24" s="522"/>
      <c r="GE24" s="523">
        <f t="shared" si="60"/>
        <v>0</v>
      </c>
      <c r="GF24" s="524">
        <f t="shared" si="172"/>
        <v>0</v>
      </c>
      <c r="GG24" s="522"/>
      <c r="GH24" s="523">
        <f t="shared" si="61"/>
        <v>0</v>
      </c>
      <c r="GI24" s="524">
        <f t="shared" si="173"/>
        <v>0</v>
      </c>
      <c r="GJ24" s="522"/>
      <c r="GK24" s="523">
        <f t="shared" si="62"/>
        <v>0</v>
      </c>
      <c r="GL24" s="524">
        <f t="shared" si="174"/>
        <v>0</v>
      </c>
      <c r="GM24" s="522"/>
      <c r="GN24" s="523">
        <f t="shared" si="63"/>
        <v>0</v>
      </c>
      <c r="GO24" s="524">
        <f t="shared" si="175"/>
        <v>0</v>
      </c>
      <c r="GP24" s="522"/>
      <c r="GQ24" s="523">
        <f t="shared" si="64"/>
        <v>0</v>
      </c>
      <c r="GR24" s="524">
        <f t="shared" si="176"/>
        <v>0</v>
      </c>
      <c r="GS24" s="522"/>
      <c r="GT24" s="523">
        <f t="shared" si="65"/>
        <v>0</v>
      </c>
      <c r="GU24" s="524">
        <f t="shared" si="177"/>
        <v>0</v>
      </c>
      <c r="GV24" s="522"/>
      <c r="GW24" s="523">
        <f t="shared" si="66"/>
        <v>0</v>
      </c>
      <c r="GX24" s="524">
        <f t="shared" si="178"/>
        <v>0</v>
      </c>
      <c r="GY24" s="522"/>
      <c r="GZ24" s="523">
        <f t="shared" si="67"/>
        <v>0</v>
      </c>
      <c r="HA24" s="524">
        <f t="shared" si="179"/>
        <v>0</v>
      </c>
      <c r="HB24" s="522"/>
      <c r="HC24" s="523">
        <f t="shared" si="68"/>
        <v>0</v>
      </c>
      <c r="HD24" s="524">
        <f t="shared" si="180"/>
        <v>0</v>
      </c>
      <c r="HE24" s="522"/>
      <c r="HF24" s="523">
        <f t="shared" si="69"/>
        <v>0</v>
      </c>
      <c r="HG24" s="524">
        <f t="shared" si="181"/>
        <v>0</v>
      </c>
      <c r="HH24" s="522"/>
      <c r="HI24" s="523">
        <f t="shared" si="70"/>
        <v>0</v>
      </c>
      <c r="HJ24" s="524">
        <f t="shared" si="182"/>
        <v>0</v>
      </c>
      <c r="HK24" s="522"/>
      <c r="HL24" s="523">
        <f t="shared" si="71"/>
        <v>0</v>
      </c>
      <c r="HM24" s="524">
        <f t="shared" si="183"/>
        <v>0</v>
      </c>
      <c r="HN24" s="522"/>
      <c r="HO24" s="523">
        <f t="shared" si="72"/>
        <v>0</v>
      </c>
      <c r="HP24" s="524">
        <f t="shared" si="184"/>
        <v>0</v>
      </c>
      <c r="HQ24" s="522"/>
      <c r="HR24" s="523">
        <f t="shared" si="73"/>
        <v>0</v>
      </c>
      <c r="HS24" s="524">
        <f t="shared" si="185"/>
        <v>0</v>
      </c>
      <c r="HT24" s="522"/>
      <c r="HU24" s="523">
        <f t="shared" si="74"/>
        <v>0</v>
      </c>
      <c r="HV24" s="524">
        <f t="shared" si="186"/>
        <v>0</v>
      </c>
      <c r="HW24" s="522"/>
      <c r="HX24" s="523">
        <f t="shared" si="75"/>
        <v>0</v>
      </c>
      <c r="HY24" s="524">
        <f t="shared" si="187"/>
        <v>0</v>
      </c>
      <c r="HZ24" s="522"/>
      <c r="IA24" s="523">
        <f t="shared" si="76"/>
        <v>0</v>
      </c>
      <c r="IB24" s="524">
        <f t="shared" si="188"/>
        <v>0</v>
      </c>
      <c r="IC24" s="522"/>
      <c r="ID24" s="523">
        <f t="shared" si="77"/>
        <v>0</v>
      </c>
      <c r="IE24" s="524">
        <f t="shared" si="189"/>
        <v>0</v>
      </c>
      <c r="IF24" s="522"/>
      <c r="IG24" s="523">
        <f t="shared" si="78"/>
        <v>0</v>
      </c>
      <c r="IH24" s="524">
        <f t="shared" si="190"/>
        <v>0</v>
      </c>
      <c r="II24" s="522"/>
      <c r="IJ24" s="523">
        <f t="shared" si="79"/>
        <v>0</v>
      </c>
      <c r="IK24" s="524">
        <f t="shared" si="191"/>
        <v>0</v>
      </c>
      <c r="IL24" s="522"/>
      <c r="IM24" s="523">
        <f t="shared" si="80"/>
        <v>0</v>
      </c>
      <c r="IN24" s="524">
        <f t="shared" si="192"/>
        <v>0</v>
      </c>
      <c r="IO24" s="522"/>
      <c r="IP24" s="523">
        <f t="shared" si="81"/>
        <v>0</v>
      </c>
      <c r="IQ24" s="524">
        <f t="shared" si="193"/>
        <v>0</v>
      </c>
      <c r="IR24" s="522"/>
      <c r="IS24" s="523">
        <f t="shared" si="82"/>
        <v>0</v>
      </c>
      <c r="IT24" s="524">
        <f t="shared" si="194"/>
        <v>0</v>
      </c>
      <c r="IU24" s="522"/>
      <c r="IV24" s="523">
        <f t="shared" si="83"/>
        <v>0</v>
      </c>
      <c r="IW24" s="524">
        <f t="shared" si="195"/>
        <v>0</v>
      </c>
      <c r="IX24" s="522"/>
      <c r="IY24" s="523">
        <f t="shared" si="84"/>
        <v>0</v>
      </c>
      <c r="IZ24" s="524">
        <f t="shared" si="196"/>
        <v>0</v>
      </c>
      <c r="JA24" s="522"/>
      <c r="JB24" s="523">
        <f t="shared" si="85"/>
        <v>0</v>
      </c>
      <c r="JC24" s="524">
        <f t="shared" si="197"/>
        <v>0</v>
      </c>
      <c r="JD24" s="522"/>
      <c r="JE24" s="523">
        <f t="shared" si="86"/>
        <v>0</v>
      </c>
      <c r="JF24" s="524">
        <f t="shared" si="198"/>
        <v>0</v>
      </c>
      <c r="JG24" s="522"/>
      <c r="JH24" s="523">
        <f t="shared" si="87"/>
        <v>0</v>
      </c>
      <c r="JI24" s="524">
        <f t="shared" si="199"/>
        <v>0</v>
      </c>
      <c r="JJ24" s="522"/>
      <c r="JK24" s="524" t="str">
        <f t="shared" si="88"/>
        <v>0</v>
      </c>
      <c r="JL24" s="524" t="str">
        <f t="shared" si="89"/>
        <v>0</v>
      </c>
      <c r="JM24" s="522"/>
      <c r="JN24" s="524" t="str">
        <f t="shared" si="90"/>
        <v>0</v>
      </c>
      <c r="JO24" s="524" t="str">
        <f t="shared" si="91"/>
        <v>0</v>
      </c>
      <c r="JP24" s="522"/>
      <c r="JQ24" s="524" t="str">
        <f t="shared" si="92"/>
        <v>0</v>
      </c>
      <c r="JR24" s="524" t="str">
        <f t="shared" si="93"/>
        <v>0</v>
      </c>
      <c r="JS24" s="522"/>
      <c r="JT24" s="524" t="str">
        <f t="shared" si="94"/>
        <v>0</v>
      </c>
      <c r="JU24" s="524" t="str">
        <f t="shared" si="95"/>
        <v>0</v>
      </c>
      <c r="JV24" s="522"/>
      <c r="JW24" s="524" t="str">
        <f t="shared" si="96"/>
        <v>0</v>
      </c>
      <c r="JX24" s="524" t="str">
        <f t="shared" si="97"/>
        <v>0</v>
      </c>
      <c r="JY24" s="522"/>
      <c r="JZ24" s="524" t="str">
        <f t="shared" si="98"/>
        <v>0</v>
      </c>
      <c r="KA24" s="524" t="str">
        <f t="shared" si="99"/>
        <v>0</v>
      </c>
      <c r="KB24" s="522"/>
      <c r="KC24" s="524" t="str">
        <f t="shared" si="100"/>
        <v>0</v>
      </c>
      <c r="KD24" s="524" t="str">
        <f t="shared" si="101"/>
        <v>0</v>
      </c>
      <c r="KE24" s="522"/>
      <c r="KF24" s="524" t="str">
        <f t="shared" si="102"/>
        <v>0</v>
      </c>
      <c r="KG24" s="524" t="str">
        <f t="shared" si="103"/>
        <v>0</v>
      </c>
      <c r="KH24" s="522"/>
      <c r="KI24" s="524" t="str">
        <f t="shared" si="104"/>
        <v>0</v>
      </c>
      <c r="KJ24" s="524" t="str">
        <f t="shared" si="105"/>
        <v>0</v>
      </c>
      <c r="KK24" s="522"/>
      <c r="KL24" s="524" t="str">
        <f t="shared" si="106"/>
        <v>0</v>
      </c>
      <c r="KM24" s="524" t="str">
        <f t="shared" si="107"/>
        <v>0</v>
      </c>
      <c r="KN24" s="522"/>
      <c r="KO24" s="524" t="str">
        <f t="shared" si="108"/>
        <v>0</v>
      </c>
      <c r="KP24" s="524" t="str">
        <f t="shared" si="109"/>
        <v>0</v>
      </c>
      <c r="KQ24" s="522"/>
      <c r="KR24" s="524" t="str">
        <f t="shared" si="110"/>
        <v>0</v>
      </c>
      <c r="KS24" s="524" t="str">
        <f t="shared" si="111"/>
        <v>0</v>
      </c>
      <c r="KT24" s="524">
        <f t="shared" si="201"/>
        <v>0</v>
      </c>
      <c r="KU24" s="524">
        <f t="shared" si="202"/>
        <v>0</v>
      </c>
      <c r="KV24" s="261">
        <f t="shared" si="204"/>
        <v>577.77061510733199</v>
      </c>
    </row>
    <row r="25" spans="1:308">
      <c r="A25" s="262">
        <f t="shared" si="200"/>
        <v>46008</v>
      </c>
      <c r="B25" s="263" t="str">
        <f>+Report1!B25</f>
        <v>Facial</v>
      </c>
      <c r="C25" s="263" t="str">
        <f>+Report1!C25</f>
        <v>12/11,5</v>
      </c>
      <c r="D25" s="264">
        <f>+Report1!P25</f>
        <v>36.963999999999999</v>
      </c>
      <c r="E25" s="560">
        <f>+Report1!R25</f>
        <v>34.347000000000001</v>
      </c>
      <c r="F25" s="522"/>
      <c r="G25" s="523">
        <f t="shared" si="0"/>
        <v>0</v>
      </c>
      <c r="H25" s="524">
        <f t="shared" si="113"/>
        <v>0</v>
      </c>
      <c r="I25" s="522">
        <v>279.06976744186045</v>
      </c>
      <c r="J25" s="523">
        <f t="shared" si="1"/>
        <v>8.1250114257973163</v>
      </c>
      <c r="K25" s="524">
        <f t="shared" si="114"/>
        <v>0</v>
      </c>
      <c r="L25" s="522"/>
      <c r="M25" s="523">
        <f t="shared" si="2"/>
        <v>0</v>
      </c>
      <c r="N25" s="524">
        <f t="shared" si="115"/>
        <v>0</v>
      </c>
      <c r="O25" s="522">
        <v>2.9999999999999858</v>
      </c>
      <c r="P25" s="523">
        <f t="shared" si="3"/>
        <v>8.7343872827320743E-2</v>
      </c>
      <c r="Q25" s="524">
        <f t="shared" si="116"/>
        <v>0</v>
      </c>
      <c r="R25" s="522"/>
      <c r="S25" s="523">
        <f t="shared" si="4"/>
        <v>0</v>
      </c>
      <c r="T25" s="524">
        <f t="shared" si="117"/>
        <v>0</v>
      </c>
      <c r="U25" s="522">
        <v>5.125</v>
      </c>
      <c r="V25" s="523">
        <f t="shared" si="5"/>
        <v>0.1492124494133403</v>
      </c>
      <c r="W25" s="524">
        <f t="shared" si="118"/>
        <v>0</v>
      </c>
      <c r="X25" s="522"/>
      <c r="Y25" s="523">
        <f t="shared" si="6"/>
        <v>0</v>
      </c>
      <c r="Z25" s="524">
        <f t="shared" si="119"/>
        <v>0</v>
      </c>
      <c r="AA25" s="522">
        <v>15.625</v>
      </c>
      <c r="AB25" s="523">
        <f t="shared" si="7"/>
        <v>0.45491600430896439</v>
      </c>
      <c r="AC25" s="524">
        <f t="shared" si="120"/>
        <v>0</v>
      </c>
      <c r="AD25" s="522"/>
      <c r="AE25" s="523">
        <f t="shared" si="8"/>
        <v>0</v>
      </c>
      <c r="AF25" s="524">
        <f t="shared" si="121"/>
        <v>0</v>
      </c>
      <c r="AG25" s="522"/>
      <c r="AH25" s="523">
        <f t="shared" si="9"/>
        <v>0</v>
      </c>
      <c r="AI25" s="524">
        <f t="shared" si="122"/>
        <v>0</v>
      </c>
      <c r="AJ25" s="522"/>
      <c r="AK25" s="523">
        <f t="shared" si="10"/>
        <v>0</v>
      </c>
      <c r="AL25" s="524">
        <f t="shared" si="123"/>
        <v>0</v>
      </c>
      <c r="AM25" s="522"/>
      <c r="AN25" s="523">
        <f t="shared" si="11"/>
        <v>0</v>
      </c>
      <c r="AO25" s="524">
        <f t="shared" si="124"/>
        <v>0</v>
      </c>
      <c r="AP25" s="522">
        <v>54.113924050632875</v>
      </c>
      <c r="AQ25" s="523">
        <f t="shared" si="12"/>
        <v>1.5755065668219312</v>
      </c>
      <c r="AR25" s="524">
        <f t="shared" si="125"/>
        <v>0</v>
      </c>
      <c r="AS25" s="522"/>
      <c r="AT25" s="523">
        <f t="shared" si="13"/>
        <v>0</v>
      </c>
      <c r="AU25" s="524">
        <f t="shared" si="126"/>
        <v>0</v>
      </c>
      <c r="AV25" s="522"/>
      <c r="AW25" s="523">
        <f t="shared" si="14"/>
        <v>0</v>
      </c>
      <c r="AX25" s="524">
        <f t="shared" si="127"/>
        <v>0</v>
      </c>
      <c r="AY25" s="522">
        <v>67.666666666666686</v>
      </c>
      <c r="AZ25" s="523">
        <f t="shared" si="15"/>
        <v>1.9700895759940222</v>
      </c>
      <c r="BA25" s="524">
        <f t="shared" si="128"/>
        <v>0</v>
      </c>
      <c r="BB25" s="522"/>
      <c r="BC25" s="523">
        <f t="shared" si="16"/>
        <v>0</v>
      </c>
      <c r="BD25" s="524">
        <f t="shared" si="129"/>
        <v>0</v>
      </c>
      <c r="BE25" s="522"/>
      <c r="BF25" s="523">
        <f t="shared" si="17"/>
        <v>0</v>
      </c>
      <c r="BG25" s="524">
        <f t="shared" si="130"/>
        <v>0</v>
      </c>
      <c r="BH25" s="522"/>
      <c r="BI25" s="523">
        <f t="shared" si="18"/>
        <v>0</v>
      </c>
      <c r="BJ25" s="524">
        <f t="shared" si="131"/>
        <v>0</v>
      </c>
      <c r="BK25" s="522"/>
      <c r="BL25" s="523">
        <f t="shared" si="19"/>
        <v>0</v>
      </c>
      <c r="BM25" s="524">
        <f t="shared" si="132"/>
        <v>0</v>
      </c>
      <c r="BN25" s="522"/>
      <c r="BO25" s="523">
        <f t="shared" si="20"/>
        <v>0</v>
      </c>
      <c r="BP25" s="524">
        <f t="shared" si="133"/>
        <v>0</v>
      </c>
      <c r="BQ25" s="522"/>
      <c r="BR25" s="523">
        <f t="shared" si="21"/>
        <v>0</v>
      </c>
      <c r="BS25" s="524">
        <f t="shared" si="134"/>
        <v>0</v>
      </c>
      <c r="BT25" s="522"/>
      <c r="BU25" s="523">
        <f t="shared" si="22"/>
        <v>0</v>
      </c>
      <c r="BV25" s="524">
        <f t="shared" si="135"/>
        <v>0</v>
      </c>
      <c r="BW25" s="522"/>
      <c r="BX25" s="523">
        <f t="shared" si="23"/>
        <v>0</v>
      </c>
      <c r="BY25" s="524">
        <f t="shared" si="136"/>
        <v>0</v>
      </c>
      <c r="BZ25" s="522"/>
      <c r="CA25" s="523">
        <f t="shared" si="24"/>
        <v>0</v>
      </c>
      <c r="CB25" s="524">
        <f t="shared" si="137"/>
        <v>0</v>
      </c>
      <c r="CC25" s="522"/>
      <c r="CD25" s="523">
        <f t="shared" si="25"/>
        <v>0</v>
      </c>
      <c r="CE25" s="524">
        <f t="shared" si="138"/>
        <v>0</v>
      </c>
      <c r="CF25" s="522">
        <v>1</v>
      </c>
      <c r="CG25" s="523">
        <f t="shared" si="26"/>
        <v>2.9114624275773719E-2</v>
      </c>
      <c r="CH25" s="524">
        <f t="shared" si="139"/>
        <v>0</v>
      </c>
      <c r="CI25" s="522"/>
      <c r="CJ25" s="523">
        <f t="shared" si="27"/>
        <v>0</v>
      </c>
      <c r="CK25" s="524">
        <f t="shared" si="140"/>
        <v>0</v>
      </c>
      <c r="CL25" s="522"/>
      <c r="CM25" s="523">
        <f t="shared" si="28"/>
        <v>0</v>
      </c>
      <c r="CN25" s="524">
        <f t="shared" si="141"/>
        <v>0</v>
      </c>
      <c r="CO25" s="522"/>
      <c r="CP25" s="523">
        <f t="shared" si="29"/>
        <v>0</v>
      </c>
      <c r="CQ25" s="524">
        <f t="shared" si="142"/>
        <v>0</v>
      </c>
      <c r="CR25" s="522"/>
      <c r="CS25" s="523">
        <f t="shared" si="30"/>
        <v>0</v>
      </c>
      <c r="CT25" s="524">
        <f t="shared" si="143"/>
        <v>0</v>
      </c>
      <c r="CU25" s="522"/>
      <c r="CV25" s="523">
        <f t="shared" si="31"/>
        <v>0</v>
      </c>
      <c r="CW25" s="524">
        <f t="shared" si="144"/>
        <v>0</v>
      </c>
      <c r="CX25" s="522"/>
      <c r="CY25" s="523">
        <f t="shared" si="32"/>
        <v>0</v>
      </c>
      <c r="CZ25" s="524">
        <f t="shared" si="145"/>
        <v>0</v>
      </c>
      <c r="DA25" s="522"/>
      <c r="DB25" s="523">
        <f t="shared" si="33"/>
        <v>0</v>
      </c>
      <c r="DC25" s="524">
        <f t="shared" si="146"/>
        <v>0</v>
      </c>
      <c r="DD25" s="522"/>
      <c r="DE25" s="523">
        <f t="shared" si="34"/>
        <v>0</v>
      </c>
      <c r="DF25" s="524">
        <f t="shared" si="147"/>
        <v>0</v>
      </c>
      <c r="DG25" s="522"/>
      <c r="DH25" s="523">
        <f t="shared" si="35"/>
        <v>0</v>
      </c>
      <c r="DI25" s="524">
        <f t="shared" si="203"/>
        <v>0</v>
      </c>
      <c r="DJ25" s="522"/>
      <c r="DK25" s="523">
        <f t="shared" si="36"/>
        <v>0</v>
      </c>
      <c r="DL25" s="524">
        <f t="shared" si="148"/>
        <v>0</v>
      </c>
      <c r="DM25" s="522"/>
      <c r="DN25" s="523">
        <f t="shared" si="37"/>
        <v>0</v>
      </c>
      <c r="DO25" s="524">
        <f t="shared" si="149"/>
        <v>0</v>
      </c>
      <c r="DP25" s="522"/>
      <c r="DQ25" s="523">
        <f t="shared" si="38"/>
        <v>0</v>
      </c>
      <c r="DR25" s="524">
        <f t="shared" si="150"/>
        <v>0</v>
      </c>
      <c r="DS25" s="522"/>
      <c r="DT25" s="523">
        <f t="shared" si="39"/>
        <v>0</v>
      </c>
      <c r="DU25" s="524">
        <f t="shared" si="151"/>
        <v>0</v>
      </c>
      <c r="DV25" s="522"/>
      <c r="DW25" s="523">
        <f t="shared" si="40"/>
        <v>0</v>
      </c>
      <c r="DX25" s="524">
        <f t="shared" si="152"/>
        <v>0</v>
      </c>
      <c r="DY25" s="522"/>
      <c r="DZ25" s="523">
        <f t="shared" si="41"/>
        <v>0</v>
      </c>
      <c r="EA25" s="524">
        <f t="shared" si="153"/>
        <v>0</v>
      </c>
      <c r="EB25" s="522"/>
      <c r="EC25" s="523">
        <f t="shared" si="42"/>
        <v>0</v>
      </c>
      <c r="ED25" s="524">
        <f t="shared" si="154"/>
        <v>0</v>
      </c>
      <c r="EE25" s="522">
        <v>70.447058823529403</v>
      </c>
      <c r="EF25" s="523">
        <f t="shared" si="43"/>
        <v>2.0510396489803884</v>
      </c>
      <c r="EG25" s="524">
        <f t="shared" si="155"/>
        <v>0</v>
      </c>
      <c r="EH25" s="522"/>
      <c r="EI25" s="523">
        <f t="shared" si="44"/>
        <v>0</v>
      </c>
      <c r="EJ25" s="524">
        <f t="shared" si="156"/>
        <v>0</v>
      </c>
      <c r="EK25" s="522">
        <v>58.139534883721126</v>
      </c>
      <c r="EL25" s="523">
        <f t="shared" si="45"/>
        <v>1.6927107137077801</v>
      </c>
      <c r="EM25" s="524">
        <f t="shared" si="157"/>
        <v>0</v>
      </c>
      <c r="EN25" s="522"/>
      <c r="EO25" s="523">
        <f t="shared" si="46"/>
        <v>0</v>
      </c>
      <c r="EP25" s="524">
        <f t="shared" si="158"/>
        <v>0</v>
      </c>
      <c r="EQ25" s="522"/>
      <c r="ER25" s="523">
        <f t="shared" si="47"/>
        <v>0</v>
      </c>
      <c r="ES25" s="524">
        <f t="shared" si="159"/>
        <v>0</v>
      </c>
      <c r="ET25" s="522"/>
      <c r="EU25" s="523">
        <f t="shared" si="48"/>
        <v>0</v>
      </c>
      <c r="EV25" s="524">
        <f t="shared" si="160"/>
        <v>0</v>
      </c>
      <c r="EW25" s="522"/>
      <c r="EX25" s="523">
        <f t="shared" si="49"/>
        <v>0</v>
      </c>
      <c r="EY25" s="524">
        <f t="shared" si="161"/>
        <v>0</v>
      </c>
      <c r="EZ25" s="522"/>
      <c r="FA25" s="523">
        <f t="shared" si="50"/>
        <v>0</v>
      </c>
      <c r="FB25" s="524">
        <f t="shared" si="162"/>
        <v>0</v>
      </c>
      <c r="FC25" s="522"/>
      <c r="FD25" s="523">
        <f t="shared" si="51"/>
        <v>0</v>
      </c>
      <c r="FE25" s="524">
        <f t="shared" si="163"/>
        <v>0</v>
      </c>
      <c r="FF25" s="522"/>
      <c r="FG25" s="523">
        <f t="shared" si="52"/>
        <v>0</v>
      </c>
      <c r="FH25" s="524">
        <f t="shared" si="164"/>
        <v>0</v>
      </c>
      <c r="FI25" s="522"/>
      <c r="FJ25" s="523">
        <f t="shared" si="53"/>
        <v>0</v>
      </c>
      <c r="FK25" s="524">
        <f t="shared" si="165"/>
        <v>0</v>
      </c>
      <c r="FL25" s="522"/>
      <c r="FM25" s="523">
        <f t="shared" si="54"/>
        <v>0</v>
      </c>
      <c r="FN25" s="524">
        <f t="shared" si="166"/>
        <v>0</v>
      </c>
      <c r="FO25" s="522"/>
      <c r="FP25" s="523">
        <f t="shared" si="55"/>
        <v>0</v>
      </c>
      <c r="FQ25" s="524">
        <f t="shared" si="167"/>
        <v>0</v>
      </c>
      <c r="FR25" s="522"/>
      <c r="FS25" s="523">
        <f t="shared" si="56"/>
        <v>0</v>
      </c>
      <c r="FT25" s="524">
        <f t="shared" si="168"/>
        <v>0</v>
      </c>
      <c r="FU25" s="522"/>
      <c r="FV25" s="523">
        <f t="shared" si="57"/>
        <v>0</v>
      </c>
      <c r="FW25" s="524">
        <f t="shared" si="169"/>
        <v>0</v>
      </c>
      <c r="FX25" s="522"/>
      <c r="FY25" s="523">
        <f t="shared" si="58"/>
        <v>0</v>
      </c>
      <c r="FZ25" s="524">
        <f t="shared" si="170"/>
        <v>0</v>
      </c>
      <c r="GA25" s="522"/>
      <c r="GB25" s="523">
        <f t="shared" si="59"/>
        <v>0</v>
      </c>
      <c r="GC25" s="524">
        <f t="shared" si="171"/>
        <v>0</v>
      </c>
      <c r="GD25" s="522"/>
      <c r="GE25" s="523">
        <f t="shared" si="60"/>
        <v>0</v>
      </c>
      <c r="GF25" s="524">
        <f t="shared" si="172"/>
        <v>0</v>
      </c>
      <c r="GG25" s="522"/>
      <c r="GH25" s="523">
        <f t="shared" si="61"/>
        <v>0</v>
      </c>
      <c r="GI25" s="524">
        <f t="shared" si="173"/>
        <v>0</v>
      </c>
      <c r="GJ25" s="522"/>
      <c r="GK25" s="523">
        <f t="shared" si="62"/>
        <v>0</v>
      </c>
      <c r="GL25" s="524">
        <f t="shared" si="174"/>
        <v>0</v>
      </c>
      <c r="GM25" s="522"/>
      <c r="GN25" s="523">
        <f t="shared" si="63"/>
        <v>0</v>
      </c>
      <c r="GO25" s="524">
        <f t="shared" si="175"/>
        <v>0</v>
      </c>
      <c r="GP25" s="522"/>
      <c r="GQ25" s="523">
        <f t="shared" si="64"/>
        <v>0</v>
      </c>
      <c r="GR25" s="524">
        <f t="shared" si="176"/>
        <v>0</v>
      </c>
      <c r="GS25" s="522"/>
      <c r="GT25" s="523">
        <f t="shared" si="65"/>
        <v>0</v>
      </c>
      <c r="GU25" s="524">
        <f t="shared" si="177"/>
        <v>0</v>
      </c>
      <c r="GV25" s="522"/>
      <c r="GW25" s="523">
        <f t="shared" si="66"/>
        <v>0</v>
      </c>
      <c r="GX25" s="524">
        <f t="shared" si="178"/>
        <v>0</v>
      </c>
      <c r="GY25" s="522"/>
      <c r="GZ25" s="523">
        <f t="shared" si="67"/>
        <v>0</v>
      </c>
      <c r="HA25" s="524">
        <f t="shared" si="179"/>
        <v>0</v>
      </c>
      <c r="HB25" s="522"/>
      <c r="HC25" s="523">
        <f t="shared" si="68"/>
        <v>0</v>
      </c>
      <c r="HD25" s="524">
        <f t="shared" si="180"/>
        <v>0</v>
      </c>
      <c r="HE25" s="522"/>
      <c r="HF25" s="523">
        <f t="shared" si="69"/>
        <v>0</v>
      </c>
      <c r="HG25" s="524">
        <f t="shared" si="181"/>
        <v>0</v>
      </c>
      <c r="HH25" s="522"/>
      <c r="HI25" s="523">
        <f t="shared" si="70"/>
        <v>0</v>
      </c>
      <c r="HJ25" s="524">
        <f t="shared" si="182"/>
        <v>0</v>
      </c>
      <c r="HK25" s="522"/>
      <c r="HL25" s="523">
        <f t="shared" si="71"/>
        <v>0</v>
      </c>
      <c r="HM25" s="524">
        <f t="shared" si="183"/>
        <v>0</v>
      </c>
      <c r="HN25" s="522"/>
      <c r="HO25" s="523">
        <f t="shared" si="72"/>
        <v>0</v>
      </c>
      <c r="HP25" s="524">
        <f t="shared" si="184"/>
        <v>0</v>
      </c>
      <c r="HQ25" s="522"/>
      <c r="HR25" s="523">
        <f t="shared" si="73"/>
        <v>0</v>
      </c>
      <c r="HS25" s="524">
        <f t="shared" si="185"/>
        <v>0</v>
      </c>
      <c r="HT25" s="522"/>
      <c r="HU25" s="523">
        <f t="shared" si="74"/>
        <v>0</v>
      </c>
      <c r="HV25" s="524">
        <f t="shared" si="186"/>
        <v>0</v>
      </c>
      <c r="HW25" s="522"/>
      <c r="HX25" s="523">
        <f t="shared" si="75"/>
        <v>0</v>
      </c>
      <c r="HY25" s="524">
        <f t="shared" si="187"/>
        <v>0</v>
      </c>
      <c r="HZ25" s="522"/>
      <c r="IA25" s="523">
        <f t="shared" si="76"/>
        <v>0</v>
      </c>
      <c r="IB25" s="524">
        <f t="shared" si="188"/>
        <v>0</v>
      </c>
      <c r="IC25" s="522"/>
      <c r="ID25" s="523">
        <f t="shared" si="77"/>
        <v>0</v>
      </c>
      <c r="IE25" s="524">
        <f t="shared" si="189"/>
        <v>0</v>
      </c>
      <c r="IF25" s="522"/>
      <c r="IG25" s="523">
        <f t="shared" si="78"/>
        <v>0</v>
      </c>
      <c r="IH25" s="524">
        <f t="shared" si="190"/>
        <v>0</v>
      </c>
      <c r="II25" s="522"/>
      <c r="IJ25" s="523">
        <f t="shared" si="79"/>
        <v>0</v>
      </c>
      <c r="IK25" s="524">
        <f t="shared" si="191"/>
        <v>0</v>
      </c>
      <c r="IL25" s="522"/>
      <c r="IM25" s="523">
        <f t="shared" si="80"/>
        <v>0</v>
      </c>
      <c r="IN25" s="524">
        <f t="shared" si="192"/>
        <v>0</v>
      </c>
      <c r="IO25" s="522"/>
      <c r="IP25" s="523">
        <f t="shared" si="81"/>
        <v>0</v>
      </c>
      <c r="IQ25" s="524">
        <f t="shared" si="193"/>
        <v>0</v>
      </c>
      <c r="IR25" s="522"/>
      <c r="IS25" s="523">
        <f t="shared" si="82"/>
        <v>0</v>
      </c>
      <c r="IT25" s="524">
        <f t="shared" si="194"/>
        <v>0</v>
      </c>
      <c r="IU25" s="522"/>
      <c r="IV25" s="523">
        <f t="shared" si="83"/>
        <v>0</v>
      </c>
      <c r="IW25" s="524">
        <f t="shared" si="195"/>
        <v>0</v>
      </c>
      <c r="IX25" s="522"/>
      <c r="IY25" s="523">
        <f t="shared" si="84"/>
        <v>0</v>
      </c>
      <c r="IZ25" s="524">
        <f t="shared" si="196"/>
        <v>0</v>
      </c>
      <c r="JA25" s="522"/>
      <c r="JB25" s="523">
        <f t="shared" si="85"/>
        <v>0</v>
      </c>
      <c r="JC25" s="524">
        <f t="shared" si="197"/>
        <v>0</v>
      </c>
      <c r="JD25" s="522"/>
      <c r="JE25" s="523">
        <f t="shared" si="86"/>
        <v>0</v>
      </c>
      <c r="JF25" s="524">
        <f t="shared" si="198"/>
        <v>0</v>
      </c>
      <c r="JG25" s="522"/>
      <c r="JH25" s="523">
        <f t="shared" si="87"/>
        <v>0</v>
      </c>
      <c r="JI25" s="524">
        <f t="shared" si="199"/>
        <v>0</v>
      </c>
      <c r="JJ25" s="522"/>
      <c r="JK25" s="524" t="str">
        <f t="shared" si="88"/>
        <v>0</v>
      </c>
      <c r="JL25" s="524" t="str">
        <f t="shared" si="89"/>
        <v>0</v>
      </c>
      <c r="JM25" s="522"/>
      <c r="JN25" s="524" t="str">
        <f t="shared" si="90"/>
        <v>0</v>
      </c>
      <c r="JO25" s="524" t="str">
        <f t="shared" si="91"/>
        <v>0</v>
      </c>
      <c r="JP25" s="522"/>
      <c r="JQ25" s="524" t="str">
        <f t="shared" si="92"/>
        <v>0</v>
      </c>
      <c r="JR25" s="524" t="str">
        <f t="shared" si="93"/>
        <v>0</v>
      </c>
      <c r="JS25" s="522"/>
      <c r="JT25" s="524" t="str">
        <f t="shared" si="94"/>
        <v>0</v>
      </c>
      <c r="JU25" s="524" t="str">
        <f t="shared" si="95"/>
        <v>0</v>
      </c>
      <c r="JV25" s="522"/>
      <c r="JW25" s="524" t="str">
        <f t="shared" si="96"/>
        <v>0</v>
      </c>
      <c r="JX25" s="524" t="str">
        <f t="shared" si="97"/>
        <v>0</v>
      </c>
      <c r="JY25" s="522"/>
      <c r="JZ25" s="524" t="str">
        <f t="shared" si="98"/>
        <v>0</v>
      </c>
      <c r="KA25" s="524" t="str">
        <f t="shared" si="99"/>
        <v>0</v>
      </c>
      <c r="KB25" s="522"/>
      <c r="KC25" s="524" t="str">
        <f t="shared" si="100"/>
        <v>0</v>
      </c>
      <c r="KD25" s="524" t="str">
        <f t="shared" si="101"/>
        <v>0</v>
      </c>
      <c r="KE25" s="522"/>
      <c r="KF25" s="524" t="str">
        <f t="shared" si="102"/>
        <v>0</v>
      </c>
      <c r="KG25" s="524" t="str">
        <f t="shared" si="103"/>
        <v>0</v>
      </c>
      <c r="KH25" s="522"/>
      <c r="KI25" s="524" t="str">
        <f t="shared" si="104"/>
        <v>0</v>
      </c>
      <c r="KJ25" s="524" t="str">
        <f t="shared" si="105"/>
        <v>0</v>
      </c>
      <c r="KK25" s="522"/>
      <c r="KL25" s="524" t="str">
        <f t="shared" si="106"/>
        <v>0</v>
      </c>
      <c r="KM25" s="524" t="str">
        <f t="shared" si="107"/>
        <v>0</v>
      </c>
      <c r="KN25" s="522"/>
      <c r="KO25" s="524" t="str">
        <f t="shared" si="108"/>
        <v>0</v>
      </c>
      <c r="KP25" s="524" t="str">
        <f t="shared" si="109"/>
        <v>0</v>
      </c>
      <c r="KQ25" s="522"/>
      <c r="KR25" s="524" t="str">
        <f t="shared" si="110"/>
        <v>0</v>
      </c>
      <c r="KS25" s="524" t="str">
        <f t="shared" si="111"/>
        <v>0</v>
      </c>
      <c r="KT25" s="524">
        <f t="shared" si="201"/>
        <v>0</v>
      </c>
      <c r="KU25" s="524">
        <f t="shared" si="202"/>
        <v>0</v>
      </c>
      <c r="KV25" s="261">
        <f t="shared" si="204"/>
        <v>554.18695186641048</v>
      </c>
    </row>
    <row r="26" spans="1:308">
      <c r="A26" s="262">
        <f t="shared" si="200"/>
        <v>46009</v>
      </c>
      <c r="B26" s="263" t="str">
        <f>+Report1!B26</f>
        <v>Facial</v>
      </c>
      <c r="C26" s="263" t="str">
        <f>+Report1!C26</f>
        <v>11,5</v>
      </c>
      <c r="D26" s="264">
        <f>+Report1!P26</f>
        <v>35.033999999999999</v>
      </c>
      <c r="E26" s="560">
        <f>+Report1!R26</f>
        <v>35.722000000000001</v>
      </c>
      <c r="F26" s="522"/>
      <c r="G26" s="523">
        <f t="shared" si="0"/>
        <v>0</v>
      </c>
      <c r="H26" s="524">
        <f t="shared" si="113"/>
        <v>0</v>
      </c>
      <c r="I26" s="522">
        <v>255.81395348837214</v>
      </c>
      <c r="J26" s="523">
        <f t="shared" si="1"/>
        <v>7.1612438689987155</v>
      </c>
      <c r="K26" s="524">
        <f t="shared" si="114"/>
        <v>0</v>
      </c>
      <c r="L26" s="522"/>
      <c r="M26" s="523">
        <f t="shared" si="2"/>
        <v>0</v>
      </c>
      <c r="N26" s="524">
        <f t="shared" si="115"/>
        <v>0</v>
      </c>
      <c r="O26" s="522">
        <v>3</v>
      </c>
      <c r="P26" s="523">
        <f t="shared" si="3"/>
        <v>8.3981859918257656E-2</v>
      </c>
      <c r="Q26" s="524">
        <f t="shared" si="116"/>
        <v>0</v>
      </c>
      <c r="R26" s="522"/>
      <c r="S26" s="523">
        <f t="shared" si="4"/>
        <v>0</v>
      </c>
      <c r="T26" s="524">
        <f t="shared" si="117"/>
        <v>0</v>
      </c>
      <c r="U26" s="522">
        <v>5.1249999999999432</v>
      </c>
      <c r="V26" s="523">
        <f t="shared" si="5"/>
        <v>0.14346901069368856</v>
      </c>
      <c r="W26" s="524">
        <f t="shared" si="118"/>
        <v>0</v>
      </c>
      <c r="X26" s="522"/>
      <c r="Y26" s="523">
        <f t="shared" si="6"/>
        <v>0</v>
      </c>
      <c r="Z26" s="524">
        <f t="shared" si="119"/>
        <v>0</v>
      </c>
      <c r="AA26" s="522">
        <v>15.625</v>
      </c>
      <c r="AB26" s="523">
        <f t="shared" si="7"/>
        <v>0.43740552040759195</v>
      </c>
      <c r="AC26" s="524">
        <f t="shared" si="120"/>
        <v>0</v>
      </c>
      <c r="AD26" s="522"/>
      <c r="AE26" s="523">
        <f t="shared" si="8"/>
        <v>0</v>
      </c>
      <c r="AF26" s="524">
        <f t="shared" si="121"/>
        <v>0</v>
      </c>
      <c r="AG26" s="522"/>
      <c r="AH26" s="523">
        <f t="shared" si="9"/>
        <v>0</v>
      </c>
      <c r="AI26" s="524">
        <f t="shared" si="122"/>
        <v>0</v>
      </c>
      <c r="AJ26" s="522"/>
      <c r="AK26" s="523">
        <f t="shared" si="10"/>
        <v>0</v>
      </c>
      <c r="AL26" s="524">
        <f t="shared" si="123"/>
        <v>0</v>
      </c>
      <c r="AM26" s="522"/>
      <c r="AN26" s="523">
        <f t="shared" si="11"/>
        <v>0</v>
      </c>
      <c r="AO26" s="524">
        <f t="shared" si="124"/>
        <v>0</v>
      </c>
      <c r="AP26" s="522">
        <v>45.569620253164601</v>
      </c>
      <c r="AQ26" s="523">
        <f t="shared" si="12"/>
        <v>1.2756738215431556</v>
      </c>
      <c r="AR26" s="524">
        <f t="shared" si="125"/>
        <v>0</v>
      </c>
      <c r="AS26" s="522"/>
      <c r="AT26" s="523">
        <f t="shared" si="13"/>
        <v>0</v>
      </c>
      <c r="AU26" s="524">
        <f t="shared" si="126"/>
        <v>0</v>
      </c>
      <c r="AV26" s="522"/>
      <c r="AW26" s="523">
        <f t="shared" si="14"/>
        <v>0</v>
      </c>
      <c r="AX26" s="524">
        <f t="shared" si="127"/>
        <v>0</v>
      </c>
      <c r="AY26" s="522">
        <v>58.333333333333314</v>
      </c>
      <c r="AZ26" s="523">
        <f t="shared" si="15"/>
        <v>1.6329806095216761</v>
      </c>
      <c r="BA26" s="524">
        <f t="shared" si="128"/>
        <v>0</v>
      </c>
      <c r="BB26" s="522"/>
      <c r="BC26" s="523">
        <f t="shared" si="16"/>
        <v>0</v>
      </c>
      <c r="BD26" s="524">
        <f t="shared" si="129"/>
        <v>0</v>
      </c>
      <c r="BE26" s="522"/>
      <c r="BF26" s="523">
        <f t="shared" si="17"/>
        <v>0</v>
      </c>
      <c r="BG26" s="524">
        <f t="shared" si="130"/>
        <v>0</v>
      </c>
      <c r="BH26" s="522"/>
      <c r="BI26" s="523">
        <f t="shared" si="18"/>
        <v>0</v>
      </c>
      <c r="BJ26" s="524">
        <f t="shared" si="131"/>
        <v>0</v>
      </c>
      <c r="BK26" s="522"/>
      <c r="BL26" s="523">
        <f t="shared" si="19"/>
        <v>0</v>
      </c>
      <c r="BM26" s="524">
        <f t="shared" si="132"/>
        <v>0</v>
      </c>
      <c r="BN26" s="522"/>
      <c r="BO26" s="523">
        <f t="shared" si="20"/>
        <v>0</v>
      </c>
      <c r="BP26" s="524">
        <f t="shared" si="133"/>
        <v>0</v>
      </c>
      <c r="BQ26" s="522"/>
      <c r="BR26" s="523">
        <f t="shared" si="21"/>
        <v>0</v>
      </c>
      <c r="BS26" s="524">
        <f t="shared" si="134"/>
        <v>0</v>
      </c>
      <c r="BT26" s="522"/>
      <c r="BU26" s="523">
        <f t="shared" si="22"/>
        <v>0</v>
      </c>
      <c r="BV26" s="524">
        <f t="shared" si="135"/>
        <v>0</v>
      </c>
      <c r="BW26" s="522"/>
      <c r="BX26" s="523">
        <f t="shared" si="23"/>
        <v>0</v>
      </c>
      <c r="BY26" s="524">
        <f t="shared" si="136"/>
        <v>0</v>
      </c>
      <c r="BZ26" s="522"/>
      <c r="CA26" s="523">
        <f t="shared" si="24"/>
        <v>0</v>
      </c>
      <c r="CB26" s="524">
        <f t="shared" si="137"/>
        <v>0</v>
      </c>
      <c r="CC26" s="522"/>
      <c r="CD26" s="523">
        <f t="shared" si="25"/>
        <v>0</v>
      </c>
      <c r="CE26" s="524">
        <f t="shared" si="138"/>
        <v>0</v>
      </c>
      <c r="CF26" s="522">
        <v>1</v>
      </c>
      <c r="CG26" s="523">
        <f t="shared" si="26"/>
        <v>2.7993953306085884E-2</v>
      </c>
      <c r="CH26" s="524">
        <f t="shared" si="139"/>
        <v>0</v>
      </c>
      <c r="CI26" s="522"/>
      <c r="CJ26" s="523">
        <f t="shared" si="27"/>
        <v>0</v>
      </c>
      <c r="CK26" s="524">
        <f t="shared" si="140"/>
        <v>0</v>
      </c>
      <c r="CL26" s="522"/>
      <c r="CM26" s="523">
        <f t="shared" si="28"/>
        <v>0</v>
      </c>
      <c r="CN26" s="524">
        <f t="shared" si="141"/>
        <v>0</v>
      </c>
      <c r="CO26" s="522"/>
      <c r="CP26" s="523">
        <f t="shared" si="29"/>
        <v>0</v>
      </c>
      <c r="CQ26" s="524">
        <f t="shared" si="142"/>
        <v>0</v>
      </c>
      <c r="CR26" s="522"/>
      <c r="CS26" s="523">
        <f t="shared" si="30"/>
        <v>0</v>
      </c>
      <c r="CT26" s="524">
        <f t="shared" si="143"/>
        <v>0</v>
      </c>
      <c r="CU26" s="522"/>
      <c r="CV26" s="523">
        <f t="shared" si="31"/>
        <v>0</v>
      </c>
      <c r="CW26" s="524">
        <f t="shared" si="144"/>
        <v>0</v>
      </c>
      <c r="CX26" s="522"/>
      <c r="CY26" s="523">
        <f t="shared" si="32"/>
        <v>0</v>
      </c>
      <c r="CZ26" s="524">
        <f t="shared" si="145"/>
        <v>0</v>
      </c>
      <c r="DA26" s="522"/>
      <c r="DB26" s="523">
        <f t="shared" si="33"/>
        <v>0</v>
      </c>
      <c r="DC26" s="524">
        <f t="shared" si="146"/>
        <v>0</v>
      </c>
      <c r="DD26" s="522"/>
      <c r="DE26" s="523">
        <f t="shared" si="34"/>
        <v>0</v>
      </c>
      <c r="DF26" s="524">
        <f t="shared" si="147"/>
        <v>0</v>
      </c>
      <c r="DG26" s="522"/>
      <c r="DH26" s="523">
        <f t="shared" si="35"/>
        <v>0</v>
      </c>
      <c r="DI26" s="524">
        <f t="shared" si="203"/>
        <v>0</v>
      </c>
      <c r="DJ26" s="522"/>
      <c r="DK26" s="523">
        <f t="shared" si="36"/>
        <v>0</v>
      </c>
      <c r="DL26" s="524">
        <f t="shared" si="148"/>
        <v>0</v>
      </c>
      <c r="DM26" s="522"/>
      <c r="DN26" s="523">
        <f t="shared" si="37"/>
        <v>0</v>
      </c>
      <c r="DO26" s="524">
        <f t="shared" si="149"/>
        <v>0</v>
      </c>
      <c r="DP26" s="522"/>
      <c r="DQ26" s="523">
        <f t="shared" si="38"/>
        <v>0</v>
      </c>
      <c r="DR26" s="524">
        <f t="shared" si="150"/>
        <v>0</v>
      </c>
      <c r="DS26" s="522"/>
      <c r="DT26" s="523">
        <f t="shared" si="39"/>
        <v>0</v>
      </c>
      <c r="DU26" s="524">
        <f t="shared" si="151"/>
        <v>0</v>
      </c>
      <c r="DV26" s="522"/>
      <c r="DW26" s="523">
        <f t="shared" si="40"/>
        <v>0</v>
      </c>
      <c r="DX26" s="524">
        <f t="shared" si="152"/>
        <v>0</v>
      </c>
      <c r="DY26" s="522"/>
      <c r="DZ26" s="523">
        <f t="shared" si="41"/>
        <v>0</v>
      </c>
      <c r="EA26" s="524">
        <f t="shared" si="153"/>
        <v>0</v>
      </c>
      <c r="EB26" s="522"/>
      <c r="EC26" s="523">
        <f t="shared" si="42"/>
        <v>0</v>
      </c>
      <c r="ED26" s="524">
        <f t="shared" si="154"/>
        <v>0</v>
      </c>
      <c r="EE26" s="522">
        <v>35.22352941176473</v>
      </c>
      <c r="EF26" s="523">
        <f t="shared" si="43"/>
        <v>0.98604583762848463</v>
      </c>
      <c r="EG26" s="524">
        <f t="shared" si="155"/>
        <v>0</v>
      </c>
      <c r="EH26" s="522"/>
      <c r="EI26" s="523">
        <f t="shared" si="44"/>
        <v>0</v>
      </c>
      <c r="EJ26" s="524">
        <f t="shared" si="156"/>
        <v>0</v>
      </c>
      <c r="EK26" s="522">
        <v>43.60465116279056</v>
      </c>
      <c r="EL26" s="523">
        <f t="shared" si="45"/>
        <v>1.2206665685793225</v>
      </c>
      <c r="EM26" s="524">
        <f t="shared" si="157"/>
        <v>0</v>
      </c>
      <c r="EN26" s="522"/>
      <c r="EO26" s="523">
        <f t="shared" si="46"/>
        <v>0</v>
      </c>
      <c r="EP26" s="524">
        <f t="shared" si="158"/>
        <v>0</v>
      </c>
      <c r="EQ26" s="522"/>
      <c r="ER26" s="523">
        <f t="shared" si="47"/>
        <v>0</v>
      </c>
      <c r="ES26" s="524">
        <f t="shared" si="159"/>
        <v>0</v>
      </c>
      <c r="ET26" s="522"/>
      <c r="EU26" s="523">
        <f t="shared" si="48"/>
        <v>0</v>
      </c>
      <c r="EV26" s="524">
        <f t="shared" si="160"/>
        <v>0</v>
      </c>
      <c r="EW26" s="522"/>
      <c r="EX26" s="523">
        <f t="shared" si="49"/>
        <v>0</v>
      </c>
      <c r="EY26" s="524">
        <f t="shared" si="161"/>
        <v>0</v>
      </c>
      <c r="EZ26" s="522"/>
      <c r="FA26" s="523">
        <f t="shared" si="50"/>
        <v>0</v>
      </c>
      <c r="FB26" s="524">
        <f t="shared" si="162"/>
        <v>0</v>
      </c>
      <c r="FC26" s="522"/>
      <c r="FD26" s="523">
        <f t="shared" si="51"/>
        <v>0</v>
      </c>
      <c r="FE26" s="524">
        <f t="shared" si="163"/>
        <v>0</v>
      </c>
      <c r="FF26" s="522"/>
      <c r="FG26" s="523">
        <f t="shared" si="52"/>
        <v>0</v>
      </c>
      <c r="FH26" s="524">
        <f t="shared" si="164"/>
        <v>0</v>
      </c>
      <c r="FI26" s="522"/>
      <c r="FJ26" s="523">
        <f t="shared" si="53"/>
        <v>0</v>
      </c>
      <c r="FK26" s="524">
        <f t="shared" si="165"/>
        <v>0</v>
      </c>
      <c r="FL26" s="522"/>
      <c r="FM26" s="523">
        <f t="shared" si="54"/>
        <v>0</v>
      </c>
      <c r="FN26" s="524">
        <f t="shared" si="166"/>
        <v>0</v>
      </c>
      <c r="FO26" s="522"/>
      <c r="FP26" s="523">
        <f t="shared" si="55"/>
        <v>0</v>
      </c>
      <c r="FQ26" s="524">
        <f t="shared" si="167"/>
        <v>0</v>
      </c>
      <c r="FR26" s="522"/>
      <c r="FS26" s="523">
        <f t="shared" si="56"/>
        <v>0</v>
      </c>
      <c r="FT26" s="524">
        <f t="shared" si="168"/>
        <v>0</v>
      </c>
      <c r="FU26" s="522"/>
      <c r="FV26" s="523">
        <f t="shared" si="57"/>
        <v>0</v>
      </c>
      <c r="FW26" s="524">
        <f t="shared" si="169"/>
        <v>0</v>
      </c>
      <c r="FX26" s="522"/>
      <c r="FY26" s="523">
        <f t="shared" si="58"/>
        <v>0</v>
      </c>
      <c r="FZ26" s="524">
        <f t="shared" si="170"/>
        <v>0</v>
      </c>
      <c r="GA26" s="522"/>
      <c r="GB26" s="523">
        <f t="shared" si="59"/>
        <v>0</v>
      </c>
      <c r="GC26" s="524">
        <f t="shared" si="171"/>
        <v>0</v>
      </c>
      <c r="GD26" s="522"/>
      <c r="GE26" s="523">
        <f t="shared" si="60"/>
        <v>0</v>
      </c>
      <c r="GF26" s="524">
        <f t="shared" si="172"/>
        <v>0</v>
      </c>
      <c r="GG26" s="522"/>
      <c r="GH26" s="523">
        <f t="shared" si="61"/>
        <v>0</v>
      </c>
      <c r="GI26" s="524">
        <f t="shared" si="173"/>
        <v>0</v>
      </c>
      <c r="GJ26" s="522"/>
      <c r="GK26" s="523">
        <f t="shared" si="62"/>
        <v>0</v>
      </c>
      <c r="GL26" s="524">
        <f t="shared" si="174"/>
        <v>0</v>
      </c>
      <c r="GM26" s="522"/>
      <c r="GN26" s="523">
        <f t="shared" si="63"/>
        <v>0</v>
      </c>
      <c r="GO26" s="524">
        <f t="shared" si="175"/>
        <v>0</v>
      </c>
      <c r="GP26" s="522"/>
      <c r="GQ26" s="523">
        <f t="shared" si="64"/>
        <v>0</v>
      </c>
      <c r="GR26" s="524">
        <f t="shared" si="176"/>
        <v>0</v>
      </c>
      <c r="GS26" s="522"/>
      <c r="GT26" s="523">
        <f t="shared" si="65"/>
        <v>0</v>
      </c>
      <c r="GU26" s="524">
        <f t="shared" si="177"/>
        <v>0</v>
      </c>
      <c r="GV26" s="522"/>
      <c r="GW26" s="523">
        <f t="shared" si="66"/>
        <v>0</v>
      </c>
      <c r="GX26" s="524">
        <f t="shared" si="178"/>
        <v>0</v>
      </c>
      <c r="GY26" s="522"/>
      <c r="GZ26" s="523">
        <f t="shared" si="67"/>
        <v>0</v>
      </c>
      <c r="HA26" s="524">
        <f t="shared" si="179"/>
        <v>0</v>
      </c>
      <c r="HB26" s="522"/>
      <c r="HC26" s="523">
        <f t="shared" si="68"/>
        <v>0</v>
      </c>
      <c r="HD26" s="524">
        <f t="shared" si="180"/>
        <v>0</v>
      </c>
      <c r="HE26" s="522"/>
      <c r="HF26" s="523">
        <f t="shared" si="69"/>
        <v>0</v>
      </c>
      <c r="HG26" s="524">
        <f t="shared" si="181"/>
        <v>0</v>
      </c>
      <c r="HH26" s="522"/>
      <c r="HI26" s="523">
        <f t="shared" si="70"/>
        <v>0</v>
      </c>
      <c r="HJ26" s="524">
        <f t="shared" si="182"/>
        <v>0</v>
      </c>
      <c r="HK26" s="522"/>
      <c r="HL26" s="523">
        <f t="shared" si="71"/>
        <v>0</v>
      </c>
      <c r="HM26" s="524">
        <f t="shared" si="183"/>
        <v>0</v>
      </c>
      <c r="HN26" s="522"/>
      <c r="HO26" s="523">
        <f t="shared" si="72"/>
        <v>0</v>
      </c>
      <c r="HP26" s="524">
        <f t="shared" si="184"/>
        <v>0</v>
      </c>
      <c r="HQ26" s="522"/>
      <c r="HR26" s="523">
        <f t="shared" si="73"/>
        <v>0</v>
      </c>
      <c r="HS26" s="524">
        <f t="shared" si="185"/>
        <v>0</v>
      </c>
      <c r="HT26" s="522"/>
      <c r="HU26" s="523">
        <f t="shared" si="74"/>
        <v>0</v>
      </c>
      <c r="HV26" s="524">
        <f t="shared" si="186"/>
        <v>0</v>
      </c>
      <c r="HW26" s="522"/>
      <c r="HX26" s="523">
        <f t="shared" si="75"/>
        <v>0</v>
      </c>
      <c r="HY26" s="524">
        <f t="shared" si="187"/>
        <v>0</v>
      </c>
      <c r="HZ26" s="522"/>
      <c r="IA26" s="523">
        <f t="shared" si="76"/>
        <v>0</v>
      </c>
      <c r="IB26" s="524">
        <f t="shared" si="188"/>
        <v>0</v>
      </c>
      <c r="IC26" s="522"/>
      <c r="ID26" s="523">
        <f t="shared" si="77"/>
        <v>0</v>
      </c>
      <c r="IE26" s="524">
        <f t="shared" si="189"/>
        <v>0</v>
      </c>
      <c r="IF26" s="522"/>
      <c r="IG26" s="523">
        <f t="shared" si="78"/>
        <v>0</v>
      </c>
      <c r="IH26" s="524">
        <f t="shared" si="190"/>
        <v>0</v>
      </c>
      <c r="II26" s="522"/>
      <c r="IJ26" s="523">
        <f t="shared" si="79"/>
        <v>0</v>
      </c>
      <c r="IK26" s="524">
        <f t="shared" si="191"/>
        <v>0</v>
      </c>
      <c r="IL26" s="522"/>
      <c r="IM26" s="523">
        <f t="shared" si="80"/>
        <v>0</v>
      </c>
      <c r="IN26" s="524">
        <f t="shared" si="192"/>
        <v>0</v>
      </c>
      <c r="IO26" s="522"/>
      <c r="IP26" s="523">
        <f t="shared" si="81"/>
        <v>0</v>
      </c>
      <c r="IQ26" s="524">
        <f t="shared" si="193"/>
        <v>0</v>
      </c>
      <c r="IR26" s="522"/>
      <c r="IS26" s="523">
        <f t="shared" si="82"/>
        <v>0</v>
      </c>
      <c r="IT26" s="524">
        <f t="shared" si="194"/>
        <v>0</v>
      </c>
      <c r="IU26" s="522"/>
      <c r="IV26" s="523">
        <f t="shared" si="83"/>
        <v>0</v>
      </c>
      <c r="IW26" s="524">
        <f t="shared" si="195"/>
        <v>0</v>
      </c>
      <c r="IX26" s="522"/>
      <c r="IY26" s="523">
        <f t="shared" si="84"/>
        <v>0</v>
      </c>
      <c r="IZ26" s="524">
        <f t="shared" si="196"/>
        <v>0</v>
      </c>
      <c r="JA26" s="522"/>
      <c r="JB26" s="523">
        <f t="shared" si="85"/>
        <v>0</v>
      </c>
      <c r="JC26" s="524">
        <f t="shared" si="197"/>
        <v>0</v>
      </c>
      <c r="JD26" s="522"/>
      <c r="JE26" s="523">
        <f t="shared" si="86"/>
        <v>0</v>
      </c>
      <c r="JF26" s="524">
        <f t="shared" si="198"/>
        <v>0</v>
      </c>
      <c r="JG26" s="522"/>
      <c r="JH26" s="523">
        <f t="shared" si="87"/>
        <v>0</v>
      </c>
      <c r="JI26" s="524">
        <f t="shared" si="199"/>
        <v>0</v>
      </c>
      <c r="JJ26" s="522"/>
      <c r="JK26" s="524" t="str">
        <f t="shared" si="88"/>
        <v>0</v>
      </c>
      <c r="JL26" s="524" t="str">
        <f t="shared" si="89"/>
        <v>0</v>
      </c>
      <c r="JM26" s="522"/>
      <c r="JN26" s="524" t="str">
        <f t="shared" si="90"/>
        <v>0</v>
      </c>
      <c r="JO26" s="524" t="str">
        <f t="shared" si="91"/>
        <v>0</v>
      </c>
      <c r="JP26" s="522"/>
      <c r="JQ26" s="524" t="str">
        <f t="shared" si="92"/>
        <v>0</v>
      </c>
      <c r="JR26" s="524" t="str">
        <f t="shared" si="93"/>
        <v>0</v>
      </c>
      <c r="JS26" s="522"/>
      <c r="JT26" s="524" t="str">
        <f t="shared" si="94"/>
        <v>0</v>
      </c>
      <c r="JU26" s="524" t="str">
        <f t="shared" si="95"/>
        <v>0</v>
      </c>
      <c r="JV26" s="522"/>
      <c r="JW26" s="524" t="str">
        <f t="shared" si="96"/>
        <v>0</v>
      </c>
      <c r="JX26" s="524" t="str">
        <f t="shared" si="97"/>
        <v>0</v>
      </c>
      <c r="JY26" s="522"/>
      <c r="JZ26" s="524" t="str">
        <f t="shared" si="98"/>
        <v>0</v>
      </c>
      <c r="KA26" s="524" t="str">
        <f t="shared" si="99"/>
        <v>0</v>
      </c>
      <c r="KB26" s="522"/>
      <c r="KC26" s="524" t="str">
        <f t="shared" si="100"/>
        <v>0</v>
      </c>
      <c r="KD26" s="524" t="str">
        <f t="shared" si="101"/>
        <v>0</v>
      </c>
      <c r="KE26" s="522"/>
      <c r="KF26" s="524" t="str">
        <f t="shared" si="102"/>
        <v>0</v>
      </c>
      <c r="KG26" s="524" t="str">
        <f t="shared" si="103"/>
        <v>0</v>
      </c>
      <c r="KH26" s="522"/>
      <c r="KI26" s="524" t="str">
        <f t="shared" si="104"/>
        <v>0</v>
      </c>
      <c r="KJ26" s="524" t="str">
        <f t="shared" si="105"/>
        <v>0</v>
      </c>
      <c r="KK26" s="522"/>
      <c r="KL26" s="524" t="str">
        <f t="shared" si="106"/>
        <v>0</v>
      </c>
      <c r="KM26" s="524" t="str">
        <f t="shared" si="107"/>
        <v>0</v>
      </c>
      <c r="KN26" s="522"/>
      <c r="KO26" s="524" t="str">
        <f t="shared" si="108"/>
        <v>0</v>
      </c>
      <c r="KP26" s="524" t="str">
        <f t="shared" si="109"/>
        <v>0</v>
      </c>
      <c r="KQ26" s="522"/>
      <c r="KR26" s="524" t="str">
        <f t="shared" si="110"/>
        <v>0</v>
      </c>
      <c r="KS26" s="524" t="str">
        <f t="shared" si="111"/>
        <v>0</v>
      </c>
      <c r="KT26" s="524">
        <f t="shared" si="201"/>
        <v>0</v>
      </c>
      <c r="KU26" s="524">
        <f t="shared" si="202"/>
        <v>0</v>
      </c>
      <c r="KV26" s="261">
        <f t="shared" si="204"/>
        <v>463.29508764942528</v>
      </c>
    </row>
    <row r="27" spans="1:308">
      <c r="A27" s="262">
        <f t="shared" si="200"/>
        <v>46010</v>
      </c>
      <c r="B27" s="263" t="str">
        <f>+Report1!B27</f>
        <v>Facial/Toilet</v>
      </c>
      <c r="C27" s="263" t="str">
        <f>+Report1!C27</f>
        <v>11,5/14/13</v>
      </c>
      <c r="D27" s="264">
        <f>+Report1!P27</f>
        <v>39.844999999999999</v>
      </c>
      <c r="E27" s="560">
        <f>+Report1!R27</f>
        <v>37.222000000000001</v>
      </c>
      <c r="F27" s="522"/>
      <c r="G27" s="523">
        <f t="shared" si="0"/>
        <v>0</v>
      </c>
      <c r="H27" s="524">
        <f t="shared" si="113"/>
        <v>0</v>
      </c>
      <c r="I27" s="522">
        <v>104.65116279069764</v>
      </c>
      <c r="J27" s="523">
        <f t="shared" si="1"/>
        <v>2.8115405617832905</v>
      </c>
      <c r="K27" s="524">
        <f t="shared" si="114"/>
        <v>0</v>
      </c>
      <c r="L27" s="522"/>
      <c r="M27" s="523">
        <f t="shared" si="2"/>
        <v>0</v>
      </c>
      <c r="N27" s="524">
        <f t="shared" si="115"/>
        <v>0</v>
      </c>
      <c r="O27" s="522">
        <v>6</v>
      </c>
      <c r="P27" s="523">
        <f t="shared" si="3"/>
        <v>0.16119499220890871</v>
      </c>
      <c r="Q27" s="524">
        <f t="shared" si="116"/>
        <v>0</v>
      </c>
      <c r="R27" s="522"/>
      <c r="S27" s="523">
        <f t="shared" si="4"/>
        <v>0</v>
      </c>
      <c r="T27" s="524">
        <f t="shared" si="117"/>
        <v>0</v>
      </c>
      <c r="U27" s="522">
        <v>5.1250000000000568</v>
      </c>
      <c r="V27" s="523">
        <f t="shared" si="5"/>
        <v>0.13768738917844439</v>
      </c>
      <c r="W27" s="524">
        <f t="shared" si="118"/>
        <v>0</v>
      </c>
      <c r="X27" s="522"/>
      <c r="Y27" s="523">
        <f t="shared" si="6"/>
        <v>0</v>
      </c>
      <c r="Z27" s="524">
        <f t="shared" si="119"/>
        <v>0</v>
      </c>
      <c r="AA27" s="522">
        <v>15.625000000000014</v>
      </c>
      <c r="AB27" s="523">
        <f t="shared" si="7"/>
        <v>0.41977862554403345</v>
      </c>
      <c r="AC27" s="524">
        <f t="shared" si="120"/>
        <v>0</v>
      </c>
      <c r="AD27" s="522"/>
      <c r="AE27" s="523">
        <f t="shared" si="8"/>
        <v>0</v>
      </c>
      <c r="AF27" s="524">
        <f t="shared" si="121"/>
        <v>0</v>
      </c>
      <c r="AG27" s="522"/>
      <c r="AH27" s="523">
        <f t="shared" si="9"/>
        <v>0</v>
      </c>
      <c r="AI27" s="524">
        <f t="shared" si="122"/>
        <v>0</v>
      </c>
      <c r="AJ27" s="522"/>
      <c r="AK27" s="523">
        <f t="shared" si="10"/>
        <v>0</v>
      </c>
      <c r="AL27" s="524">
        <f t="shared" si="123"/>
        <v>0</v>
      </c>
      <c r="AM27" s="522"/>
      <c r="AN27" s="523">
        <f t="shared" si="11"/>
        <v>0</v>
      </c>
      <c r="AO27" s="524">
        <f t="shared" si="124"/>
        <v>0</v>
      </c>
      <c r="AP27" s="522">
        <v>48.417721518987321</v>
      </c>
      <c r="AQ27" s="523">
        <f t="shared" si="12"/>
        <v>1.300782373837712</v>
      </c>
      <c r="AR27" s="524">
        <f t="shared" si="125"/>
        <v>0</v>
      </c>
      <c r="AS27" s="522"/>
      <c r="AT27" s="523">
        <f t="shared" si="13"/>
        <v>0</v>
      </c>
      <c r="AU27" s="524">
        <f t="shared" si="126"/>
        <v>0</v>
      </c>
      <c r="AV27" s="522"/>
      <c r="AW27" s="523">
        <f t="shared" si="14"/>
        <v>0</v>
      </c>
      <c r="AX27" s="524">
        <f t="shared" si="127"/>
        <v>0</v>
      </c>
      <c r="AY27" s="522">
        <v>51.333333333333314</v>
      </c>
      <c r="AZ27" s="523">
        <f t="shared" si="15"/>
        <v>1.3791127111206629</v>
      </c>
      <c r="BA27" s="524">
        <f t="shared" si="128"/>
        <v>0</v>
      </c>
      <c r="BB27" s="522"/>
      <c r="BC27" s="523">
        <f t="shared" si="16"/>
        <v>0</v>
      </c>
      <c r="BD27" s="524">
        <f t="shared" si="129"/>
        <v>0</v>
      </c>
      <c r="BE27" s="522"/>
      <c r="BF27" s="523">
        <f t="shared" si="17"/>
        <v>0</v>
      </c>
      <c r="BG27" s="524">
        <f t="shared" si="130"/>
        <v>0</v>
      </c>
      <c r="BH27" s="522"/>
      <c r="BI27" s="523">
        <f t="shared" si="18"/>
        <v>0</v>
      </c>
      <c r="BJ27" s="524">
        <f t="shared" si="131"/>
        <v>0</v>
      </c>
      <c r="BK27" s="522"/>
      <c r="BL27" s="523">
        <f t="shared" si="19"/>
        <v>0</v>
      </c>
      <c r="BM27" s="524">
        <f t="shared" si="132"/>
        <v>0</v>
      </c>
      <c r="BN27" s="522"/>
      <c r="BO27" s="523">
        <f t="shared" si="20"/>
        <v>0</v>
      </c>
      <c r="BP27" s="524">
        <f t="shared" si="133"/>
        <v>0</v>
      </c>
      <c r="BQ27" s="522"/>
      <c r="BR27" s="523">
        <f t="shared" si="21"/>
        <v>0</v>
      </c>
      <c r="BS27" s="524">
        <f t="shared" si="134"/>
        <v>0</v>
      </c>
      <c r="BT27" s="522"/>
      <c r="BU27" s="523">
        <f t="shared" si="22"/>
        <v>0</v>
      </c>
      <c r="BV27" s="524">
        <f t="shared" si="135"/>
        <v>0</v>
      </c>
      <c r="BW27" s="522"/>
      <c r="BX27" s="523">
        <f t="shared" si="23"/>
        <v>0</v>
      </c>
      <c r="BY27" s="524">
        <f t="shared" si="136"/>
        <v>0</v>
      </c>
      <c r="BZ27" s="522"/>
      <c r="CA27" s="523">
        <f t="shared" si="24"/>
        <v>0</v>
      </c>
      <c r="CB27" s="524">
        <f t="shared" si="137"/>
        <v>0</v>
      </c>
      <c r="CC27" s="522"/>
      <c r="CD27" s="523">
        <f t="shared" si="25"/>
        <v>0</v>
      </c>
      <c r="CE27" s="524">
        <f t="shared" si="138"/>
        <v>0</v>
      </c>
      <c r="CF27" s="522">
        <v>1</v>
      </c>
      <c r="CG27" s="523">
        <f t="shared" si="26"/>
        <v>2.6865832034818116E-2</v>
      </c>
      <c r="CH27" s="524">
        <f t="shared" si="139"/>
        <v>0</v>
      </c>
      <c r="CI27" s="522"/>
      <c r="CJ27" s="523">
        <f t="shared" si="27"/>
        <v>0</v>
      </c>
      <c r="CK27" s="524">
        <f t="shared" si="140"/>
        <v>0</v>
      </c>
      <c r="CL27" s="522"/>
      <c r="CM27" s="523">
        <f t="shared" si="28"/>
        <v>0</v>
      </c>
      <c r="CN27" s="524">
        <f t="shared" si="141"/>
        <v>0</v>
      </c>
      <c r="CO27" s="522"/>
      <c r="CP27" s="523">
        <f t="shared" si="29"/>
        <v>0</v>
      </c>
      <c r="CQ27" s="524">
        <f t="shared" si="142"/>
        <v>0</v>
      </c>
      <c r="CR27" s="522"/>
      <c r="CS27" s="523">
        <f t="shared" si="30"/>
        <v>0</v>
      </c>
      <c r="CT27" s="524">
        <f t="shared" si="143"/>
        <v>0</v>
      </c>
      <c r="CU27" s="522"/>
      <c r="CV27" s="523">
        <f t="shared" si="31"/>
        <v>0</v>
      </c>
      <c r="CW27" s="524">
        <f t="shared" si="144"/>
        <v>0</v>
      </c>
      <c r="CX27" s="522"/>
      <c r="CY27" s="523">
        <f t="shared" si="32"/>
        <v>0</v>
      </c>
      <c r="CZ27" s="524">
        <f t="shared" si="145"/>
        <v>0</v>
      </c>
      <c r="DA27" s="522"/>
      <c r="DB27" s="523">
        <f t="shared" si="33"/>
        <v>0</v>
      </c>
      <c r="DC27" s="524">
        <f t="shared" si="146"/>
        <v>0</v>
      </c>
      <c r="DD27" s="522"/>
      <c r="DE27" s="523">
        <f t="shared" si="34"/>
        <v>0</v>
      </c>
      <c r="DF27" s="524">
        <f t="shared" si="147"/>
        <v>0</v>
      </c>
      <c r="DG27" s="522"/>
      <c r="DH27" s="523">
        <f t="shared" si="35"/>
        <v>0</v>
      </c>
      <c r="DI27" s="524">
        <f t="shared" si="203"/>
        <v>0</v>
      </c>
      <c r="DJ27" s="522"/>
      <c r="DK27" s="523">
        <f t="shared" si="36"/>
        <v>0</v>
      </c>
      <c r="DL27" s="524">
        <f t="shared" si="148"/>
        <v>0</v>
      </c>
      <c r="DM27" s="522"/>
      <c r="DN27" s="523">
        <f t="shared" si="37"/>
        <v>0</v>
      </c>
      <c r="DO27" s="524">
        <f t="shared" si="149"/>
        <v>0</v>
      </c>
      <c r="DP27" s="522"/>
      <c r="DQ27" s="523">
        <f t="shared" si="38"/>
        <v>0</v>
      </c>
      <c r="DR27" s="524">
        <f t="shared" si="150"/>
        <v>0</v>
      </c>
      <c r="DS27" s="522"/>
      <c r="DT27" s="523">
        <f t="shared" si="39"/>
        <v>0</v>
      </c>
      <c r="DU27" s="524">
        <f t="shared" si="151"/>
        <v>0</v>
      </c>
      <c r="DV27" s="522"/>
      <c r="DW27" s="523">
        <f t="shared" si="40"/>
        <v>0</v>
      </c>
      <c r="DX27" s="524">
        <f t="shared" si="152"/>
        <v>0</v>
      </c>
      <c r="DY27" s="522"/>
      <c r="DZ27" s="523">
        <f t="shared" si="41"/>
        <v>0</v>
      </c>
      <c r="EA27" s="524">
        <f t="shared" si="153"/>
        <v>0</v>
      </c>
      <c r="EB27" s="522"/>
      <c r="EC27" s="523">
        <f t="shared" si="42"/>
        <v>0</v>
      </c>
      <c r="ED27" s="524">
        <f t="shared" si="154"/>
        <v>0</v>
      </c>
      <c r="EE27" s="522">
        <v>58.705882352940989</v>
      </c>
      <c r="EF27" s="523">
        <f t="shared" si="43"/>
        <v>1.5771823747499056</v>
      </c>
      <c r="EG27" s="524">
        <f t="shared" si="155"/>
        <v>0</v>
      </c>
      <c r="EH27" s="522"/>
      <c r="EI27" s="523">
        <f t="shared" si="44"/>
        <v>0</v>
      </c>
      <c r="EJ27" s="524">
        <f t="shared" si="156"/>
        <v>0</v>
      </c>
      <c r="EK27" s="522">
        <v>72.674418604651237</v>
      </c>
      <c r="EL27" s="523">
        <f t="shared" si="45"/>
        <v>1.952458723460621</v>
      </c>
      <c r="EM27" s="524">
        <f t="shared" si="157"/>
        <v>0</v>
      </c>
      <c r="EN27" s="522"/>
      <c r="EO27" s="523">
        <f t="shared" si="46"/>
        <v>0</v>
      </c>
      <c r="EP27" s="524">
        <f t="shared" si="158"/>
        <v>0</v>
      </c>
      <c r="EQ27" s="522"/>
      <c r="ER27" s="523">
        <f t="shared" si="47"/>
        <v>0</v>
      </c>
      <c r="ES27" s="524">
        <f t="shared" si="159"/>
        <v>0</v>
      </c>
      <c r="ET27" s="522"/>
      <c r="EU27" s="523">
        <f t="shared" si="48"/>
        <v>0</v>
      </c>
      <c r="EV27" s="524">
        <f t="shared" si="160"/>
        <v>0</v>
      </c>
      <c r="EW27" s="522"/>
      <c r="EX27" s="523">
        <f t="shared" si="49"/>
        <v>0</v>
      </c>
      <c r="EY27" s="524">
        <f t="shared" si="161"/>
        <v>0</v>
      </c>
      <c r="EZ27" s="522"/>
      <c r="FA27" s="523">
        <f t="shared" si="50"/>
        <v>0</v>
      </c>
      <c r="FB27" s="524">
        <f t="shared" si="162"/>
        <v>0</v>
      </c>
      <c r="FC27" s="522"/>
      <c r="FD27" s="523">
        <f t="shared" si="51"/>
        <v>0</v>
      </c>
      <c r="FE27" s="524">
        <f t="shared" si="163"/>
        <v>0</v>
      </c>
      <c r="FF27" s="522"/>
      <c r="FG27" s="523">
        <f t="shared" si="52"/>
        <v>0</v>
      </c>
      <c r="FH27" s="524">
        <f t="shared" si="164"/>
        <v>0</v>
      </c>
      <c r="FI27" s="522"/>
      <c r="FJ27" s="523">
        <f t="shared" si="53"/>
        <v>0</v>
      </c>
      <c r="FK27" s="524">
        <f t="shared" si="165"/>
        <v>0</v>
      </c>
      <c r="FL27" s="522"/>
      <c r="FM27" s="523">
        <f t="shared" si="54"/>
        <v>0</v>
      </c>
      <c r="FN27" s="524">
        <f t="shared" si="166"/>
        <v>0</v>
      </c>
      <c r="FO27" s="522"/>
      <c r="FP27" s="523">
        <f t="shared" si="55"/>
        <v>0</v>
      </c>
      <c r="FQ27" s="524">
        <f t="shared" si="167"/>
        <v>0</v>
      </c>
      <c r="FR27" s="522"/>
      <c r="FS27" s="523">
        <f t="shared" si="56"/>
        <v>0</v>
      </c>
      <c r="FT27" s="524">
        <f t="shared" si="168"/>
        <v>0</v>
      </c>
      <c r="FU27" s="522"/>
      <c r="FV27" s="523">
        <f t="shared" si="57"/>
        <v>0</v>
      </c>
      <c r="FW27" s="524">
        <f t="shared" si="169"/>
        <v>0</v>
      </c>
      <c r="FX27" s="522"/>
      <c r="FY27" s="523">
        <f t="shared" si="58"/>
        <v>0</v>
      </c>
      <c r="FZ27" s="524">
        <f t="shared" si="170"/>
        <v>0</v>
      </c>
      <c r="GA27" s="522"/>
      <c r="GB27" s="523">
        <f t="shared" si="59"/>
        <v>0</v>
      </c>
      <c r="GC27" s="524">
        <f t="shared" si="171"/>
        <v>0</v>
      </c>
      <c r="GD27" s="522"/>
      <c r="GE27" s="523">
        <f t="shared" si="60"/>
        <v>0</v>
      </c>
      <c r="GF27" s="524">
        <f t="shared" si="172"/>
        <v>0</v>
      </c>
      <c r="GG27" s="522"/>
      <c r="GH27" s="523">
        <f t="shared" si="61"/>
        <v>0</v>
      </c>
      <c r="GI27" s="524">
        <f t="shared" si="173"/>
        <v>0</v>
      </c>
      <c r="GJ27" s="522"/>
      <c r="GK27" s="523">
        <f t="shared" si="62"/>
        <v>0</v>
      </c>
      <c r="GL27" s="524">
        <f t="shared" si="174"/>
        <v>0</v>
      </c>
      <c r="GM27" s="522"/>
      <c r="GN27" s="523">
        <f t="shared" si="63"/>
        <v>0</v>
      </c>
      <c r="GO27" s="524">
        <f t="shared" si="175"/>
        <v>0</v>
      </c>
      <c r="GP27" s="522"/>
      <c r="GQ27" s="523">
        <f t="shared" si="64"/>
        <v>0</v>
      </c>
      <c r="GR27" s="524">
        <f t="shared" si="176"/>
        <v>0</v>
      </c>
      <c r="GS27" s="522"/>
      <c r="GT27" s="523">
        <f t="shared" si="65"/>
        <v>0</v>
      </c>
      <c r="GU27" s="524">
        <f t="shared" si="177"/>
        <v>0</v>
      </c>
      <c r="GV27" s="522"/>
      <c r="GW27" s="523">
        <f t="shared" si="66"/>
        <v>0</v>
      </c>
      <c r="GX27" s="524">
        <f t="shared" si="178"/>
        <v>0</v>
      </c>
      <c r="GY27" s="522"/>
      <c r="GZ27" s="523">
        <f t="shared" si="67"/>
        <v>0</v>
      </c>
      <c r="HA27" s="524">
        <f t="shared" si="179"/>
        <v>0</v>
      </c>
      <c r="HB27" s="522"/>
      <c r="HC27" s="523">
        <f t="shared" si="68"/>
        <v>0</v>
      </c>
      <c r="HD27" s="524">
        <f t="shared" si="180"/>
        <v>0</v>
      </c>
      <c r="HE27" s="522"/>
      <c r="HF27" s="523">
        <f t="shared" si="69"/>
        <v>0</v>
      </c>
      <c r="HG27" s="524">
        <f t="shared" si="181"/>
        <v>0</v>
      </c>
      <c r="HH27" s="522"/>
      <c r="HI27" s="523">
        <f t="shared" si="70"/>
        <v>0</v>
      </c>
      <c r="HJ27" s="524">
        <f t="shared" si="182"/>
        <v>0</v>
      </c>
      <c r="HK27" s="522"/>
      <c r="HL27" s="523">
        <f t="shared" si="71"/>
        <v>0</v>
      </c>
      <c r="HM27" s="524">
        <f t="shared" si="183"/>
        <v>0</v>
      </c>
      <c r="HN27" s="522"/>
      <c r="HO27" s="523">
        <f t="shared" si="72"/>
        <v>0</v>
      </c>
      <c r="HP27" s="524">
        <f t="shared" si="184"/>
        <v>0</v>
      </c>
      <c r="HQ27" s="522"/>
      <c r="HR27" s="523">
        <f t="shared" si="73"/>
        <v>0</v>
      </c>
      <c r="HS27" s="524">
        <f t="shared" si="185"/>
        <v>0</v>
      </c>
      <c r="HT27" s="522"/>
      <c r="HU27" s="523">
        <f t="shared" si="74"/>
        <v>0</v>
      </c>
      <c r="HV27" s="524">
        <f t="shared" si="186"/>
        <v>0</v>
      </c>
      <c r="HW27" s="522"/>
      <c r="HX27" s="523">
        <f t="shared" si="75"/>
        <v>0</v>
      </c>
      <c r="HY27" s="524">
        <f t="shared" si="187"/>
        <v>0</v>
      </c>
      <c r="HZ27" s="522"/>
      <c r="IA27" s="523">
        <f t="shared" si="76"/>
        <v>0</v>
      </c>
      <c r="IB27" s="524">
        <f t="shared" si="188"/>
        <v>0</v>
      </c>
      <c r="IC27" s="522"/>
      <c r="ID27" s="523">
        <f t="shared" si="77"/>
        <v>0</v>
      </c>
      <c r="IE27" s="524">
        <f t="shared" si="189"/>
        <v>0</v>
      </c>
      <c r="IF27" s="522"/>
      <c r="IG27" s="523">
        <f t="shared" si="78"/>
        <v>0</v>
      </c>
      <c r="IH27" s="524">
        <f t="shared" si="190"/>
        <v>0</v>
      </c>
      <c r="II27" s="522"/>
      <c r="IJ27" s="523">
        <f t="shared" si="79"/>
        <v>0</v>
      </c>
      <c r="IK27" s="524">
        <f t="shared" si="191"/>
        <v>0</v>
      </c>
      <c r="IL27" s="522"/>
      <c r="IM27" s="523">
        <f t="shared" si="80"/>
        <v>0</v>
      </c>
      <c r="IN27" s="524">
        <f t="shared" si="192"/>
        <v>0</v>
      </c>
      <c r="IO27" s="522"/>
      <c r="IP27" s="523">
        <f t="shared" si="81"/>
        <v>0</v>
      </c>
      <c r="IQ27" s="524">
        <f t="shared" si="193"/>
        <v>0</v>
      </c>
      <c r="IR27" s="522"/>
      <c r="IS27" s="523">
        <f t="shared" si="82"/>
        <v>0</v>
      </c>
      <c r="IT27" s="524">
        <f t="shared" si="194"/>
        <v>0</v>
      </c>
      <c r="IU27" s="522"/>
      <c r="IV27" s="523">
        <f t="shared" si="83"/>
        <v>0</v>
      </c>
      <c r="IW27" s="524">
        <f t="shared" si="195"/>
        <v>0</v>
      </c>
      <c r="IX27" s="522"/>
      <c r="IY27" s="523">
        <f t="shared" si="84"/>
        <v>0</v>
      </c>
      <c r="IZ27" s="524">
        <f t="shared" si="196"/>
        <v>0</v>
      </c>
      <c r="JA27" s="522"/>
      <c r="JB27" s="523">
        <f t="shared" si="85"/>
        <v>0</v>
      </c>
      <c r="JC27" s="524">
        <f t="shared" si="197"/>
        <v>0</v>
      </c>
      <c r="JD27" s="522"/>
      <c r="JE27" s="523">
        <f t="shared" si="86"/>
        <v>0</v>
      </c>
      <c r="JF27" s="524">
        <f t="shared" si="198"/>
        <v>0</v>
      </c>
      <c r="JG27" s="522"/>
      <c r="JH27" s="523">
        <f t="shared" si="87"/>
        <v>0</v>
      </c>
      <c r="JI27" s="524">
        <f t="shared" si="199"/>
        <v>0</v>
      </c>
      <c r="JJ27" s="522"/>
      <c r="JK27" s="524" t="str">
        <f t="shared" si="88"/>
        <v>0</v>
      </c>
      <c r="JL27" s="524" t="str">
        <f t="shared" si="89"/>
        <v>0</v>
      </c>
      <c r="JM27" s="522"/>
      <c r="JN27" s="524" t="str">
        <f t="shared" si="90"/>
        <v>0</v>
      </c>
      <c r="JO27" s="524" t="str">
        <f t="shared" si="91"/>
        <v>0</v>
      </c>
      <c r="JP27" s="522"/>
      <c r="JQ27" s="524" t="str">
        <f t="shared" si="92"/>
        <v>0</v>
      </c>
      <c r="JR27" s="524" t="str">
        <f t="shared" si="93"/>
        <v>0</v>
      </c>
      <c r="JS27" s="522"/>
      <c r="JT27" s="524" t="str">
        <f t="shared" si="94"/>
        <v>0</v>
      </c>
      <c r="JU27" s="524" t="str">
        <f t="shared" si="95"/>
        <v>0</v>
      </c>
      <c r="JV27" s="522"/>
      <c r="JW27" s="524" t="str">
        <f t="shared" si="96"/>
        <v>0</v>
      </c>
      <c r="JX27" s="524" t="str">
        <f t="shared" si="97"/>
        <v>0</v>
      </c>
      <c r="JY27" s="522"/>
      <c r="JZ27" s="524" t="str">
        <f t="shared" si="98"/>
        <v>0</v>
      </c>
      <c r="KA27" s="524" t="str">
        <f t="shared" si="99"/>
        <v>0</v>
      </c>
      <c r="KB27" s="522"/>
      <c r="KC27" s="524" t="str">
        <f t="shared" si="100"/>
        <v>0</v>
      </c>
      <c r="KD27" s="524" t="str">
        <f t="shared" si="101"/>
        <v>0</v>
      </c>
      <c r="KE27" s="522"/>
      <c r="KF27" s="524" t="str">
        <f t="shared" si="102"/>
        <v>0</v>
      </c>
      <c r="KG27" s="524" t="str">
        <f t="shared" si="103"/>
        <v>0</v>
      </c>
      <c r="KH27" s="522"/>
      <c r="KI27" s="524" t="str">
        <f t="shared" si="104"/>
        <v>0</v>
      </c>
      <c r="KJ27" s="524" t="str">
        <f t="shared" si="105"/>
        <v>0</v>
      </c>
      <c r="KK27" s="522"/>
      <c r="KL27" s="524" t="str">
        <f t="shared" si="106"/>
        <v>0</v>
      </c>
      <c r="KM27" s="524" t="str">
        <f t="shared" si="107"/>
        <v>0</v>
      </c>
      <c r="KN27" s="522"/>
      <c r="KO27" s="524" t="str">
        <f t="shared" si="108"/>
        <v>0</v>
      </c>
      <c r="KP27" s="524" t="str">
        <f t="shared" si="109"/>
        <v>0</v>
      </c>
      <c r="KQ27" s="522"/>
      <c r="KR27" s="524" t="str">
        <f t="shared" si="110"/>
        <v>0</v>
      </c>
      <c r="KS27" s="524" t="str">
        <f t="shared" si="111"/>
        <v>0</v>
      </c>
      <c r="KT27" s="524">
        <f t="shared" si="201"/>
        <v>0</v>
      </c>
      <c r="KU27" s="524">
        <f t="shared" si="202"/>
        <v>0</v>
      </c>
      <c r="KV27" s="261">
        <f t="shared" si="204"/>
        <v>363.53251860061056</v>
      </c>
    </row>
    <row r="28" spans="1:308">
      <c r="A28" s="262">
        <f t="shared" si="200"/>
        <v>46011</v>
      </c>
      <c r="B28" s="263" t="str">
        <f>+Report1!B28</f>
        <v>Toilet</v>
      </c>
      <c r="C28" s="263" t="str">
        <f>+Report1!C28</f>
        <v>13</v>
      </c>
      <c r="D28" s="264">
        <f>+Report1!P28</f>
        <v>40.629000000000005</v>
      </c>
      <c r="E28" s="560">
        <f>+Report1!R28</f>
        <v>39.682000000000002</v>
      </c>
      <c r="F28" s="522"/>
      <c r="G28" s="523">
        <f t="shared" si="0"/>
        <v>0</v>
      </c>
      <c r="H28" s="524">
        <f t="shared" si="113"/>
        <v>0</v>
      </c>
      <c r="I28" s="522"/>
      <c r="J28" s="523">
        <f t="shared" si="1"/>
        <v>0</v>
      </c>
      <c r="K28" s="524">
        <f t="shared" si="114"/>
        <v>0</v>
      </c>
      <c r="L28" s="522"/>
      <c r="M28" s="523">
        <f t="shared" si="2"/>
        <v>0</v>
      </c>
      <c r="N28" s="524">
        <f t="shared" si="115"/>
        <v>0</v>
      </c>
      <c r="O28" s="522">
        <v>3.0824000000000069</v>
      </c>
      <c r="P28" s="523">
        <f t="shared" si="3"/>
        <v>7.7677536414495402E-2</v>
      </c>
      <c r="Q28" s="524">
        <f t="shared" si="116"/>
        <v>0</v>
      </c>
      <c r="R28" s="522"/>
      <c r="S28" s="523">
        <f t="shared" si="4"/>
        <v>0</v>
      </c>
      <c r="T28" s="524">
        <f t="shared" si="117"/>
        <v>0</v>
      </c>
      <c r="U28" s="522">
        <v>5.2597000000000094</v>
      </c>
      <c r="V28" s="523">
        <f t="shared" si="5"/>
        <v>0.13254624262889997</v>
      </c>
      <c r="W28" s="524">
        <f t="shared" si="118"/>
        <v>0</v>
      </c>
      <c r="X28" s="522"/>
      <c r="Y28" s="523">
        <f t="shared" si="6"/>
        <v>0</v>
      </c>
      <c r="Z28" s="524">
        <f t="shared" si="119"/>
        <v>0</v>
      </c>
      <c r="AA28" s="522">
        <v>16.034299999999988</v>
      </c>
      <c r="AB28" s="523">
        <f t="shared" si="7"/>
        <v>0.40406985535003243</v>
      </c>
      <c r="AC28" s="524">
        <f t="shared" si="120"/>
        <v>0</v>
      </c>
      <c r="AD28" s="522"/>
      <c r="AE28" s="523">
        <f t="shared" si="8"/>
        <v>0</v>
      </c>
      <c r="AF28" s="524">
        <f t="shared" si="121"/>
        <v>0</v>
      </c>
      <c r="AG28" s="522"/>
      <c r="AH28" s="523">
        <f t="shared" si="9"/>
        <v>0</v>
      </c>
      <c r="AI28" s="524">
        <f t="shared" si="122"/>
        <v>0</v>
      </c>
      <c r="AJ28" s="522"/>
      <c r="AK28" s="523">
        <f t="shared" si="10"/>
        <v>0</v>
      </c>
      <c r="AL28" s="524">
        <f t="shared" si="123"/>
        <v>0</v>
      </c>
      <c r="AM28" s="522"/>
      <c r="AN28" s="523">
        <f t="shared" si="11"/>
        <v>0</v>
      </c>
      <c r="AO28" s="524">
        <f t="shared" si="124"/>
        <v>0</v>
      </c>
      <c r="AP28" s="522">
        <v>42.36881898734174</v>
      </c>
      <c r="AQ28" s="523">
        <f t="shared" si="12"/>
        <v>1.0677087593201386</v>
      </c>
      <c r="AR28" s="524">
        <f t="shared" si="125"/>
        <v>0</v>
      </c>
      <c r="AS28" s="522"/>
      <c r="AT28" s="523">
        <f t="shared" si="13"/>
        <v>0</v>
      </c>
      <c r="AU28" s="524">
        <f t="shared" si="126"/>
        <v>0</v>
      </c>
      <c r="AV28" s="522"/>
      <c r="AW28" s="523">
        <f t="shared" si="14"/>
        <v>0</v>
      </c>
      <c r="AX28" s="524">
        <f t="shared" si="127"/>
        <v>0</v>
      </c>
      <c r="AY28" s="522">
        <v>50.277199999999993</v>
      </c>
      <c r="AZ28" s="523">
        <f t="shared" si="15"/>
        <v>1.2670026712363285</v>
      </c>
      <c r="BA28" s="524">
        <f t="shared" si="128"/>
        <v>0</v>
      </c>
      <c r="BB28" s="522"/>
      <c r="BC28" s="523">
        <f t="shared" si="16"/>
        <v>0</v>
      </c>
      <c r="BD28" s="524">
        <f t="shared" si="129"/>
        <v>0</v>
      </c>
      <c r="BE28" s="522"/>
      <c r="BF28" s="523">
        <f t="shared" si="17"/>
        <v>0</v>
      </c>
      <c r="BG28" s="524">
        <f t="shared" si="130"/>
        <v>0</v>
      </c>
      <c r="BH28" s="522"/>
      <c r="BI28" s="523">
        <f t="shared" si="18"/>
        <v>0</v>
      </c>
      <c r="BJ28" s="524">
        <f t="shared" si="131"/>
        <v>0</v>
      </c>
      <c r="BK28" s="522"/>
      <c r="BL28" s="523">
        <f t="shared" si="19"/>
        <v>0</v>
      </c>
      <c r="BM28" s="524">
        <f t="shared" si="132"/>
        <v>0</v>
      </c>
      <c r="BN28" s="522"/>
      <c r="BO28" s="523">
        <f t="shared" si="20"/>
        <v>0</v>
      </c>
      <c r="BP28" s="524">
        <f t="shared" si="133"/>
        <v>0</v>
      </c>
      <c r="BQ28" s="522"/>
      <c r="BR28" s="523">
        <f t="shared" si="21"/>
        <v>0</v>
      </c>
      <c r="BS28" s="524">
        <f t="shared" si="134"/>
        <v>0</v>
      </c>
      <c r="BT28" s="522"/>
      <c r="BU28" s="523">
        <f t="shared" si="22"/>
        <v>0</v>
      </c>
      <c r="BV28" s="524">
        <f t="shared" si="135"/>
        <v>0</v>
      </c>
      <c r="BW28" s="522"/>
      <c r="BX28" s="523">
        <f t="shared" si="23"/>
        <v>0</v>
      </c>
      <c r="BY28" s="524">
        <f t="shared" si="136"/>
        <v>0</v>
      </c>
      <c r="BZ28" s="522"/>
      <c r="CA28" s="523">
        <f t="shared" si="24"/>
        <v>0</v>
      </c>
      <c r="CB28" s="524">
        <f t="shared" si="137"/>
        <v>0</v>
      </c>
      <c r="CC28" s="522"/>
      <c r="CD28" s="523">
        <f t="shared" si="25"/>
        <v>0</v>
      </c>
      <c r="CE28" s="524">
        <f t="shared" si="138"/>
        <v>0</v>
      </c>
      <c r="CF28" s="522">
        <v>1</v>
      </c>
      <c r="CG28" s="523">
        <f t="shared" si="26"/>
        <v>2.5200342724661054E-2</v>
      </c>
      <c r="CH28" s="524">
        <f t="shared" si="139"/>
        <v>0</v>
      </c>
      <c r="CI28" s="522"/>
      <c r="CJ28" s="523">
        <f t="shared" si="27"/>
        <v>0</v>
      </c>
      <c r="CK28" s="524">
        <f t="shared" si="140"/>
        <v>0</v>
      </c>
      <c r="CL28" s="522"/>
      <c r="CM28" s="523">
        <f t="shared" si="28"/>
        <v>0</v>
      </c>
      <c r="CN28" s="524">
        <f t="shared" si="141"/>
        <v>0</v>
      </c>
      <c r="CO28" s="522"/>
      <c r="CP28" s="523">
        <f t="shared" si="29"/>
        <v>0</v>
      </c>
      <c r="CQ28" s="524">
        <f t="shared" si="142"/>
        <v>0</v>
      </c>
      <c r="CR28" s="522"/>
      <c r="CS28" s="523">
        <f t="shared" si="30"/>
        <v>0</v>
      </c>
      <c r="CT28" s="524">
        <f t="shared" si="143"/>
        <v>0</v>
      </c>
      <c r="CU28" s="522"/>
      <c r="CV28" s="523">
        <f t="shared" si="31"/>
        <v>0</v>
      </c>
      <c r="CW28" s="524">
        <f t="shared" si="144"/>
        <v>0</v>
      </c>
      <c r="CX28" s="522"/>
      <c r="CY28" s="523">
        <f t="shared" si="32"/>
        <v>0</v>
      </c>
      <c r="CZ28" s="524">
        <f t="shared" si="145"/>
        <v>0</v>
      </c>
      <c r="DA28" s="522">
        <v>171.5114418604652</v>
      </c>
      <c r="DB28" s="523">
        <f t="shared" si="33"/>
        <v>4.3221471160845013</v>
      </c>
      <c r="DC28" s="524">
        <f t="shared" si="146"/>
        <v>0</v>
      </c>
      <c r="DD28" s="522"/>
      <c r="DE28" s="523">
        <f t="shared" si="34"/>
        <v>0</v>
      </c>
      <c r="DF28" s="524">
        <f t="shared" si="147"/>
        <v>0</v>
      </c>
      <c r="DG28" s="522"/>
      <c r="DH28" s="523">
        <f t="shared" si="35"/>
        <v>0</v>
      </c>
      <c r="DI28" s="524">
        <f t="shared" si="203"/>
        <v>0</v>
      </c>
      <c r="DJ28" s="522"/>
      <c r="DK28" s="523">
        <f t="shared" si="36"/>
        <v>0</v>
      </c>
      <c r="DL28" s="524">
        <f t="shared" si="148"/>
        <v>0</v>
      </c>
      <c r="DM28" s="522"/>
      <c r="DN28" s="523">
        <f t="shared" si="37"/>
        <v>0</v>
      </c>
      <c r="DO28" s="524">
        <f t="shared" si="149"/>
        <v>0</v>
      </c>
      <c r="DP28" s="522"/>
      <c r="DQ28" s="523">
        <f t="shared" si="38"/>
        <v>0</v>
      </c>
      <c r="DR28" s="524">
        <f t="shared" si="150"/>
        <v>0</v>
      </c>
      <c r="DS28" s="522"/>
      <c r="DT28" s="523">
        <f t="shared" si="39"/>
        <v>0</v>
      </c>
      <c r="DU28" s="524">
        <f t="shared" si="151"/>
        <v>0</v>
      </c>
      <c r="DV28" s="522"/>
      <c r="DW28" s="523">
        <f t="shared" si="40"/>
        <v>0</v>
      </c>
      <c r="DX28" s="524">
        <f t="shared" si="152"/>
        <v>0</v>
      </c>
      <c r="DY28" s="522"/>
      <c r="DZ28" s="523">
        <f t="shared" si="41"/>
        <v>0</v>
      </c>
      <c r="EA28" s="524">
        <f t="shared" si="153"/>
        <v>0</v>
      </c>
      <c r="EB28" s="522"/>
      <c r="EC28" s="523">
        <f t="shared" si="42"/>
        <v>0</v>
      </c>
      <c r="ED28" s="524">
        <f t="shared" si="154"/>
        <v>0</v>
      </c>
      <c r="EE28" s="522">
        <v>48.19294117647064</v>
      </c>
      <c r="EF28" s="523">
        <f t="shared" si="43"/>
        <v>1.21447863455649</v>
      </c>
      <c r="EG28" s="524">
        <f t="shared" si="155"/>
        <v>0</v>
      </c>
      <c r="EH28" s="522"/>
      <c r="EI28" s="523">
        <f t="shared" si="44"/>
        <v>0</v>
      </c>
      <c r="EJ28" s="524">
        <f t="shared" si="156"/>
        <v>0</v>
      </c>
      <c r="EK28" s="522">
        <v>96.936093023255808</v>
      </c>
      <c r="EL28" s="523">
        <f t="shared" si="45"/>
        <v>2.4428227665756714</v>
      </c>
      <c r="EM28" s="524">
        <f t="shared" si="157"/>
        <v>0</v>
      </c>
      <c r="EN28" s="522"/>
      <c r="EO28" s="523">
        <f t="shared" si="46"/>
        <v>0</v>
      </c>
      <c r="EP28" s="524">
        <f t="shared" si="158"/>
        <v>0</v>
      </c>
      <c r="EQ28" s="522"/>
      <c r="ER28" s="523">
        <f t="shared" si="47"/>
        <v>0</v>
      </c>
      <c r="ES28" s="524">
        <f t="shared" si="159"/>
        <v>0</v>
      </c>
      <c r="ET28" s="522"/>
      <c r="EU28" s="523">
        <f t="shared" si="48"/>
        <v>0</v>
      </c>
      <c r="EV28" s="524">
        <f t="shared" si="160"/>
        <v>0</v>
      </c>
      <c r="EW28" s="522"/>
      <c r="EX28" s="523">
        <f t="shared" si="49"/>
        <v>0</v>
      </c>
      <c r="EY28" s="524">
        <f t="shared" si="161"/>
        <v>0</v>
      </c>
      <c r="EZ28" s="522"/>
      <c r="FA28" s="523">
        <f t="shared" si="50"/>
        <v>0</v>
      </c>
      <c r="FB28" s="524">
        <f t="shared" si="162"/>
        <v>0</v>
      </c>
      <c r="FC28" s="522"/>
      <c r="FD28" s="523">
        <f t="shared" si="51"/>
        <v>0</v>
      </c>
      <c r="FE28" s="524">
        <f t="shared" si="163"/>
        <v>0</v>
      </c>
      <c r="FF28" s="522"/>
      <c r="FG28" s="523">
        <f t="shared" si="52"/>
        <v>0</v>
      </c>
      <c r="FH28" s="524">
        <f t="shared" si="164"/>
        <v>0</v>
      </c>
      <c r="FI28" s="522"/>
      <c r="FJ28" s="523">
        <f t="shared" si="53"/>
        <v>0</v>
      </c>
      <c r="FK28" s="524">
        <f t="shared" si="165"/>
        <v>0</v>
      </c>
      <c r="FL28" s="522"/>
      <c r="FM28" s="523">
        <f t="shared" si="54"/>
        <v>0</v>
      </c>
      <c r="FN28" s="524">
        <f t="shared" si="166"/>
        <v>0</v>
      </c>
      <c r="FO28" s="522"/>
      <c r="FP28" s="523">
        <f t="shared" si="55"/>
        <v>0</v>
      </c>
      <c r="FQ28" s="524">
        <f t="shared" si="167"/>
        <v>0</v>
      </c>
      <c r="FR28" s="522"/>
      <c r="FS28" s="523">
        <f t="shared" si="56"/>
        <v>0</v>
      </c>
      <c r="FT28" s="524">
        <f t="shared" si="168"/>
        <v>0</v>
      </c>
      <c r="FU28" s="522"/>
      <c r="FV28" s="523">
        <f t="shared" si="57"/>
        <v>0</v>
      </c>
      <c r="FW28" s="524">
        <f t="shared" si="169"/>
        <v>0</v>
      </c>
      <c r="FX28" s="522"/>
      <c r="FY28" s="523">
        <f t="shared" si="58"/>
        <v>0</v>
      </c>
      <c r="FZ28" s="524">
        <f t="shared" si="170"/>
        <v>0</v>
      </c>
      <c r="GA28" s="522"/>
      <c r="GB28" s="523">
        <f t="shared" si="59"/>
        <v>0</v>
      </c>
      <c r="GC28" s="524">
        <f t="shared" si="171"/>
        <v>0</v>
      </c>
      <c r="GD28" s="522"/>
      <c r="GE28" s="523">
        <f t="shared" si="60"/>
        <v>0</v>
      </c>
      <c r="GF28" s="524">
        <f t="shared" si="172"/>
        <v>0</v>
      </c>
      <c r="GG28" s="522"/>
      <c r="GH28" s="523">
        <f t="shared" si="61"/>
        <v>0</v>
      </c>
      <c r="GI28" s="524">
        <f t="shared" si="173"/>
        <v>0</v>
      </c>
      <c r="GJ28" s="522"/>
      <c r="GK28" s="523">
        <f t="shared" si="62"/>
        <v>0</v>
      </c>
      <c r="GL28" s="524">
        <f t="shared" si="174"/>
        <v>0</v>
      </c>
      <c r="GM28" s="522"/>
      <c r="GN28" s="523">
        <f t="shared" si="63"/>
        <v>0</v>
      </c>
      <c r="GO28" s="524">
        <f t="shared" si="175"/>
        <v>0</v>
      </c>
      <c r="GP28" s="522"/>
      <c r="GQ28" s="523">
        <f t="shared" si="64"/>
        <v>0</v>
      </c>
      <c r="GR28" s="524">
        <f t="shared" si="176"/>
        <v>0</v>
      </c>
      <c r="GS28" s="522"/>
      <c r="GT28" s="523">
        <f t="shared" si="65"/>
        <v>0</v>
      </c>
      <c r="GU28" s="524">
        <f t="shared" si="177"/>
        <v>0</v>
      </c>
      <c r="GV28" s="522"/>
      <c r="GW28" s="523">
        <f t="shared" si="66"/>
        <v>0</v>
      </c>
      <c r="GX28" s="524">
        <f t="shared" si="178"/>
        <v>0</v>
      </c>
      <c r="GY28" s="522"/>
      <c r="GZ28" s="523">
        <f t="shared" si="67"/>
        <v>0</v>
      </c>
      <c r="HA28" s="524">
        <f t="shared" si="179"/>
        <v>0</v>
      </c>
      <c r="HB28" s="522"/>
      <c r="HC28" s="523">
        <f t="shared" si="68"/>
        <v>0</v>
      </c>
      <c r="HD28" s="524">
        <f t="shared" si="180"/>
        <v>0</v>
      </c>
      <c r="HE28" s="522"/>
      <c r="HF28" s="523">
        <f t="shared" si="69"/>
        <v>0</v>
      </c>
      <c r="HG28" s="524">
        <f t="shared" si="181"/>
        <v>0</v>
      </c>
      <c r="HH28" s="522"/>
      <c r="HI28" s="523">
        <f t="shared" si="70"/>
        <v>0</v>
      </c>
      <c r="HJ28" s="524">
        <f t="shared" si="182"/>
        <v>0</v>
      </c>
      <c r="HK28" s="522"/>
      <c r="HL28" s="523">
        <f t="shared" si="71"/>
        <v>0</v>
      </c>
      <c r="HM28" s="524">
        <f t="shared" si="183"/>
        <v>0</v>
      </c>
      <c r="HN28" s="522"/>
      <c r="HO28" s="523">
        <f t="shared" si="72"/>
        <v>0</v>
      </c>
      <c r="HP28" s="524">
        <f t="shared" si="184"/>
        <v>0</v>
      </c>
      <c r="HQ28" s="522"/>
      <c r="HR28" s="523">
        <f t="shared" si="73"/>
        <v>0</v>
      </c>
      <c r="HS28" s="524">
        <f t="shared" si="185"/>
        <v>0</v>
      </c>
      <c r="HT28" s="522"/>
      <c r="HU28" s="523">
        <f t="shared" si="74"/>
        <v>0</v>
      </c>
      <c r="HV28" s="524">
        <f t="shared" si="186"/>
        <v>0</v>
      </c>
      <c r="HW28" s="522"/>
      <c r="HX28" s="523">
        <f t="shared" si="75"/>
        <v>0</v>
      </c>
      <c r="HY28" s="524">
        <f t="shared" si="187"/>
        <v>0</v>
      </c>
      <c r="HZ28" s="522"/>
      <c r="IA28" s="523">
        <f t="shared" si="76"/>
        <v>0</v>
      </c>
      <c r="IB28" s="524">
        <f t="shared" si="188"/>
        <v>0</v>
      </c>
      <c r="IC28" s="522"/>
      <c r="ID28" s="523">
        <f t="shared" si="77"/>
        <v>0</v>
      </c>
      <c r="IE28" s="524">
        <f t="shared" si="189"/>
        <v>0</v>
      </c>
      <c r="IF28" s="522"/>
      <c r="IG28" s="523">
        <f t="shared" si="78"/>
        <v>0</v>
      </c>
      <c r="IH28" s="524">
        <f t="shared" si="190"/>
        <v>0</v>
      </c>
      <c r="II28" s="522"/>
      <c r="IJ28" s="523">
        <f t="shared" si="79"/>
        <v>0</v>
      </c>
      <c r="IK28" s="524">
        <f t="shared" si="191"/>
        <v>0</v>
      </c>
      <c r="IL28" s="522"/>
      <c r="IM28" s="523">
        <f t="shared" si="80"/>
        <v>0</v>
      </c>
      <c r="IN28" s="524">
        <f t="shared" si="192"/>
        <v>0</v>
      </c>
      <c r="IO28" s="522"/>
      <c r="IP28" s="523">
        <f t="shared" si="81"/>
        <v>0</v>
      </c>
      <c r="IQ28" s="524">
        <f t="shared" si="193"/>
        <v>0</v>
      </c>
      <c r="IR28" s="522"/>
      <c r="IS28" s="523">
        <f t="shared" si="82"/>
        <v>0</v>
      </c>
      <c r="IT28" s="524">
        <f t="shared" si="194"/>
        <v>0</v>
      </c>
      <c r="IU28" s="522"/>
      <c r="IV28" s="523">
        <f t="shared" si="83"/>
        <v>0</v>
      </c>
      <c r="IW28" s="524">
        <f t="shared" si="195"/>
        <v>0</v>
      </c>
      <c r="IX28" s="522"/>
      <c r="IY28" s="523">
        <f t="shared" si="84"/>
        <v>0</v>
      </c>
      <c r="IZ28" s="524">
        <f t="shared" si="196"/>
        <v>0</v>
      </c>
      <c r="JA28" s="522"/>
      <c r="JB28" s="523">
        <f t="shared" si="85"/>
        <v>0</v>
      </c>
      <c r="JC28" s="524">
        <f t="shared" si="197"/>
        <v>0</v>
      </c>
      <c r="JD28" s="522"/>
      <c r="JE28" s="523">
        <f t="shared" si="86"/>
        <v>0</v>
      </c>
      <c r="JF28" s="524">
        <f t="shared" si="198"/>
        <v>0</v>
      </c>
      <c r="JG28" s="522"/>
      <c r="JH28" s="523">
        <f t="shared" si="87"/>
        <v>0</v>
      </c>
      <c r="JI28" s="524">
        <f t="shared" si="199"/>
        <v>0</v>
      </c>
      <c r="JJ28" s="522"/>
      <c r="JK28" s="524" t="str">
        <f t="shared" si="88"/>
        <v>0</v>
      </c>
      <c r="JL28" s="524" t="str">
        <f t="shared" si="89"/>
        <v>0</v>
      </c>
      <c r="JM28" s="522"/>
      <c r="JN28" s="524" t="str">
        <f t="shared" si="90"/>
        <v>0</v>
      </c>
      <c r="JO28" s="524" t="str">
        <f t="shared" si="91"/>
        <v>0</v>
      </c>
      <c r="JP28" s="522"/>
      <c r="JQ28" s="524" t="str">
        <f t="shared" si="92"/>
        <v>0</v>
      </c>
      <c r="JR28" s="524" t="str">
        <f t="shared" si="93"/>
        <v>0</v>
      </c>
      <c r="JS28" s="522"/>
      <c r="JT28" s="524" t="str">
        <f t="shared" si="94"/>
        <v>0</v>
      </c>
      <c r="JU28" s="524" t="str">
        <f t="shared" si="95"/>
        <v>0</v>
      </c>
      <c r="JV28" s="522"/>
      <c r="JW28" s="524" t="str">
        <f t="shared" si="96"/>
        <v>0</v>
      </c>
      <c r="JX28" s="524" t="str">
        <f t="shared" si="97"/>
        <v>0</v>
      </c>
      <c r="JY28" s="522"/>
      <c r="JZ28" s="524" t="str">
        <f t="shared" si="98"/>
        <v>0</v>
      </c>
      <c r="KA28" s="524" t="str">
        <f t="shared" si="99"/>
        <v>0</v>
      </c>
      <c r="KB28" s="522"/>
      <c r="KC28" s="524" t="str">
        <f t="shared" si="100"/>
        <v>0</v>
      </c>
      <c r="KD28" s="524" t="str">
        <f t="shared" si="101"/>
        <v>0</v>
      </c>
      <c r="KE28" s="522"/>
      <c r="KF28" s="524" t="str">
        <f t="shared" si="102"/>
        <v>0</v>
      </c>
      <c r="KG28" s="524" t="str">
        <f t="shared" si="103"/>
        <v>0</v>
      </c>
      <c r="KH28" s="522"/>
      <c r="KI28" s="524" t="str">
        <f t="shared" si="104"/>
        <v>0</v>
      </c>
      <c r="KJ28" s="524" t="str">
        <f t="shared" si="105"/>
        <v>0</v>
      </c>
      <c r="KK28" s="522"/>
      <c r="KL28" s="524" t="str">
        <f t="shared" si="106"/>
        <v>0</v>
      </c>
      <c r="KM28" s="524" t="str">
        <f t="shared" si="107"/>
        <v>0</v>
      </c>
      <c r="KN28" s="522"/>
      <c r="KO28" s="524" t="str">
        <f t="shared" si="108"/>
        <v>0</v>
      </c>
      <c r="KP28" s="524" t="str">
        <f t="shared" si="109"/>
        <v>0</v>
      </c>
      <c r="KQ28" s="522"/>
      <c r="KR28" s="524" t="str">
        <f t="shared" si="110"/>
        <v>0</v>
      </c>
      <c r="KS28" s="524" t="str">
        <f t="shared" si="111"/>
        <v>0</v>
      </c>
      <c r="KT28" s="524">
        <f t="shared" si="201"/>
        <v>0</v>
      </c>
      <c r="KU28" s="524">
        <f t="shared" si="202"/>
        <v>0</v>
      </c>
      <c r="KV28" s="261">
        <f t="shared" si="204"/>
        <v>434.66289504753337</v>
      </c>
    </row>
    <row r="29" spans="1:308">
      <c r="A29" s="262">
        <f t="shared" si="200"/>
        <v>46012</v>
      </c>
      <c r="B29" s="263" t="str">
        <f>+Report1!B29</f>
        <v>Toilet</v>
      </c>
      <c r="C29" s="263" t="str">
        <f>+Report1!C29</f>
        <v>13</v>
      </c>
      <c r="D29" s="264">
        <f>+Report1!P29</f>
        <v>38.564</v>
      </c>
      <c r="E29" s="560">
        <f>+Report1!R29</f>
        <v>37.963999999999999</v>
      </c>
      <c r="F29" s="522"/>
      <c r="G29" s="523">
        <f t="shared" si="0"/>
        <v>0</v>
      </c>
      <c r="H29" s="524">
        <f t="shared" si="113"/>
        <v>0</v>
      </c>
      <c r="I29" s="522"/>
      <c r="J29" s="523">
        <f t="shared" si="1"/>
        <v>0</v>
      </c>
      <c r="K29" s="524">
        <f t="shared" si="114"/>
        <v>0</v>
      </c>
      <c r="L29" s="522"/>
      <c r="M29" s="523">
        <f t="shared" si="2"/>
        <v>0</v>
      </c>
      <c r="N29" s="524">
        <f t="shared" si="115"/>
        <v>0</v>
      </c>
      <c r="O29" s="522">
        <v>2.9231999999999942</v>
      </c>
      <c r="P29" s="523">
        <f t="shared" si="3"/>
        <v>7.69992624591717E-2</v>
      </c>
      <c r="Q29" s="524">
        <f t="shared" si="116"/>
        <v>0</v>
      </c>
      <c r="R29" s="522"/>
      <c r="S29" s="523">
        <f t="shared" si="4"/>
        <v>0</v>
      </c>
      <c r="T29" s="524">
        <f t="shared" si="117"/>
        <v>0</v>
      </c>
      <c r="U29" s="522">
        <v>4.9851999999999634</v>
      </c>
      <c r="V29" s="523">
        <f t="shared" si="5"/>
        <v>0.13131387630386587</v>
      </c>
      <c r="W29" s="524">
        <f t="shared" si="118"/>
        <v>0</v>
      </c>
      <c r="X29" s="522"/>
      <c r="Y29" s="523">
        <f t="shared" si="6"/>
        <v>0</v>
      </c>
      <c r="Z29" s="524">
        <f t="shared" si="119"/>
        <v>0</v>
      </c>
      <c r="AA29" s="522">
        <v>15.213099999999997</v>
      </c>
      <c r="AB29" s="523">
        <f t="shared" si="7"/>
        <v>0.40072437045622161</v>
      </c>
      <c r="AC29" s="524">
        <f t="shared" si="120"/>
        <v>0</v>
      </c>
      <c r="AD29" s="522"/>
      <c r="AE29" s="523">
        <f t="shared" si="8"/>
        <v>0</v>
      </c>
      <c r="AF29" s="524">
        <f t="shared" si="121"/>
        <v>0</v>
      </c>
      <c r="AG29" s="522"/>
      <c r="AH29" s="523">
        <f t="shared" si="9"/>
        <v>0</v>
      </c>
      <c r="AI29" s="524">
        <f t="shared" si="122"/>
        <v>0</v>
      </c>
      <c r="AJ29" s="522"/>
      <c r="AK29" s="523">
        <f t="shared" si="10"/>
        <v>0</v>
      </c>
      <c r="AL29" s="524">
        <f t="shared" si="123"/>
        <v>0</v>
      </c>
      <c r="AM29" s="522"/>
      <c r="AN29" s="523">
        <f t="shared" si="11"/>
        <v>0</v>
      </c>
      <c r="AO29" s="524">
        <f t="shared" si="124"/>
        <v>0</v>
      </c>
      <c r="AP29" s="522">
        <v>40.221300000000014</v>
      </c>
      <c r="AQ29" s="523">
        <f t="shared" si="12"/>
        <v>1.0594589611210625</v>
      </c>
      <c r="AR29" s="524">
        <f t="shared" si="125"/>
        <v>0</v>
      </c>
      <c r="AS29" s="522"/>
      <c r="AT29" s="523">
        <f t="shared" si="13"/>
        <v>0</v>
      </c>
      <c r="AU29" s="524">
        <f t="shared" si="126"/>
        <v>0</v>
      </c>
      <c r="AV29" s="522"/>
      <c r="AW29" s="523">
        <f t="shared" si="14"/>
        <v>0</v>
      </c>
      <c r="AX29" s="524">
        <f t="shared" si="127"/>
        <v>0</v>
      </c>
      <c r="AY29" s="522">
        <v>47.720400000000012</v>
      </c>
      <c r="AZ29" s="523">
        <f t="shared" si="15"/>
        <v>1.2569908334211362</v>
      </c>
      <c r="BA29" s="524">
        <f t="shared" si="128"/>
        <v>0</v>
      </c>
      <c r="BB29" s="522"/>
      <c r="BC29" s="523">
        <f t="shared" si="16"/>
        <v>0</v>
      </c>
      <c r="BD29" s="524">
        <f t="shared" si="129"/>
        <v>0</v>
      </c>
      <c r="BE29" s="522"/>
      <c r="BF29" s="523">
        <f t="shared" si="17"/>
        <v>0</v>
      </c>
      <c r="BG29" s="524">
        <f t="shared" si="130"/>
        <v>0</v>
      </c>
      <c r="BH29" s="522"/>
      <c r="BI29" s="523">
        <f t="shared" si="18"/>
        <v>0</v>
      </c>
      <c r="BJ29" s="524">
        <f t="shared" si="131"/>
        <v>0</v>
      </c>
      <c r="BK29" s="522"/>
      <c r="BL29" s="523">
        <f t="shared" si="19"/>
        <v>0</v>
      </c>
      <c r="BM29" s="524">
        <f t="shared" si="132"/>
        <v>0</v>
      </c>
      <c r="BN29" s="522"/>
      <c r="BO29" s="523">
        <f t="shared" si="20"/>
        <v>0</v>
      </c>
      <c r="BP29" s="524">
        <f t="shared" si="133"/>
        <v>0</v>
      </c>
      <c r="BQ29" s="522"/>
      <c r="BR29" s="523">
        <f t="shared" si="21"/>
        <v>0</v>
      </c>
      <c r="BS29" s="524">
        <f t="shared" si="134"/>
        <v>0</v>
      </c>
      <c r="BT29" s="522"/>
      <c r="BU29" s="523">
        <f t="shared" si="22"/>
        <v>0</v>
      </c>
      <c r="BV29" s="524">
        <f t="shared" si="135"/>
        <v>0</v>
      </c>
      <c r="BW29" s="522"/>
      <c r="BX29" s="523">
        <f t="shared" si="23"/>
        <v>0</v>
      </c>
      <c r="BY29" s="524">
        <f t="shared" si="136"/>
        <v>0</v>
      </c>
      <c r="BZ29" s="522"/>
      <c r="CA29" s="523">
        <f t="shared" si="24"/>
        <v>0</v>
      </c>
      <c r="CB29" s="524">
        <f t="shared" si="137"/>
        <v>0</v>
      </c>
      <c r="CC29" s="522"/>
      <c r="CD29" s="523">
        <f t="shared" si="25"/>
        <v>0</v>
      </c>
      <c r="CE29" s="524">
        <f t="shared" si="138"/>
        <v>0</v>
      </c>
      <c r="CF29" s="522">
        <v>1</v>
      </c>
      <c r="CG29" s="523">
        <f t="shared" si="26"/>
        <v>2.634074386260668E-2</v>
      </c>
      <c r="CH29" s="524">
        <f t="shared" si="139"/>
        <v>0</v>
      </c>
      <c r="CI29" s="522"/>
      <c r="CJ29" s="523">
        <f t="shared" si="27"/>
        <v>0</v>
      </c>
      <c r="CK29" s="524">
        <f t="shared" si="140"/>
        <v>0</v>
      </c>
      <c r="CL29" s="522"/>
      <c r="CM29" s="523">
        <f t="shared" si="28"/>
        <v>0</v>
      </c>
      <c r="CN29" s="524">
        <f t="shared" si="141"/>
        <v>0</v>
      </c>
      <c r="CO29" s="522"/>
      <c r="CP29" s="523">
        <f t="shared" si="29"/>
        <v>0</v>
      </c>
      <c r="CQ29" s="524">
        <f t="shared" si="142"/>
        <v>0</v>
      </c>
      <c r="CR29" s="522"/>
      <c r="CS29" s="523">
        <f t="shared" si="30"/>
        <v>0</v>
      </c>
      <c r="CT29" s="524">
        <f t="shared" si="143"/>
        <v>0</v>
      </c>
      <c r="CU29" s="522"/>
      <c r="CV29" s="523">
        <f t="shared" si="31"/>
        <v>0</v>
      </c>
      <c r="CW29" s="524">
        <f t="shared" si="144"/>
        <v>0</v>
      </c>
      <c r="CX29" s="522"/>
      <c r="CY29" s="523">
        <f t="shared" si="32"/>
        <v>0</v>
      </c>
      <c r="CZ29" s="524">
        <f t="shared" si="145"/>
        <v>0</v>
      </c>
      <c r="DA29" s="522">
        <v>162.79199999999992</v>
      </c>
      <c r="DB29" s="523">
        <f t="shared" si="33"/>
        <v>4.2880623748814646</v>
      </c>
      <c r="DC29" s="524">
        <f t="shared" si="146"/>
        <v>0</v>
      </c>
      <c r="DD29" s="522"/>
      <c r="DE29" s="523">
        <f t="shared" si="34"/>
        <v>0</v>
      </c>
      <c r="DF29" s="524">
        <f t="shared" si="147"/>
        <v>0</v>
      </c>
      <c r="DG29" s="522"/>
      <c r="DH29" s="523">
        <f t="shared" si="35"/>
        <v>0</v>
      </c>
      <c r="DI29" s="524">
        <f t="shared" si="203"/>
        <v>0</v>
      </c>
      <c r="DJ29" s="522"/>
      <c r="DK29" s="523">
        <f t="shared" si="36"/>
        <v>0</v>
      </c>
      <c r="DL29" s="524">
        <f t="shared" si="148"/>
        <v>0</v>
      </c>
      <c r="DM29" s="522"/>
      <c r="DN29" s="523">
        <f t="shared" si="37"/>
        <v>0</v>
      </c>
      <c r="DO29" s="524">
        <f t="shared" si="149"/>
        <v>0</v>
      </c>
      <c r="DP29" s="522"/>
      <c r="DQ29" s="523">
        <f t="shared" si="38"/>
        <v>0</v>
      </c>
      <c r="DR29" s="524">
        <f t="shared" si="150"/>
        <v>0</v>
      </c>
      <c r="DS29" s="522"/>
      <c r="DT29" s="523">
        <f t="shared" si="39"/>
        <v>0</v>
      </c>
      <c r="DU29" s="524">
        <f t="shared" si="151"/>
        <v>0</v>
      </c>
      <c r="DV29" s="522"/>
      <c r="DW29" s="523">
        <f t="shared" si="40"/>
        <v>0</v>
      </c>
      <c r="DX29" s="524">
        <f t="shared" si="152"/>
        <v>0</v>
      </c>
      <c r="DY29" s="522"/>
      <c r="DZ29" s="523">
        <f t="shared" si="41"/>
        <v>0</v>
      </c>
      <c r="EA29" s="524">
        <f t="shared" si="153"/>
        <v>0</v>
      </c>
      <c r="EB29" s="522"/>
      <c r="EC29" s="523">
        <f t="shared" si="42"/>
        <v>0</v>
      </c>
      <c r="ED29" s="524">
        <f t="shared" si="154"/>
        <v>0</v>
      </c>
      <c r="EE29" s="522">
        <v>45.740000000000009</v>
      </c>
      <c r="EF29" s="523">
        <f t="shared" si="43"/>
        <v>1.2048256242756299</v>
      </c>
      <c r="EG29" s="524">
        <f t="shared" si="155"/>
        <v>0</v>
      </c>
      <c r="EH29" s="522"/>
      <c r="EI29" s="523">
        <f t="shared" si="44"/>
        <v>0</v>
      </c>
      <c r="EJ29" s="524">
        <f t="shared" si="156"/>
        <v>0</v>
      </c>
      <c r="EK29" s="522">
        <v>92.020400000000109</v>
      </c>
      <c r="EL29" s="523">
        <f t="shared" si="45"/>
        <v>2.4238857865346146</v>
      </c>
      <c r="EM29" s="524">
        <f t="shared" si="157"/>
        <v>0</v>
      </c>
      <c r="EN29" s="522"/>
      <c r="EO29" s="523">
        <f t="shared" si="46"/>
        <v>0</v>
      </c>
      <c r="EP29" s="524">
        <f t="shared" si="158"/>
        <v>0</v>
      </c>
      <c r="EQ29" s="522"/>
      <c r="ER29" s="523">
        <f t="shared" si="47"/>
        <v>0</v>
      </c>
      <c r="ES29" s="524">
        <f t="shared" si="159"/>
        <v>0</v>
      </c>
      <c r="ET29" s="522"/>
      <c r="EU29" s="523">
        <f t="shared" si="48"/>
        <v>0</v>
      </c>
      <c r="EV29" s="524">
        <f t="shared" si="160"/>
        <v>0</v>
      </c>
      <c r="EW29" s="522"/>
      <c r="EX29" s="523">
        <f t="shared" si="49"/>
        <v>0</v>
      </c>
      <c r="EY29" s="524">
        <f t="shared" si="161"/>
        <v>0</v>
      </c>
      <c r="EZ29" s="522"/>
      <c r="FA29" s="523">
        <f t="shared" si="50"/>
        <v>0</v>
      </c>
      <c r="FB29" s="524">
        <f t="shared" si="162"/>
        <v>0</v>
      </c>
      <c r="FC29" s="522"/>
      <c r="FD29" s="523">
        <f t="shared" si="51"/>
        <v>0</v>
      </c>
      <c r="FE29" s="524">
        <f t="shared" si="163"/>
        <v>0</v>
      </c>
      <c r="FF29" s="522"/>
      <c r="FG29" s="523">
        <f t="shared" si="52"/>
        <v>0</v>
      </c>
      <c r="FH29" s="524">
        <f t="shared" si="164"/>
        <v>0</v>
      </c>
      <c r="FI29" s="522"/>
      <c r="FJ29" s="523">
        <f t="shared" si="53"/>
        <v>0</v>
      </c>
      <c r="FK29" s="524">
        <f t="shared" si="165"/>
        <v>0</v>
      </c>
      <c r="FL29" s="522"/>
      <c r="FM29" s="523">
        <f t="shared" si="54"/>
        <v>0</v>
      </c>
      <c r="FN29" s="524">
        <f t="shared" si="166"/>
        <v>0</v>
      </c>
      <c r="FO29" s="522"/>
      <c r="FP29" s="523">
        <f t="shared" si="55"/>
        <v>0</v>
      </c>
      <c r="FQ29" s="524">
        <f t="shared" si="167"/>
        <v>0</v>
      </c>
      <c r="FR29" s="522"/>
      <c r="FS29" s="523">
        <f t="shared" si="56"/>
        <v>0</v>
      </c>
      <c r="FT29" s="524">
        <f t="shared" si="168"/>
        <v>0</v>
      </c>
      <c r="FU29" s="522"/>
      <c r="FV29" s="523">
        <f t="shared" si="57"/>
        <v>0</v>
      </c>
      <c r="FW29" s="524">
        <f t="shared" si="169"/>
        <v>0</v>
      </c>
      <c r="FX29" s="522"/>
      <c r="FY29" s="523">
        <f t="shared" si="58"/>
        <v>0</v>
      </c>
      <c r="FZ29" s="524">
        <f t="shared" si="170"/>
        <v>0</v>
      </c>
      <c r="GA29" s="522"/>
      <c r="GB29" s="523">
        <f t="shared" si="59"/>
        <v>0</v>
      </c>
      <c r="GC29" s="524">
        <f t="shared" si="171"/>
        <v>0</v>
      </c>
      <c r="GD29" s="522"/>
      <c r="GE29" s="523">
        <f t="shared" si="60"/>
        <v>0</v>
      </c>
      <c r="GF29" s="524">
        <f t="shared" si="172"/>
        <v>0</v>
      </c>
      <c r="GG29" s="522"/>
      <c r="GH29" s="523">
        <f t="shared" si="61"/>
        <v>0</v>
      </c>
      <c r="GI29" s="524">
        <f t="shared" si="173"/>
        <v>0</v>
      </c>
      <c r="GJ29" s="522"/>
      <c r="GK29" s="523">
        <f t="shared" si="62"/>
        <v>0</v>
      </c>
      <c r="GL29" s="524">
        <f t="shared" si="174"/>
        <v>0</v>
      </c>
      <c r="GM29" s="522"/>
      <c r="GN29" s="523">
        <f t="shared" si="63"/>
        <v>0</v>
      </c>
      <c r="GO29" s="524">
        <f t="shared" si="175"/>
        <v>0</v>
      </c>
      <c r="GP29" s="522"/>
      <c r="GQ29" s="523">
        <f t="shared" si="64"/>
        <v>0</v>
      </c>
      <c r="GR29" s="524">
        <f t="shared" si="176"/>
        <v>0</v>
      </c>
      <c r="GS29" s="522"/>
      <c r="GT29" s="523">
        <f t="shared" si="65"/>
        <v>0</v>
      </c>
      <c r="GU29" s="524">
        <f t="shared" si="177"/>
        <v>0</v>
      </c>
      <c r="GV29" s="522"/>
      <c r="GW29" s="523">
        <f t="shared" si="66"/>
        <v>0</v>
      </c>
      <c r="GX29" s="524">
        <f t="shared" si="178"/>
        <v>0</v>
      </c>
      <c r="GY29" s="522"/>
      <c r="GZ29" s="523">
        <f t="shared" si="67"/>
        <v>0</v>
      </c>
      <c r="HA29" s="524">
        <f t="shared" si="179"/>
        <v>0</v>
      </c>
      <c r="HB29" s="522"/>
      <c r="HC29" s="523">
        <f t="shared" si="68"/>
        <v>0</v>
      </c>
      <c r="HD29" s="524">
        <f t="shared" si="180"/>
        <v>0</v>
      </c>
      <c r="HE29" s="522"/>
      <c r="HF29" s="523">
        <f t="shared" si="69"/>
        <v>0</v>
      </c>
      <c r="HG29" s="524">
        <f t="shared" si="181"/>
        <v>0</v>
      </c>
      <c r="HH29" s="522"/>
      <c r="HI29" s="523">
        <f t="shared" si="70"/>
        <v>0</v>
      </c>
      <c r="HJ29" s="524">
        <f t="shared" si="182"/>
        <v>0</v>
      </c>
      <c r="HK29" s="522"/>
      <c r="HL29" s="523">
        <f t="shared" si="71"/>
        <v>0</v>
      </c>
      <c r="HM29" s="524">
        <f t="shared" si="183"/>
        <v>0</v>
      </c>
      <c r="HN29" s="522"/>
      <c r="HO29" s="523">
        <f t="shared" si="72"/>
        <v>0</v>
      </c>
      <c r="HP29" s="524">
        <f t="shared" si="184"/>
        <v>0</v>
      </c>
      <c r="HQ29" s="522"/>
      <c r="HR29" s="523">
        <f t="shared" si="73"/>
        <v>0</v>
      </c>
      <c r="HS29" s="524">
        <f t="shared" si="185"/>
        <v>0</v>
      </c>
      <c r="HT29" s="522"/>
      <c r="HU29" s="523">
        <f t="shared" si="74"/>
        <v>0</v>
      </c>
      <c r="HV29" s="524">
        <f t="shared" si="186"/>
        <v>0</v>
      </c>
      <c r="HW29" s="522"/>
      <c r="HX29" s="523">
        <f t="shared" si="75"/>
        <v>0</v>
      </c>
      <c r="HY29" s="524">
        <f t="shared" si="187"/>
        <v>0</v>
      </c>
      <c r="HZ29" s="522"/>
      <c r="IA29" s="523">
        <f t="shared" si="76"/>
        <v>0</v>
      </c>
      <c r="IB29" s="524">
        <f t="shared" si="188"/>
        <v>0</v>
      </c>
      <c r="IC29" s="522"/>
      <c r="ID29" s="523">
        <f t="shared" si="77"/>
        <v>0</v>
      </c>
      <c r="IE29" s="524">
        <f t="shared" si="189"/>
        <v>0</v>
      </c>
      <c r="IF29" s="522"/>
      <c r="IG29" s="523">
        <f t="shared" si="78"/>
        <v>0</v>
      </c>
      <c r="IH29" s="524">
        <f t="shared" si="190"/>
        <v>0</v>
      </c>
      <c r="II29" s="522"/>
      <c r="IJ29" s="523">
        <f t="shared" si="79"/>
        <v>0</v>
      </c>
      <c r="IK29" s="524">
        <f t="shared" si="191"/>
        <v>0</v>
      </c>
      <c r="IL29" s="522"/>
      <c r="IM29" s="523">
        <f t="shared" si="80"/>
        <v>0</v>
      </c>
      <c r="IN29" s="524">
        <f t="shared" si="192"/>
        <v>0</v>
      </c>
      <c r="IO29" s="522"/>
      <c r="IP29" s="523">
        <f t="shared" si="81"/>
        <v>0</v>
      </c>
      <c r="IQ29" s="524">
        <f t="shared" si="193"/>
        <v>0</v>
      </c>
      <c r="IR29" s="522"/>
      <c r="IS29" s="523">
        <f t="shared" si="82"/>
        <v>0</v>
      </c>
      <c r="IT29" s="524">
        <f t="shared" si="194"/>
        <v>0</v>
      </c>
      <c r="IU29" s="522"/>
      <c r="IV29" s="523">
        <f t="shared" si="83"/>
        <v>0</v>
      </c>
      <c r="IW29" s="524">
        <f t="shared" si="195"/>
        <v>0</v>
      </c>
      <c r="IX29" s="522"/>
      <c r="IY29" s="523">
        <f t="shared" si="84"/>
        <v>0</v>
      </c>
      <c r="IZ29" s="524">
        <f t="shared" si="196"/>
        <v>0</v>
      </c>
      <c r="JA29" s="522"/>
      <c r="JB29" s="523">
        <f t="shared" si="85"/>
        <v>0</v>
      </c>
      <c r="JC29" s="524">
        <f t="shared" si="197"/>
        <v>0</v>
      </c>
      <c r="JD29" s="522"/>
      <c r="JE29" s="523">
        <f t="shared" si="86"/>
        <v>0</v>
      </c>
      <c r="JF29" s="524">
        <f t="shared" si="198"/>
        <v>0</v>
      </c>
      <c r="JG29" s="522"/>
      <c r="JH29" s="523">
        <f t="shared" si="87"/>
        <v>0</v>
      </c>
      <c r="JI29" s="524">
        <f t="shared" si="199"/>
        <v>0</v>
      </c>
      <c r="JJ29" s="522"/>
      <c r="JK29" s="524" t="str">
        <f t="shared" si="88"/>
        <v>0</v>
      </c>
      <c r="JL29" s="524" t="str">
        <f t="shared" si="89"/>
        <v>0</v>
      </c>
      <c r="JM29" s="522"/>
      <c r="JN29" s="524" t="str">
        <f t="shared" si="90"/>
        <v>0</v>
      </c>
      <c r="JO29" s="524" t="str">
        <f t="shared" si="91"/>
        <v>0</v>
      </c>
      <c r="JP29" s="522"/>
      <c r="JQ29" s="524" t="str">
        <f t="shared" si="92"/>
        <v>0</v>
      </c>
      <c r="JR29" s="524" t="str">
        <f t="shared" si="93"/>
        <v>0</v>
      </c>
      <c r="JS29" s="522"/>
      <c r="JT29" s="524" t="str">
        <f t="shared" si="94"/>
        <v>0</v>
      </c>
      <c r="JU29" s="524" t="str">
        <f t="shared" si="95"/>
        <v>0</v>
      </c>
      <c r="JV29" s="522"/>
      <c r="JW29" s="524" t="str">
        <f t="shared" si="96"/>
        <v>0</v>
      </c>
      <c r="JX29" s="524" t="str">
        <f t="shared" si="97"/>
        <v>0</v>
      </c>
      <c r="JY29" s="522"/>
      <c r="JZ29" s="524" t="str">
        <f t="shared" si="98"/>
        <v>0</v>
      </c>
      <c r="KA29" s="524" t="str">
        <f t="shared" si="99"/>
        <v>0</v>
      </c>
      <c r="KB29" s="522"/>
      <c r="KC29" s="524" t="str">
        <f t="shared" si="100"/>
        <v>0</v>
      </c>
      <c r="KD29" s="524" t="str">
        <f t="shared" si="101"/>
        <v>0</v>
      </c>
      <c r="KE29" s="522"/>
      <c r="KF29" s="524" t="str">
        <f t="shared" si="102"/>
        <v>0</v>
      </c>
      <c r="KG29" s="524" t="str">
        <f t="shared" si="103"/>
        <v>0</v>
      </c>
      <c r="KH29" s="522"/>
      <c r="KI29" s="524" t="str">
        <f t="shared" si="104"/>
        <v>0</v>
      </c>
      <c r="KJ29" s="524" t="str">
        <f t="shared" si="105"/>
        <v>0</v>
      </c>
      <c r="KK29" s="522"/>
      <c r="KL29" s="524" t="str">
        <f t="shared" si="106"/>
        <v>0</v>
      </c>
      <c r="KM29" s="524" t="str">
        <f t="shared" si="107"/>
        <v>0</v>
      </c>
      <c r="KN29" s="522"/>
      <c r="KO29" s="524" t="str">
        <f t="shared" si="108"/>
        <v>0</v>
      </c>
      <c r="KP29" s="524" t="str">
        <f t="shared" si="109"/>
        <v>0</v>
      </c>
      <c r="KQ29" s="522"/>
      <c r="KR29" s="524" t="str">
        <f t="shared" si="110"/>
        <v>0</v>
      </c>
      <c r="KS29" s="524" t="str">
        <f t="shared" si="111"/>
        <v>0</v>
      </c>
      <c r="KT29" s="524">
        <f t="shared" si="201"/>
        <v>0</v>
      </c>
      <c r="KU29" s="524">
        <f t="shared" si="202"/>
        <v>0</v>
      </c>
      <c r="KV29" s="261">
        <f t="shared" si="204"/>
        <v>412.61560000000003</v>
      </c>
    </row>
    <row r="30" spans="1:308">
      <c r="A30" s="262">
        <f t="shared" si="200"/>
        <v>46013</v>
      </c>
      <c r="B30" s="263" t="str">
        <f>+Report1!B30</f>
        <v>Toilet</v>
      </c>
      <c r="C30" s="263" t="str">
        <f>+Report1!C30</f>
        <v>13/15</v>
      </c>
      <c r="D30" s="264">
        <f>+Report1!P30</f>
        <v>42.471000000000004</v>
      </c>
      <c r="E30" s="560">
        <f>+Report1!R30</f>
        <v>40.158000000000001</v>
      </c>
      <c r="F30" s="522"/>
      <c r="G30" s="523">
        <f t="shared" si="0"/>
        <v>0</v>
      </c>
      <c r="H30" s="524">
        <f t="shared" si="113"/>
        <v>0</v>
      </c>
      <c r="I30" s="522"/>
      <c r="J30" s="523">
        <f t="shared" si="1"/>
        <v>0</v>
      </c>
      <c r="K30" s="524">
        <f t="shared" si="114"/>
        <v>0</v>
      </c>
      <c r="L30" s="522"/>
      <c r="M30" s="523">
        <f t="shared" si="2"/>
        <v>0</v>
      </c>
      <c r="N30" s="524">
        <f t="shared" si="115"/>
        <v>0</v>
      </c>
      <c r="O30" s="522">
        <v>2.9943999999999988</v>
      </c>
      <c r="P30" s="523">
        <f t="shared" si="3"/>
        <v>7.4565466407689601E-2</v>
      </c>
      <c r="Q30" s="524">
        <f t="shared" si="116"/>
        <v>0</v>
      </c>
      <c r="R30" s="522"/>
      <c r="S30" s="523">
        <f t="shared" si="4"/>
        <v>0</v>
      </c>
      <c r="T30" s="524">
        <f t="shared" si="117"/>
        <v>0</v>
      </c>
      <c r="U30" s="522">
        <v>5.1301000000000272</v>
      </c>
      <c r="V30" s="523">
        <f t="shared" si="5"/>
        <v>0.12774789581154508</v>
      </c>
      <c r="W30" s="524">
        <f t="shared" si="118"/>
        <v>0</v>
      </c>
      <c r="X30" s="522"/>
      <c r="Y30" s="523">
        <f t="shared" si="6"/>
        <v>0</v>
      </c>
      <c r="Z30" s="524">
        <f t="shared" si="119"/>
        <v>0</v>
      </c>
      <c r="AA30" s="522">
        <v>15.627600000000015</v>
      </c>
      <c r="AB30" s="523">
        <f t="shared" si="7"/>
        <v>0.38915284625728408</v>
      </c>
      <c r="AC30" s="524">
        <f t="shared" si="120"/>
        <v>0</v>
      </c>
      <c r="AD30" s="522"/>
      <c r="AE30" s="523">
        <f t="shared" si="8"/>
        <v>0</v>
      </c>
      <c r="AF30" s="524">
        <f t="shared" si="121"/>
        <v>0</v>
      </c>
      <c r="AG30" s="522"/>
      <c r="AH30" s="523">
        <f t="shared" si="9"/>
        <v>0</v>
      </c>
      <c r="AI30" s="524">
        <f t="shared" si="122"/>
        <v>0</v>
      </c>
      <c r="AJ30" s="522"/>
      <c r="AK30" s="523">
        <f t="shared" si="10"/>
        <v>0</v>
      </c>
      <c r="AL30" s="524">
        <f t="shared" si="123"/>
        <v>0</v>
      </c>
      <c r="AM30" s="522"/>
      <c r="AN30" s="523">
        <f t="shared" si="11"/>
        <v>0</v>
      </c>
      <c r="AO30" s="524">
        <f t="shared" si="124"/>
        <v>0</v>
      </c>
      <c r="AP30" s="522">
        <v>42.726336708860771</v>
      </c>
      <c r="AQ30" s="523">
        <f t="shared" si="12"/>
        <v>1.0639557923417693</v>
      </c>
      <c r="AR30" s="524">
        <f t="shared" si="125"/>
        <v>0</v>
      </c>
      <c r="AS30" s="522"/>
      <c r="AT30" s="523">
        <f t="shared" si="13"/>
        <v>0</v>
      </c>
      <c r="AU30" s="524">
        <f t="shared" si="126"/>
        <v>0</v>
      </c>
      <c r="AV30" s="522"/>
      <c r="AW30" s="523">
        <f t="shared" si="14"/>
        <v>0</v>
      </c>
      <c r="AX30" s="524">
        <f t="shared" si="127"/>
        <v>0</v>
      </c>
      <c r="AY30" s="522">
        <v>58.335733333333337</v>
      </c>
      <c r="AZ30" s="523">
        <f t="shared" si="15"/>
        <v>1.4526553447216828</v>
      </c>
      <c r="BA30" s="524">
        <f t="shared" si="128"/>
        <v>0</v>
      </c>
      <c r="BB30" s="522"/>
      <c r="BC30" s="523">
        <f t="shared" si="16"/>
        <v>0</v>
      </c>
      <c r="BD30" s="524">
        <f t="shared" si="129"/>
        <v>0</v>
      </c>
      <c r="BE30" s="522"/>
      <c r="BF30" s="523">
        <f t="shared" si="17"/>
        <v>0</v>
      </c>
      <c r="BG30" s="524">
        <f t="shared" si="130"/>
        <v>0</v>
      </c>
      <c r="BH30" s="522"/>
      <c r="BI30" s="523">
        <f t="shared" si="18"/>
        <v>0</v>
      </c>
      <c r="BJ30" s="524">
        <f t="shared" si="131"/>
        <v>0</v>
      </c>
      <c r="BK30" s="522"/>
      <c r="BL30" s="523">
        <f t="shared" si="19"/>
        <v>0</v>
      </c>
      <c r="BM30" s="524">
        <f t="shared" si="132"/>
        <v>0</v>
      </c>
      <c r="BN30" s="522"/>
      <c r="BO30" s="523">
        <f t="shared" si="20"/>
        <v>0</v>
      </c>
      <c r="BP30" s="524">
        <f t="shared" si="133"/>
        <v>0</v>
      </c>
      <c r="BQ30" s="522"/>
      <c r="BR30" s="523">
        <f t="shared" si="21"/>
        <v>0</v>
      </c>
      <c r="BS30" s="524">
        <f t="shared" si="134"/>
        <v>0</v>
      </c>
      <c r="BT30" s="522"/>
      <c r="BU30" s="523">
        <f t="shared" si="22"/>
        <v>0</v>
      </c>
      <c r="BV30" s="524">
        <f t="shared" si="135"/>
        <v>0</v>
      </c>
      <c r="BW30" s="522"/>
      <c r="BX30" s="523">
        <f t="shared" si="23"/>
        <v>0</v>
      </c>
      <c r="BY30" s="524">
        <f t="shared" si="136"/>
        <v>0</v>
      </c>
      <c r="BZ30" s="522"/>
      <c r="CA30" s="523">
        <f t="shared" si="24"/>
        <v>0</v>
      </c>
      <c r="CB30" s="524">
        <f t="shared" si="137"/>
        <v>0</v>
      </c>
      <c r="CC30" s="522"/>
      <c r="CD30" s="523">
        <f t="shared" si="25"/>
        <v>0</v>
      </c>
      <c r="CE30" s="524">
        <f t="shared" si="138"/>
        <v>0</v>
      </c>
      <c r="CF30" s="522">
        <v>1</v>
      </c>
      <c r="CG30" s="523">
        <f t="shared" si="26"/>
        <v>2.4901638527815129E-2</v>
      </c>
      <c r="CH30" s="524">
        <f t="shared" si="139"/>
        <v>0</v>
      </c>
      <c r="CI30" s="522"/>
      <c r="CJ30" s="523">
        <f t="shared" si="27"/>
        <v>0</v>
      </c>
      <c r="CK30" s="524">
        <f t="shared" si="140"/>
        <v>0</v>
      </c>
      <c r="CL30" s="522"/>
      <c r="CM30" s="523">
        <f t="shared" si="28"/>
        <v>0</v>
      </c>
      <c r="CN30" s="524">
        <f t="shared" si="141"/>
        <v>0</v>
      </c>
      <c r="CO30" s="522"/>
      <c r="CP30" s="523">
        <f t="shared" si="29"/>
        <v>0</v>
      </c>
      <c r="CQ30" s="524">
        <f t="shared" si="142"/>
        <v>0</v>
      </c>
      <c r="CR30" s="522"/>
      <c r="CS30" s="523">
        <f t="shared" si="30"/>
        <v>0</v>
      </c>
      <c r="CT30" s="524">
        <f t="shared" si="143"/>
        <v>0</v>
      </c>
      <c r="CU30" s="522"/>
      <c r="CV30" s="523">
        <f t="shared" si="31"/>
        <v>0</v>
      </c>
      <c r="CW30" s="524">
        <f t="shared" si="144"/>
        <v>0</v>
      </c>
      <c r="CX30" s="522"/>
      <c r="CY30" s="523">
        <f t="shared" si="32"/>
        <v>0</v>
      </c>
      <c r="CZ30" s="524">
        <f t="shared" si="145"/>
        <v>0</v>
      </c>
      <c r="DA30" s="522">
        <v>101.74306976744151</v>
      </c>
      <c r="DB30" s="523">
        <f t="shared" si="33"/>
        <v>2.5335691460591043</v>
      </c>
      <c r="DC30" s="524">
        <f t="shared" si="146"/>
        <v>0</v>
      </c>
      <c r="DD30" s="522"/>
      <c r="DE30" s="523">
        <f t="shared" si="34"/>
        <v>0</v>
      </c>
      <c r="DF30" s="524">
        <f t="shared" si="147"/>
        <v>0</v>
      </c>
      <c r="DG30" s="522"/>
      <c r="DH30" s="523">
        <f t="shared" si="35"/>
        <v>0</v>
      </c>
      <c r="DI30" s="524">
        <f t="shared" si="203"/>
        <v>0</v>
      </c>
      <c r="DJ30" s="522"/>
      <c r="DK30" s="523">
        <f t="shared" si="36"/>
        <v>0</v>
      </c>
      <c r="DL30" s="524">
        <f t="shared" si="148"/>
        <v>0</v>
      </c>
      <c r="DM30" s="522"/>
      <c r="DN30" s="523">
        <f t="shared" si="37"/>
        <v>0</v>
      </c>
      <c r="DO30" s="524">
        <f t="shared" si="149"/>
        <v>0</v>
      </c>
      <c r="DP30" s="522"/>
      <c r="DQ30" s="523">
        <f t="shared" si="38"/>
        <v>0</v>
      </c>
      <c r="DR30" s="524">
        <f t="shared" si="150"/>
        <v>0</v>
      </c>
      <c r="DS30" s="522"/>
      <c r="DT30" s="523">
        <f t="shared" si="39"/>
        <v>0</v>
      </c>
      <c r="DU30" s="524">
        <f t="shared" si="151"/>
        <v>0</v>
      </c>
      <c r="DV30" s="522"/>
      <c r="DW30" s="523">
        <f t="shared" si="40"/>
        <v>0</v>
      </c>
      <c r="DX30" s="524">
        <f t="shared" si="152"/>
        <v>0</v>
      </c>
      <c r="DY30" s="522"/>
      <c r="DZ30" s="523">
        <f t="shared" si="41"/>
        <v>0</v>
      </c>
      <c r="EA30" s="524">
        <f t="shared" si="153"/>
        <v>0</v>
      </c>
      <c r="EB30" s="522"/>
      <c r="EC30" s="523">
        <f t="shared" si="42"/>
        <v>0</v>
      </c>
      <c r="ED30" s="524">
        <f t="shared" si="154"/>
        <v>0</v>
      </c>
      <c r="EE30" s="522">
        <v>93.925882352941244</v>
      </c>
      <c r="EF30" s="523">
        <f t="shared" si="43"/>
        <v>2.3389083707590328</v>
      </c>
      <c r="EG30" s="524">
        <f t="shared" si="155"/>
        <v>0</v>
      </c>
      <c r="EH30" s="522"/>
      <c r="EI30" s="523">
        <f t="shared" si="44"/>
        <v>0</v>
      </c>
      <c r="EJ30" s="524">
        <f t="shared" si="156"/>
        <v>0</v>
      </c>
      <c r="EK30" s="522">
        <v>87.206297674418693</v>
      </c>
      <c r="EL30" s="523">
        <f t="shared" si="45"/>
        <v>2.1715797020374192</v>
      </c>
      <c r="EM30" s="524">
        <f t="shared" si="157"/>
        <v>0</v>
      </c>
      <c r="EN30" s="522"/>
      <c r="EO30" s="523">
        <f t="shared" si="46"/>
        <v>0</v>
      </c>
      <c r="EP30" s="524">
        <f t="shared" si="158"/>
        <v>0</v>
      </c>
      <c r="EQ30" s="522"/>
      <c r="ER30" s="523">
        <f t="shared" si="47"/>
        <v>0</v>
      </c>
      <c r="ES30" s="524">
        <f t="shared" si="159"/>
        <v>0</v>
      </c>
      <c r="ET30" s="522"/>
      <c r="EU30" s="523">
        <f t="shared" si="48"/>
        <v>0</v>
      </c>
      <c r="EV30" s="524">
        <f t="shared" si="160"/>
        <v>0</v>
      </c>
      <c r="EW30" s="522"/>
      <c r="EX30" s="523">
        <f t="shared" si="49"/>
        <v>0</v>
      </c>
      <c r="EY30" s="524">
        <f t="shared" si="161"/>
        <v>0</v>
      </c>
      <c r="EZ30" s="522"/>
      <c r="FA30" s="523">
        <f t="shared" si="50"/>
        <v>0</v>
      </c>
      <c r="FB30" s="524">
        <f t="shared" si="162"/>
        <v>0</v>
      </c>
      <c r="FC30" s="522"/>
      <c r="FD30" s="523">
        <f t="shared" si="51"/>
        <v>0</v>
      </c>
      <c r="FE30" s="524">
        <f t="shared" si="163"/>
        <v>0</v>
      </c>
      <c r="FF30" s="522"/>
      <c r="FG30" s="523">
        <f t="shared" si="52"/>
        <v>0</v>
      </c>
      <c r="FH30" s="524">
        <f t="shared" si="164"/>
        <v>0</v>
      </c>
      <c r="FI30" s="522"/>
      <c r="FJ30" s="523">
        <f t="shared" si="53"/>
        <v>0</v>
      </c>
      <c r="FK30" s="524">
        <f t="shared" si="165"/>
        <v>0</v>
      </c>
      <c r="FL30" s="522"/>
      <c r="FM30" s="523">
        <f t="shared" si="54"/>
        <v>0</v>
      </c>
      <c r="FN30" s="524">
        <f t="shared" si="166"/>
        <v>0</v>
      </c>
      <c r="FO30" s="522"/>
      <c r="FP30" s="523">
        <f t="shared" si="55"/>
        <v>0</v>
      </c>
      <c r="FQ30" s="524">
        <f t="shared" si="167"/>
        <v>0</v>
      </c>
      <c r="FR30" s="522"/>
      <c r="FS30" s="523">
        <f t="shared" si="56"/>
        <v>0</v>
      </c>
      <c r="FT30" s="524">
        <f t="shared" si="168"/>
        <v>0</v>
      </c>
      <c r="FU30" s="522"/>
      <c r="FV30" s="523">
        <f t="shared" si="57"/>
        <v>0</v>
      </c>
      <c r="FW30" s="524">
        <f t="shared" si="169"/>
        <v>0</v>
      </c>
      <c r="FX30" s="522"/>
      <c r="FY30" s="523">
        <f t="shared" si="58"/>
        <v>0</v>
      </c>
      <c r="FZ30" s="524">
        <f t="shared" si="170"/>
        <v>0</v>
      </c>
      <c r="GA30" s="522"/>
      <c r="GB30" s="523">
        <f t="shared" si="59"/>
        <v>0</v>
      </c>
      <c r="GC30" s="524">
        <f t="shared" si="171"/>
        <v>0</v>
      </c>
      <c r="GD30" s="522"/>
      <c r="GE30" s="523">
        <f t="shared" si="60"/>
        <v>0</v>
      </c>
      <c r="GF30" s="524">
        <f t="shared" si="172"/>
        <v>0</v>
      </c>
      <c r="GG30" s="522"/>
      <c r="GH30" s="523">
        <f t="shared" si="61"/>
        <v>0</v>
      </c>
      <c r="GI30" s="524">
        <f t="shared" si="173"/>
        <v>0</v>
      </c>
      <c r="GJ30" s="522"/>
      <c r="GK30" s="523">
        <f t="shared" si="62"/>
        <v>0</v>
      </c>
      <c r="GL30" s="524">
        <f t="shared" si="174"/>
        <v>0</v>
      </c>
      <c r="GM30" s="522"/>
      <c r="GN30" s="523">
        <f t="shared" si="63"/>
        <v>0</v>
      </c>
      <c r="GO30" s="524">
        <f t="shared" si="175"/>
        <v>0</v>
      </c>
      <c r="GP30" s="522"/>
      <c r="GQ30" s="523">
        <f t="shared" si="64"/>
        <v>0</v>
      </c>
      <c r="GR30" s="524">
        <f t="shared" si="176"/>
        <v>0</v>
      </c>
      <c r="GS30" s="522"/>
      <c r="GT30" s="523">
        <f t="shared" si="65"/>
        <v>0</v>
      </c>
      <c r="GU30" s="524">
        <f t="shared" si="177"/>
        <v>0</v>
      </c>
      <c r="GV30" s="522"/>
      <c r="GW30" s="523">
        <f t="shared" si="66"/>
        <v>0</v>
      </c>
      <c r="GX30" s="524">
        <f t="shared" si="178"/>
        <v>0</v>
      </c>
      <c r="GY30" s="522"/>
      <c r="GZ30" s="523">
        <f t="shared" si="67"/>
        <v>0</v>
      </c>
      <c r="HA30" s="524">
        <f t="shared" si="179"/>
        <v>0</v>
      </c>
      <c r="HB30" s="522"/>
      <c r="HC30" s="523">
        <f t="shared" si="68"/>
        <v>0</v>
      </c>
      <c r="HD30" s="524">
        <f t="shared" si="180"/>
        <v>0</v>
      </c>
      <c r="HE30" s="522"/>
      <c r="HF30" s="523">
        <f t="shared" si="69"/>
        <v>0</v>
      </c>
      <c r="HG30" s="524">
        <f t="shared" si="181"/>
        <v>0</v>
      </c>
      <c r="HH30" s="522"/>
      <c r="HI30" s="523">
        <f t="shared" si="70"/>
        <v>0</v>
      </c>
      <c r="HJ30" s="524">
        <f t="shared" si="182"/>
        <v>0</v>
      </c>
      <c r="HK30" s="522"/>
      <c r="HL30" s="523">
        <f t="shared" si="71"/>
        <v>0</v>
      </c>
      <c r="HM30" s="524">
        <f t="shared" si="183"/>
        <v>0</v>
      </c>
      <c r="HN30" s="522"/>
      <c r="HO30" s="523">
        <f t="shared" si="72"/>
        <v>0</v>
      </c>
      <c r="HP30" s="524">
        <f t="shared" si="184"/>
        <v>0</v>
      </c>
      <c r="HQ30" s="522"/>
      <c r="HR30" s="523">
        <f t="shared" si="73"/>
        <v>0</v>
      </c>
      <c r="HS30" s="524">
        <f t="shared" si="185"/>
        <v>0</v>
      </c>
      <c r="HT30" s="522"/>
      <c r="HU30" s="523">
        <f t="shared" si="74"/>
        <v>0</v>
      </c>
      <c r="HV30" s="524">
        <f t="shared" si="186"/>
        <v>0</v>
      </c>
      <c r="HW30" s="522"/>
      <c r="HX30" s="523">
        <f t="shared" si="75"/>
        <v>0</v>
      </c>
      <c r="HY30" s="524">
        <f t="shared" si="187"/>
        <v>0</v>
      </c>
      <c r="HZ30" s="522"/>
      <c r="IA30" s="523">
        <f t="shared" si="76"/>
        <v>0</v>
      </c>
      <c r="IB30" s="524">
        <f t="shared" si="188"/>
        <v>0</v>
      </c>
      <c r="IC30" s="522"/>
      <c r="ID30" s="523">
        <f t="shared" si="77"/>
        <v>0</v>
      </c>
      <c r="IE30" s="524">
        <f t="shared" si="189"/>
        <v>0</v>
      </c>
      <c r="IF30" s="522"/>
      <c r="IG30" s="523">
        <f t="shared" si="78"/>
        <v>0</v>
      </c>
      <c r="IH30" s="524">
        <f t="shared" si="190"/>
        <v>0</v>
      </c>
      <c r="II30" s="522"/>
      <c r="IJ30" s="523">
        <f t="shared" si="79"/>
        <v>0</v>
      </c>
      <c r="IK30" s="524">
        <f t="shared" si="191"/>
        <v>0</v>
      </c>
      <c r="IL30" s="522"/>
      <c r="IM30" s="523">
        <f t="shared" si="80"/>
        <v>0</v>
      </c>
      <c r="IN30" s="524">
        <f t="shared" si="192"/>
        <v>0</v>
      </c>
      <c r="IO30" s="522"/>
      <c r="IP30" s="523">
        <f t="shared" si="81"/>
        <v>0</v>
      </c>
      <c r="IQ30" s="524">
        <f t="shared" si="193"/>
        <v>0</v>
      </c>
      <c r="IR30" s="522"/>
      <c r="IS30" s="523">
        <f t="shared" si="82"/>
        <v>0</v>
      </c>
      <c r="IT30" s="524">
        <f t="shared" si="194"/>
        <v>0</v>
      </c>
      <c r="IU30" s="522"/>
      <c r="IV30" s="523">
        <f t="shared" si="83"/>
        <v>0</v>
      </c>
      <c r="IW30" s="524">
        <f t="shared" si="195"/>
        <v>0</v>
      </c>
      <c r="IX30" s="522"/>
      <c r="IY30" s="523">
        <f t="shared" si="84"/>
        <v>0</v>
      </c>
      <c r="IZ30" s="524">
        <f t="shared" si="196"/>
        <v>0</v>
      </c>
      <c r="JA30" s="522"/>
      <c r="JB30" s="523">
        <f t="shared" si="85"/>
        <v>0</v>
      </c>
      <c r="JC30" s="524">
        <f t="shared" si="197"/>
        <v>0</v>
      </c>
      <c r="JD30" s="522"/>
      <c r="JE30" s="523">
        <f t="shared" si="86"/>
        <v>0</v>
      </c>
      <c r="JF30" s="524">
        <f t="shared" si="198"/>
        <v>0</v>
      </c>
      <c r="JG30" s="522"/>
      <c r="JH30" s="523">
        <f t="shared" si="87"/>
        <v>0</v>
      </c>
      <c r="JI30" s="524">
        <f t="shared" si="199"/>
        <v>0</v>
      </c>
      <c r="JJ30" s="522"/>
      <c r="JK30" s="524" t="str">
        <f t="shared" si="88"/>
        <v>0</v>
      </c>
      <c r="JL30" s="524" t="str">
        <f t="shared" si="89"/>
        <v>0</v>
      </c>
      <c r="JM30" s="522"/>
      <c r="JN30" s="524" t="str">
        <f t="shared" si="90"/>
        <v>0</v>
      </c>
      <c r="JO30" s="524" t="str">
        <f t="shared" si="91"/>
        <v>0</v>
      </c>
      <c r="JP30" s="522"/>
      <c r="JQ30" s="524" t="str">
        <f t="shared" si="92"/>
        <v>0</v>
      </c>
      <c r="JR30" s="524" t="str">
        <f t="shared" si="93"/>
        <v>0</v>
      </c>
      <c r="JS30" s="522"/>
      <c r="JT30" s="524" t="str">
        <f t="shared" si="94"/>
        <v>0</v>
      </c>
      <c r="JU30" s="524" t="str">
        <f t="shared" si="95"/>
        <v>0</v>
      </c>
      <c r="JV30" s="522"/>
      <c r="JW30" s="524" t="str">
        <f t="shared" si="96"/>
        <v>0</v>
      </c>
      <c r="JX30" s="524" t="str">
        <f t="shared" si="97"/>
        <v>0</v>
      </c>
      <c r="JY30" s="522"/>
      <c r="JZ30" s="524" t="str">
        <f t="shared" si="98"/>
        <v>0</v>
      </c>
      <c r="KA30" s="524" t="str">
        <f t="shared" si="99"/>
        <v>0</v>
      </c>
      <c r="KB30" s="522"/>
      <c r="KC30" s="524" t="str">
        <f t="shared" si="100"/>
        <v>0</v>
      </c>
      <c r="KD30" s="524" t="str">
        <f t="shared" si="101"/>
        <v>0</v>
      </c>
      <c r="KE30" s="522"/>
      <c r="KF30" s="524" t="str">
        <f t="shared" si="102"/>
        <v>0</v>
      </c>
      <c r="KG30" s="524" t="str">
        <f t="shared" si="103"/>
        <v>0</v>
      </c>
      <c r="KH30" s="522"/>
      <c r="KI30" s="524" t="str">
        <f t="shared" si="104"/>
        <v>0</v>
      </c>
      <c r="KJ30" s="524" t="str">
        <f t="shared" si="105"/>
        <v>0</v>
      </c>
      <c r="KK30" s="522"/>
      <c r="KL30" s="524" t="str">
        <f t="shared" si="106"/>
        <v>0</v>
      </c>
      <c r="KM30" s="524" t="str">
        <f t="shared" si="107"/>
        <v>0</v>
      </c>
      <c r="KN30" s="522"/>
      <c r="KO30" s="524" t="str">
        <f t="shared" si="108"/>
        <v>0</v>
      </c>
      <c r="KP30" s="524" t="str">
        <f t="shared" si="109"/>
        <v>0</v>
      </c>
      <c r="KQ30" s="522"/>
      <c r="KR30" s="524" t="str">
        <f t="shared" si="110"/>
        <v>0</v>
      </c>
      <c r="KS30" s="524" t="str">
        <f t="shared" si="111"/>
        <v>0</v>
      </c>
      <c r="KT30" s="524">
        <f t="shared" si="201"/>
        <v>0</v>
      </c>
      <c r="KU30" s="524">
        <f t="shared" si="202"/>
        <v>0</v>
      </c>
      <c r="KV30" s="261">
        <f t="shared" si="204"/>
        <v>408.68941983699563</v>
      </c>
    </row>
    <row r="31" spans="1:308">
      <c r="A31" s="262">
        <f t="shared" si="200"/>
        <v>46014</v>
      </c>
      <c r="B31" s="263" t="str">
        <f>+Report1!B31</f>
        <v>Toilet</v>
      </c>
      <c r="C31" s="263" t="str">
        <f>+Report1!C31</f>
        <v>15/14</v>
      </c>
      <c r="D31" s="264">
        <f>+Report1!P31</f>
        <v>42.808</v>
      </c>
      <c r="E31" s="560">
        <f>+Report1!R31</f>
        <v>41.517000000000003</v>
      </c>
      <c r="F31" s="522"/>
      <c r="G31" s="523">
        <f t="shared" si="0"/>
        <v>0</v>
      </c>
      <c r="H31" s="524">
        <f t="shared" si="113"/>
        <v>0</v>
      </c>
      <c r="I31" s="522"/>
      <c r="J31" s="523">
        <f t="shared" si="1"/>
        <v>0</v>
      </c>
      <c r="K31" s="524">
        <f t="shared" si="114"/>
        <v>0</v>
      </c>
      <c r="L31" s="522"/>
      <c r="M31" s="523">
        <f t="shared" si="2"/>
        <v>0</v>
      </c>
      <c r="N31" s="524">
        <f t="shared" si="115"/>
        <v>0</v>
      </c>
      <c r="O31" s="522">
        <v>3.0000000000000142</v>
      </c>
      <c r="P31" s="523">
        <f t="shared" si="3"/>
        <v>7.2259556326324498E-2</v>
      </c>
      <c r="Q31" s="524">
        <f t="shared" si="116"/>
        <v>0</v>
      </c>
      <c r="R31" s="522"/>
      <c r="S31" s="523">
        <f t="shared" si="4"/>
        <v>0</v>
      </c>
      <c r="T31" s="524">
        <f t="shared" si="117"/>
        <v>0</v>
      </c>
      <c r="U31" s="522">
        <v>5.125</v>
      </c>
      <c r="V31" s="523">
        <f t="shared" si="5"/>
        <v>0.12344340872413709</v>
      </c>
      <c r="W31" s="524">
        <f t="shared" si="118"/>
        <v>0</v>
      </c>
      <c r="X31" s="522"/>
      <c r="Y31" s="523">
        <f t="shared" si="6"/>
        <v>0</v>
      </c>
      <c r="Z31" s="524">
        <f t="shared" si="119"/>
        <v>0</v>
      </c>
      <c r="AA31" s="522">
        <v>15.625</v>
      </c>
      <c r="AB31" s="523">
        <f t="shared" si="7"/>
        <v>0.37635185586627162</v>
      </c>
      <c r="AC31" s="524">
        <f t="shared" si="120"/>
        <v>0</v>
      </c>
      <c r="AD31" s="522"/>
      <c r="AE31" s="523">
        <f t="shared" si="8"/>
        <v>0</v>
      </c>
      <c r="AF31" s="524">
        <f t="shared" si="121"/>
        <v>0</v>
      </c>
      <c r="AG31" s="522"/>
      <c r="AH31" s="523">
        <f t="shared" si="9"/>
        <v>0</v>
      </c>
      <c r="AI31" s="524">
        <f t="shared" si="122"/>
        <v>0</v>
      </c>
      <c r="AJ31" s="522"/>
      <c r="AK31" s="523">
        <f t="shared" si="10"/>
        <v>0</v>
      </c>
      <c r="AL31" s="524">
        <f t="shared" si="123"/>
        <v>0</v>
      </c>
      <c r="AM31" s="522"/>
      <c r="AN31" s="523">
        <f t="shared" si="11"/>
        <v>0</v>
      </c>
      <c r="AO31" s="524">
        <f t="shared" si="124"/>
        <v>0</v>
      </c>
      <c r="AP31" s="522">
        <v>42.721518987341767</v>
      </c>
      <c r="AQ31" s="523">
        <f t="shared" si="12"/>
        <v>1.0290126692039829</v>
      </c>
      <c r="AR31" s="524">
        <f t="shared" si="125"/>
        <v>0</v>
      </c>
      <c r="AS31" s="522"/>
      <c r="AT31" s="523">
        <f t="shared" si="13"/>
        <v>0</v>
      </c>
      <c r="AU31" s="524">
        <f t="shared" si="126"/>
        <v>0</v>
      </c>
      <c r="AV31" s="522"/>
      <c r="AW31" s="523">
        <f t="shared" si="14"/>
        <v>0</v>
      </c>
      <c r="AX31" s="524">
        <f t="shared" si="127"/>
        <v>0</v>
      </c>
      <c r="AY31" s="522">
        <v>48.999999999999972</v>
      </c>
      <c r="AZ31" s="523">
        <f t="shared" si="15"/>
        <v>1.1802394199966271</v>
      </c>
      <c r="BA31" s="524">
        <f t="shared" si="128"/>
        <v>0</v>
      </c>
      <c r="BB31" s="522"/>
      <c r="BC31" s="523">
        <f t="shared" si="16"/>
        <v>0</v>
      </c>
      <c r="BD31" s="524">
        <f t="shared" si="129"/>
        <v>0</v>
      </c>
      <c r="BE31" s="522"/>
      <c r="BF31" s="523">
        <f t="shared" si="17"/>
        <v>0</v>
      </c>
      <c r="BG31" s="524">
        <f t="shared" si="130"/>
        <v>0</v>
      </c>
      <c r="BH31" s="522"/>
      <c r="BI31" s="523">
        <f t="shared" si="18"/>
        <v>0</v>
      </c>
      <c r="BJ31" s="524">
        <f t="shared" si="131"/>
        <v>0</v>
      </c>
      <c r="BK31" s="522"/>
      <c r="BL31" s="523">
        <f t="shared" si="19"/>
        <v>0</v>
      </c>
      <c r="BM31" s="524">
        <f t="shared" si="132"/>
        <v>0</v>
      </c>
      <c r="BN31" s="522"/>
      <c r="BO31" s="523">
        <f t="shared" si="20"/>
        <v>0</v>
      </c>
      <c r="BP31" s="524">
        <f t="shared" si="133"/>
        <v>0</v>
      </c>
      <c r="BQ31" s="522">
        <v>60.759493670886059</v>
      </c>
      <c r="BR31" s="523">
        <f t="shared" si="21"/>
        <v>1.4634846850901089</v>
      </c>
      <c r="BS31" s="524">
        <f t="shared" si="134"/>
        <v>0</v>
      </c>
      <c r="BT31" s="522"/>
      <c r="BU31" s="523">
        <f t="shared" si="22"/>
        <v>0</v>
      </c>
      <c r="BV31" s="524">
        <f t="shared" si="135"/>
        <v>0</v>
      </c>
      <c r="BW31" s="522"/>
      <c r="BX31" s="523">
        <f t="shared" si="23"/>
        <v>0</v>
      </c>
      <c r="BY31" s="524">
        <f t="shared" si="136"/>
        <v>0</v>
      </c>
      <c r="BZ31" s="522"/>
      <c r="CA31" s="523">
        <f t="shared" si="24"/>
        <v>0</v>
      </c>
      <c r="CB31" s="524">
        <f t="shared" si="137"/>
        <v>0</v>
      </c>
      <c r="CC31" s="522"/>
      <c r="CD31" s="523">
        <f t="shared" si="25"/>
        <v>0</v>
      </c>
      <c r="CE31" s="524">
        <f t="shared" si="138"/>
        <v>0</v>
      </c>
      <c r="CF31" s="522">
        <v>1</v>
      </c>
      <c r="CG31" s="523">
        <f t="shared" si="26"/>
        <v>2.4086518775441382E-2</v>
      </c>
      <c r="CH31" s="524">
        <f t="shared" si="139"/>
        <v>0</v>
      </c>
      <c r="CI31" s="522"/>
      <c r="CJ31" s="523">
        <f t="shared" si="27"/>
        <v>0</v>
      </c>
      <c r="CK31" s="524">
        <f t="shared" si="140"/>
        <v>0</v>
      </c>
      <c r="CL31" s="522"/>
      <c r="CM31" s="523">
        <f t="shared" si="28"/>
        <v>0</v>
      </c>
      <c r="CN31" s="524">
        <f t="shared" si="141"/>
        <v>0</v>
      </c>
      <c r="CO31" s="522"/>
      <c r="CP31" s="523">
        <f t="shared" si="29"/>
        <v>0</v>
      </c>
      <c r="CQ31" s="524">
        <f t="shared" si="142"/>
        <v>0</v>
      </c>
      <c r="CR31" s="522"/>
      <c r="CS31" s="523">
        <f t="shared" si="30"/>
        <v>0</v>
      </c>
      <c r="CT31" s="524">
        <f t="shared" si="143"/>
        <v>0</v>
      </c>
      <c r="CU31" s="522"/>
      <c r="CV31" s="523">
        <f t="shared" si="31"/>
        <v>0</v>
      </c>
      <c r="CW31" s="524">
        <f t="shared" si="144"/>
        <v>0</v>
      </c>
      <c r="CX31" s="522"/>
      <c r="CY31" s="523">
        <f t="shared" si="32"/>
        <v>0</v>
      </c>
      <c r="CZ31" s="524">
        <f t="shared" si="145"/>
        <v>0</v>
      </c>
      <c r="DA31" s="522"/>
      <c r="DB31" s="523">
        <f t="shared" si="33"/>
        <v>0</v>
      </c>
      <c r="DC31" s="524">
        <f t="shared" si="146"/>
        <v>0</v>
      </c>
      <c r="DD31" s="522"/>
      <c r="DE31" s="523">
        <f t="shared" si="34"/>
        <v>0</v>
      </c>
      <c r="DF31" s="524">
        <f t="shared" si="147"/>
        <v>0</v>
      </c>
      <c r="DG31" s="522"/>
      <c r="DH31" s="523">
        <f t="shared" si="35"/>
        <v>0</v>
      </c>
      <c r="DI31" s="524">
        <f t="shared" si="203"/>
        <v>0</v>
      </c>
      <c r="DJ31" s="522"/>
      <c r="DK31" s="523">
        <f t="shared" si="36"/>
        <v>0</v>
      </c>
      <c r="DL31" s="524">
        <f t="shared" si="148"/>
        <v>0</v>
      </c>
      <c r="DM31" s="522"/>
      <c r="DN31" s="523">
        <f t="shared" si="37"/>
        <v>0</v>
      </c>
      <c r="DO31" s="524">
        <f t="shared" si="149"/>
        <v>0</v>
      </c>
      <c r="DP31" s="522"/>
      <c r="DQ31" s="523">
        <f t="shared" si="38"/>
        <v>0</v>
      </c>
      <c r="DR31" s="524">
        <f t="shared" si="150"/>
        <v>0</v>
      </c>
      <c r="DS31" s="522"/>
      <c r="DT31" s="523">
        <f t="shared" si="39"/>
        <v>0</v>
      </c>
      <c r="DU31" s="524">
        <f t="shared" si="151"/>
        <v>0</v>
      </c>
      <c r="DV31" s="522"/>
      <c r="DW31" s="523">
        <f t="shared" si="40"/>
        <v>0</v>
      </c>
      <c r="DX31" s="524">
        <f t="shared" si="152"/>
        <v>0</v>
      </c>
      <c r="DY31" s="522"/>
      <c r="DZ31" s="523">
        <f t="shared" si="41"/>
        <v>0</v>
      </c>
      <c r="EA31" s="524">
        <f t="shared" si="153"/>
        <v>0</v>
      </c>
      <c r="EB31" s="522"/>
      <c r="EC31" s="523">
        <f t="shared" si="42"/>
        <v>0</v>
      </c>
      <c r="ED31" s="524">
        <f t="shared" si="154"/>
        <v>0</v>
      </c>
      <c r="EE31" s="522">
        <v>46.964705882352973</v>
      </c>
      <c r="EF31" s="523">
        <f t="shared" si="43"/>
        <v>1.1312162700183772</v>
      </c>
      <c r="EG31" s="524">
        <f t="shared" si="155"/>
        <v>0</v>
      </c>
      <c r="EH31" s="522"/>
      <c r="EI31" s="523">
        <f t="shared" si="44"/>
        <v>0</v>
      </c>
      <c r="EJ31" s="524">
        <f t="shared" si="156"/>
        <v>0</v>
      </c>
      <c r="EK31" s="522">
        <v>58.139534883720785</v>
      </c>
      <c r="EL31" s="523">
        <f t="shared" si="45"/>
        <v>1.40037899857217</v>
      </c>
      <c r="EM31" s="524">
        <f t="shared" si="157"/>
        <v>0</v>
      </c>
      <c r="EN31" s="522"/>
      <c r="EO31" s="523">
        <f t="shared" si="46"/>
        <v>0</v>
      </c>
      <c r="EP31" s="524">
        <f t="shared" si="158"/>
        <v>0</v>
      </c>
      <c r="EQ31" s="522"/>
      <c r="ER31" s="523">
        <f t="shared" si="47"/>
        <v>0</v>
      </c>
      <c r="ES31" s="524">
        <f t="shared" si="159"/>
        <v>0</v>
      </c>
      <c r="ET31" s="522"/>
      <c r="EU31" s="523">
        <f t="shared" si="48"/>
        <v>0</v>
      </c>
      <c r="EV31" s="524">
        <f t="shared" si="160"/>
        <v>0</v>
      </c>
      <c r="EW31" s="522"/>
      <c r="EX31" s="523">
        <f t="shared" si="49"/>
        <v>0</v>
      </c>
      <c r="EY31" s="524">
        <f t="shared" si="161"/>
        <v>0</v>
      </c>
      <c r="EZ31" s="522"/>
      <c r="FA31" s="523">
        <f t="shared" si="50"/>
        <v>0</v>
      </c>
      <c r="FB31" s="524">
        <f t="shared" si="162"/>
        <v>0</v>
      </c>
      <c r="FC31" s="522"/>
      <c r="FD31" s="523">
        <f t="shared" si="51"/>
        <v>0</v>
      </c>
      <c r="FE31" s="524">
        <f t="shared" si="163"/>
        <v>0</v>
      </c>
      <c r="FF31" s="522"/>
      <c r="FG31" s="523">
        <f t="shared" si="52"/>
        <v>0</v>
      </c>
      <c r="FH31" s="524">
        <f t="shared" si="164"/>
        <v>0</v>
      </c>
      <c r="FI31" s="522"/>
      <c r="FJ31" s="523">
        <f t="shared" si="53"/>
        <v>0</v>
      </c>
      <c r="FK31" s="524">
        <f t="shared" si="165"/>
        <v>0</v>
      </c>
      <c r="FL31" s="522"/>
      <c r="FM31" s="523">
        <f t="shared" si="54"/>
        <v>0</v>
      </c>
      <c r="FN31" s="524">
        <f t="shared" si="166"/>
        <v>0</v>
      </c>
      <c r="FO31" s="522"/>
      <c r="FP31" s="523">
        <f t="shared" si="55"/>
        <v>0</v>
      </c>
      <c r="FQ31" s="524">
        <f t="shared" si="167"/>
        <v>0</v>
      </c>
      <c r="FR31" s="522"/>
      <c r="FS31" s="523">
        <f t="shared" si="56"/>
        <v>0</v>
      </c>
      <c r="FT31" s="524">
        <f t="shared" si="168"/>
        <v>0</v>
      </c>
      <c r="FU31" s="522"/>
      <c r="FV31" s="523">
        <f t="shared" si="57"/>
        <v>0</v>
      </c>
      <c r="FW31" s="524">
        <f t="shared" si="169"/>
        <v>0</v>
      </c>
      <c r="FX31" s="522"/>
      <c r="FY31" s="523">
        <f t="shared" si="58"/>
        <v>0</v>
      </c>
      <c r="FZ31" s="524">
        <f t="shared" si="170"/>
        <v>0</v>
      </c>
      <c r="GA31" s="522"/>
      <c r="GB31" s="523">
        <f t="shared" si="59"/>
        <v>0</v>
      </c>
      <c r="GC31" s="524">
        <f t="shared" si="171"/>
        <v>0</v>
      </c>
      <c r="GD31" s="522"/>
      <c r="GE31" s="523">
        <f t="shared" si="60"/>
        <v>0</v>
      </c>
      <c r="GF31" s="524">
        <f t="shared" si="172"/>
        <v>0</v>
      </c>
      <c r="GG31" s="522"/>
      <c r="GH31" s="523">
        <f t="shared" si="61"/>
        <v>0</v>
      </c>
      <c r="GI31" s="524">
        <f t="shared" si="173"/>
        <v>0</v>
      </c>
      <c r="GJ31" s="522"/>
      <c r="GK31" s="523">
        <f t="shared" si="62"/>
        <v>0</v>
      </c>
      <c r="GL31" s="524">
        <f t="shared" si="174"/>
        <v>0</v>
      </c>
      <c r="GM31" s="522"/>
      <c r="GN31" s="523">
        <f t="shared" si="63"/>
        <v>0</v>
      </c>
      <c r="GO31" s="524">
        <f t="shared" si="175"/>
        <v>0</v>
      </c>
      <c r="GP31" s="522"/>
      <c r="GQ31" s="523">
        <f t="shared" si="64"/>
        <v>0</v>
      </c>
      <c r="GR31" s="524">
        <f t="shared" si="176"/>
        <v>0</v>
      </c>
      <c r="GS31" s="522"/>
      <c r="GT31" s="523">
        <f t="shared" si="65"/>
        <v>0</v>
      </c>
      <c r="GU31" s="524">
        <f t="shared" si="177"/>
        <v>0</v>
      </c>
      <c r="GV31" s="522"/>
      <c r="GW31" s="523">
        <f t="shared" si="66"/>
        <v>0</v>
      </c>
      <c r="GX31" s="524">
        <f t="shared" si="178"/>
        <v>0</v>
      </c>
      <c r="GY31" s="522"/>
      <c r="GZ31" s="523">
        <f t="shared" si="67"/>
        <v>0</v>
      </c>
      <c r="HA31" s="524">
        <f t="shared" si="179"/>
        <v>0</v>
      </c>
      <c r="HB31" s="522"/>
      <c r="HC31" s="523">
        <f t="shared" si="68"/>
        <v>0</v>
      </c>
      <c r="HD31" s="524">
        <f t="shared" si="180"/>
        <v>0</v>
      </c>
      <c r="HE31" s="522"/>
      <c r="HF31" s="523">
        <f t="shared" si="69"/>
        <v>0</v>
      </c>
      <c r="HG31" s="524">
        <f t="shared" si="181"/>
        <v>0</v>
      </c>
      <c r="HH31" s="522"/>
      <c r="HI31" s="523">
        <f t="shared" si="70"/>
        <v>0</v>
      </c>
      <c r="HJ31" s="524">
        <f t="shared" si="182"/>
        <v>0</v>
      </c>
      <c r="HK31" s="522"/>
      <c r="HL31" s="523">
        <f t="shared" si="71"/>
        <v>0</v>
      </c>
      <c r="HM31" s="524">
        <f t="shared" si="183"/>
        <v>0</v>
      </c>
      <c r="HN31" s="522"/>
      <c r="HO31" s="523">
        <f t="shared" si="72"/>
        <v>0</v>
      </c>
      <c r="HP31" s="524">
        <f t="shared" si="184"/>
        <v>0</v>
      </c>
      <c r="HQ31" s="522"/>
      <c r="HR31" s="523">
        <f t="shared" si="73"/>
        <v>0</v>
      </c>
      <c r="HS31" s="524">
        <f t="shared" si="185"/>
        <v>0</v>
      </c>
      <c r="HT31" s="522"/>
      <c r="HU31" s="523">
        <f t="shared" si="74"/>
        <v>0</v>
      </c>
      <c r="HV31" s="524">
        <f t="shared" si="186"/>
        <v>0</v>
      </c>
      <c r="HW31" s="522"/>
      <c r="HX31" s="523">
        <f t="shared" si="75"/>
        <v>0</v>
      </c>
      <c r="HY31" s="524">
        <f t="shared" si="187"/>
        <v>0</v>
      </c>
      <c r="HZ31" s="522"/>
      <c r="IA31" s="523">
        <f t="shared" si="76"/>
        <v>0</v>
      </c>
      <c r="IB31" s="524">
        <f t="shared" si="188"/>
        <v>0</v>
      </c>
      <c r="IC31" s="522"/>
      <c r="ID31" s="523">
        <f t="shared" si="77"/>
        <v>0</v>
      </c>
      <c r="IE31" s="524">
        <f t="shared" si="189"/>
        <v>0</v>
      </c>
      <c r="IF31" s="522"/>
      <c r="IG31" s="523">
        <f t="shared" si="78"/>
        <v>0</v>
      </c>
      <c r="IH31" s="524">
        <f t="shared" si="190"/>
        <v>0</v>
      </c>
      <c r="II31" s="522"/>
      <c r="IJ31" s="523">
        <f t="shared" si="79"/>
        <v>0</v>
      </c>
      <c r="IK31" s="524">
        <f t="shared" si="191"/>
        <v>0</v>
      </c>
      <c r="IL31" s="522"/>
      <c r="IM31" s="523">
        <f t="shared" si="80"/>
        <v>0</v>
      </c>
      <c r="IN31" s="524">
        <f t="shared" si="192"/>
        <v>0</v>
      </c>
      <c r="IO31" s="522"/>
      <c r="IP31" s="523">
        <f t="shared" si="81"/>
        <v>0</v>
      </c>
      <c r="IQ31" s="524">
        <f t="shared" si="193"/>
        <v>0</v>
      </c>
      <c r="IR31" s="522"/>
      <c r="IS31" s="523">
        <f t="shared" si="82"/>
        <v>0</v>
      </c>
      <c r="IT31" s="524">
        <f t="shared" si="194"/>
        <v>0</v>
      </c>
      <c r="IU31" s="522"/>
      <c r="IV31" s="523">
        <f t="shared" si="83"/>
        <v>0</v>
      </c>
      <c r="IW31" s="524">
        <f t="shared" si="195"/>
        <v>0</v>
      </c>
      <c r="IX31" s="522"/>
      <c r="IY31" s="523">
        <f t="shared" si="84"/>
        <v>0</v>
      </c>
      <c r="IZ31" s="524">
        <f t="shared" si="196"/>
        <v>0</v>
      </c>
      <c r="JA31" s="522"/>
      <c r="JB31" s="523">
        <f t="shared" si="85"/>
        <v>0</v>
      </c>
      <c r="JC31" s="524">
        <f t="shared" si="197"/>
        <v>0</v>
      </c>
      <c r="JD31" s="522"/>
      <c r="JE31" s="523">
        <f t="shared" si="86"/>
        <v>0</v>
      </c>
      <c r="JF31" s="524">
        <f t="shared" si="198"/>
        <v>0</v>
      </c>
      <c r="JG31" s="522"/>
      <c r="JH31" s="523">
        <f t="shared" si="87"/>
        <v>0</v>
      </c>
      <c r="JI31" s="524">
        <f t="shared" si="199"/>
        <v>0</v>
      </c>
      <c r="JJ31" s="522"/>
      <c r="JK31" s="524" t="str">
        <f t="shared" si="88"/>
        <v>0</v>
      </c>
      <c r="JL31" s="524" t="str">
        <f t="shared" si="89"/>
        <v>0</v>
      </c>
      <c r="JM31" s="522"/>
      <c r="JN31" s="524" t="str">
        <f t="shared" si="90"/>
        <v>0</v>
      </c>
      <c r="JO31" s="524" t="str">
        <f t="shared" si="91"/>
        <v>0</v>
      </c>
      <c r="JP31" s="522"/>
      <c r="JQ31" s="524" t="str">
        <f t="shared" si="92"/>
        <v>0</v>
      </c>
      <c r="JR31" s="524" t="str">
        <f t="shared" si="93"/>
        <v>0</v>
      </c>
      <c r="JS31" s="522"/>
      <c r="JT31" s="524" t="str">
        <f t="shared" si="94"/>
        <v>0</v>
      </c>
      <c r="JU31" s="524" t="str">
        <f t="shared" si="95"/>
        <v>0</v>
      </c>
      <c r="JV31" s="522"/>
      <c r="JW31" s="524" t="str">
        <f t="shared" si="96"/>
        <v>0</v>
      </c>
      <c r="JX31" s="524" t="str">
        <f t="shared" si="97"/>
        <v>0</v>
      </c>
      <c r="JY31" s="522"/>
      <c r="JZ31" s="524" t="str">
        <f t="shared" si="98"/>
        <v>0</v>
      </c>
      <c r="KA31" s="524" t="str">
        <f t="shared" si="99"/>
        <v>0</v>
      </c>
      <c r="KB31" s="522"/>
      <c r="KC31" s="524" t="str">
        <f t="shared" si="100"/>
        <v>0</v>
      </c>
      <c r="KD31" s="524" t="str">
        <f t="shared" si="101"/>
        <v>0</v>
      </c>
      <c r="KE31" s="522"/>
      <c r="KF31" s="524" t="str">
        <f t="shared" si="102"/>
        <v>0</v>
      </c>
      <c r="KG31" s="524" t="str">
        <f t="shared" si="103"/>
        <v>0</v>
      </c>
      <c r="KH31" s="522"/>
      <c r="KI31" s="524" t="str">
        <f t="shared" si="104"/>
        <v>0</v>
      </c>
      <c r="KJ31" s="524" t="str">
        <f t="shared" si="105"/>
        <v>0</v>
      </c>
      <c r="KK31" s="522"/>
      <c r="KL31" s="524" t="str">
        <f t="shared" si="106"/>
        <v>0</v>
      </c>
      <c r="KM31" s="524" t="str">
        <f t="shared" si="107"/>
        <v>0</v>
      </c>
      <c r="KN31" s="522"/>
      <c r="KO31" s="524" t="str">
        <f t="shared" si="108"/>
        <v>0</v>
      </c>
      <c r="KP31" s="524" t="str">
        <f t="shared" si="109"/>
        <v>0</v>
      </c>
      <c r="KQ31" s="522"/>
      <c r="KR31" s="524" t="str">
        <f t="shared" si="110"/>
        <v>0</v>
      </c>
      <c r="KS31" s="524" t="str">
        <f t="shared" si="111"/>
        <v>0</v>
      </c>
      <c r="KT31" s="524">
        <f t="shared" si="201"/>
        <v>0</v>
      </c>
      <c r="KU31" s="524">
        <f t="shared" si="202"/>
        <v>0</v>
      </c>
      <c r="KV31" s="261">
        <f t="shared" si="204"/>
        <v>282.33525342430158</v>
      </c>
    </row>
    <row r="32" spans="1:308">
      <c r="A32" s="262">
        <f t="shared" si="200"/>
        <v>46015</v>
      </c>
      <c r="B32" s="263" t="str">
        <f>+Report1!B32</f>
        <v>Toilet</v>
      </c>
      <c r="C32" s="263" t="str">
        <f>+Report1!C32</f>
        <v>14</v>
      </c>
      <c r="D32" s="264">
        <f>+Report1!P32</f>
        <v>41.698999999999998</v>
      </c>
      <c r="E32" s="560">
        <f>+Report1!R32</f>
        <v>40.146000000000001</v>
      </c>
      <c r="F32" s="522"/>
      <c r="G32" s="523">
        <f t="shared" si="0"/>
        <v>0</v>
      </c>
      <c r="H32" s="524">
        <f t="shared" si="113"/>
        <v>0</v>
      </c>
      <c r="I32" s="522">
        <v>17.441860465116292</v>
      </c>
      <c r="J32" s="523">
        <f t="shared" si="1"/>
        <v>0.43446072996354035</v>
      </c>
      <c r="K32" s="524">
        <f t="shared" si="114"/>
        <v>0</v>
      </c>
      <c r="L32" s="522"/>
      <c r="M32" s="523">
        <f t="shared" si="2"/>
        <v>0</v>
      </c>
      <c r="N32" s="524">
        <f t="shared" si="115"/>
        <v>0</v>
      </c>
      <c r="O32" s="522">
        <v>4.4999999999999929</v>
      </c>
      <c r="P32" s="523">
        <f t="shared" si="3"/>
        <v>0.11209086833059316</v>
      </c>
      <c r="Q32" s="524">
        <f t="shared" si="116"/>
        <v>0</v>
      </c>
      <c r="R32" s="522"/>
      <c r="S32" s="523">
        <f t="shared" si="4"/>
        <v>0</v>
      </c>
      <c r="T32" s="524">
        <f t="shared" si="117"/>
        <v>0</v>
      </c>
      <c r="U32" s="522">
        <v>6.40625</v>
      </c>
      <c r="V32" s="523">
        <f t="shared" si="5"/>
        <v>0.15957380560952522</v>
      </c>
      <c r="W32" s="524">
        <f t="shared" si="118"/>
        <v>0</v>
      </c>
      <c r="X32" s="522"/>
      <c r="Y32" s="523">
        <f t="shared" si="6"/>
        <v>0</v>
      </c>
      <c r="Z32" s="524">
        <f t="shared" si="119"/>
        <v>0</v>
      </c>
      <c r="AA32" s="522">
        <v>15.625</v>
      </c>
      <c r="AB32" s="523">
        <f t="shared" si="7"/>
        <v>0.38920440392567129</v>
      </c>
      <c r="AC32" s="524">
        <f t="shared" si="120"/>
        <v>0</v>
      </c>
      <c r="AD32" s="522"/>
      <c r="AE32" s="523">
        <f t="shared" si="8"/>
        <v>0</v>
      </c>
      <c r="AF32" s="524">
        <f t="shared" si="121"/>
        <v>0</v>
      </c>
      <c r="AG32" s="522"/>
      <c r="AH32" s="523">
        <f t="shared" si="9"/>
        <v>0</v>
      </c>
      <c r="AI32" s="524">
        <f t="shared" si="122"/>
        <v>0</v>
      </c>
      <c r="AJ32" s="522"/>
      <c r="AK32" s="523">
        <f t="shared" si="10"/>
        <v>0</v>
      </c>
      <c r="AL32" s="524">
        <f t="shared" si="123"/>
        <v>0</v>
      </c>
      <c r="AM32" s="522"/>
      <c r="AN32" s="523">
        <f t="shared" si="11"/>
        <v>0</v>
      </c>
      <c r="AO32" s="524">
        <f t="shared" si="124"/>
        <v>0</v>
      </c>
      <c r="AP32" s="522">
        <v>25.632911392405077</v>
      </c>
      <c r="AQ32" s="523">
        <f t="shared" si="12"/>
        <v>0.63849228795907631</v>
      </c>
      <c r="AR32" s="524">
        <f t="shared" si="125"/>
        <v>0</v>
      </c>
      <c r="AS32" s="522"/>
      <c r="AT32" s="523">
        <f t="shared" si="13"/>
        <v>0</v>
      </c>
      <c r="AU32" s="524">
        <f t="shared" si="126"/>
        <v>0</v>
      </c>
      <c r="AV32" s="522"/>
      <c r="AW32" s="523">
        <f t="shared" si="14"/>
        <v>0</v>
      </c>
      <c r="AX32" s="524">
        <f t="shared" si="127"/>
        <v>0</v>
      </c>
      <c r="AY32" s="522">
        <v>49</v>
      </c>
      <c r="AZ32" s="523">
        <f t="shared" si="15"/>
        <v>1.2205450107109053</v>
      </c>
      <c r="BA32" s="524">
        <f t="shared" si="128"/>
        <v>0</v>
      </c>
      <c r="BB32" s="522"/>
      <c r="BC32" s="523">
        <f t="shared" si="16"/>
        <v>0</v>
      </c>
      <c r="BD32" s="524">
        <f t="shared" si="129"/>
        <v>0</v>
      </c>
      <c r="BE32" s="522"/>
      <c r="BF32" s="523">
        <f t="shared" si="17"/>
        <v>0</v>
      </c>
      <c r="BG32" s="524">
        <f t="shared" si="130"/>
        <v>0</v>
      </c>
      <c r="BH32" s="522"/>
      <c r="BI32" s="523">
        <f t="shared" si="18"/>
        <v>0</v>
      </c>
      <c r="BJ32" s="524">
        <f t="shared" si="131"/>
        <v>0</v>
      </c>
      <c r="BK32" s="522"/>
      <c r="BL32" s="523">
        <f t="shared" si="19"/>
        <v>0</v>
      </c>
      <c r="BM32" s="524">
        <f t="shared" si="132"/>
        <v>0</v>
      </c>
      <c r="BN32" s="522"/>
      <c r="BO32" s="523">
        <f t="shared" si="20"/>
        <v>0</v>
      </c>
      <c r="BP32" s="524">
        <f t="shared" si="133"/>
        <v>0</v>
      </c>
      <c r="BQ32" s="522"/>
      <c r="BR32" s="523">
        <f t="shared" si="21"/>
        <v>0</v>
      </c>
      <c r="BS32" s="524">
        <f t="shared" si="134"/>
        <v>0</v>
      </c>
      <c r="BT32" s="522"/>
      <c r="BU32" s="523">
        <f t="shared" si="22"/>
        <v>0</v>
      </c>
      <c r="BV32" s="524">
        <f t="shared" si="135"/>
        <v>0</v>
      </c>
      <c r="BW32" s="522"/>
      <c r="BX32" s="523">
        <f t="shared" si="23"/>
        <v>0</v>
      </c>
      <c r="BY32" s="524">
        <f t="shared" si="136"/>
        <v>0</v>
      </c>
      <c r="BZ32" s="522"/>
      <c r="CA32" s="523">
        <f t="shared" si="24"/>
        <v>0</v>
      </c>
      <c r="CB32" s="524">
        <f t="shared" si="137"/>
        <v>0</v>
      </c>
      <c r="CC32" s="522"/>
      <c r="CD32" s="523">
        <f t="shared" si="25"/>
        <v>0</v>
      </c>
      <c r="CE32" s="524">
        <f t="shared" si="138"/>
        <v>0</v>
      </c>
      <c r="CF32" s="522">
        <v>1</v>
      </c>
      <c r="CG32" s="523">
        <f t="shared" si="26"/>
        <v>2.4909081851242961E-2</v>
      </c>
      <c r="CH32" s="524">
        <f t="shared" si="139"/>
        <v>0</v>
      </c>
      <c r="CI32" s="522"/>
      <c r="CJ32" s="523">
        <f t="shared" si="27"/>
        <v>0</v>
      </c>
      <c r="CK32" s="524">
        <f t="shared" si="140"/>
        <v>0</v>
      </c>
      <c r="CL32" s="522"/>
      <c r="CM32" s="523">
        <f t="shared" si="28"/>
        <v>0</v>
      </c>
      <c r="CN32" s="524">
        <f t="shared" si="141"/>
        <v>0</v>
      </c>
      <c r="CO32" s="522"/>
      <c r="CP32" s="523">
        <f t="shared" si="29"/>
        <v>0</v>
      </c>
      <c r="CQ32" s="524">
        <f t="shared" si="142"/>
        <v>0</v>
      </c>
      <c r="CR32" s="522"/>
      <c r="CS32" s="523">
        <f t="shared" si="30"/>
        <v>0</v>
      </c>
      <c r="CT32" s="524">
        <f t="shared" si="143"/>
        <v>0</v>
      </c>
      <c r="CU32" s="522"/>
      <c r="CV32" s="523">
        <f t="shared" si="31"/>
        <v>0</v>
      </c>
      <c r="CW32" s="524">
        <f t="shared" si="144"/>
        <v>0</v>
      </c>
      <c r="CX32" s="522"/>
      <c r="CY32" s="523">
        <f t="shared" si="32"/>
        <v>0</v>
      </c>
      <c r="CZ32" s="524">
        <f t="shared" si="145"/>
        <v>0</v>
      </c>
      <c r="DA32" s="522">
        <v>101.74418604651169</v>
      </c>
      <c r="DB32" s="523">
        <f t="shared" si="33"/>
        <v>2.5343542581206515</v>
      </c>
      <c r="DC32" s="524">
        <f t="shared" si="146"/>
        <v>0</v>
      </c>
      <c r="DD32" s="522"/>
      <c r="DE32" s="523">
        <f t="shared" si="34"/>
        <v>0</v>
      </c>
      <c r="DF32" s="524">
        <f t="shared" si="147"/>
        <v>0</v>
      </c>
      <c r="DG32" s="522"/>
      <c r="DH32" s="523">
        <f t="shared" si="35"/>
        <v>0</v>
      </c>
      <c r="DI32" s="524">
        <f t="shared" si="203"/>
        <v>0</v>
      </c>
      <c r="DJ32" s="522"/>
      <c r="DK32" s="523">
        <f t="shared" si="36"/>
        <v>0</v>
      </c>
      <c r="DL32" s="524">
        <f t="shared" si="148"/>
        <v>0</v>
      </c>
      <c r="DM32" s="522"/>
      <c r="DN32" s="523">
        <f t="shared" si="37"/>
        <v>0</v>
      </c>
      <c r="DO32" s="524">
        <f t="shared" si="149"/>
        <v>0</v>
      </c>
      <c r="DP32" s="522"/>
      <c r="DQ32" s="523">
        <f t="shared" si="38"/>
        <v>0</v>
      </c>
      <c r="DR32" s="524">
        <f t="shared" si="150"/>
        <v>0</v>
      </c>
      <c r="DS32" s="522"/>
      <c r="DT32" s="523">
        <f t="shared" si="39"/>
        <v>0</v>
      </c>
      <c r="DU32" s="524">
        <f t="shared" si="151"/>
        <v>0</v>
      </c>
      <c r="DV32" s="522"/>
      <c r="DW32" s="523">
        <f t="shared" si="40"/>
        <v>0</v>
      </c>
      <c r="DX32" s="524">
        <f t="shared" si="152"/>
        <v>0</v>
      </c>
      <c r="DY32" s="522"/>
      <c r="DZ32" s="523">
        <f t="shared" si="41"/>
        <v>0</v>
      </c>
      <c r="EA32" s="524">
        <f t="shared" si="153"/>
        <v>0</v>
      </c>
      <c r="EB32" s="522"/>
      <c r="EC32" s="523">
        <f t="shared" si="42"/>
        <v>0</v>
      </c>
      <c r="ED32" s="524">
        <f t="shared" si="154"/>
        <v>0</v>
      </c>
      <c r="EE32" s="522">
        <v>58.705882352941103</v>
      </c>
      <c r="EF32" s="523">
        <f t="shared" si="43"/>
        <v>1.4623096286788497</v>
      </c>
      <c r="EG32" s="524">
        <f t="shared" si="155"/>
        <v>0</v>
      </c>
      <c r="EH32" s="522"/>
      <c r="EI32" s="523">
        <f t="shared" si="44"/>
        <v>0</v>
      </c>
      <c r="EJ32" s="524">
        <f t="shared" si="156"/>
        <v>0</v>
      </c>
      <c r="EK32" s="522">
        <v>43.604651162790731</v>
      </c>
      <c r="EL32" s="523">
        <f t="shared" si="45"/>
        <v>1.0861518249088509</v>
      </c>
      <c r="EM32" s="524">
        <f t="shared" si="157"/>
        <v>0</v>
      </c>
      <c r="EN32" s="522"/>
      <c r="EO32" s="523">
        <f t="shared" si="46"/>
        <v>0</v>
      </c>
      <c r="EP32" s="524">
        <f t="shared" si="158"/>
        <v>0</v>
      </c>
      <c r="EQ32" s="522"/>
      <c r="ER32" s="523">
        <f t="shared" si="47"/>
        <v>0</v>
      </c>
      <c r="ES32" s="524">
        <f t="shared" si="159"/>
        <v>0</v>
      </c>
      <c r="ET32" s="522"/>
      <c r="EU32" s="523">
        <f t="shared" si="48"/>
        <v>0</v>
      </c>
      <c r="EV32" s="524">
        <f t="shared" si="160"/>
        <v>0</v>
      </c>
      <c r="EW32" s="522"/>
      <c r="EX32" s="523">
        <f t="shared" si="49"/>
        <v>0</v>
      </c>
      <c r="EY32" s="524">
        <f t="shared" si="161"/>
        <v>0</v>
      </c>
      <c r="EZ32" s="522"/>
      <c r="FA32" s="523">
        <f t="shared" si="50"/>
        <v>0</v>
      </c>
      <c r="FB32" s="524">
        <f t="shared" si="162"/>
        <v>0</v>
      </c>
      <c r="FC32" s="522"/>
      <c r="FD32" s="523">
        <f t="shared" si="51"/>
        <v>0</v>
      </c>
      <c r="FE32" s="524">
        <f t="shared" si="163"/>
        <v>0</v>
      </c>
      <c r="FF32" s="522"/>
      <c r="FG32" s="523">
        <f t="shared" si="52"/>
        <v>0</v>
      </c>
      <c r="FH32" s="524">
        <f t="shared" si="164"/>
        <v>0</v>
      </c>
      <c r="FI32" s="522"/>
      <c r="FJ32" s="523">
        <f t="shared" si="53"/>
        <v>0</v>
      </c>
      <c r="FK32" s="524">
        <f t="shared" si="165"/>
        <v>0</v>
      </c>
      <c r="FL32" s="522"/>
      <c r="FM32" s="523">
        <f t="shared" si="54"/>
        <v>0</v>
      </c>
      <c r="FN32" s="524">
        <f t="shared" si="166"/>
        <v>0</v>
      </c>
      <c r="FO32" s="522"/>
      <c r="FP32" s="523">
        <f t="shared" si="55"/>
        <v>0</v>
      </c>
      <c r="FQ32" s="524">
        <f t="shared" si="167"/>
        <v>0</v>
      </c>
      <c r="FR32" s="522"/>
      <c r="FS32" s="523">
        <f t="shared" si="56"/>
        <v>0</v>
      </c>
      <c r="FT32" s="524">
        <f t="shared" si="168"/>
        <v>0</v>
      </c>
      <c r="FU32" s="522"/>
      <c r="FV32" s="523">
        <f t="shared" si="57"/>
        <v>0</v>
      </c>
      <c r="FW32" s="524">
        <f t="shared" si="169"/>
        <v>0</v>
      </c>
      <c r="FX32" s="522"/>
      <c r="FY32" s="523">
        <f t="shared" si="58"/>
        <v>0</v>
      </c>
      <c r="FZ32" s="524">
        <f t="shared" si="170"/>
        <v>0</v>
      </c>
      <c r="GA32" s="522"/>
      <c r="GB32" s="523">
        <f t="shared" si="59"/>
        <v>0</v>
      </c>
      <c r="GC32" s="524">
        <f t="shared" si="171"/>
        <v>0</v>
      </c>
      <c r="GD32" s="522"/>
      <c r="GE32" s="523">
        <f t="shared" si="60"/>
        <v>0</v>
      </c>
      <c r="GF32" s="524">
        <f t="shared" si="172"/>
        <v>0</v>
      </c>
      <c r="GG32" s="522"/>
      <c r="GH32" s="523">
        <f t="shared" si="61"/>
        <v>0</v>
      </c>
      <c r="GI32" s="524">
        <f t="shared" si="173"/>
        <v>0</v>
      </c>
      <c r="GJ32" s="522"/>
      <c r="GK32" s="523">
        <f t="shared" si="62"/>
        <v>0</v>
      </c>
      <c r="GL32" s="524">
        <f t="shared" si="174"/>
        <v>0</v>
      </c>
      <c r="GM32" s="522"/>
      <c r="GN32" s="523">
        <f t="shared" si="63"/>
        <v>0</v>
      </c>
      <c r="GO32" s="524">
        <f t="shared" si="175"/>
        <v>0</v>
      </c>
      <c r="GP32" s="522"/>
      <c r="GQ32" s="523">
        <f t="shared" si="64"/>
        <v>0</v>
      </c>
      <c r="GR32" s="524">
        <f t="shared" si="176"/>
        <v>0</v>
      </c>
      <c r="GS32" s="522"/>
      <c r="GT32" s="523">
        <f t="shared" si="65"/>
        <v>0</v>
      </c>
      <c r="GU32" s="524">
        <f t="shared" si="177"/>
        <v>0</v>
      </c>
      <c r="GV32" s="522"/>
      <c r="GW32" s="523">
        <f t="shared" si="66"/>
        <v>0</v>
      </c>
      <c r="GX32" s="524">
        <f t="shared" si="178"/>
        <v>0</v>
      </c>
      <c r="GY32" s="522"/>
      <c r="GZ32" s="523">
        <f t="shared" si="67"/>
        <v>0</v>
      </c>
      <c r="HA32" s="524">
        <f t="shared" si="179"/>
        <v>0</v>
      </c>
      <c r="HB32" s="522"/>
      <c r="HC32" s="523">
        <f t="shared" si="68"/>
        <v>0</v>
      </c>
      <c r="HD32" s="524">
        <f t="shared" si="180"/>
        <v>0</v>
      </c>
      <c r="HE32" s="522"/>
      <c r="HF32" s="523">
        <f t="shared" si="69"/>
        <v>0</v>
      </c>
      <c r="HG32" s="524">
        <f t="shared" si="181"/>
        <v>0</v>
      </c>
      <c r="HH32" s="522"/>
      <c r="HI32" s="523">
        <f t="shared" si="70"/>
        <v>0</v>
      </c>
      <c r="HJ32" s="524">
        <f t="shared" si="182"/>
        <v>0</v>
      </c>
      <c r="HK32" s="522"/>
      <c r="HL32" s="523">
        <f t="shared" si="71"/>
        <v>0</v>
      </c>
      <c r="HM32" s="524">
        <f t="shared" si="183"/>
        <v>0</v>
      </c>
      <c r="HN32" s="522"/>
      <c r="HO32" s="523">
        <f t="shared" si="72"/>
        <v>0</v>
      </c>
      <c r="HP32" s="524">
        <f t="shared" si="184"/>
        <v>0</v>
      </c>
      <c r="HQ32" s="522"/>
      <c r="HR32" s="523">
        <f t="shared" si="73"/>
        <v>0</v>
      </c>
      <c r="HS32" s="524">
        <f t="shared" si="185"/>
        <v>0</v>
      </c>
      <c r="HT32" s="522"/>
      <c r="HU32" s="523">
        <f t="shared" si="74"/>
        <v>0</v>
      </c>
      <c r="HV32" s="524">
        <f t="shared" si="186"/>
        <v>0</v>
      </c>
      <c r="HW32" s="522"/>
      <c r="HX32" s="523">
        <f t="shared" si="75"/>
        <v>0</v>
      </c>
      <c r="HY32" s="524">
        <f t="shared" si="187"/>
        <v>0</v>
      </c>
      <c r="HZ32" s="522"/>
      <c r="IA32" s="523">
        <f t="shared" si="76"/>
        <v>0</v>
      </c>
      <c r="IB32" s="524">
        <f t="shared" si="188"/>
        <v>0</v>
      </c>
      <c r="IC32" s="522"/>
      <c r="ID32" s="523">
        <f t="shared" si="77"/>
        <v>0</v>
      </c>
      <c r="IE32" s="524">
        <f t="shared" si="189"/>
        <v>0</v>
      </c>
      <c r="IF32" s="522"/>
      <c r="IG32" s="523">
        <f t="shared" si="78"/>
        <v>0</v>
      </c>
      <c r="IH32" s="524">
        <f t="shared" si="190"/>
        <v>0</v>
      </c>
      <c r="II32" s="522"/>
      <c r="IJ32" s="523">
        <f t="shared" si="79"/>
        <v>0</v>
      </c>
      <c r="IK32" s="524">
        <f t="shared" si="191"/>
        <v>0</v>
      </c>
      <c r="IL32" s="522"/>
      <c r="IM32" s="523">
        <f t="shared" si="80"/>
        <v>0</v>
      </c>
      <c r="IN32" s="524">
        <f t="shared" si="192"/>
        <v>0</v>
      </c>
      <c r="IO32" s="522"/>
      <c r="IP32" s="523">
        <f t="shared" si="81"/>
        <v>0</v>
      </c>
      <c r="IQ32" s="524">
        <f t="shared" si="193"/>
        <v>0</v>
      </c>
      <c r="IR32" s="522"/>
      <c r="IS32" s="523">
        <f t="shared" si="82"/>
        <v>0</v>
      </c>
      <c r="IT32" s="524">
        <f t="shared" si="194"/>
        <v>0</v>
      </c>
      <c r="IU32" s="522"/>
      <c r="IV32" s="523">
        <f t="shared" si="83"/>
        <v>0</v>
      </c>
      <c r="IW32" s="524">
        <f t="shared" si="195"/>
        <v>0</v>
      </c>
      <c r="IX32" s="522"/>
      <c r="IY32" s="523">
        <f t="shared" si="84"/>
        <v>0</v>
      </c>
      <c r="IZ32" s="524">
        <f t="shared" si="196"/>
        <v>0</v>
      </c>
      <c r="JA32" s="522"/>
      <c r="JB32" s="523">
        <f t="shared" si="85"/>
        <v>0</v>
      </c>
      <c r="JC32" s="524">
        <f t="shared" si="197"/>
        <v>0</v>
      </c>
      <c r="JD32" s="522"/>
      <c r="JE32" s="523">
        <f t="shared" si="86"/>
        <v>0</v>
      </c>
      <c r="JF32" s="524">
        <f t="shared" si="198"/>
        <v>0</v>
      </c>
      <c r="JG32" s="522"/>
      <c r="JH32" s="523">
        <f t="shared" si="87"/>
        <v>0</v>
      </c>
      <c r="JI32" s="524">
        <f t="shared" si="199"/>
        <v>0</v>
      </c>
      <c r="JJ32" s="522"/>
      <c r="JK32" s="524" t="str">
        <f t="shared" si="88"/>
        <v>0</v>
      </c>
      <c r="JL32" s="524" t="str">
        <f t="shared" si="89"/>
        <v>0</v>
      </c>
      <c r="JM32" s="522"/>
      <c r="JN32" s="524" t="str">
        <f t="shared" si="90"/>
        <v>0</v>
      </c>
      <c r="JO32" s="524" t="str">
        <f t="shared" si="91"/>
        <v>0</v>
      </c>
      <c r="JP32" s="522"/>
      <c r="JQ32" s="524" t="str">
        <f t="shared" si="92"/>
        <v>0</v>
      </c>
      <c r="JR32" s="524" t="str">
        <f t="shared" si="93"/>
        <v>0</v>
      </c>
      <c r="JS32" s="522"/>
      <c r="JT32" s="524" t="str">
        <f t="shared" si="94"/>
        <v>0</v>
      </c>
      <c r="JU32" s="524" t="str">
        <f t="shared" si="95"/>
        <v>0</v>
      </c>
      <c r="JV32" s="522"/>
      <c r="JW32" s="524" t="str">
        <f t="shared" si="96"/>
        <v>0</v>
      </c>
      <c r="JX32" s="524" t="str">
        <f t="shared" si="97"/>
        <v>0</v>
      </c>
      <c r="JY32" s="522"/>
      <c r="JZ32" s="524" t="str">
        <f t="shared" si="98"/>
        <v>0</v>
      </c>
      <c r="KA32" s="524" t="str">
        <f t="shared" si="99"/>
        <v>0</v>
      </c>
      <c r="KB32" s="522"/>
      <c r="KC32" s="524" t="str">
        <f t="shared" si="100"/>
        <v>0</v>
      </c>
      <c r="KD32" s="524" t="str">
        <f t="shared" si="101"/>
        <v>0</v>
      </c>
      <c r="KE32" s="522"/>
      <c r="KF32" s="524" t="str">
        <f t="shared" si="102"/>
        <v>0</v>
      </c>
      <c r="KG32" s="524" t="str">
        <f t="shared" si="103"/>
        <v>0</v>
      </c>
      <c r="KH32" s="522"/>
      <c r="KI32" s="524" t="str">
        <f t="shared" si="104"/>
        <v>0</v>
      </c>
      <c r="KJ32" s="524" t="str">
        <f t="shared" si="105"/>
        <v>0</v>
      </c>
      <c r="KK32" s="522"/>
      <c r="KL32" s="524" t="str">
        <f t="shared" si="106"/>
        <v>0</v>
      </c>
      <c r="KM32" s="524" t="str">
        <f t="shared" si="107"/>
        <v>0</v>
      </c>
      <c r="KN32" s="522"/>
      <c r="KO32" s="524" t="str">
        <f t="shared" si="108"/>
        <v>0</v>
      </c>
      <c r="KP32" s="524" t="str">
        <f t="shared" si="109"/>
        <v>0</v>
      </c>
      <c r="KQ32" s="522"/>
      <c r="KR32" s="524" t="str">
        <f t="shared" si="110"/>
        <v>0</v>
      </c>
      <c r="KS32" s="524" t="str">
        <f t="shared" si="111"/>
        <v>0</v>
      </c>
      <c r="KT32" s="524">
        <f t="shared" si="201"/>
        <v>0</v>
      </c>
      <c r="KU32" s="524">
        <f t="shared" si="202"/>
        <v>0</v>
      </c>
      <c r="KV32" s="261">
        <f t="shared" si="204"/>
        <v>323.66074141976486</v>
      </c>
    </row>
    <row r="33" spans="1:308" ht="15" customHeight="1">
      <c r="A33" s="262">
        <f t="shared" si="200"/>
        <v>46016</v>
      </c>
      <c r="B33" s="263" t="str">
        <f>+Report1!B33</f>
        <v>Toilet</v>
      </c>
      <c r="C33" s="263" t="str">
        <f>+Report1!C33</f>
        <v>14/13</v>
      </c>
      <c r="D33" s="264">
        <f>+Report1!P33</f>
        <v>41.521000000000001</v>
      </c>
      <c r="E33" s="560">
        <f>+Report1!R33</f>
        <v>40.588999999999999</v>
      </c>
      <c r="F33" s="522"/>
      <c r="G33" s="523">
        <f t="shared" si="0"/>
        <v>0</v>
      </c>
      <c r="H33" s="524">
        <f t="shared" si="113"/>
        <v>0</v>
      </c>
      <c r="I33" s="522">
        <v>17.441860465116292</v>
      </c>
      <c r="J33" s="523">
        <f t="shared" si="1"/>
        <v>0.42971890081342956</v>
      </c>
      <c r="K33" s="524">
        <f t="shared" si="114"/>
        <v>0</v>
      </c>
      <c r="L33" s="522"/>
      <c r="M33" s="523">
        <f t="shared" si="2"/>
        <v>0</v>
      </c>
      <c r="N33" s="524">
        <f t="shared" si="115"/>
        <v>0</v>
      </c>
      <c r="O33" s="522">
        <v>4.4999999999999929</v>
      </c>
      <c r="P33" s="523">
        <f t="shared" si="3"/>
        <v>0.11086747640986457</v>
      </c>
      <c r="Q33" s="524">
        <f t="shared" si="116"/>
        <v>0</v>
      </c>
      <c r="R33" s="522"/>
      <c r="S33" s="523">
        <f t="shared" si="4"/>
        <v>0</v>
      </c>
      <c r="T33" s="524">
        <f t="shared" si="117"/>
        <v>0</v>
      </c>
      <c r="U33" s="522">
        <v>6.40625</v>
      </c>
      <c r="V33" s="523">
        <f t="shared" si="5"/>
        <v>0.15783217127793245</v>
      </c>
      <c r="W33" s="524">
        <f t="shared" si="118"/>
        <v>0</v>
      </c>
      <c r="X33" s="522"/>
      <c r="Y33" s="523">
        <f t="shared" si="6"/>
        <v>0</v>
      </c>
      <c r="Z33" s="524">
        <f t="shared" si="119"/>
        <v>0</v>
      </c>
      <c r="AA33" s="522">
        <v>15.625</v>
      </c>
      <c r="AB33" s="523">
        <f t="shared" si="7"/>
        <v>0.38495651531203035</v>
      </c>
      <c r="AC33" s="524">
        <f t="shared" si="120"/>
        <v>0</v>
      </c>
      <c r="AD33" s="522"/>
      <c r="AE33" s="523">
        <f t="shared" si="8"/>
        <v>0</v>
      </c>
      <c r="AF33" s="524">
        <f t="shared" si="121"/>
        <v>0</v>
      </c>
      <c r="AG33" s="522"/>
      <c r="AH33" s="523">
        <f t="shared" si="9"/>
        <v>0</v>
      </c>
      <c r="AI33" s="524">
        <f t="shared" si="122"/>
        <v>0</v>
      </c>
      <c r="AJ33" s="522"/>
      <c r="AK33" s="523">
        <f t="shared" si="10"/>
        <v>0</v>
      </c>
      <c r="AL33" s="524">
        <f t="shared" si="123"/>
        <v>0</v>
      </c>
      <c r="AM33" s="522"/>
      <c r="AN33" s="523">
        <f t="shared" si="11"/>
        <v>0</v>
      </c>
      <c r="AO33" s="524">
        <f t="shared" si="124"/>
        <v>0</v>
      </c>
      <c r="AP33" s="522">
        <v>25.632911392405077</v>
      </c>
      <c r="AQ33" s="523">
        <f t="shared" si="12"/>
        <v>0.63152359980302741</v>
      </c>
      <c r="AR33" s="524">
        <f t="shared" si="125"/>
        <v>0</v>
      </c>
      <c r="AS33" s="522"/>
      <c r="AT33" s="523">
        <f t="shared" si="13"/>
        <v>0</v>
      </c>
      <c r="AU33" s="524">
        <f t="shared" si="126"/>
        <v>0</v>
      </c>
      <c r="AV33" s="522"/>
      <c r="AW33" s="523">
        <f t="shared" si="14"/>
        <v>0</v>
      </c>
      <c r="AX33" s="524">
        <f t="shared" si="127"/>
        <v>0</v>
      </c>
      <c r="AY33" s="522">
        <v>49</v>
      </c>
      <c r="AZ33" s="523">
        <f t="shared" si="15"/>
        <v>1.2072236320185272</v>
      </c>
      <c r="BA33" s="524">
        <f t="shared" si="128"/>
        <v>0</v>
      </c>
      <c r="BB33" s="522"/>
      <c r="BC33" s="523">
        <f t="shared" si="16"/>
        <v>0</v>
      </c>
      <c r="BD33" s="524">
        <f t="shared" si="129"/>
        <v>0</v>
      </c>
      <c r="BE33" s="522"/>
      <c r="BF33" s="523">
        <f t="shared" si="17"/>
        <v>0</v>
      </c>
      <c r="BG33" s="524">
        <f t="shared" si="130"/>
        <v>0</v>
      </c>
      <c r="BH33" s="522"/>
      <c r="BI33" s="523">
        <f t="shared" si="18"/>
        <v>0</v>
      </c>
      <c r="BJ33" s="524">
        <f t="shared" si="131"/>
        <v>0</v>
      </c>
      <c r="BK33" s="522"/>
      <c r="BL33" s="523">
        <f t="shared" si="19"/>
        <v>0</v>
      </c>
      <c r="BM33" s="524">
        <f t="shared" si="132"/>
        <v>0</v>
      </c>
      <c r="BN33" s="522"/>
      <c r="BO33" s="523">
        <f t="shared" si="20"/>
        <v>0</v>
      </c>
      <c r="BP33" s="524">
        <f t="shared" si="133"/>
        <v>0</v>
      </c>
      <c r="BQ33" s="522"/>
      <c r="BR33" s="523">
        <f t="shared" si="21"/>
        <v>0</v>
      </c>
      <c r="BS33" s="524">
        <f t="shared" si="134"/>
        <v>0</v>
      </c>
      <c r="BT33" s="522"/>
      <c r="BU33" s="523">
        <f t="shared" si="22"/>
        <v>0</v>
      </c>
      <c r="BV33" s="524">
        <f t="shared" si="135"/>
        <v>0</v>
      </c>
      <c r="BW33" s="522"/>
      <c r="BX33" s="523">
        <f t="shared" si="23"/>
        <v>0</v>
      </c>
      <c r="BY33" s="524">
        <f t="shared" si="136"/>
        <v>0</v>
      </c>
      <c r="BZ33" s="522"/>
      <c r="CA33" s="523">
        <f t="shared" si="24"/>
        <v>0</v>
      </c>
      <c r="CB33" s="524">
        <f t="shared" si="137"/>
        <v>0</v>
      </c>
      <c r="CC33" s="522"/>
      <c r="CD33" s="523">
        <f t="shared" si="25"/>
        <v>0</v>
      </c>
      <c r="CE33" s="524">
        <f t="shared" si="138"/>
        <v>0</v>
      </c>
      <c r="CF33" s="522">
        <v>1</v>
      </c>
      <c r="CG33" s="523">
        <f t="shared" si="26"/>
        <v>2.4637216979969942E-2</v>
      </c>
      <c r="CH33" s="524">
        <f t="shared" si="139"/>
        <v>0</v>
      </c>
      <c r="CI33" s="522"/>
      <c r="CJ33" s="523">
        <f t="shared" si="27"/>
        <v>0</v>
      </c>
      <c r="CK33" s="524">
        <f t="shared" si="140"/>
        <v>0</v>
      </c>
      <c r="CL33" s="522"/>
      <c r="CM33" s="523">
        <f t="shared" si="28"/>
        <v>0</v>
      </c>
      <c r="CN33" s="524">
        <f t="shared" si="141"/>
        <v>0</v>
      </c>
      <c r="CO33" s="522"/>
      <c r="CP33" s="523">
        <f t="shared" si="29"/>
        <v>0</v>
      </c>
      <c r="CQ33" s="524">
        <f t="shared" si="142"/>
        <v>0</v>
      </c>
      <c r="CR33" s="522"/>
      <c r="CS33" s="523">
        <f t="shared" si="30"/>
        <v>0</v>
      </c>
      <c r="CT33" s="524">
        <f t="shared" si="143"/>
        <v>0</v>
      </c>
      <c r="CU33" s="522"/>
      <c r="CV33" s="523">
        <f t="shared" si="31"/>
        <v>0</v>
      </c>
      <c r="CW33" s="524">
        <f t="shared" si="144"/>
        <v>0</v>
      </c>
      <c r="CX33" s="522"/>
      <c r="CY33" s="523">
        <f t="shared" si="32"/>
        <v>0</v>
      </c>
      <c r="CZ33" s="524">
        <f t="shared" si="145"/>
        <v>0</v>
      </c>
      <c r="DA33" s="522">
        <v>101.74418604651169</v>
      </c>
      <c r="DB33" s="523">
        <f t="shared" si="33"/>
        <v>2.5066935880783388</v>
      </c>
      <c r="DC33" s="524">
        <f t="shared" si="146"/>
        <v>0</v>
      </c>
      <c r="DD33" s="522"/>
      <c r="DE33" s="523">
        <f t="shared" si="34"/>
        <v>0</v>
      </c>
      <c r="DF33" s="524">
        <f t="shared" si="147"/>
        <v>0</v>
      </c>
      <c r="DG33" s="522"/>
      <c r="DH33" s="523">
        <f t="shared" si="35"/>
        <v>0</v>
      </c>
      <c r="DI33" s="524">
        <f t="shared" si="203"/>
        <v>0</v>
      </c>
      <c r="DJ33" s="522"/>
      <c r="DK33" s="523">
        <f t="shared" si="36"/>
        <v>0</v>
      </c>
      <c r="DL33" s="524">
        <f t="shared" si="148"/>
        <v>0</v>
      </c>
      <c r="DM33" s="522"/>
      <c r="DN33" s="523">
        <f t="shared" si="37"/>
        <v>0</v>
      </c>
      <c r="DO33" s="524">
        <f t="shared" si="149"/>
        <v>0</v>
      </c>
      <c r="DP33" s="522"/>
      <c r="DQ33" s="523">
        <f t="shared" si="38"/>
        <v>0</v>
      </c>
      <c r="DR33" s="524">
        <f t="shared" si="150"/>
        <v>0</v>
      </c>
      <c r="DS33" s="522"/>
      <c r="DT33" s="523">
        <f t="shared" si="39"/>
        <v>0</v>
      </c>
      <c r="DU33" s="524">
        <f t="shared" si="151"/>
        <v>0</v>
      </c>
      <c r="DV33" s="522"/>
      <c r="DW33" s="523">
        <f t="shared" si="40"/>
        <v>0</v>
      </c>
      <c r="DX33" s="524">
        <f t="shared" si="152"/>
        <v>0</v>
      </c>
      <c r="DY33" s="522"/>
      <c r="DZ33" s="523">
        <f t="shared" si="41"/>
        <v>0</v>
      </c>
      <c r="EA33" s="524">
        <f t="shared" si="153"/>
        <v>0</v>
      </c>
      <c r="EB33" s="522"/>
      <c r="EC33" s="523">
        <f t="shared" si="42"/>
        <v>0</v>
      </c>
      <c r="ED33" s="524">
        <f t="shared" si="154"/>
        <v>0</v>
      </c>
      <c r="EE33" s="522">
        <v>58.705882352941103</v>
      </c>
      <c r="EF33" s="523">
        <f t="shared" si="43"/>
        <v>1.4463495615299984</v>
      </c>
      <c r="EG33" s="524">
        <f t="shared" si="155"/>
        <v>0</v>
      </c>
      <c r="EH33" s="522"/>
      <c r="EI33" s="523">
        <f t="shared" si="44"/>
        <v>0</v>
      </c>
      <c r="EJ33" s="524">
        <f t="shared" si="156"/>
        <v>0</v>
      </c>
      <c r="EK33" s="522">
        <v>43.604651162790731</v>
      </c>
      <c r="EL33" s="523">
        <f t="shared" si="45"/>
        <v>1.0742972520335738</v>
      </c>
      <c r="EM33" s="524">
        <f t="shared" si="157"/>
        <v>0</v>
      </c>
      <c r="EN33" s="522"/>
      <c r="EO33" s="523">
        <f t="shared" si="46"/>
        <v>0</v>
      </c>
      <c r="EP33" s="524">
        <f t="shared" si="158"/>
        <v>0</v>
      </c>
      <c r="EQ33" s="522"/>
      <c r="ER33" s="523">
        <f t="shared" si="47"/>
        <v>0</v>
      </c>
      <c r="ES33" s="524">
        <f t="shared" si="159"/>
        <v>0</v>
      </c>
      <c r="ET33" s="522"/>
      <c r="EU33" s="523">
        <f t="shared" si="48"/>
        <v>0</v>
      </c>
      <c r="EV33" s="524">
        <f t="shared" si="160"/>
        <v>0</v>
      </c>
      <c r="EW33" s="522"/>
      <c r="EX33" s="523">
        <f t="shared" si="49"/>
        <v>0</v>
      </c>
      <c r="EY33" s="524">
        <f t="shared" si="161"/>
        <v>0</v>
      </c>
      <c r="EZ33" s="522"/>
      <c r="FA33" s="523">
        <f t="shared" si="50"/>
        <v>0</v>
      </c>
      <c r="FB33" s="524">
        <f t="shared" si="162"/>
        <v>0</v>
      </c>
      <c r="FC33" s="522"/>
      <c r="FD33" s="523">
        <f t="shared" si="51"/>
        <v>0</v>
      </c>
      <c r="FE33" s="524">
        <f t="shared" si="163"/>
        <v>0</v>
      </c>
      <c r="FF33" s="522"/>
      <c r="FG33" s="523">
        <f t="shared" si="52"/>
        <v>0</v>
      </c>
      <c r="FH33" s="524">
        <f t="shared" si="164"/>
        <v>0</v>
      </c>
      <c r="FI33" s="522"/>
      <c r="FJ33" s="523">
        <f t="shared" si="53"/>
        <v>0</v>
      </c>
      <c r="FK33" s="524">
        <f t="shared" si="165"/>
        <v>0</v>
      </c>
      <c r="FL33" s="522"/>
      <c r="FM33" s="523">
        <f t="shared" si="54"/>
        <v>0</v>
      </c>
      <c r="FN33" s="524">
        <f t="shared" si="166"/>
        <v>0</v>
      </c>
      <c r="FO33" s="522"/>
      <c r="FP33" s="523">
        <f t="shared" si="55"/>
        <v>0</v>
      </c>
      <c r="FQ33" s="524">
        <f t="shared" si="167"/>
        <v>0</v>
      </c>
      <c r="FR33" s="522"/>
      <c r="FS33" s="523">
        <f t="shared" si="56"/>
        <v>0</v>
      </c>
      <c r="FT33" s="524">
        <f t="shared" si="168"/>
        <v>0</v>
      </c>
      <c r="FU33" s="522"/>
      <c r="FV33" s="523">
        <f t="shared" si="57"/>
        <v>0</v>
      </c>
      <c r="FW33" s="524">
        <f t="shared" si="169"/>
        <v>0</v>
      </c>
      <c r="FX33" s="522"/>
      <c r="FY33" s="523">
        <f t="shared" si="58"/>
        <v>0</v>
      </c>
      <c r="FZ33" s="524">
        <f t="shared" si="170"/>
        <v>0</v>
      </c>
      <c r="GA33" s="522"/>
      <c r="GB33" s="523">
        <f t="shared" si="59"/>
        <v>0</v>
      </c>
      <c r="GC33" s="524">
        <f t="shared" si="171"/>
        <v>0</v>
      </c>
      <c r="GD33" s="522"/>
      <c r="GE33" s="523">
        <f t="shared" si="60"/>
        <v>0</v>
      </c>
      <c r="GF33" s="524">
        <f t="shared" si="172"/>
        <v>0</v>
      </c>
      <c r="GG33" s="522"/>
      <c r="GH33" s="523">
        <f t="shared" si="61"/>
        <v>0</v>
      </c>
      <c r="GI33" s="524">
        <f t="shared" si="173"/>
        <v>0</v>
      </c>
      <c r="GJ33" s="522"/>
      <c r="GK33" s="523">
        <f t="shared" si="62"/>
        <v>0</v>
      </c>
      <c r="GL33" s="524">
        <f t="shared" si="174"/>
        <v>0</v>
      </c>
      <c r="GM33" s="522"/>
      <c r="GN33" s="523">
        <f t="shared" si="63"/>
        <v>0</v>
      </c>
      <c r="GO33" s="524">
        <f t="shared" si="175"/>
        <v>0</v>
      </c>
      <c r="GP33" s="522"/>
      <c r="GQ33" s="523">
        <f t="shared" si="64"/>
        <v>0</v>
      </c>
      <c r="GR33" s="524">
        <f t="shared" si="176"/>
        <v>0</v>
      </c>
      <c r="GS33" s="522"/>
      <c r="GT33" s="523">
        <f t="shared" si="65"/>
        <v>0</v>
      </c>
      <c r="GU33" s="524">
        <f t="shared" si="177"/>
        <v>0</v>
      </c>
      <c r="GV33" s="522"/>
      <c r="GW33" s="523">
        <f t="shared" si="66"/>
        <v>0</v>
      </c>
      <c r="GX33" s="524">
        <f t="shared" si="178"/>
        <v>0</v>
      </c>
      <c r="GY33" s="522"/>
      <c r="GZ33" s="523">
        <f t="shared" si="67"/>
        <v>0</v>
      </c>
      <c r="HA33" s="524">
        <f t="shared" si="179"/>
        <v>0</v>
      </c>
      <c r="HB33" s="522"/>
      <c r="HC33" s="523">
        <f t="shared" si="68"/>
        <v>0</v>
      </c>
      <c r="HD33" s="524">
        <f t="shared" si="180"/>
        <v>0</v>
      </c>
      <c r="HE33" s="522"/>
      <c r="HF33" s="523">
        <f t="shared" si="69"/>
        <v>0</v>
      </c>
      <c r="HG33" s="524">
        <f t="shared" si="181"/>
        <v>0</v>
      </c>
      <c r="HH33" s="522"/>
      <c r="HI33" s="523">
        <f t="shared" si="70"/>
        <v>0</v>
      </c>
      <c r="HJ33" s="524">
        <f t="shared" si="182"/>
        <v>0</v>
      </c>
      <c r="HK33" s="522"/>
      <c r="HL33" s="523">
        <f t="shared" si="71"/>
        <v>0</v>
      </c>
      <c r="HM33" s="524">
        <f t="shared" si="183"/>
        <v>0</v>
      </c>
      <c r="HN33" s="522"/>
      <c r="HO33" s="523">
        <f t="shared" si="72"/>
        <v>0</v>
      </c>
      <c r="HP33" s="524">
        <f t="shared" si="184"/>
        <v>0</v>
      </c>
      <c r="HQ33" s="522"/>
      <c r="HR33" s="523">
        <f t="shared" si="73"/>
        <v>0</v>
      </c>
      <c r="HS33" s="524">
        <f t="shared" si="185"/>
        <v>0</v>
      </c>
      <c r="HT33" s="522"/>
      <c r="HU33" s="523">
        <f t="shared" si="74"/>
        <v>0</v>
      </c>
      <c r="HV33" s="524">
        <f t="shared" si="186"/>
        <v>0</v>
      </c>
      <c r="HW33" s="522"/>
      <c r="HX33" s="523">
        <f t="shared" si="75"/>
        <v>0</v>
      </c>
      <c r="HY33" s="524">
        <f t="shared" si="187"/>
        <v>0</v>
      </c>
      <c r="HZ33" s="522"/>
      <c r="IA33" s="523">
        <f t="shared" si="76"/>
        <v>0</v>
      </c>
      <c r="IB33" s="524">
        <f t="shared" si="188"/>
        <v>0</v>
      </c>
      <c r="IC33" s="522"/>
      <c r="ID33" s="523">
        <f t="shared" si="77"/>
        <v>0</v>
      </c>
      <c r="IE33" s="524">
        <f t="shared" si="189"/>
        <v>0</v>
      </c>
      <c r="IF33" s="522"/>
      <c r="IG33" s="523">
        <f t="shared" si="78"/>
        <v>0</v>
      </c>
      <c r="IH33" s="524">
        <f t="shared" si="190"/>
        <v>0</v>
      </c>
      <c r="II33" s="522"/>
      <c r="IJ33" s="523">
        <f t="shared" si="79"/>
        <v>0</v>
      </c>
      <c r="IK33" s="524">
        <f t="shared" si="191"/>
        <v>0</v>
      </c>
      <c r="IL33" s="522"/>
      <c r="IM33" s="523">
        <f t="shared" si="80"/>
        <v>0</v>
      </c>
      <c r="IN33" s="524">
        <f t="shared" si="192"/>
        <v>0</v>
      </c>
      <c r="IO33" s="522"/>
      <c r="IP33" s="523">
        <f t="shared" si="81"/>
        <v>0</v>
      </c>
      <c r="IQ33" s="524">
        <f t="shared" si="193"/>
        <v>0</v>
      </c>
      <c r="IR33" s="522"/>
      <c r="IS33" s="523">
        <f t="shared" si="82"/>
        <v>0</v>
      </c>
      <c r="IT33" s="524">
        <f t="shared" si="194"/>
        <v>0</v>
      </c>
      <c r="IU33" s="522"/>
      <c r="IV33" s="523">
        <f t="shared" si="83"/>
        <v>0</v>
      </c>
      <c r="IW33" s="524">
        <f t="shared" si="195"/>
        <v>0</v>
      </c>
      <c r="IX33" s="522"/>
      <c r="IY33" s="523">
        <f t="shared" si="84"/>
        <v>0</v>
      </c>
      <c r="IZ33" s="524">
        <f t="shared" si="196"/>
        <v>0</v>
      </c>
      <c r="JA33" s="522"/>
      <c r="JB33" s="523">
        <f t="shared" si="85"/>
        <v>0</v>
      </c>
      <c r="JC33" s="524">
        <f t="shared" si="197"/>
        <v>0</v>
      </c>
      <c r="JD33" s="522"/>
      <c r="JE33" s="523">
        <f t="shared" si="86"/>
        <v>0</v>
      </c>
      <c r="JF33" s="524">
        <f t="shared" si="198"/>
        <v>0</v>
      </c>
      <c r="JG33" s="522"/>
      <c r="JH33" s="523">
        <f t="shared" si="87"/>
        <v>0</v>
      </c>
      <c r="JI33" s="524">
        <f t="shared" si="199"/>
        <v>0</v>
      </c>
      <c r="JJ33" s="522"/>
      <c r="JK33" s="524" t="str">
        <f t="shared" si="88"/>
        <v>0</v>
      </c>
      <c r="JL33" s="524" t="str">
        <f t="shared" si="89"/>
        <v>0</v>
      </c>
      <c r="JM33" s="522"/>
      <c r="JN33" s="524" t="str">
        <f t="shared" si="90"/>
        <v>0</v>
      </c>
      <c r="JO33" s="524" t="str">
        <f t="shared" si="91"/>
        <v>0</v>
      </c>
      <c r="JP33" s="522"/>
      <c r="JQ33" s="524" t="str">
        <f t="shared" si="92"/>
        <v>0</v>
      </c>
      <c r="JR33" s="524" t="str">
        <f t="shared" si="93"/>
        <v>0</v>
      </c>
      <c r="JS33" s="522"/>
      <c r="JT33" s="524" t="str">
        <f t="shared" si="94"/>
        <v>0</v>
      </c>
      <c r="JU33" s="524" t="str">
        <f t="shared" si="95"/>
        <v>0</v>
      </c>
      <c r="JV33" s="522"/>
      <c r="JW33" s="524" t="str">
        <f t="shared" si="96"/>
        <v>0</v>
      </c>
      <c r="JX33" s="524" t="str">
        <f t="shared" si="97"/>
        <v>0</v>
      </c>
      <c r="JY33" s="522"/>
      <c r="JZ33" s="524" t="str">
        <f t="shared" si="98"/>
        <v>0</v>
      </c>
      <c r="KA33" s="524" t="str">
        <f t="shared" si="99"/>
        <v>0</v>
      </c>
      <c r="KB33" s="522"/>
      <c r="KC33" s="524" t="str">
        <f t="shared" si="100"/>
        <v>0</v>
      </c>
      <c r="KD33" s="524" t="str">
        <f t="shared" si="101"/>
        <v>0</v>
      </c>
      <c r="KE33" s="522"/>
      <c r="KF33" s="524" t="str">
        <f t="shared" si="102"/>
        <v>0</v>
      </c>
      <c r="KG33" s="524" t="str">
        <f t="shared" si="103"/>
        <v>0</v>
      </c>
      <c r="KH33" s="522"/>
      <c r="KI33" s="524" t="str">
        <f t="shared" si="104"/>
        <v>0</v>
      </c>
      <c r="KJ33" s="524" t="str">
        <f t="shared" si="105"/>
        <v>0</v>
      </c>
      <c r="KK33" s="522"/>
      <c r="KL33" s="524" t="str">
        <f t="shared" si="106"/>
        <v>0</v>
      </c>
      <c r="KM33" s="524" t="str">
        <f t="shared" si="107"/>
        <v>0</v>
      </c>
      <c r="KN33" s="522"/>
      <c r="KO33" s="524" t="str">
        <f t="shared" si="108"/>
        <v>0</v>
      </c>
      <c r="KP33" s="524" t="str">
        <f t="shared" si="109"/>
        <v>0</v>
      </c>
      <c r="KQ33" s="522"/>
      <c r="KR33" s="524" t="str">
        <f t="shared" si="110"/>
        <v>0</v>
      </c>
      <c r="KS33" s="524" t="str">
        <f t="shared" si="111"/>
        <v>0</v>
      </c>
      <c r="KT33" s="524">
        <f t="shared" si="201"/>
        <v>0</v>
      </c>
      <c r="KU33" s="524">
        <f t="shared" si="202"/>
        <v>0</v>
      </c>
      <c r="KV33" s="261">
        <f t="shared" si="204"/>
        <v>323.66074141976486</v>
      </c>
    </row>
    <row r="34" spans="1:308" ht="15" customHeight="1">
      <c r="A34" s="262">
        <f t="shared" si="200"/>
        <v>46017</v>
      </c>
      <c r="B34" s="263" t="str">
        <f>+Report1!B34</f>
        <v>Toilet</v>
      </c>
      <c r="C34" s="263" t="str">
        <f>+Report1!C34</f>
        <v>13</v>
      </c>
      <c r="D34" s="264">
        <f>+Report1!P34</f>
        <v>42.19</v>
      </c>
      <c r="E34" s="560">
        <f>+Report1!R34</f>
        <v>38.847999999999999</v>
      </c>
      <c r="F34" s="522"/>
      <c r="G34" s="523">
        <f t="shared" si="0"/>
        <v>0</v>
      </c>
      <c r="H34" s="524">
        <f t="shared" si="113"/>
        <v>0</v>
      </c>
      <c r="I34" s="522"/>
      <c r="J34" s="523">
        <f t="shared" si="1"/>
        <v>0</v>
      </c>
      <c r="K34" s="524">
        <f t="shared" si="114"/>
        <v>0</v>
      </c>
      <c r="L34" s="522"/>
      <c r="M34" s="523">
        <f t="shared" si="2"/>
        <v>0</v>
      </c>
      <c r="N34" s="524">
        <f t="shared" si="115"/>
        <v>0</v>
      </c>
      <c r="O34" s="522">
        <v>3</v>
      </c>
      <c r="P34" s="523">
        <f t="shared" si="3"/>
        <v>7.7224052718286654E-2</v>
      </c>
      <c r="Q34" s="524">
        <f t="shared" si="116"/>
        <v>0</v>
      </c>
      <c r="R34" s="522"/>
      <c r="S34" s="523">
        <f t="shared" si="4"/>
        <v>0</v>
      </c>
      <c r="T34" s="524">
        <f t="shared" si="117"/>
        <v>0</v>
      </c>
      <c r="U34" s="522">
        <v>5.1249999999999716</v>
      </c>
      <c r="V34" s="523">
        <f t="shared" si="5"/>
        <v>0.13192442339373897</v>
      </c>
      <c r="W34" s="524">
        <f t="shared" si="118"/>
        <v>0</v>
      </c>
      <c r="X34" s="522"/>
      <c r="Y34" s="523">
        <f t="shared" si="6"/>
        <v>0</v>
      </c>
      <c r="Z34" s="524">
        <f t="shared" si="119"/>
        <v>0</v>
      </c>
      <c r="AA34" s="522">
        <v>15.625</v>
      </c>
      <c r="AB34" s="523">
        <f t="shared" si="7"/>
        <v>0.40220860790774299</v>
      </c>
      <c r="AC34" s="524">
        <f t="shared" si="120"/>
        <v>0</v>
      </c>
      <c r="AD34" s="522"/>
      <c r="AE34" s="523">
        <f t="shared" si="8"/>
        <v>0</v>
      </c>
      <c r="AF34" s="524">
        <f t="shared" si="121"/>
        <v>0</v>
      </c>
      <c r="AG34" s="522"/>
      <c r="AH34" s="523">
        <f t="shared" si="9"/>
        <v>0</v>
      </c>
      <c r="AI34" s="524">
        <f t="shared" si="122"/>
        <v>0</v>
      </c>
      <c r="AJ34" s="522"/>
      <c r="AK34" s="523">
        <f t="shared" si="10"/>
        <v>0</v>
      </c>
      <c r="AL34" s="524">
        <f t="shared" si="123"/>
        <v>0</v>
      </c>
      <c r="AM34" s="522"/>
      <c r="AN34" s="523">
        <f t="shared" si="11"/>
        <v>0</v>
      </c>
      <c r="AO34" s="524">
        <f t="shared" si="124"/>
        <v>0</v>
      </c>
      <c r="AP34" s="522">
        <v>51.27</v>
      </c>
      <c r="AQ34" s="523">
        <f t="shared" si="12"/>
        <v>1.319759060955519</v>
      </c>
      <c r="AR34" s="524">
        <f t="shared" si="125"/>
        <v>0</v>
      </c>
      <c r="AS34" s="522"/>
      <c r="AT34" s="523">
        <f t="shared" si="13"/>
        <v>0</v>
      </c>
      <c r="AU34" s="524">
        <f t="shared" si="126"/>
        <v>0</v>
      </c>
      <c r="AV34" s="522"/>
      <c r="AW34" s="523">
        <f t="shared" si="14"/>
        <v>0</v>
      </c>
      <c r="AX34" s="524">
        <f t="shared" si="127"/>
        <v>0</v>
      </c>
      <c r="AY34" s="522">
        <v>48.999999999999943</v>
      </c>
      <c r="AZ34" s="523">
        <f t="shared" si="15"/>
        <v>1.2613261943986807</v>
      </c>
      <c r="BA34" s="524">
        <f t="shared" si="128"/>
        <v>0</v>
      </c>
      <c r="BB34" s="522"/>
      <c r="BC34" s="523">
        <f t="shared" si="16"/>
        <v>0</v>
      </c>
      <c r="BD34" s="524">
        <f t="shared" si="129"/>
        <v>0</v>
      </c>
      <c r="BE34" s="522"/>
      <c r="BF34" s="523">
        <f t="shared" si="17"/>
        <v>0</v>
      </c>
      <c r="BG34" s="524">
        <f t="shared" si="130"/>
        <v>0</v>
      </c>
      <c r="BH34" s="522"/>
      <c r="BI34" s="523">
        <f t="shared" si="18"/>
        <v>0</v>
      </c>
      <c r="BJ34" s="524">
        <f t="shared" si="131"/>
        <v>0</v>
      </c>
      <c r="BK34" s="522"/>
      <c r="BL34" s="523">
        <f t="shared" si="19"/>
        <v>0</v>
      </c>
      <c r="BM34" s="524">
        <f t="shared" si="132"/>
        <v>0</v>
      </c>
      <c r="BN34" s="522"/>
      <c r="BO34" s="523">
        <f t="shared" si="20"/>
        <v>0</v>
      </c>
      <c r="BP34" s="524">
        <f t="shared" si="133"/>
        <v>0</v>
      </c>
      <c r="BQ34" s="522"/>
      <c r="BR34" s="523">
        <f t="shared" si="21"/>
        <v>0</v>
      </c>
      <c r="BS34" s="524">
        <f t="shared" si="134"/>
        <v>0</v>
      </c>
      <c r="BT34" s="522"/>
      <c r="BU34" s="523">
        <f t="shared" si="22"/>
        <v>0</v>
      </c>
      <c r="BV34" s="524">
        <f t="shared" si="135"/>
        <v>0</v>
      </c>
      <c r="BW34" s="522"/>
      <c r="BX34" s="523">
        <f t="shared" si="23"/>
        <v>0</v>
      </c>
      <c r="BY34" s="524">
        <f t="shared" si="136"/>
        <v>0</v>
      </c>
      <c r="BZ34" s="522"/>
      <c r="CA34" s="523">
        <f t="shared" si="24"/>
        <v>0</v>
      </c>
      <c r="CB34" s="524">
        <f t="shared" si="137"/>
        <v>0</v>
      </c>
      <c r="CC34" s="522"/>
      <c r="CD34" s="523">
        <f t="shared" si="25"/>
        <v>0</v>
      </c>
      <c r="CE34" s="524">
        <f t="shared" si="138"/>
        <v>0</v>
      </c>
      <c r="CF34" s="522">
        <v>1</v>
      </c>
      <c r="CG34" s="523">
        <f t="shared" si="26"/>
        <v>2.5741350906095552E-2</v>
      </c>
      <c r="CH34" s="524">
        <f t="shared" si="139"/>
        <v>0</v>
      </c>
      <c r="CI34" s="522"/>
      <c r="CJ34" s="523">
        <f t="shared" si="27"/>
        <v>0</v>
      </c>
      <c r="CK34" s="524">
        <f t="shared" si="140"/>
        <v>0</v>
      </c>
      <c r="CL34" s="522"/>
      <c r="CM34" s="523">
        <f t="shared" si="28"/>
        <v>0</v>
      </c>
      <c r="CN34" s="524">
        <f t="shared" si="141"/>
        <v>0</v>
      </c>
      <c r="CO34" s="522"/>
      <c r="CP34" s="523">
        <f t="shared" si="29"/>
        <v>0</v>
      </c>
      <c r="CQ34" s="524">
        <f t="shared" si="142"/>
        <v>0</v>
      </c>
      <c r="CR34" s="522"/>
      <c r="CS34" s="523">
        <f t="shared" si="30"/>
        <v>0</v>
      </c>
      <c r="CT34" s="524">
        <f t="shared" si="143"/>
        <v>0</v>
      </c>
      <c r="CU34" s="522"/>
      <c r="CV34" s="523">
        <f t="shared" si="31"/>
        <v>0</v>
      </c>
      <c r="CW34" s="524">
        <f t="shared" si="144"/>
        <v>0</v>
      </c>
      <c r="CX34" s="522"/>
      <c r="CY34" s="523">
        <f t="shared" si="32"/>
        <v>0</v>
      </c>
      <c r="CZ34" s="524">
        <f t="shared" si="145"/>
        <v>0</v>
      </c>
      <c r="DA34" s="522">
        <v>87.209302325581575</v>
      </c>
      <c r="DB34" s="523">
        <f t="shared" si="33"/>
        <v>2.2448852534385701</v>
      </c>
      <c r="DC34" s="524">
        <f t="shared" si="146"/>
        <v>0</v>
      </c>
      <c r="DD34" s="522"/>
      <c r="DE34" s="523">
        <f t="shared" si="34"/>
        <v>0</v>
      </c>
      <c r="DF34" s="524">
        <f t="shared" si="147"/>
        <v>0</v>
      </c>
      <c r="DG34" s="522"/>
      <c r="DH34" s="523">
        <f t="shared" si="35"/>
        <v>0</v>
      </c>
      <c r="DI34" s="524">
        <f t="shared" si="203"/>
        <v>0</v>
      </c>
      <c r="DJ34" s="522"/>
      <c r="DK34" s="523">
        <f t="shared" si="36"/>
        <v>0</v>
      </c>
      <c r="DL34" s="524">
        <f t="shared" si="148"/>
        <v>0</v>
      </c>
      <c r="DM34" s="522"/>
      <c r="DN34" s="523">
        <f t="shared" si="37"/>
        <v>0</v>
      </c>
      <c r="DO34" s="524">
        <f t="shared" si="149"/>
        <v>0</v>
      </c>
      <c r="DP34" s="522"/>
      <c r="DQ34" s="523">
        <f t="shared" si="38"/>
        <v>0</v>
      </c>
      <c r="DR34" s="524">
        <f t="shared" si="150"/>
        <v>0</v>
      </c>
      <c r="DS34" s="522"/>
      <c r="DT34" s="523">
        <f t="shared" si="39"/>
        <v>0</v>
      </c>
      <c r="DU34" s="524">
        <f t="shared" si="151"/>
        <v>0</v>
      </c>
      <c r="DV34" s="522"/>
      <c r="DW34" s="523">
        <f t="shared" si="40"/>
        <v>0</v>
      </c>
      <c r="DX34" s="524">
        <f t="shared" si="152"/>
        <v>0</v>
      </c>
      <c r="DY34" s="522"/>
      <c r="DZ34" s="523">
        <f t="shared" si="41"/>
        <v>0</v>
      </c>
      <c r="EA34" s="524">
        <f t="shared" si="153"/>
        <v>0</v>
      </c>
      <c r="EB34" s="522"/>
      <c r="EC34" s="523">
        <f t="shared" si="42"/>
        <v>0</v>
      </c>
      <c r="ED34" s="524">
        <f t="shared" si="154"/>
        <v>0</v>
      </c>
      <c r="EE34" s="522">
        <v>35.22352941176473</v>
      </c>
      <c r="EF34" s="523">
        <f t="shared" si="43"/>
        <v>0.90670123073941333</v>
      </c>
      <c r="EG34" s="524">
        <f t="shared" si="155"/>
        <v>0</v>
      </c>
      <c r="EH34" s="522"/>
      <c r="EI34" s="523">
        <f t="shared" si="44"/>
        <v>0</v>
      </c>
      <c r="EJ34" s="524">
        <f t="shared" si="156"/>
        <v>0</v>
      </c>
      <c r="EK34" s="522">
        <v>58.139534883720899</v>
      </c>
      <c r="EL34" s="523">
        <f t="shared" si="45"/>
        <v>1.4965901689590428</v>
      </c>
      <c r="EM34" s="524">
        <f t="shared" si="157"/>
        <v>0</v>
      </c>
      <c r="EN34" s="522"/>
      <c r="EO34" s="523">
        <f t="shared" si="46"/>
        <v>0</v>
      </c>
      <c r="EP34" s="524">
        <f t="shared" si="158"/>
        <v>0</v>
      </c>
      <c r="EQ34" s="522"/>
      <c r="ER34" s="523">
        <f t="shared" si="47"/>
        <v>0</v>
      </c>
      <c r="ES34" s="524">
        <f t="shared" si="159"/>
        <v>0</v>
      </c>
      <c r="ET34" s="522"/>
      <c r="EU34" s="523">
        <f t="shared" si="48"/>
        <v>0</v>
      </c>
      <c r="EV34" s="524">
        <f t="shared" si="160"/>
        <v>0</v>
      </c>
      <c r="EW34" s="522"/>
      <c r="EX34" s="523">
        <f t="shared" si="49"/>
        <v>0</v>
      </c>
      <c r="EY34" s="524">
        <f t="shared" si="161"/>
        <v>0</v>
      </c>
      <c r="EZ34" s="522"/>
      <c r="FA34" s="523">
        <f t="shared" si="50"/>
        <v>0</v>
      </c>
      <c r="FB34" s="524">
        <f t="shared" si="162"/>
        <v>0</v>
      </c>
      <c r="FC34" s="522"/>
      <c r="FD34" s="523">
        <f t="shared" si="51"/>
        <v>0</v>
      </c>
      <c r="FE34" s="524">
        <f t="shared" si="163"/>
        <v>0</v>
      </c>
      <c r="FF34" s="522"/>
      <c r="FG34" s="523">
        <f t="shared" si="52"/>
        <v>0</v>
      </c>
      <c r="FH34" s="524">
        <f t="shared" si="164"/>
        <v>0</v>
      </c>
      <c r="FI34" s="522"/>
      <c r="FJ34" s="523">
        <f t="shared" si="53"/>
        <v>0</v>
      </c>
      <c r="FK34" s="524">
        <f t="shared" si="165"/>
        <v>0</v>
      </c>
      <c r="FL34" s="522"/>
      <c r="FM34" s="523">
        <f t="shared" si="54"/>
        <v>0</v>
      </c>
      <c r="FN34" s="524">
        <f t="shared" si="166"/>
        <v>0</v>
      </c>
      <c r="FO34" s="522"/>
      <c r="FP34" s="523">
        <f t="shared" si="55"/>
        <v>0</v>
      </c>
      <c r="FQ34" s="524">
        <f t="shared" si="167"/>
        <v>0</v>
      </c>
      <c r="FR34" s="522"/>
      <c r="FS34" s="523">
        <f t="shared" si="56"/>
        <v>0</v>
      </c>
      <c r="FT34" s="524">
        <f t="shared" si="168"/>
        <v>0</v>
      </c>
      <c r="FU34" s="522"/>
      <c r="FV34" s="523">
        <f t="shared" si="57"/>
        <v>0</v>
      </c>
      <c r="FW34" s="524">
        <f t="shared" si="169"/>
        <v>0</v>
      </c>
      <c r="FX34" s="522"/>
      <c r="FY34" s="523">
        <f t="shared" si="58"/>
        <v>0</v>
      </c>
      <c r="FZ34" s="524">
        <f t="shared" si="170"/>
        <v>0</v>
      </c>
      <c r="GA34" s="522"/>
      <c r="GB34" s="523">
        <f t="shared" si="59"/>
        <v>0</v>
      </c>
      <c r="GC34" s="524">
        <f t="shared" si="171"/>
        <v>0</v>
      </c>
      <c r="GD34" s="522"/>
      <c r="GE34" s="523">
        <f t="shared" si="60"/>
        <v>0</v>
      </c>
      <c r="GF34" s="524">
        <f t="shared" si="172"/>
        <v>0</v>
      </c>
      <c r="GG34" s="522"/>
      <c r="GH34" s="523">
        <f t="shared" si="61"/>
        <v>0</v>
      </c>
      <c r="GI34" s="524">
        <f t="shared" si="173"/>
        <v>0</v>
      </c>
      <c r="GJ34" s="522"/>
      <c r="GK34" s="523">
        <f t="shared" si="62"/>
        <v>0</v>
      </c>
      <c r="GL34" s="524">
        <f t="shared" si="174"/>
        <v>0</v>
      </c>
      <c r="GM34" s="522"/>
      <c r="GN34" s="523">
        <f t="shared" si="63"/>
        <v>0</v>
      </c>
      <c r="GO34" s="524">
        <f t="shared" si="175"/>
        <v>0</v>
      </c>
      <c r="GP34" s="522"/>
      <c r="GQ34" s="523">
        <f t="shared" si="64"/>
        <v>0</v>
      </c>
      <c r="GR34" s="524">
        <f t="shared" si="176"/>
        <v>0</v>
      </c>
      <c r="GS34" s="522"/>
      <c r="GT34" s="523">
        <f t="shared" si="65"/>
        <v>0</v>
      </c>
      <c r="GU34" s="524">
        <f t="shared" si="177"/>
        <v>0</v>
      </c>
      <c r="GV34" s="522"/>
      <c r="GW34" s="523">
        <f t="shared" si="66"/>
        <v>0</v>
      </c>
      <c r="GX34" s="524">
        <f t="shared" si="178"/>
        <v>0</v>
      </c>
      <c r="GY34" s="522"/>
      <c r="GZ34" s="523">
        <f t="shared" si="67"/>
        <v>0</v>
      </c>
      <c r="HA34" s="524">
        <f t="shared" si="179"/>
        <v>0</v>
      </c>
      <c r="HB34" s="522"/>
      <c r="HC34" s="523">
        <f t="shared" si="68"/>
        <v>0</v>
      </c>
      <c r="HD34" s="524">
        <f t="shared" si="180"/>
        <v>0</v>
      </c>
      <c r="HE34" s="522"/>
      <c r="HF34" s="523">
        <f t="shared" si="69"/>
        <v>0</v>
      </c>
      <c r="HG34" s="524">
        <f t="shared" si="181"/>
        <v>0</v>
      </c>
      <c r="HH34" s="522"/>
      <c r="HI34" s="523">
        <f t="shared" si="70"/>
        <v>0</v>
      </c>
      <c r="HJ34" s="524">
        <f t="shared" si="182"/>
        <v>0</v>
      </c>
      <c r="HK34" s="522"/>
      <c r="HL34" s="523">
        <f t="shared" si="71"/>
        <v>0</v>
      </c>
      <c r="HM34" s="524">
        <f t="shared" si="183"/>
        <v>0</v>
      </c>
      <c r="HN34" s="522"/>
      <c r="HO34" s="523">
        <f t="shared" si="72"/>
        <v>0</v>
      </c>
      <c r="HP34" s="524">
        <f t="shared" si="184"/>
        <v>0</v>
      </c>
      <c r="HQ34" s="522"/>
      <c r="HR34" s="523">
        <f t="shared" si="73"/>
        <v>0</v>
      </c>
      <c r="HS34" s="524">
        <f t="shared" si="185"/>
        <v>0</v>
      </c>
      <c r="HT34" s="522"/>
      <c r="HU34" s="523">
        <f t="shared" si="74"/>
        <v>0</v>
      </c>
      <c r="HV34" s="524">
        <f t="shared" si="186"/>
        <v>0</v>
      </c>
      <c r="HW34" s="522"/>
      <c r="HX34" s="523">
        <f t="shared" si="75"/>
        <v>0</v>
      </c>
      <c r="HY34" s="524">
        <f t="shared" si="187"/>
        <v>0</v>
      </c>
      <c r="HZ34" s="522"/>
      <c r="IA34" s="523">
        <f t="shared" si="76"/>
        <v>0</v>
      </c>
      <c r="IB34" s="524">
        <f t="shared" si="188"/>
        <v>0</v>
      </c>
      <c r="IC34" s="522"/>
      <c r="ID34" s="523">
        <f t="shared" si="77"/>
        <v>0</v>
      </c>
      <c r="IE34" s="524">
        <f t="shared" si="189"/>
        <v>0</v>
      </c>
      <c r="IF34" s="522"/>
      <c r="IG34" s="523">
        <f t="shared" si="78"/>
        <v>0</v>
      </c>
      <c r="IH34" s="524">
        <f t="shared" si="190"/>
        <v>0</v>
      </c>
      <c r="II34" s="522"/>
      <c r="IJ34" s="523">
        <f t="shared" si="79"/>
        <v>0</v>
      </c>
      <c r="IK34" s="524">
        <f t="shared" si="191"/>
        <v>0</v>
      </c>
      <c r="IL34" s="522"/>
      <c r="IM34" s="523">
        <f t="shared" si="80"/>
        <v>0</v>
      </c>
      <c r="IN34" s="524">
        <f t="shared" si="192"/>
        <v>0</v>
      </c>
      <c r="IO34" s="522"/>
      <c r="IP34" s="523">
        <f t="shared" si="81"/>
        <v>0</v>
      </c>
      <c r="IQ34" s="524">
        <f t="shared" si="193"/>
        <v>0</v>
      </c>
      <c r="IR34" s="522"/>
      <c r="IS34" s="523">
        <f t="shared" si="82"/>
        <v>0</v>
      </c>
      <c r="IT34" s="524">
        <f t="shared" si="194"/>
        <v>0</v>
      </c>
      <c r="IU34" s="522"/>
      <c r="IV34" s="523">
        <f t="shared" si="83"/>
        <v>0</v>
      </c>
      <c r="IW34" s="524">
        <f t="shared" si="195"/>
        <v>0</v>
      </c>
      <c r="IX34" s="522"/>
      <c r="IY34" s="523">
        <f t="shared" si="84"/>
        <v>0</v>
      </c>
      <c r="IZ34" s="524">
        <f t="shared" si="196"/>
        <v>0</v>
      </c>
      <c r="JA34" s="522"/>
      <c r="JB34" s="523">
        <f t="shared" si="85"/>
        <v>0</v>
      </c>
      <c r="JC34" s="524">
        <f t="shared" si="197"/>
        <v>0</v>
      </c>
      <c r="JD34" s="522"/>
      <c r="JE34" s="523">
        <f t="shared" si="86"/>
        <v>0</v>
      </c>
      <c r="JF34" s="524">
        <f t="shared" si="198"/>
        <v>0</v>
      </c>
      <c r="JG34" s="522"/>
      <c r="JH34" s="523">
        <f t="shared" si="87"/>
        <v>0</v>
      </c>
      <c r="JI34" s="524">
        <f t="shared" si="199"/>
        <v>0</v>
      </c>
      <c r="JJ34" s="522"/>
      <c r="JK34" s="524" t="str">
        <f t="shared" si="88"/>
        <v>0</v>
      </c>
      <c r="JL34" s="524" t="str">
        <f t="shared" si="89"/>
        <v>0</v>
      </c>
      <c r="JM34" s="522"/>
      <c r="JN34" s="524" t="str">
        <f t="shared" si="90"/>
        <v>0</v>
      </c>
      <c r="JO34" s="524" t="str">
        <f t="shared" si="91"/>
        <v>0</v>
      </c>
      <c r="JP34" s="522"/>
      <c r="JQ34" s="524" t="str">
        <f t="shared" si="92"/>
        <v>0</v>
      </c>
      <c r="JR34" s="524" t="str">
        <f t="shared" si="93"/>
        <v>0</v>
      </c>
      <c r="JS34" s="522"/>
      <c r="JT34" s="524" t="str">
        <f t="shared" si="94"/>
        <v>0</v>
      </c>
      <c r="JU34" s="524" t="str">
        <f t="shared" si="95"/>
        <v>0</v>
      </c>
      <c r="JV34" s="522"/>
      <c r="JW34" s="524" t="str">
        <f t="shared" si="96"/>
        <v>0</v>
      </c>
      <c r="JX34" s="524" t="str">
        <f t="shared" si="97"/>
        <v>0</v>
      </c>
      <c r="JY34" s="522"/>
      <c r="JZ34" s="524" t="str">
        <f t="shared" si="98"/>
        <v>0</v>
      </c>
      <c r="KA34" s="524" t="str">
        <f t="shared" si="99"/>
        <v>0</v>
      </c>
      <c r="KB34" s="522"/>
      <c r="KC34" s="524" t="str">
        <f t="shared" si="100"/>
        <v>0</v>
      </c>
      <c r="KD34" s="524" t="str">
        <f t="shared" si="101"/>
        <v>0</v>
      </c>
      <c r="KE34" s="522"/>
      <c r="KF34" s="524" t="str">
        <f t="shared" si="102"/>
        <v>0</v>
      </c>
      <c r="KG34" s="524" t="str">
        <f t="shared" si="103"/>
        <v>0</v>
      </c>
      <c r="KH34" s="522"/>
      <c r="KI34" s="524" t="str">
        <f t="shared" si="104"/>
        <v>0</v>
      </c>
      <c r="KJ34" s="524" t="str">
        <f t="shared" si="105"/>
        <v>0</v>
      </c>
      <c r="KK34" s="522"/>
      <c r="KL34" s="524" t="str">
        <f t="shared" si="106"/>
        <v>0</v>
      </c>
      <c r="KM34" s="524" t="str">
        <f t="shared" si="107"/>
        <v>0</v>
      </c>
      <c r="KN34" s="522"/>
      <c r="KO34" s="524" t="str">
        <f t="shared" si="108"/>
        <v>0</v>
      </c>
      <c r="KP34" s="524" t="str">
        <f t="shared" si="109"/>
        <v>0</v>
      </c>
      <c r="KQ34" s="522"/>
      <c r="KR34" s="524" t="str">
        <f t="shared" si="110"/>
        <v>0</v>
      </c>
      <c r="KS34" s="524" t="str">
        <f t="shared" si="111"/>
        <v>0</v>
      </c>
      <c r="KT34" s="524">
        <f t="shared" si="201"/>
        <v>0</v>
      </c>
      <c r="KU34" s="524">
        <f t="shared" si="202"/>
        <v>0</v>
      </c>
      <c r="KV34" s="261">
        <f t="shared" si="204"/>
        <v>305.59236662106713</v>
      </c>
    </row>
    <row r="35" spans="1:308" ht="15" customHeight="1">
      <c r="A35" s="262">
        <f t="shared" si="200"/>
        <v>46018</v>
      </c>
      <c r="B35" s="263" t="str">
        <f>+Report1!B35</f>
        <v>Toilet</v>
      </c>
      <c r="C35" s="263" t="str">
        <f>+Report1!C35</f>
        <v>13</v>
      </c>
      <c r="D35" s="264">
        <f>+Report1!P35</f>
        <v>40.792999999999999</v>
      </c>
      <c r="E35" s="560">
        <f>+Report1!R35</f>
        <v>42.837000000000003</v>
      </c>
      <c r="F35" s="522"/>
      <c r="G35" s="523">
        <f t="shared" si="0"/>
        <v>0</v>
      </c>
      <c r="H35" s="524">
        <f t="shared" si="113"/>
        <v>0</v>
      </c>
      <c r="I35" s="522"/>
      <c r="J35" s="523">
        <f t="shared" si="1"/>
        <v>0</v>
      </c>
      <c r="K35" s="524">
        <f t="shared" si="114"/>
        <v>0</v>
      </c>
      <c r="L35" s="522"/>
      <c r="M35" s="523">
        <f t="shared" si="2"/>
        <v>0</v>
      </c>
      <c r="N35" s="524">
        <f t="shared" si="115"/>
        <v>0</v>
      </c>
      <c r="O35" s="522">
        <v>2.9436000000000178</v>
      </c>
      <c r="P35" s="523">
        <f t="shared" si="3"/>
        <v>6.871629665943034E-2</v>
      </c>
      <c r="Q35" s="524">
        <f t="shared" si="116"/>
        <v>0</v>
      </c>
      <c r="R35" s="522"/>
      <c r="S35" s="523">
        <f t="shared" si="4"/>
        <v>0</v>
      </c>
      <c r="T35" s="524">
        <f t="shared" si="117"/>
        <v>0</v>
      </c>
      <c r="U35" s="522">
        <v>5.0352000000000317</v>
      </c>
      <c r="V35" s="523">
        <f t="shared" si="5"/>
        <v>0.11754324532530362</v>
      </c>
      <c r="W35" s="524">
        <f t="shared" si="118"/>
        <v>0</v>
      </c>
      <c r="X35" s="522"/>
      <c r="Y35" s="523">
        <f t="shared" si="6"/>
        <v>0</v>
      </c>
      <c r="Z35" s="524">
        <f t="shared" si="119"/>
        <v>0</v>
      </c>
      <c r="AA35" s="522">
        <v>15.343299999999999</v>
      </c>
      <c r="AB35" s="523">
        <f t="shared" si="7"/>
        <v>0.35817867731166975</v>
      </c>
      <c r="AC35" s="524">
        <f t="shared" si="120"/>
        <v>0</v>
      </c>
      <c r="AD35" s="522"/>
      <c r="AE35" s="523">
        <f t="shared" si="8"/>
        <v>0</v>
      </c>
      <c r="AF35" s="524">
        <f t="shared" si="121"/>
        <v>0</v>
      </c>
      <c r="AG35" s="522"/>
      <c r="AH35" s="523">
        <f t="shared" si="9"/>
        <v>0</v>
      </c>
      <c r="AI35" s="524">
        <f t="shared" si="122"/>
        <v>0</v>
      </c>
      <c r="AJ35" s="522"/>
      <c r="AK35" s="523">
        <f t="shared" si="10"/>
        <v>0</v>
      </c>
      <c r="AL35" s="524">
        <f t="shared" si="123"/>
        <v>0</v>
      </c>
      <c r="AM35" s="522"/>
      <c r="AN35" s="523">
        <f t="shared" si="11"/>
        <v>0</v>
      </c>
      <c r="AO35" s="524">
        <f t="shared" si="124"/>
        <v>0</v>
      </c>
      <c r="AP35" s="522">
        <v>79.735298734177206</v>
      </c>
      <c r="AQ35" s="523">
        <f t="shared" si="12"/>
        <v>1.8613651454158133</v>
      </c>
      <c r="AR35" s="524">
        <f t="shared" si="125"/>
        <v>0</v>
      </c>
      <c r="AS35" s="522"/>
      <c r="AT35" s="523">
        <f t="shared" si="13"/>
        <v>0</v>
      </c>
      <c r="AU35" s="524">
        <f t="shared" si="126"/>
        <v>0</v>
      </c>
      <c r="AV35" s="522"/>
      <c r="AW35" s="523">
        <f t="shared" si="14"/>
        <v>0</v>
      </c>
      <c r="AX35" s="524">
        <f t="shared" si="127"/>
        <v>0</v>
      </c>
      <c r="AY35" s="522">
        <v>51.593866666666685</v>
      </c>
      <c r="AZ35" s="523">
        <f t="shared" si="15"/>
        <v>1.2044229676837006</v>
      </c>
      <c r="BA35" s="524">
        <f t="shared" si="128"/>
        <v>0</v>
      </c>
      <c r="BB35" s="522"/>
      <c r="BC35" s="523">
        <f t="shared" si="16"/>
        <v>0</v>
      </c>
      <c r="BD35" s="524">
        <f t="shared" si="129"/>
        <v>0</v>
      </c>
      <c r="BE35" s="522"/>
      <c r="BF35" s="523">
        <f t="shared" si="17"/>
        <v>0</v>
      </c>
      <c r="BG35" s="524">
        <f t="shared" si="130"/>
        <v>0</v>
      </c>
      <c r="BH35" s="522"/>
      <c r="BI35" s="523">
        <f t="shared" si="18"/>
        <v>0</v>
      </c>
      <c r="BJ35" s="524">
        <f t="shared" si="131"/>
        <v>0</v>
      </c>
      <c r="BK35" s="522"/>
      <c r="BL35" s="523">
        <f t="shared" si="19"/>
        <v>0</v>
      </c>
      <c r="BM35" s="524">
        <f t="shared" si="132"/>
        <v>0</v>
      </c>
      <c r="BN35" s="522"/>
      <c r="BO35" s="523">
        <f t="shared" si="20"/>
        <v>0</v>
      </c>
      <c r="BP35" s="524">
        <f t="shared" si="133"/>
        <v>0</v>
      </c>
      <c r="BQ35" s="522"/>
      <c r="BR35" s="523">
        <f t="shared" si="21"/>
        <v>0</v>
      </c>
      <c r="BS35" s="524">
        <f t="shared" si="134"/>
        <v>0</v>
      </c>
      <c r="BT35" s="522"/>
      <c r="BU35" s="523">
        <f t="shared" si="22"/>
        <v>0</v>
      </c>
      <c r="BV35" s="524">
        <f t="shared" si="135"/>
        <v>0</v>
      </c>
      <c r="BW35" s="522"/>
      <c r="BX35" s="523">
        <f t="shared" si="23"/>
        <v>0</v>
      </c>
      <c r="BY35" s="524">
        <f t="shared" si="136"/>
        <v>0</v>
      </c>
      <c r="BZ35" s="522"/>
      <c r="CA35" s="523">
        <f t="shared" si="24"/>
        <v>0</v>
      </c>
      <c r="CB35" s="524">
        <f t="shared" si="137"/>
        <v>0</v>
      </c>
      <c r="CC35" s="522"/>
      <c r="CD35" s="523">
        <f t="shared" si="25"/>
        <v>0</v>
      </c>
      <c r="CE35" s="524">
        <f t="shared" si="138"/>
        <v>0</v>
      </c>
      <c r="CF35" s="522">
        <v>2.5</v>
      </c>
      <c r="CG35" s="523">
        <f t="shared" si="26"/>
        <v>5.8360762891892522E-2</v>
      </c>
      <c r="CH35" s="524">
        <f t="shared" si="139"/>
        <v>0</v>
      </c>
      <c r="CI35" s="522"/>
      <c r="CJ35" s="523">
        <f t="shared" si="27"/>
        <v>0</v>
      </c>
      <c r="CK35" s="524">
        <f t="shared" si="140"/>
        <v>0</v>
      </c>
      <c r="CL35" s="522"/>
      <c r="CM35" s="523">
        <f t="shared" si="28"/>
        <v>0</v>
      </c>
      <c r="CN35" s="524">
        <f t="shared" si="141"/>
        <v>0</v>
      </c>
      <c r="CO35" s="522"/>
      <c r="CP35" s="523">
        <f t="shared" si="29"/>
        <v>0</v>
      </c>
      <c r="CQ35" s="524">
        <f t="shared" si="142"/>
        <v>0</v>
      </c>
      <c r="CR35" s="522"/>
      <c r="CS35" s="523">
        <f t="shared" si="30"/>
        <v>0</v>
      </c>
      <c r="CT35" s="524">
        <f t="shared" si="143"/>
        <v>0</v>
      </c>
      <c r="CU35" s="522"/>
      <c r="CV35" s="523">
        <f t="shared" si="31"/>
        <v>0</v>
      </c>
      <c r="CW35" s="524">
        <f t="shared" si="144"/>
        <v>0</v>
      </c>
      <c r="CX35" s="522"/>
      <c r="CY35" s="523">
        <f t="shared" si="32"/>
        <v>0</v>
      </c>
      <c r="CZ35" s="524">
        <f t="shared" si="145"/>
        <v>0</v>
      </c>
      <c r="DA35" s="522">
        <v>71.391255813953421</v>
      </c>
      <c r="DB35" s="523">
        <f t="shared" si="33"/>
        <v>1.6665792612450316</v>
      </c>
      <c r="DC35" s="524">
        <f t="shared" si="146"/>
        <v>0</v>
      </c>
      <c r="DD35" s="522"/>
      <c r="DE35" s="523">
        <f t="shared" si="34"/>
        <v>0</v>
      </c>
      <c r="DF35" s="524">
        <f t="shared" si="147"/>
        <v>0</v>
      </c>
      <c r="DG35" s="522"/>
      <c r="DH35" s="523">
        <f t="shared" si="35"/>
        <v>0</v>
      </c>
      <c r="DI35" s="524">
        <f t="shared" si="203"/>
        <v>0</v>
      </c>
      <c r="DJ35" s="522"/>
      <c r="DK35" s="523">
        <f t="shared" si="36"/>
        <v>0</v>
      </c>
      <c r="DL35" s="524">
        <f t="shared" si="148"/>
        <v>0</v>
      </c>
      <c r="DM35" s="522"/>
      <c r="DN35" s="523">
        <f t="shared" si="37"/>
        <v>0</v>
      </c>
      <c r="DO35" s="524">
        <f t="shared" si="149"/>
        <v>0</v>
      </c>
      <c r="DP35" s="522"/>
      <c r="DQ35" s="523">
        <f t="shared" si="38"/>
        <v>0</v>
      </c>
      <c r="DR35" s="524">
        <f t="shared" si="150"/>
        <v>0</v>
      </c>
      <c r="DS35" s="522"/>
      <c r="DT35" s="523">
        <f t="shared" si="39"/>
        <v>0</v>
      </c>
      <c r="DU35" s="524">
        <f t="shared" si="151"/>
        <v>0</v>
      </c>
      <c r="DV35" s="522"/>
      <c r="DW35" s="523">
        <f t="shared" si="40"/>
        <v>0</v>
      </c>
      <c r="DX35" s="524">
        <f t="shared" si="152"/>
        <v>0</v>
      </c>
      <c r="DY35" s="522"/>
      <c r="DZ35" s="523">
        <f t="shared" si="41"/>
        <v>0</v>
      </c>
      <c r="EA35" s="524">
        <f t="shared" si="153"/>
        <v>0</v>
      </c>
      <c r="EB35" s="522"/>
      <c r="EC35" s="523">
        <f t="shared" si="42"/>
        <v>0</v>
      </c>
      <c r="ED35" s="524">
        <f t="shared" si="154"/>
        <v>0</v>
      </c>
      <c r="EE35" s="522">
        <v>80.734117647058838</v>
      </c>
      <c r="EF35" s="523">
        <f t="shared" si="43"/>
        <v>1.8846818789144626</v>
      </c>
      <c r="EG35" s="524">
        <f t="shared" si="155"/>
        <v>0</v>
      </c>
      <c r="EH35" s="522"/>
      <c r="EI35" s="523">
        <f t="shared" si="44"/>
        <v>0</v>
      </c>
      <c r="EJ35" s="524">
        <f t="shared" si="156"/>
        <v>0</v>
      </c>
      <c r="EK35" s="522">
        <v>49.970530232558247</v>
      </c>
      <c r="EL35" s="523">
        <f t="shared" si="45"/>
        <v>1.1665273065937913</v>
      </c>
      <c r="EM35" s="524">
        <f t="shared" si="157"/>
        <v>0</v>
      </c>
      <c r="EN35" s="522"/>
      <c r="EO35" s="523">
        <f t="shared" si="46"/>
        <v>0</v>
      </c>
      <c r="EP35" s="524">
        <f t="shared" si="158"/>
        <v>0</v>
      </c>
      <c r="EQ35" s="522"/>
      <c r="ER35" s="523">
        <f t="shared" si="47"/>
        <v>0</v>
      </c>
      <c r="ES35" s="524">
        <f t="shared" si="159"/>
        <v>0</v>
      </c>
      <c r="ET35" s="522"/>
      <c r="EU35" s="523">
        <f t="shared" si="48"/>
        <v>0</v>
      </c>
      <c r="EV35" s="524">
        <f t="shared" si="160"/>
        <v>0</v>
      </c>
      <c r="EW35" s="522"/>
      <c r="EX35" s="523">
        <f t="shared" si="49"/>
        <v>0</v>
      </c>
      <c r="EY35" s="524">
        <f t="shared" si="161"/>
        <v>0</v>
      </c>
      <c r="EZ35" s="522"/>
      <c r="FA35" s="523">
        <f t="shared" si="50"/>
        <v>0</v>
      </c>
      <c r="FB35" s="524">
        <f t="shared" si="162"/>
        <v>0</v>
      </c>
      <c r="FC35" s="522"/>
      <c r="FD35" s="523">
        <f t="shared" si="51"/>
        <v>0</v>
      </c>
      <c r="FE35" s="524">
        <f t="shared" si="163"/>
        <v>0</v>
      </c>
      <c r="FF35" s="522"/>
      <c r="FG35" s="523">
        <f t="shared" si="52"/>
        <v>0</v>
      </c>
      <c r="FH35" s="524">
        <f t="shared" si="164"/>
        <v>0</v>
      </c>
      <c r="FI35" s="522"/>
      <c r="FJ35" s="523">
        <f t="shared" si="53"/>
        <v>0</v>
      </c>
      <c r="FK35" s="524">
        <f t="shared" si="165"/>
        <v>0</v>
      </c>
      <c r="FL35" s="522"/>
      <c r="FM35" s="523">
        <f t="shared" si="54"/>
        <v>0</v>
      </c>
      <c r="FN35" s="524">
        <f t="shared" si="166"/>
        <v>0</v>
      </c>
      <c r="FO35" s="522"/>
      <c r="FP35" s="523">
        <f t="shared" si="55"/>
        <v>0</v>
      </c>
      <c r="FQ35" s="524">
        <f t="shared" si="167"/>
        <v>0</v>
      </c>
      <c r="FR35" s="522"/>
      <c r="FS35" s="523">
        <f t="shared" si="56"/>
        <v>0</v>
      </c>
      <c r="FT35" s="524">
        <f t="shared" si="168"/>
        <v>0</v>
      </c>
      <c r="FU35" s="522"/>
      <c r="FV35" s="523">
        <f t="shared" si="57"/>
        <v>0</v>
      </c>
      <c r="FW35" s="524">
        <f t="shared" si="169"/>
        <v>0</v>
      </c>
      <c r="FX35" s="522"/>
      <c r="FY35" s="523">
        <f t="shared" si="58"/>
        <v>0</v>
      </c>
      <c r="FZ35" s="524">
        <f t="shared" si="170"/>
        <v>0</v>
      </c>
      <c r="GA35" s="522"/>
      <c r="GB35" s="523">
        <f t="shared" si="59"/>
        <v>0</v>
      </c>
      <c r="GC35" s="524">
        <f t="shared" si="171"/>
        <v>0</v>
      </c>
      <c r="GD35" s="522"/>
      <c r="GE35" s="523">
        <f t="shared" si="60"/>
        <v>0</v>
      </c>
      <c r="GF35" s="524">
        <f t="shared" si="172"/>
        <v>0</v>
      </c>
      <c r="GG35" s="522"/>
      <c r="GH35" s="523">
        <f t="shared" si="61"/>
        <v>0</v>
      </c>
      <c r="GI35" s="524">
        <f t="shared" si="173"/>
        <v>0</v>
      </c>
      <c r="GJ35" s="522"/>
      <c r="GK35" s="523">
        <f t="shared" si="62"/>
        <v>0</v>
      </c>
      <c r="GL35" s="524">
        <f t="shared" si="174"/>
        <v>0</v>
      </c>
      <c r="GM35" s="522"/>
      <c r="GN35" s="523">
        <f t="shared" si="63"/>
        <v>0</v>
      </c>
      <c r="GO35" s="524">
        <f t="shared" si="175"/>
        <v>0</v>
      </c>
      <c r="GP35" s="522"/>
      <c r="GQ35" s="523">
        <f t="shared" si="64"/>
        <v>0</v>
      </c>
      <c r="GR35" s="524">
        <f t="shared" si="176"/>
        <v>0</v>
      </c>
      <c r="GS35" s="522"/>
      <c r="GT35" s="523">
        <f t="shared" si="65"/>
        <v>0</v>
      </c>
      <c r="GU35" s="524">
        <f t="shared" si="177"/>
        <v>0</v>
      </c>
      <c r="GV35" s="522"/>
      <c r="GW35" s="523">
        <f t="shared" si="66"/>
        <v>0</v>
      </c>
      <c r="GX35" s="524">
        <f t="shared" si="178"/>
        <v>0</v>
      </c>
      <c r="GY35" s="522"/>
      <c r="GZ35" s="523">
        <f t="shared" si="67"/>
        <v>0</v>
      </c>
      <c r="HA35" s="524">
        <f t="shared" si="179"/>
        <v>0</v>
      </c>
      <c r="HB35" s="522"/>
      <c r="HC35" s="523">
        <f t="shared" si="68"/>
        <v>0</v>
      </c>
      <c r="HD35" s="524">
        <f t="shared" si="180"/>
        <v>0</v>
      </c>
      <c r="HE35" s="522"/>
      <c r="HF35" s="523">
        <f t="shared" si="69"/>
        <v>0</v>
      </c>
      <c r="HG35" s="524">
        <f t="shared" si="181"/>
        <v>0</v>
      </c>
      <c r="HH35" s="522"/>
      <c r="HI35" s="523">
        <f t="shared" si="70"/>
        <v>0</v>
      </c>
      <c r="HJ35" s="524">
        <f t="shared" si="182"/>
        <v>0</v>
      </c>
      <c r="HK35" s="522"/>
      <c r="HL35" s="523">
        <f t="shared" si="71"/>
        <v>0</v>
      </c>
      <c r="HM35" s="524">
        <f t="shared" si="183"/>
        <v>0</v>
      </c>
      <c r="HN35" s="522"/>
      <c r="HO35" s="523">
        <f t="shared" si="72"/>
        <v>0</v>
      </c>
      <c r="HP35" s="524">
        <f t="shared" si="184"/>
        <v>0</v>
      </c>
      <c r="HQ35" s="522"/>
      <c r="HR35" s="523">
        <f t="shared" si="73"/>
        <v>0</v>
      </c>
      <c r="HS35" s="524">
        <f t="shared" si="185"/>
        <v>0</v>
      </c>
      <c r="HT35" s="522"/>
      <c r="HU35" s="523">
        <f t="shared" si="74"/>
        <v>0</v>
      </c>
      <c r="HV35" s="524">
        <f t="shared" si="186"/>
        <v>0</v>
      </c>
      <c r="HW35" s="522"/>
      <c r="HX35" s="523">
        <f t="shared" si="75"/>
        <v>0</v>
      </c>
      <c r="HY35" s="524">
        <f t="shared" si="187"/>
        <v>0</v>
      </c>
      <c r="HZ35" s="522"/>
      <c r="IA35" s="523">
        <f t="shared" si="76"/>
        <v>0</v>
      </c>
      <c r="IB35" s="524">
        <f t="shared" si="188"/>
        <v>0</v>
      </c>
      <c r="IC35" s="522"/>
      <c r="ID35" s="523">
        <f t="shared" si="77"/>
        <v>0</v>
      </c>
      <c r="IE35" s="524">
        <f t="shared" si="189"/>
        <v>0</v>
      </c>
      <c r="IF35" s="522"/>
      <c r="IG35" s="523">
        <f t="shared" si="78"/>
        <v>0</v>
      </c>
      <c r="IH35" s="524">
        <f t="shared" si="190"/>
        <v>0</v>
      </c>
      <c r="II35" s="522"/>
      <c r="IJ35" s="523">
        <f t="shared" si="79"/>
        <v>0</v>
      </c>
      <c r="IK35" s="524">
        <f t="shared" si="191"/>
        <v>0</v>
      </c>
      <c r="IL35" s="522"/>
      <c r="IM35" s="523">
        <f t="shared" si="80"/>
        <v>0</v>
      </c>
      <c r="IN35" s="524">
        <f t="shared" si="192"/>
        <v>0</v>
      </c>
      <c r="IO35" s="522"/>
      <c r="IP35" s="523">
        <f t="shared" si="81"/>
        <v>0</v>
      </c>
      <c r="IQ35" s="524">
        <f t="shared" si="193"/>
        <v>0</v>
      </c>
      <c r="IR35" s="522"/>
      <c r="IS35" s="523">
        <f t="shared" si="82"/>
        <v>0</v>
      </c>
      <c r="IT35" s="524">
        <f t="shared" si="194"/>
        <v>0</v>
      </c>
      <c r="IU35" s="522"/>
      <c r="IV35" s="523">
        <f t="shared" si="83"/>
        <v>0</v>
      </c>
      <c r="IW35" s="524">
        <f t="shared" si="195"/>
        <v>0</v>
      </c>
      <c r="IX35" s="522"/>
      <c r="IY35" s="523">
        <f t="shared" si="84"/>
        <v>0</v>
      </c>
      <c r="IZ35" s="524">
        <f t="shared" si="196"/>
        <v>0</v>
      </c>
      <c r="JA35" s="522"/>
      <c r="JB35" s="523">
        <f t="shared" si="85"/>
        <v>0</v>
      </c>
      <c r="JC35" s="524">
        <f t="shared" si="197"/>
        <v>0</v>
      </c>
      <c r="JD35" s="522"/>
      <c r="JE35" s="523">
        <f t="shared" si="86"/>
        <v>0</v>
      </c>
      <c r="JF35" s="524">
        <f t="shared" si="198"/>
        <v>0</v>
      </c>
      <c r="JG35" s="522"/>
      <c r="JH35" s="523">
        <f t="shared" si="87"/>
        <v>0</v>
      </c>
      <c r="JI35" s="524">
        <f t="shared" si="199"/>
        <v>0</v>
      </c>
      <c r="JJ35" s="522"/>
      <c r="JK35" s="524" t="str">
        <f t="shared" si="88"/>
        <v>0</v>
      </c>
      <c r="JL35" s="524" t="str">
        <f t="shared" si="89"/>
        <v>0</v>
      </c>
      <c r="JM35" s="522"/>
      <c r="JN35" s="524" t="str">
        <f t="shared" si="90"/>
        <v>0</v>
      </c>
      <c r="JO35" s="524" t="str">
        <f t="shared" si="91"/>
        <v>0</v>
      </c>
      <c r="JP35" s="522"/>
      <c r="JQ35" s="524" t="str">
        <f t="shared" si="92"/>
        <v>0</v>
      </c>
      <c r="JR35" s="524" t="str">
        <f t="shared" si="93"/>
        <v>0</v>
      </c>
      <c r="JS35" s="522"/>
      <c r="JT35" s="524" t="str">
        <f t="shared" si="94"/>
        <v>0</v>
      </c>
      <c r="JU35" s="524" t="str">
        <f t="shared" si="95"/>
        <v>0</v>
      </c>
      <c r="JV35" s="522"/>
      <c r="JW35" s="524" t="str">
        <f t="shared" si="96"/>
        <v>0</v>
      </c>
      <c r="JX35" s="524" t="str">
        <f t="shared" si="97"/>
        <v>0</v>
      </c>
      <c r="JY35" s="522"/>
      <c r="JZ35" s="524" t="str">
        <f t="shared" si="98"/>
        <v>0</v>
      </c>
      <c r="KA35" s="524" t="str">
        <f t="shared" si="99"/>
        <v>0</v>
      </c>
      <c r="KB35" s="522"/>
      <c r="KC35" s="524" t="str">
        <f t="shared" si="100"/>
        <v>0</v>
      </c>
      <c r="KD35" s="524" t="str">
        <f t="shared" si="101"/>
        <v>0</v>
      </c>
      <c r="KE35" s="522"/>
      <c r="KF35" s="524" t="str">
        <f t="shared" si="102"/>
        <v>0</v>
      </c>
      <c r="KG35" s="524" t="str">
        <f t="shared" si="103"/>
        <v>0</v>
      </c>
      <c r="KH35" s="522"/>
      <c r="KI35" s="524" t="str">
        <f t="shared" si="104"/>
        <v>0</v>
      </c>
      <c r="KJ35" s="524" t="str">
        <f t="shared" si="105"/>
        <v>0</v>
      </c>
      <c r="KK35" s="522"/>
      <c r="KL35" s="524" t="str">
        <f t="shared" si="106"/>
        <v>0</v>
      </c>
      <c r="KM35" s="524" t="str">
        <f t="shared" si="107"/>
        <v>0</v>
      </c>
      <c r="KN35" s="522"/>
      <c r="KO35" s="524" t="str">
        <f t="shared" si="108"/>
        <v>0</v>
      </c>
      <c r="KP35" s="524" t="str">
        <f t="shared" si="109"/>
        <v>0</v>
      </c>
      <c r="KQ35" s="522"/>
      <c r="KR35" s="524" t="str">
        <f t="shared" si="110"/>
        <v>0</v>
      </c>
      <c r="KS35" s="524" t="str">
        <f t="shared" si="111"/>
        <v>0</v>
      </c>
      <c r="KT35" s="524">
        <f t="shared" si="201"/>
        <v>0</v>
      </c>
      <c r="KU35" s="524">
        <f t="shared" si="202"/>
        <v>0</v>
      </c>
      <c r="KV35" s="261">
        <f t="shared" si="204"/>
        <v>359.24716909441446</v>
      </c>
    </row>
    <row r="36" spans="1:308" ht="15" customHeight="1">
      <c r="A36" s="262">
        <f t="shared" si="200"/>
        <v>46019</v>
      </c>
      <c r="B36" s="263" t="str">
        <f>+Report1!B36</f>
        <v>Toilet</v>
      </c>
      <c r="C36" s="263" t="str">
        <f>+Report1!C36</f>
        <v>13/12,5</v>
      </c>
      <c r="D36" s="264">
        <f>+Report1!P36</f>
        <v>42.265000000000001</v>
      </c>
      <c r="E36" s="560">
        <f>+Report1!R36</f>
        <v>39.213999999999999</v>
      </c>
      <c r="F36" s="522"/>
      <c r="G36" s="523">
        <f t="shared" si="0"/>
        <v>0</v>
      </c>
      <c r="H36" s="524">
        <f t="shared" si="113"/>
        <v>0</v>
      </c>
      <c r="I36" s="522"/>
      <c r="J36" s="523">
        <f t="shared" si="1"/>
        <v>0</v>
      </c>
      <c r="K36" s="524">
        <f t="shared" si="114"/>
        <v>0</v>
      </c>
      <c r="L36" s="522"/>
      <c r="M36" s="523">
        <f t="shared" si="2"/>
        <v>0</v>
      </c>
      <c r="N36" s="524">
        <f t="shared" si="115"/>
        <v>0</v>
      </c>
      <c r="O36" s="522">
        <v>3.0507999999999953</v>
      </c>
      <c r="P36" s="523">
        <f t="shared" si="3"/>
        <v>7.7798745346049761E-2</v>
      </c>
      <c r="Q36" s="524">
        <f t="shared" si="116"/>
        <v>0</v>
      </c>
      <c r="R36" s="522"/>
      <c r="S36" s="523">
        <f t="shared" si="4"/>
        <v>0</v>
      </c>
      <c r="T36" s="524">
        <f t="shared" si="117"/>
        <v>0</v>
      </c>
      <c r="U36" s="522">
        <v>5.2117999999999824</v>
      </c>
      <c r="V36" s="523">
        <f t="shared" si="5"/>
        <v>0.13290661498444389</v>
      </c>
      <c r="W36" s="524">
        <f t="shared" si="118"/>
        <v>0</v>
      </c>
      <c r="X36" s="522"/>
      <c r="Y36" s="523">
        <f t="shared" si="6"/>
        <v>0</v>
      </c>
      <c r="Z36" s="524">
        <f t="shared" si="119"/>
        <v>0</v>
      </c>
      <c r="AA36" s="522">
        <v>15.903199999999998</v>
      </c>
      <c r="AB36" s="523">
        <f t="shared" si="7"/>
        <v>0.40554903860866015</v>
      </c>
      <c r="AC36" s="524">
        <f t="shared" si="120"/>
        <v>0</v>
      </c>
      <c r="AD36" s="522"/>
      <c r="AE36" s="523">
        <f t="shared" si="8"/>
        <v>0</v>
      </c>
      <c r="AF36" s="524">
        <f t="shared" si="121"/>
        <v>0</v>
      </c>
      <c r="AG36" s="522"/>
      <c r="AH36" s="523">
        <f t="shared" si="9"/>
        <v>0</v>
      </c>
      <c r="AI36" s="524">
        <f t="shared" si="122"/>
        <v>0</v>
      </c>
      <c r="AJ36" s="522"/>
      <c r="AK36" s="523">
        <f t="shared" si="10"/>
        <v>0</v>
      </c>
      <c r="AL36" s="524">
        <f t="shared" si="123"/>
        <v>0</v>
      </c>
      <c r="AM36" s="522"/>
      <c r="AN36" s="523">
        <f t="shared" si="11"/>
        <v>0</v>
      </c>
      <c r="AO36" s="524">
        <f t="shared" si="124"/>
        <v>0</v>
      </c>
      <c r="AP36" s="522">
        <v>82.603999999999985</v>
      </c>
      <c r="AQ36" s="523">
        <f t="shared" si="12"/>
        <v>2.1064925791809044</v>
      </c>
      <c r="AR36" s="524">
        <f t="shared" si="125"/>
        <v>0</v>
      </c>
      <c r="AS36" s="522"/>
      <c r="AT36" s="523">
        <f t="shared" si="13"/>
        <v>0</v>
      </c>
      <c r="AU36" s="524">
        <f t="shared" si="126"/>
        <v>0</v>
      </c>
      <c r="AV36" s="522"/>
      <c r="AW36" s="523">
        <f t="shared" si="14"/>
        <v>0</v>
      </c>
      <c r="AX36" s="524">
        <f t="shared" si="127"/>
        <v>0</v>
      </c>
      <c r="AY36" s="522">
        <v>53.406000000000006</v>
      </c>
      <c r="AZ36" s="523">
        <f t="shared" si="15"/>
        <v>1.3619115621971747</v>
      </c>
      <c r="BA36" s="524">
        <f t="shared" si="128"/>
        <v>0</v>
      </c>
      <c r="BB36" s="522"/>
      <c r="BC36" s="523">
        <f t="shared" si="16"/>
        <v>0</v>
      </c>
      <c r="BD36" s="524">
        <f t="shared" si="129"/>
        <v>0</v>
      </c>
      <c r="BE36" s="522"/>
      <c r="BF36" s="523">
        <f t="shared" si="17"/>
        <v>0</v>
      </c>
      <c r="BG36" s="524">
        <f t="shared" si="130"/>
        <v>0</v>
      </c>
      <c r="BH36" s="522"/>
      <c r="BI36" s="523">
        <f t="shared" si="18"/>
        <v>0</v>
      </c>
      <c r="BJ36" s="524">
        <f t="shared" si="131"/>
        <v>0</v>
      </c>
      <c r="BK36" s="522"/>
      <c r="BL36" s="523">
        <f t="shared" si="19"/>
        <v>0</v>
      </c>
      <c r="BM36" s="524">
        <f t="shared" si="132"/>
        <v>0</v>
      </c>
      <c r="BN36" s="522"/>
      <c r="BO36" s="523">
        <f t="shared" si="20"/>
        <v>0</v>
      </c>
      <c r="BP36" s="524">
        <f t="shared" si="133"/>
        <v>0</v>
      </c>
      <c r="BQ36" s="522"/>
      <c r="BR36" s="523">
        <f t="shared" si="21"/>
        <v>0</v>
      </c>
      <c r="BS36" s="524">
        <f t="shared" si="134"/>
        <v>0</v>
      </c>
      <c r="BT36" s="522"/>
      <c r="BU36" s="523">
        <f t="shared" si="22"/>
        <v>0</v>
      </c>
      <c r="BV36" s="524">
        <f t="shared" si="135"/>
        <v>0</v>
      </c>
      <c r="BW36" s="522"/>
      <c r="BX36" s="523">
        <f t="shared" si="23"/>
        <v>0</v>
      </c>
      <c r="BY36" s="524">
        <f t="shared" si="136"/>
        <v>0</v>
      </c>
      <c r="BZ36" s="522"/>
      <c r="CA36" s="523">
        <f t="shared" si="24"/>
        <v>0</v>
      </c>
      <c r="CB36" s="524">
        <f t="shared" si="137"/>
        <v>0</v>
      </c>
      <c r="CC36" s="522"/>
      <c r="CD36" s="523">
        <f t="shared" si="25"/>
        <v>0</v>
      </c>
      <c r="CE36" s="524">
        <f t="shared" si="138"/>
        <v>0</v>
      </c>
      <c r="CF36" s="522">
        <v>2.5</v>
      </c>
      <c r="CG36" s="523">
        <f t="shared" si="26"/>
        <v>6.3752741367878826E-2</v>
      </c>
      <c r="CH36" s="524">
        <f t="shared" si="139"/>
        <v>0</v>
      </c>
      <c r="CI36" s="522"/>
      <c r="CJ36" s="523">
        <f t="shared" si="27"/>
        <v>0</v>
      </c>
      <c r="CK36" s="524">
        <f t="shared" si="140"/>
        <v>0</v>
      </c>
      <c r="CL36" s="522"/>
      <c r="CM36" s="523">
        <f t="shared" si="28"/>
        <v>0</v>
      </c>
      <c r="CN36" s="524">
        <f t="shared" si="141"/>
        <v>0</v>
      </c>
      <c r="CO36" s="522"/>
      <c r="CP36" s="523">
        <f t="shared" si="29"/>
        <v>0</v>
      </c>
      <c r="CQ36" s="524">
        <f t="shared" si="142"/>
        <v>0</v>
      </c>
      <c r="CR36" s="522"/>
      <c r="CS36" s="523">
        <f t="shared" si="30"/>
        <v>0</v>
      </c>
      <c r="CT36" s="524">
        <f t="shared" si="143"/>
        <v>0</v>
      </c>
      <c r="CU36" s="522"/>
      <c r="CV36" s="523">
        <f t="shared" si="31"/>
        <v>0</v>
      </c>
      <c r="CW36" s="524">
        <f t="shared" si="144"/>
        <v>0</v>
      </c>
      <c r="CX36" s="522"/>
      <c r="CY36" s="523">
        <f t="shared" si="32"/>
        <v>0</v>
      </c>
      <c r="CZ36" s="524">
        <f t="shared" si="145"/>
        <v>0</v>
      </c>
      <c r="DA36" s="522">
        <v>73.956000000000131</v>
      </c>
      <c r="DB36" s="523">
        <f t="shared" si="33"/>
        <v>1.8859590962411417</v>
      </c>
      <c r="DC36" s="524">
        <f t="shared" si="146"/>
        <v>0</v>
      </c>
      <c r="DD36" s="522"/>
      <c r="DE36" s="523">
        <f t="shared" si="34"/>
        <v>0</v>
      </c>
      <c r="DF36" s="524">
        <f t="shared" si="147"/>
        <v>0</v>
      </c>
      <c r="DG36" s="522"/>
      <c r="DH36" s="523">
        <f t="shared" si="35"/>
        <v>0</v>
      </c>
      <c r="DI36" s="524">
        <f t="shared" si="203"/>
        <v>0</v>
      </c>
      <c r="DJ36" s="522"/>
      <c r="DK36" s="523">
        <f t="shared" si="36"/>
        <v>0</v>
      </c>
      <c r="DL36" s="524">
        <f t="shared" si="148"/>
        <v>0</v>
      </c>
      <c r="DM36" s="522"/>
      <c r="DN36" s="523">
        <f t="shared" si="37"/>
        <v>0</v>
      </c>
      <c r="DO36" s="524">
        <f t="shared" si="149"/>
        <v>0</v>
      </c>
      <c r="DP36" s="522"/>
      <c r="DQ36" s="523">
        <f t="shared" si="38"/>
        <v>0</v>
      </c>
      <c r="DR36" s="524">
        <f t="shared" si="150"/>
        <v>0</v>
      </c>
      <c r="DS36" s="522"/>
      <c r="DT36" s="523">
        <f t="shared" si="39"/>
        <v>0</v>
      </c>
      <c r="DU36" s="524">
        <f t="shared" si="151"/>
        <v>0</v>
      </c>
      <c r="DV36" s="522"/>
      <c r="DW36" s="523">
        <f t="shared" si="40"/>
        <v>0</v>
      </c>
      <c r="DX36" s="524">
        <f t="shared" si="152"/>
        <v>0</v>
      </c>
      <c r="DY36" s="522"/>
      <c r="DZ36" s="523">
        <f t="shared" si="41"/>
        <v>0</v>
      </c>
      <c r="EA36" s="524">
        <f t="shared" si="153"/>
        <v>0</v>
      </c>
      <c r="EB36" s="522"/>
      <c r="EC36" s="523">
        <f t="shared" si="42"/>
        <v>0</v>
      </c>
      <c r="ED36" s="524">
        <f t="shared" si="154"/>
        <v>0</v>
      </c>
      <c r="EE36" s="522">
        <v>83.639999999999986</v>
      </c>
      <c r="EF36" s="523">
        <f t="shared" si="43"/>
        <v>2.1329117152037536</v>
      </c>
      <c r="EG36" s="524">
        <f t="shared" si="155"/>
        <v>0</v>
      </c>
      <c r="EH36" s="522"/>
      <c r="EI36" s="523">
        <f t="shared" si="44"/>
        <v>0</v>
      </c>
      <c r="EJ36" s="524">
        <f t="shared" si="156"/>
        <v>0</v>
      </c>
      <c r="EK36" s="522">
        <v>51.769999999999982</v>
      </c>
      <c r="EL36" s="523">
        <f t="shared" si="45"/>
        <v>1.3201917682460342</v>
      </c>
      <c r="EM36" s="524">
        <f t="shared" si="157"/>
        <v>0</v>
      </c>
      <c r="EN36" s="522"/>
      <c r="EO36" s="523">
        <f t="shared" si="46"/>
        <v>0</v>
      </c>
      <c r="EP36" s="524">
        <f t="shared" si="158"/>
        <v>0</v>
      </c>
      <c r="EQ36" s="522"/>
      <c r="ER36" s="523">
        <f t="shared" si="47"/>
        <v>0</v>
      </c>
      <c r="ES36" s="524">
        <f t="shared" si="159"/>
        <v>0</v>
      </c>
      <c r="ET36" s="522"/>
      <c r="EU36" s="523">
        <f t="shared" si="48"/>
        <v>0</v>
      </c>
      <c r="EV36" s="524">
        <f t="shared" si="160"/>
        <v>0</v>
      </c>
      <c r="EW36" s="522"/>
      <c r="EX36" s="523">
        <f t="shared" si="49"/>
        <v>0</v>
      </c>
      <c r="EY36" s="524">
        <f t="shared" si="161"/>
        <v>0</v>
      </c>
      <c r="EZ36" s="522"/>
      <c r="FA36" s="523">
        <f t="shared" si="50"/>
        <v>0</v>
      </c>
      <c r="FB36" s="524">
        <f t="shared" si="162"/>
        <v>0</v>
      </c>
      <c r="FC36" s="522"/>
      <c r="FD36" s="523">
        <f t="shared" si="51"/>
        <v>0</v>
      </c>
      <c r="FE36" s="524">
        <f t="shared" si="163"/>
        <v>0</v>
      </c>
      <c r="FF36" s="522"/>
      <c r="FG36" s="523">
        <f t="shared" si="52"/>
        <v>0</v>
      </c>
      <c r="FH36" s="524">
        <f t="shared" si="164"/>
        <v>0</v>
      </c>
      <c r="FI36" s="522"/>
      <c r="FJ36" s="523">
        <f t="shared" si="53"/>
        <v>0</v>
      </c>
      <c r="FK36" s="524">
        <f t="shared" si="165"/>
        <v>0</v>
      </c>
      <c r="FL36" s="522"/>
      <c r="FM36" s="523">
        <f t="shared" si="54"/>
        <v>0</v>
      </c>
      <c r="FN36" s="524">
        <f t="shared" si="166"/>
        <v>0</v>
      </c>
      <c r="FO36" s="522"/>
      <c r="FP36" s="523">
        <f t="shared" si="55"/>
        <v>0</v>
      </c>
      <c r="FQ36" s="524">
        <f t="shared" si="167"/>
        <v>0</v>
      </c>
      <c r="FR36" s="522"/>
      <c r="FS36" s="523">
        <f t="shared" si="56"/>
        <v>0</v>
      </c>
      <c r="FT36" s="524">
        <f t="shared" si="168"/>
        <v>0</v>
      </c>
      <c r="FU36" s="522"/>
      <c r="FV36" s="523">
        <f t="shared" si="57"/>
        <v>0</v>
      </c>
      <c r="FW36" s="524">
        <f t="shared" si="169"/>
        <v>0</v>
      </c>
      <c r="FX36" s="522"/>
      <c r="FY36" s="523">
        <f t="shared" si="58"/>
        <v>0</v>
      </c>
      <c r="FZ36" s="524">
        <f t="shared" si="170"/>
        <v>0</v>
      </c>
      <c r="GA36" s="522"/>
      <c r="GB36" s="523">
        <f t="shared" si="59"/>
        <v>0</v>
      </c>
      <c r="GC36" s="524">
        <f t="shared" si="171"/>
        <v>0</v>
      </c>
      <c r="GD36" s="522"/>
      <c r="GE36" s="523">
        <f t="shared" si="60"/>
        <v>0</v>
      </c>
      <c r="GF36" s="524">
        <f t="shared" si="172"/>
        <v>0</v>
      </c>
      <c r="GG36" s="522"/>
      <c r="GH36" s="523">
        <f t="shared" si="61"/>
        <v>0</v>
      </c>
      <c r="GI36" s="524">
        <f t="shared" si="173"/>
        <v>0</v>
      </c>
      <c r="GJ36" s="522"/>
      <c r="GK36" s="523">
        <f t="shared" si="62"/>
        <v>0</v>
      </c>
      <c r="GL36" s="524">
        <f t="shared" si="174"/>
        <v>0</v>
      </c>
      <c r="GM36" s="522"/>
      <c r="GN36" s="523">
        <f t="shared" si="63"/>
        <v>0</v>
      </c>
      <c r="GO36" s="524">
        <f t="shared" si="175"/>
        <v>0</v>
      </c>
      <c r="GP36" s="522"/>
      <c r="GQ36" s="523">
        <f t="shared" si="64"/>
        <v>0</v>
      </c>
      <c r="GR36" s="524">
        <f t="shared" si="176"/>
        <v>0</v>
      </c>
      <c r="GS36" s="522"/>
      <c r="GT36" s="523">
        <f t="shared" si="65"/>
        <v>0</v>
      </c>
      <c r="GU36" s="524">
        <f t="shared" si="177"/>
        <v>0</v>
      </c>
      <c r="GV36" s="522"/>
      <c r="GW36" s="523">
        <f t="shared" si="66"/>
        <v>0</v>
      </c>
      <c r="GX36" s="524">
        <f t="shared" si="178"/>
        <v>0</v>
      </c>
      <c r="GY36" s="522"/>
      <c r="GZ36" s="523">
        <f t="shared" si="67"/>
        <v>0</v>
      </c>
      <c r="HA36" s="524">
        <f t="shared" si="179"/>
        <v>0</v>
      </c>
      <c r="HB36" s="522"/>
      <c r="HC36" s="523">
        <f t="shared" si="68"/>
        <v>0</v>
      </c>
      <c r="HD36" s="524">
        <f t="shared" si="180"/>
        <v>0</v>
      </c>
      <c r="HE36" s="522"/>
      <c r="HF36" s="523">
        <f t="shared" si="69"/>
        <v>0</v>
      </c>
      <c r="HG36" s="524">
        <f t="shared" si="181"/>
        <v>0</v>
      </c>
      <c r="HH36" s="522"/>
      <c r="HI36" s="523">
        <f t="shared" si="70"/>
        <v>0</v>
      </c>
      <c r="HJ36" s="524">
        <f t="shared" si="182"/>
        <v>0</v>
      </c>
      <c r="HK36" s="522"/>
      <c r="HL36" s="523">
        <f t="shared" si="71"/>
        <v>0</v>
      </c>
      <c r="HM36" s="524">
        <f t="shared" si="183"/>
        <v>0</v>
      </c>
      <c r="HN36" s="522"/>
      <c r="HO36" s="523">
        <f t="shared" si="72"/>
        <v>0</v>
      </c>
      <c r="HP36" s="524">
        <f t="shared" si="184"/>
        <v>0</v>
      </c>
      <c r="HQ36" s="522"/>
      <c r="HR36" s="523">
        <f t="shared" si="73"/>
        <v>0</v>
      </c>
      <c r="HS36" s="524">
        <f t="shared" si="185"/>
        <v>0</v>
      </c>
      <c r="HT36" s="522"/>
      <c r="HU36" s="523">
        <f t="shared" si="74"/>
        <v>0</v>
      </c>
      <c r="HV36" s="524">
        <f t="shared" si="186"/>
        <v>0</v>
      </c>
      <c r="HW36" s="522"/>
      <c r="HX36" s="523">
        <f t="shared" si="75"/>
        <v>0</v>
      </c>
      <c r="HY36" s="524">
        <f t="shared" si="187"/>
        <v>0</v>
      </c>
      <c r="HZ36" s="522"/>
      <c r="IA36" s="523">
        <f t="shared" si="76"/>
        <v>0</v>
      </c>
      <c r="IB36" s="524">
        <f t="shared" si="188"/>
        <v>0</v>
      </c>
      <c r="IC36" s="522"/>
      <c r="ID36" s="523">
        <f t="shared" si="77"/>
        <v>0</v>
      </c>
      <c r="IE36" s="524">
        <f t="shared" si="189"/>
        <v>0</v>
      </c>
      <c r="IF36" s="522"/>
      <c r="IG36" s="523">
        <f t="shared" si="78"/>
        <v>0</v>
      </c>
      <c r="IH36" s="524">
        <f t="shared" si="190"/>
        <v>0</v>
      </c>
      <c r="II36" s="522"/>
      <c r="IJ36" s="523">
        <f t="shared" si="79"/>
        <v>0</v>
      </c>
      <c r="IK36" s="524">
        <f t="shared" si="191"/>
        <v>0</v>
      </c>
      <c r="IL36" s="522"/>
      <c r="IM36" s="523">
        <f t="shared" si="80"/>
        <v>0</v>
      </c>
      <c r="IN36" s="524">
        <f t="shared" si="192"/>
        <v>0</v>
      </c>
      <c r="IO36" s="522"/>
      <c r="IP36" s="523">
        <f t="shared" si="81"/>
        <v>0</v>
      </c>
      <c r="IQ36" s="524">
        <f t="shared" si="193"/>
        <v>0</v>
      </c>
      <c r="IR36" s="522"/>
      <c r="IS36" s="523">
        <f t="shared" si="82"/>
        <v>0</v>
      </c>
      <c r="IT36" s="524">
        <f t="shared" si="194"/>
        <v>0</v>
      </c>
      <c r="IU36" s="522"/>
      <c r="IV36" s="523">
        <f t="shared" si="83"/>
        <v>0</v>
      </c>
      <c r="IW36" s="524">
        <f t="shared" si="195"/>
        <v>0</v>
      </c>
      <c r="IX36" s="522"/>
      <c r="IY36" s="523">
        <f t="shared" si="84"/>
        <v>0</v>
      </c>
      <c r="IZ36" s="524">
        <f t="shared" si="196"/>
        <v>0</v>
      </c>
      <c r="JA36" s="522"/>
      <c r="JB36" s="523">
        <f t="shared" si="85"/>
        <v>0</v>
      </c>
      <c r="JC36" s="524">
        <f t="shared" si="197"/>
        <v>0</v>
      </c>
      <c r="JD36" s="522"/>
      <c r="JE36" s="523">
        <f t="shared" si="86"/>
        <v>0</v>
      </c>
      <c r="JF36" s="524">
        <f t="shared" si="198"/>
        <v>0</v>
      </c>
      <c r="JG36" s="522"/>
      <c r="JH36" s="523">
        <f t="shared" si="87"/>
        <v>0</v>
      </c>
      <c r="JI36" s="524">
        <f t="shared" si="199"/>
        <v>0</v>
      </c>
      <c r="JJ36" s="522"/>
      <c r="JK36" s="524" t="str">
        <f t="shared" si="88"/>
        <v>0</v>
      </c>
      <c r="JL36" s="524" t="str">
        <f t="shared" si="89"/>
        <v>0</v>
      </c>
      <c r="JM36" s="522"/>
      <c r="JN36" s="524" t="str">
        <f t="shared" si="90"/>
        <v>0</v>
      </c>
      <c r="JO36" s="524" t="str">
        <f t="shared" si="91"/>
        <v>0</v>
      </c>
      <c r="JP36" s="522"/>
      <c r="JQ36" s="524" t="str">
        <f t="shared" si="92"/>
        <v>0</v>
      </c>
      <c r="JR36" s="524" t="str">
        <f t="shared" si="93"/>
        <v>0</v>
      </c>
      <c r="JS36" s="522"/>
      <c r="JT36" s="524" t="str">
        <f t="shared" si="94"/>
        <v>0</v>
      </c>
      <c r="JU36" s="524" t="str">
        <f t="shared" si="95"/>
        <v>0</v>
      </c>
      <c r="JV36" s="522"/>
      <c r="JW36" s="524" t="str">
        <f t="shared" si="96"/>
        <v>0</v>
      </c>
      <c r="JX36" s="524" t="str">
        <f t="shared" si="97"/>
        <v>0</v>
      </c>
      <c r="JY36" s="522"/>
      <c r="JZ36" s="524" t="str">
        <f t="shared" si="98"/>
        <v>0</v>
      </c>
      <c r="KA36" s="524" t="str">
        <f t="shared" si="99"/>
        <v>0</v>
      </c>
      <c r="KB36" s="522"/>
      <c r="KC36" s="524" t="str">
        <f t="shared" si="100"/>
        <v>0</v>
      </c>
      <c r="KD36" s="524" t="str">
        <f t="shared" si="101"/>
        <v>0</v>
      </c>
      <c r="KE36" s="522"/>
      <c r="KF36" s="524" t="str">
        <f t="shared" si="102"/>
        <v>0</v>
      </c>
      <c r="KG36" s="524" t="str">
        <f t="shared" si="103"/>
        <v>0</v>
      </c>
      <c r="KH36" s="522"/>
      <c r="KI36" s="524" t="str">
        <f t="shared" si="104"/>
        <v>0</v>
      </c>
      <c r="KJ36" s="524" t="str">
        <f t="shared" si="105"/>
        <v>0</v>
      </c>
      <c r="KK36" s="522"/>
      <c r="KL36" s="524" t="str">
        <f t="shared" si="106"/>
        <v>0</v>
      </c>
      <c r="KM36" s="524" t="str">
        <f t="shared" si="107"/>
        <v>0</v>
      </c>
      <c r="KN36" s="522"/>
      <c r="KO36" s="524" t="str">
        <f t="shared" si="108"/>
        <v>0</v>
      </c>
      <c r="KP36" s="524" t="str">
        <f t="shared" si="109"/>
        <v>0</v>
      </c>
      <c r="KQ36" s="522"/>
      <c r="KR36" s="524" t="str">
        <f t="shared" si="110"/>
        <v>0</v>
      </c>
      <c r="KS36" s="524" t="str">
        <f t="shared" si="111"/>
        <v>0</v>
      </c>
      <c r="KT36" s="524">
        <f t="shared" si="201"/>
        <v>0</v>
      </c>
      <c r="KU36" s="524">
        <f t="shared" si="202"/>
        <v>0</v>
      </c>
      <c r="KV36" s="261">
        <f t="shared" si="204"/>
        <v>372.04180000000008</v>
      </c>
    </row>
    <row r="37" spans="1:308" ht="15" customHeight="1">
      <c r="A37" s="262">
        <f t="shared" si="200"/>
        <v>46020</v>
      </c>
      <c r="B37" s="263" t="str">
        <f>+Report1!B37</f>
        <v>Toilet</v>
      </c>
      <c r="C37" s="263" t="str">
        <f>+Report1!C37</f>
        <v>12,5/13</v>
      </c>
      <c r="D37" s="264">
        <f>+Report1!P37</f>
        <v>41.18</v>
      </c>
      <c r="E37" s="560">
        <f>+Report1!R37</f>
        <v>40.776000000000003</v>
      </c>
      <c r="F37" s="522"/>
      <c r="G37" s="523">
        <f t="shared" si="0"/>
        <v>0</v>
      </c>
      <c r="H37" s="524">
        <f t="shared" si="113"/>
        <v>0</v>
      </c>
      <c r="I37" s="522"/>
      <c r="J37" s="523">
        <f t="shared" si="1"/>
        <v>0</v>
      </c>
      <c r="K37" s="524">
        <f t="shared" si="114"/>
        <v>0</v>
      </c>
      <c r="L37" s="522"/>
      <c r="M37" s="523">
        <f t="shared" si="2"/>
        <v>0</v>
      </c>
      <c r="N37" s="524">
        <f t="shared" si="115"/>
        <v>0</v>
      </c>
      <c r="O37" s="522">
        <v>3.0055999999999869</v>
      </c>
      <c r="P37" s="523">
        <f t="shared" si="3"/>
        <v>7.3710025505198812E-2</v>
      </c>
      <c r="Q37" s="524">
        <f t="shared" si="116"/>
        <v>0</v>
      </c>
      <c r="R37" s="522"/>
      <c r="S37" s="523">
        <f t="shared" si="4"/>
        <v>0</v>
      </c>
      <c r="T37" s="524">
        <f t="shared" si="117"/>
        <v>0</v>
      </c>
      <c r="U37" s="522">
        <v>5.1280000000000143</v>
      </c>
      <c r="V37" s="523">
        <f t="shared" si="5"/>
        <v>0.12576025112811492</v>
      </c>
      <c r="W37" s="524">
        <f t="shared" si="118"/>
        <v>0</v>
      </c>
      <c r="X37" s="522"/>
      <c r="Y37" s="523">
        <f t="shared" si="6"/>
        <v>0</v>
      </c>
      <c r="Z37" s="524">
        <f t="shared" si="119"/>
        <v>0</v>
      </c>
      <c r="AA37" s="522">
        <v>15.628500000000003</v>
      </c>
      <c r="AB37" s="523">
        <f t="shared" si="7"/>
        <v>0.38327692760447324</v>
      </c>
      <c r="AC37" s="524">
        <f t="shared" si="120"/>
        <v>0</v>
      </c>
      <c r="AD37" s="522"/>
      <c r="AE37" s="523">
        <f t="shared" si="8"/>
        <v>0</v>
      </c>
      <c r="AF37" s="524">
        <f t="shared" si="121"/>
        <v>0</v>
      </c>
      <c r="AG37" s="522"/>
      <c r="AH37" s="523">
        <f t="shared" si="9"/>
        <v>0</v>
      </c>
      <c r="AI37" s="524">
        <f t="shared" si="122"/>
        <v>0</v>
      </c>
      <c r="AJ37" s="522"/>
      <c r="AK37" s="523">
        <f t="shared" si="10"/>
        <v>0</v>
      </c>
      <c r="AL37" s="524">
        <f t="shared" si="123"/>
        <v>0</v>
      </c>
      <c r="AM37" s="522"/>
      <c r="AN37" s="523">
        <f t="shared" si="11"/>
        <v>0</v>
      </c>
      <c r="AO37" s="524">
        <f t="shared" si="124"/>
        <v>0</v>
      </c>
      <c r="AP37" s="522">
        <v>28.483486075949429</v>
      </c>
      <c r="AQ37" s="523">
        <f t="shared" si="12"/>
        <v>0.69853556199601297</v>
      </c>
      <c r="AR37" s="524">
        <f t="shared" si="125"/>
        <v>0</v>
      </c>
      <c r="AS37" s="522"/>
      <c r="AT37" s="523">
        <f t="shared" si="13"/>
        <v>0</v>
      </c>
      <c r="AU37" s="524">
        <f t="shared" si="126"/>
        <v>0</v>
      </c>
      <c r="AV37" s="522"/>
      <c r="AW37" s="523">
        <f t="shared" si="14"/>
        <v>0</v>
      </c>
      <c r="AX37" s="524">
        <f t="shared" si="127"/>
        <v>0</v>
      </c>
      <c r="AY37" s="522">
        <v>49.000133333333338</v>
      </c>
      <c r="AZ37" s="523">
        <f t="shared" si="15"/>
        <v>1.2016905369171409</v>
      </c>
      <c r="BA37" s="524">
        <f t="shared" si="128"/>
        <v>0</v>
      </c>
      <c r="BB37" s="522"/>
      <c r="BC37" s="523">
        <f t="shared" si="16"/>
        <v>0</v>
      </c>
      <c r="BD37" s="524">
        <f t="shared" si="129"/>
        <v>0</v>
      </c>
      <c r="BE37" s="522"/>
      <c r="BF37" s="523">
        <f t="shared" si="17"/>
        <v>0</v>
      </c>
      <c r="BG37" s="524">
        <f t="shared" si="130"/>
        <v>0</v>
      </c>
      <c r="BH37" s="522"/>
      <c r="BI37" s="523">
        <f t="shared" si="18"/>
        <v>0</v>
      </c>
      <c r="BJ37" s="524">
        <f t="shared" si="131"/>
        <v>0</v>
      </c>
      <c r="BK37" s="522"/>
      <c r="BL37" s="523">
        <f t="shared" si="19"/>
        <v>0</v>
      </c>
      <c r="BM37" s="524">
        <f t="shared" si="132"/>
        <v>0</v>
      </c>
      <c r="BN37" s="522"/>
      <c r="BO37" s="523">
        <f t="shared" si="20"/>
        <v>0</v>
      </c>
      <c r="BP37" s="524">
        <f t="shared" si="133"/>
        <v>0</v>
      </c>
      <c r="BQ37" s="522"/>
      <c r="BR37" s="523">
        <f t="shared" si="21"/>
        <v>0</v>
      </c>
      <c r="BS37" s="524">
        <f t="shared" si="134"/>
        <v>0</v>
      </c>
      <c r="BT37" s="522"/>
      <c r="BU37" s="523">
        <f t="shared" si="22"/>
        <v>0</v>
      </c>
      <c r="BV37" s="524">
        <f t="shared" si="135"/>
        <v>0</v>
      </c>
      <c r="BW37" s="522"/>
      <c r="BX37" s="523">
        <f t="shared" si="23"/>
        <v>0</v>
      </c>
      <c r="BY37" s="524">
        <f t="shared" si="136"/>
        <v>0</v>
      </c>
      <c r="BZ37" s="522"/>
      <c r="CA37" s="523">
        <f t="shared" si="24"/>
        <v>0</v>
      </c>
      <c r="CB37" s="524">
        <f t="shared" si="137"/>
        <v>0</v>
      </c>
      <c r="CC37" s="522"/>
      <c r="CD37" s="523">
        <f t="shared" si="25"/>
        <v>0</v>
      </c>
      <c r="CE37" s="524">
        <f t="shared" si="138"/>
        <v>0</v>
      </c>
      <c r="CF37" s="522">
        <v>2.5</v>
      </c>
      <c r="CG37" s="523">
        <f t="shared" si="26"/>
        <v>6.1310574847949773E-2</v>
      </c>
      <c r="CH37" s="524">
        <f t="shared" si="139"/>
        <v>0</v>
      </c>
      <c r="CI37" s="522"/>
      <c r="CJ37" s="523">
        <f t="shared" si="27"/>
        <v>0</v>
      </c>
      <c r="CK37" s="524">
        <f t="shared" si="140"/>
        <v>0</v>
      </c>
      <c r="CL37" s="522"/>
      <c r="CM37" s="523">
        <f t="shared" si="28"/>
        <v>0</v>
      </c>
      <c r="CN37" s="524">
        <f t="shared" si="141"/>
        <v>0</v>
      </c>
      <c r="CO37" s="522"/>
      <c r="CP37" s="523">
        <f t="shared" si="29"/>
        <v>0</v>
      </c>
      <c r="CQ37" s="524">
        <f t="shared" si="142"/>
        <v>0</v>
      </c>
      <c r="CR37" s="522"/>
      <c r="CS37" s="523">
        <f t="shared" si="30"/>
        <v>0</v>
      </c>
      <c r="CT37" s="524">
        <f t="shared" si="143"/>
        <v>0</v>
      </c>
      <c r="CU37" s="522"/>
      <c r="CV37" s="523">
        <f t="shared" si="31"/>
        <v>0</v>
      </c>
      <c r="CW37" s="524">
        <f t="shared" si="144"/>
        <v>0</v>
      </c>
      <c r="CX37" s="522"/>
      <c r="CY37" s="523">
        <f t="shared" si="32"/>
        <v>0</v>
      </c>
      <c r="CZ37" s="524">
        <f t="shared" si="145"/>
        <v>0</v>
      </c>
      <c r="DA37" s="522">
        <v>72.675999999999931</v>
      </c>
      <c r="DB37" s="523">
        <f t="shared" si="33"/>
        <v>1.7823229350598373</v>
      </c>
      <c r="DC37" s="524">
        <f t="shared" si="146"/>
        <v>0</v>
      </c>
      <c r="DD37" s="522"/>
      <c r="DE37" s="523">
        <f t="shared" si="34"/>
        <v>0</v>
      </c>
      <c r="DF37" s="524">
        <f t="shared" si="147"/>
        <v>0</v>
      </c>
      <c r="DG37" s="522"/>
      <c r="DH37" s="523">
        <f t="shared" si="35"/>
        <v>0</v>
      </c>
      <c r="DI37" s="524">
        <f t="shared" si="203"/>
        <v>0</v>
      </c>
      <c r="DJ37" s="522"/>
      <c r="DK37" s="523">
        <f t="shared" si="36"/>
        <v>0</v>
      </c>
      <c r="DL37" s="524">
        <f t="shared" si="148"/>
        <v>0</v>
      </c>
      <c r="DM37" s="522"/>
      <c r="DN37" s="523">
        <f t="shared" si="37"/>
        <v>0</v>
      </c>
      <c r="DO37" s="524">
        <f t="shared" si="149"/>
        <v>0</v>
      </c>
      <c r="DP37" s="522"/>
      <c r="DQ37" s="523">
        <f t="shared" si="38"/>
        <v>0</v>
      </c>
      <c r="DR37" s="524">
        <f t="shared" si="150"/>
        <v>0</v>
      </c>
      <c r="DS37" s="522"/>
      <c r="DT37" s="523">
        <f t="shared" si="39"/>
        <v>0</v>
      </c>
      <c r="DU37" s="524">
        <f t="shared" si="151"/>
        <v>0</v>
      </c>
      <c r="DV37" s="522"/>
      <c r="DW37" s="523">
        <f t="shared" si="40"/>
        <v>0</v>
      </c>
      <c r="DX37" s="524">
        <f t="shared" si="152"/>
        <v>0</v>
      </c>
      <c r="DY37" s="522"/>
      <c r="DZ37" s="523">
        <f t="shared" si="41"/>
        <v>0</v>
      </c>
      <c r="EA37" s="524">
        <f t="shared" si="153"/>
        <v>0</v>
      </c>
      <c r="EB37" s="522"/>
      <c r="EC37" s="523">
        <f t="shared" si="42"/>
        <v>0</v>
      </c>
      <c r="ED37" s="524">
        <f t="shared" si="154"/>
        <v>0</v>
      </c>
      <c r="EE37" s="522">
        <v>70.449411764705928</v>
      </c>
      <c r="EF37" s="523">
        <f t="shared" si="43"/>
        <v>1.7277175731976144</v>
      </c>
      <c r="EG37" s="524">
        <f t="shared" si="155"/>
        <v>0</v>
      </c>
      <c r="EH37" s="522"/>
      <c r="EI37" s="523">
        <f t="shared" si="44"/>
        <v>0</v>
      </c>
      <c r="EJ37" s="524">
        <f t="shared" si="156"/>
        <v>0</v>
      </c>
      <c r="EK37" s="522">
        <v>43.608306976744188</v>
      </c>
      <c r="EL37" s="523">
        <f t="shared" si="45"/>
        <v>1.0694601475560179</v>
      </c>
      <c r="EM37" s="524">
        <f t="shared" si="157"/>
        <v>0</v>
      </c>
      <c r="EN37" s="522"/>
      <c r="EO37" s="523">
        <f t="shared" si="46"/>
        <v>0</v>
      </c>
      <c r="EP37" s="524">
        <f t="shared" si="158"/>
        <v>0</v>
      </c>
      <c r="EQ37" s="522"/>
      <c r="ER37" s="523">
        <f t="shared" si="47"/>
        <v>0</v>
      </c>
      <c r="ES37" s="524">
        <f t="shared" si="159"/>
        <v>0</v>
      </c>
      <c r="ET37" s="522"/>
      <c r="EU37" s="523">
        <f t="shared" si="48"/>
        <v>0</v>
      </c>
      <c r="EV37" s="524">
        <f t="shared" si="160"/>
        <v>0</v>
      </c>
      <c r="EW37" s="522"/>
      <c r="EX37" s="523">
        <f t="shared" si="49"/>
        <v>0</v>
      </c>
      <c r="EY37" s="524">
        <f t="shared" si="161"/>
        <v>0</v>
      </c>
      <c r="EZ37" s="522"/>
      <c r="FA37" s="523">
        <f t="shared" si="50"/>
        <v>0</v>
      </c>
      <c r="FB37" s="524">
        <f t="shared" si="162"/>
        <v>0</v>
      </c>
      <c r="FC37" s="522"/>
      <c r="FD37" s="523">
        <f t="shared" si="51"/>
        <v>0</v>
      </c>
      <c r="FE37" s="524">
        <f t="shared" si="163"/>
        <v>0</v>
      </c>
      <c r="FF37" s="522"/>
      <c r="FG37" s="523">
        <f t="shared" si="52"/>
        <v>0</v>
      </c>
      <c r="FH37" s="524">
        <f t="shared" si="164"/>
        <v>0</v>
      </c>
      <c r="FI37" s="522"/>
      <c r="FJ37" s="523">
        <f t="shared" si="53"/>
        <v>0</v>
      </c>
      <c r="FK37" s="524">
        <f t="shared" si="165"/>
        <v>0</v>
      </c>
      <c r="FL37" s="522"/>
      <c r="FM37" s="523">
        <f t="shared" si="54"/>
        <v>0</v>
      </c>
      <c r="FN37" s="524">
        <f t="shared" si="166"/>
        <v>0</v>
      </c>
      <c r="FO37" s="522"/>
      <c r="FP37" s="523">
        <f t="shared" si="55"/>
        <v>0</v>
      </c>
      <c r="FQ37" s="524">
        <f t="shared" si="167"/>
        <v>0</v>
      </c>
      <c r="FR37" s="522"/>
      <c r="FS37" s="523">
        <f t="shared" si="56"/>
        <v>0</v>
      </c>
      <c r="FT37" s="524">
        <f t="shared" si="168"/>
        <v>0</v>
      </c>
      <c r="FU37" s="522"/>
      <c r="FV37" s="523">
        <f t="shared" si="57"/>
        <v>0</v>
      </c>
      <c r="FW37" s="524">
        <f t="shared" si="169"/>
        <v>0</v>
      </c>
      <c r="FX37" s="522"/>
      <c r="FY37" s="523">
        <f t="shared" si="58"/>
        <v>0</v>
      </c>
      <c r="FZ37" s="524">
        <f t="shared" si="170"/>
        <v>0</v>
      </c>
      <c r="GA37" s="522"/>
      <c r="GB37" s="523">
        <f t="shared" si="59"/>
        <v>0</v>
      </c>
      <c r="GC37" s="524">
        <f t="shared" si="171"/>
        <v>0</v>
      </c>
      <c r="GD37" s="522"/>
      <c r="GE37" s="523">
        <f t="shared" si="60"/>
        <v>0</v>
      </c>
      <c r="GF37" s="524">
        <f t="shared" si="172"/>
        <v>0</v>
      </c>
      <c r="GG37" s="522"/>
      <c r="GH37" s="523">
        <f t="shared" si="61"/>
        <v>0</v>
      </c>
      <c r="GI37" s="524">
        <f t="shared" si="173"/>
        <v>0</v>
      </c>
      <c r="GJ37" s="522"/>
      <c r="GK37" s="523">
        <f t="shared" si="62"/>
        <v>0</v>
      </c>
      <c r="GL37" s="524">
        <f t="shared" si="174"/>
        <v>0</v>
      </c>
      <c r="GM37" s="522"/>
      <c r="GN37" s="523">
        <f t="shared" si="63"/>
        <v>0</v>
      </c>
      <c r="GO37" s="524">
        <f t="shared" si="175"/>
        <v>0</v>
      </c>
      <c r="GP37" s="522"/>
      <c r="GQ37" s="523">
        <f t="shared" si="64"/>
        <v>0</v>
      </c>
      <c r="GR37" s="524">
        <f t="shared" si="176"/>
        <v>0</v>
      </c>
      <c r="GS37" s="522"/>
      <c r="GT37" s="523">
        <f t="shared" si="65"/>
        <v>0</v>
      </c>
      <c r="GU37" s="524">
        <f t="shared" si="177"/>
        <v>0</v>
      </c>
      <c r="GV37" s="522"/>
      <c r="GW37" s="523">
        <f t="shared" si="66"/>
        <v>0</v>
      </c>
      <c r="GX37" s="524">
        <f t="shared" si="178"/>
        <v>0</v>
      </c>
      <c r="GY37" s="522"/>
      <c r="GZ37" s="523">
        <f t="shared" si="67"/>
        <v>0</v>
      </c>
      <c r="HA37" s="524">
        <f t="shared" si="179"/>
        <v>0</v>
      </c>
      <c r="HB37" s="522"/>
      <c r="HC37" s="523">
        <f t="shared" si="68"/>
        <v>0</v>
      </c>
      <c r="HD37" s="524">
        <f t="shared" si="180"/>
        <v>0</v>
      </c>
      <c r="HE37" s="522"/>
      <c r="HF37" s="523">
        <f t="shared" si="69"/>
        <v>0</v>
      </c>
      <c r="HG37" s="524">
        <f t="shared" si="181"/>
        <v>0</v>
      </c>
      <c r="HH37" s="522"/>
      <c r="HI37" s="523">
        <f t="shared" si="70"/>
        <v>0</v>
      </c>
      <c r="HJ37" s="524">
        <f t="shared" si="182"/>
        <v>0</v>
      </c>
      <c r="HK37" s="522"/>
      <c r="HL37" s="523">
        <f t="shared" si="71"/>
        <v>0</v>
      </c>
      <c r="HM37" s="524">
        <f t="shared" si="183"/>
        <v>0</v>
      </c>
      <c r="HN37" s="522"/>
      <c r="HO37" s="523">
        <f t="shared" si="72"/>
        <v>0</v>
      </c>
      <c r="HP37" s="524">
        <f t="shared" si="184"/>
        <v>0</v>
      </c>
      <c r="HQ37" s="522"/>
      <c r="HR37" s="523">
        <f t="shared" si="73"/>
        <v>0</v>
      </c>
      <c r="HS37" s="524">
        <f t="shared" si="185"/>
        <v>0</v>
      </c>
      <c r="HT37" s="522"/>
      <c r="HU37" s="523">
        <f t="shared" si="74"/>
        <v>0</v>
      </c>
      <c r="HV37" s="524">
        <f t="shared" si="186"/>
        <v>0</v>
      </c>
      <c r="HW37" s="522"/>
      <c r="HX37" s="523">
        <f t="shared" si="75"/>
        <v>0</v>
      </c>
      <c r="HY37" s="524">
        <f t="shared" si="187"/>
        <v>0</v>
      </c>
      <c r="HZ37" s="522"/>
      <c r="IA37" s="523">
        <f t="shared" si="76"/>
        <v>0</v>
      </c>
      <c r="IB37" s="524">
        <f t="shared" si="188"/>
        <v>0</v>
      </c>
      <c r="IC37" s="522"/>
      <c r="ID37" s="523">
        <f t="shared" si="77"/>
        <v>0</v>
      </c>
      <c r="IE37" s="524">
        <f t="shared" si="189"/>
        <v>0</v>
      </c>
      <c r="IF37" s="522"/>
      <c r="IG37" s="523">
        <f t="shared" si="78"/>
        <v>0</v>
      </c>
      <c r="IH37" s="524">
        <f t="shared" si="190"/>
        <v>0</v>
      </c>
      <c r="II37" s="522"/>
      <c r="IJ37" s="523">
        <f t="shared" si="79"/>
        <v>0</v>
      </c>
      <c r="IK37" s="524">
        <f t="shared" si="191"/>
        <v>0</v>
      </c>
      <c r="IL37" s="522"/>
      <c r="IM37" s="523">
        <f t="shared" si="80"/>
        <v>0</v>
      </c>
      <c r="IN37" s="524">
        <f t="shared" si="192"/>
        <v>0</v>
      </c>
      <c r="IO37" s="522"/>
      <c r="IP37" s="523">
        <f t="shared" si="81"/>
        <v>0</v>
      </c>
      <c r="IQ37" s="524">
        <f t="shared" si="193"/>
        <v>0</v>
      </c>
      <c r="IR37" s="522"/>
      <c r="IS37" s="523">
        <f t="shared" si="82"/>
        <v>0</v>
      </c>
      <c r="IT37" s="524">
        <f t="shared" si="194"/>
        <v>0</v>
      </c>
      <c r="IU37" s="522"/>
      <c r="IV37" s="523">
        <f t="shared" si="83"/>
        <v>0</v>
      </c>
      <c r="IW37" s="524">
        <f t="shared" si="195"/>
        <v>0</v>
      </c>
      <c r="IX37" s="522"/>
      <c r="IY37" s="523">
        <f t="shared" si="84"/>
        <v>0</v>
      </c>
      <c r="IZ37" s="524">
        <f t="shared" si="196"/>
        <v>0</v>
      </c>
      <c r="JA37" s="522"/>
      <c r="JB37" s="523">
        <f t="shared" si="85"/>
        <v>0</v>
      </c>
      <c r="JC37" s="524">
        <f t="shared" si="197"/>
        <v>0</v>
      </c>
      <c r="JD37" s="522"/>
      <c r="JE37" s="523">
        <f t="shared" si="86"/>
        <v>0</v>
      </c>
      <c r="JF37" s="524">
        <f t="shared" si="198"/>
        <v>0</v>
      </c>
      <c r="JG37" s="522"/>
      <c r="JH37" s="523">
        <f t="shared" si="87"/>
        <v>0</v>
      </c>
      <c r="JI37" s="524">
        <f t="shared" si="199"/>
        <v>0</v>
      </c>
      <c r="JJ37" s="522"/>
      <c r="JK37" s="524" t="str">
        <f t="shared" si="88"/>
        <v>0</v>
      </c>
      <c r="JL37" s="524" t="str">
        <f t="shared" si="89"/>
        <v>0</v>
      </c>
      <c r="JM37" s="522"/>
      <c r="JN37" s="524" t="str">
        <f t="shared" si="90"/>
        <v>0</v>
      </c>
      <c r="JO37" s="524" t="str">
        <f t="shared" si="91"/>
        <v>0</v>
      </c>
      <c r="JP37" s="522"/>
      <c r="JQ37" s="524" t="str">
        <f t="shared" si="92"/>
        <v>0</v>
      </c>
      <c r="JR37" s="524" t="str">
        <f t="shared" si="93"/>
        <v>0</v>
      </c>
      <c r="JS37" s="522"/>
      <c r="JT37" s="524" t="str">
        <f t="shared" si="94"/>
        <v>0</v>
      </c>
      <c r="JU37" s="524" t="str">
        <f t="shared" si="95"/>
        <v>0</v>
      </c>
      <c r="JV37" s="522"/>
      <c r="JW37" s="524" t="str">
        <f t="shared" si="96"/>
        <v>0</v>
      </c>
      <c r="JX37" s="524" t="str">
        <f t="shared" si="97"/>
        <v>0</v>
      </c>
      <c r="JY37" s="522"/>
      <c r="JZ37" s="524" t="str">
        <f t="shared" si="98"/>
        <v>0</v>
      </c>
      <c r="KA37" s="524" t="str">
        <f t="shared" si="99"/>
        <v>0</v>
      </c>
      <c r="KB37" s="522"/>
      <c r="KC37" s="524" t="str">
        <f t="shared" si="100"/>
        <v>0</v>
      </c>
      <c r="KD37" s="524" t="str">
        <f t="shared" si="101"/>
        <v>0</v>
      </c>
      <c r="KE37" s="522"/>
      <c r="KF37" s="524" t="str">
        <f t="shared" si="102"/>
        <v>0</v>
      </c>
      <c r="KG37" s="524" t="str">
        <f t="shared" si="103"/>
        <v>0</v>
      </c>
      <c r="KH37" s="522"/>
      <c r="KI37" s="524" t="str">
        <f t="shared" si="104"/>
        <v>0</v>
      </c>
      <c r="KJ37" s="524" t="str">
        <f t="shared" si="105"/>
        <v>0</v>
      </c>
      <c r="KK37" s="522"/>
      <c r="KL37" s="524" t="str">
        <f t="shared" si="106"/>
        <v>0</v>
      </c>
      <c r="KM37" s="524" t="str">
        <f t="shared" si="107"/>
        <v>0</v>
      </c>
      <c r="KN37" s="522"/>
      <c r="KO37" s="524" t="str">
        <f t="shared" si="108"/>
        <v>0</v>
      </c>
      <c r="KP37" s="524" t="str">
        <f t="shared" si="109"/>
        <v>0</v>
      </c>
      <c r="KQ37" s="522"/>
      <c r="KR37" s="524" t="str">
        <f t="shared" si="110"/>
        <v>0</v>
      </c>
      <c r="KS37" s="524" t="str">
        <f t="shared" si="111"/>
        <v>0</v>
      </c>
      <c r="KT37" s="524">
        <f t="shared" si="201"/>
        <v>0</v>
      </c>
      <c r="KU37" s="524">
        <f t="shared" si="202"/>
        <v>0</v>
      </c>
      <c r="KV37" s="261">
        <f t="shared" si="204"/>
        <v>290.47943815073279</v>
      </c>
    </row>
    <row r="38" spans="1:308" ht="15" customHeight="1">
      <c r="A38" s="262">
        <f t="shared" si="200"/>
        <v>46021</v>
      </c>
      <c r="B38" s="263" t="str">
        <f>+Report1!B38</f>
        <v>Toilet</v>
      </c>
      <c r="C38" s="263" t="str">
        <f>+Report1!C38</f>
        <v>13</v>
      </c>
      <c r="D38" s="264">
        <f>+Report1!P38</f>
        <v>41.820999999999998</v>
      </c>
      <c r="E38" s="560">
        <f>+Report1!R38</f>
        <v>39.149000000000001</v>
      </c>
      <c r="F38" s="522"/>
      <c r="G38" s="523">
        <f t="shared" si="0"/>
        <v>0</v>
      </c>
      <c r="H38" s="524">
        <f t="shared" si="113"/>
        <v>0</v>
      </c>
      <c r="I38" s="522"/>
      <c r="J38" s="523">
        <f t="shared" si="1"/>
        <v>0</v>
      </c>
      <c r="K38" s="524">
        <f t="shared" si="114"/>
        <v>0</v>
      </c>
      <c r="L38" s="522"/>
      <c r="M38" s="523">
        <f t="shared" si="2"/>
        <v>0</v>
      </c>
      <c r="N38" s="524">
        <f t="shared" si="115"/>
        <v>0</v>
      </c>
      <c r="O38" s="522">
        <v>3</v>
      </c>
      <c r="P38" s="523">
        <f t="shared" si="3"/>
        <v>7.6630309841886124E-2</v>
      </c>
      <c r="Q38" s="524">
        <f t="shared" si="116"/>
        <v>0</v>
      </c>
      <c r="R38" s="522"/>
      <c r="S38" s="523">
        <f t="shared" si="4"/>
        <v>0</v>
      </c>
      <c r="T38" s="524">
        <f t="shared" si="117"/>
        <v>0</v>
      </c>
      <c r="U38" s="522">
        <v>5.1249999999999716</v>
      </c>
      <c r="V38" s="523">
        <f t="shared" si="5"/>
        <v>0.13091011264655475</v>
      </c>
      <c r="W38" s="524">
        <f t="shared" si="118"/>
        <v>0</v>
      </c>
      <c r="X38" s="522"/>
      <c r="Y38" s="523">
        <f t="shared" si="6"/>
        <v>0</v>
      </c>
      <c r="Z38" s="524">
        <f t="shared" si="119"/>
        <v>0</v>
      </c>
      <c r="AA38" s="522">
        <v>15.625</v>
      </c>
      <c r="AB38" s="523">
        <f t="shared" si="7"/>
        <v>0.39911619709315688</v>
      </c>
      <c r="AC38" s="524">
        <f t="shared" si="120"/>
        <v>0</v>
      </c>
      <c r="AD38" s="522"/>
      <c r="AE38" s="523">
        <f t="shared" si="8"/>
        <v>0</v>
      </c>
      <c r="AF38" s="524">
        <f t="shared" si="121"/>
        <v>0</v>
      </c>
      <c r="AG38" s="522"/>
      <c r="AH38" s="523">
        <f t="shared" si="9"/>
        <v>0</v>
      </c>
      <c r="AI38" s="524">
        <f t="shared" si="122"/>
        <v>0</v>
      </c>
      <c r="AJ38" s="522"/>
      <c r="AK38" s="523">
        <f t="shared" si="10"/>
        <v>0</v>
      </c>
      <c r="AL38" s="524">
        <f t="shared" si="123"/>
        <v>0</v>
      </c>
      <c r="AM38" s="522"/>
      <c r="AN38" s="523">
        <f t="shared" si="11"/>
        <v>0</v>
      </c>
      <c r="AO38" s="524">
        <f t="shared" si="124"/>
        <v>0</v>
      </c>
      <c r="AP38" s="522">
        <v>56.962025316455708</v>
      </c>
      <c r="AQ38" s="523">
        <f t="shared" si="12"/>
        <v>1.4550058830737875</v>
      </c>
      <c r="AR38" s="524">
        <f t="shared" si="125"/>
        <v>0</v>
      </c>
      <c r="AS38" s="522"/>
      <c r="AT38" s="523">
        <f t="shared" si="13"/>
        <v>0</v>
      </c>
      <c r="AU38" s="524">
        <f t="shared" si="126"/>
        <v>0</v>
      </c>
      <c r="AV38" s="522"/>
      <c r="AW38" s="523">
        <f t="shared" si="14"/>
        <v>0</v>
      </c>
      <c r="AX38" s="524">
        <f t="shared" si="127"/>
        <v>0</v>
      </c>
      <c r="AY38" s="522">
        <v>81.666666666666629</v>
      </c>
      <c r="AZ38" s="523">
        <f t="shared" si="15"/>
        <v>2.0860473234735659</v>
      </c>
      <c r="BA38" s="524">
        <f t="shared" si="128"/>
        <v>0</v>
      </c>
      <c r="BB38" s="522"/>
      <c r="BC38" s="523">
        <f t="shared" si="16"/>
        <v>0</v>
      </c>
      <c r="BD38" s="524">
        <f t="shared" si="129"/>
        <v>0</v>
      </c>
      <c r="BE38" s="522"/>
      <c r="BF38" s="523">
        <f t="shared" si="17"/>
        <v>0</v>
      </c>
      <c r="BG38" s="524">
        <f t="shared" si="130"/>
        <v>0</v>
      </c>
      <c r="BH38" s="522"/>
      <c r="BI38" s="523">
        <f t="shared" si="18"/>
        <v>0</v>
      </c>
      <c r="BJ38" s="524">
        <f t="shared" si="131"/>
        <v>0</v>
      </c>
      <c r="BK38" s="522"/>
      <c r="BL38" s="523">
        <f t="shared" si="19"/>
        <v>0</v>
      </c>
      <c r="BM38" s="524">
        <f t="shared" si="132"/>
        <v>0</v>
      </c>
      <c r="BN38" s="522"/>
      <c r="BO38" s="523">
        <f t="shared" si="20"/>
        <v>0</v>
      </c>
      <c r="BP38" s="524">
        <f t="shared" si="133"/>
        <v>0</v>
      </c>
      <c r="BQ38" s="522"/>
      <c r="BR38" s="523">
        <f t="shared" si="21"/>
        <v>0</v>
      </c>
      <c r="BS38" s="524">
        <f t="shared" si="134"/>
        <v>0</v>
      </c>
      <c r="BT38" s="522"/>
      <c r="BU38" s="523">
        <f t="shared" si="22"/>
        <v>0</v>
      </c>
      <c r="BV38" s="524">
        <f t="shared" si="135"/>
        <v>0</v>
      </c>
      <c r="BW38" s="522"/>
      <c r="BX38" s="523">
        <f t="shared" si="23"/>
        <v>0</v>
      </c>
      <c r="BY38" s="524">
        <f t="shared" si="136"/>
        <v>0</v>
      </c>
      <c r="BZ38" s="522"/>
      <c r="CA38" s="523">
        <f t="shared" si="24"/>
        <v>0</v>
      </c>
      <c r="CB38" s="524">
        <f t="shared" si="137"/>
        <v>0</v>
      </c>
      <c r="CC38" s="522"/>
      <c r="CD38" s="523">
        <f t="shared" si="25"/>
        <v>0</v>
      </c>
      <c r="CE38" s="524">
        <f t="shared" si="138"/>
        <v>0</v>
      </c>
      <c r="CF38" s="522">
        <v>2.5</v>
      </c>
      <c r="CG38" s="523">
        <f t="shared" si="26"/>
        <v>6.3858591534905099E-2</v>
      </c>
      <c r="CH38" s="524">
        <f t="shared" si="139"/>
        <v>0</v>
      </c>
      <c r="CI38" s="522"/>
      <c r="CJ38" s="523">
        <f t="shared" si="27"/>
        <v>0</v>
      </c>
      <c r="CK38" s="524">
        <f t="shared" si="140"/>
        <v>0</v>
      </c>
      <c r="CL38" s="522"/>
      <c r="CM38" s="523">
        <f t="shared" si="28"/>
        <v>0</v>
      </c>
      <c r="CN38" s="524">
        <f t="shared" si="141"/>
        <v>0</v>
      </c>
      <c r="CO38" s="522"/>
      <c r="CP38" s="523">
        <f t="shared" si="29"/>
        <v>0</v>
      </c>
      <c r="CQ38" s="524">
        <f t="shared" si="142"/>
        <v>0</v>
      </c>
      <c r="CR38" s="522"/>
      <c r="CS38" s="523">
        <f t="shared" si="30"/>
        <v>0</v>
      </c>
      <c r="CT38" s="524">
        <f t="shared" si="143"/>
        <v>0</v>
      </c>
      <c r="CU38" s="522"/>
      <c r="CV38" s="523">
        <f t="shared" si="31"/>
        <v>0</v>
      </c>
      <c r="CW38" s="524">
        <f t="shared" si="144"/>
        <v>0</v>
      </c>
      <c r="CX38" s="522"/>
      <c r="CY38" s="523">
        <f t="shared" si="32"/>
        <v>0</v>
      </c>
      <c r="CZ38" s="524">
        <f t="shared" si="145"/>
        <v>0</v>
      </c>
      <c r="DA38" s="522">
        <v>43.604651162790788</v>
      </c>
      <c r="DB38" s="523">
        <f t="shared" si="33"/>
        <v>1.1138126430506727</v>
      </c>
      <c r="DC38" s="524">
        <f t="shared" si="146"/>
        <v>0</v>
      </c>
      <c r="DD38" s="522"/>
      <c r="DE38" s="523">
        <f t="shared" si="34"/>
        <v>0</v>
      </c>
      <c r="DF38" s="524">
        <f t="shared" si="147"/>
        <v>0</v>
      </c>
      <c r="DG38" s="522"/>
      <c r="DH38" s="523">
        <f t="shared" si="35"/>
        <v>0</v>
      </c>
      <c r="DI38" s="524">
        <f t="shared" si="203"/>
        <v>0</v>
      </c>
      <c r="DJ38" s="522"/>
      <c r="DK38" s="523">
        <f t="shared" si="36"/>
        <v>0</v>
      </c>
      <c r="DL38" s="524">
        <f t="shared" si="148"/>
        <v>0</v>
      </c>
      <c r="DM38" s="522"/>
      <c r="DN38" s="523">
        <f t="shared" si="37"/>
        <v>0</v>
      </c>
      <c r="DO38" s="524">
        <f t="shared" si="149"/>
        <v>0</v>
      </c>
      <c r="DP38" s="522"/>
      <c r="DQ38" s="523">
        <f t="shared" si="38"/>
        <v>0</v>
      </c>
      <c r="DR38" s="524">
        <f t="shared" si="150"/>
        <v>0</v>
      </c>
      <c r="DS38" s="522"/>
      <c r="DT38" s="523">
        <f t="shared" si="39"/>
        <v>0</v>
      </c>
      <c r="DU38" s="524">
        <f t="shared" si="151"/>
        <v>0</v>
      </c>
      <c r="DV38" s="522"/>
      <c r="DW38" s="523">
        <f t="shared" si="40"/>
        <v>0</v>
      </c>
      <c r="DX38" s="524">
        <f t="shared" si="152"/>
        <v>0</v>
      </c>
      <c r="DY38" s="522"/>
      <c r="DZ38" s="523">
        <f t="shared" si="41"/>
        <v>0</v>
      </c>
      <c r="EA38" s="524">
        <f t="shared" si="153"/>
        <v>0</v>
      </c>
      <c r="EB38" s="522"/>
      <c r="EC38" s="523">
        <f t="shared" si="42"/>
        <v>0</v>
      </c>
      <c r="ED38" s="524">
        <f t="shared" si="154"/>
        <v>0</v>
      </c>
      <c r="EE38" s="522">
        <v>70.447058823529346</v>
      </c>
      <c r="EF38" s="523">
        <f t="shared" si="43"/>
        <v>1.7994599816988772</v>
      </c>
      <c r="EG38" s="524">
        <f t="shared" si="155"/>
        <v>0</v>
      </c>
      <c r="EH38" s="522"/>
      <c r="EI38" s="523">
        <f t="shared" si="44"/>
        <v>0</v>
      </c>
      <c r="EJ38" s="524">
        <f t="shared" si="156"/>
        <v>0</v>
      </c>
      <c r="EK38" s="522">
        <v>29.069767441860392</v>
      </c>
      <c r="EL38" s="523">
        <f t="shared" si="45"/>
        <v>0.74254176203377842</v>
      </c>
      <c r="EM38" s="524">
        <f t="shared" si="157"/>
        <v>0</v>
      </c>
      <c r="EN38" s="522"/>
      <c r="EO38" s="523">
        <f t="shared" si="46"/>
        <v>0</v>
      </c>
      <c r="EP38" s="524">
        <f t="shared" si="158"/>
        <v>0</v>
      </c>
      <c r="EQ38" s="522"/>
      <c r="ER38" s="523">
        <f t="shared" si="47"/>
        <v>0</v>
      </c>
      <c r="ES38" s="524">
        <f t="shared" si="159"/>
        <v>0</v>
      </c>
      <c r="ET38" s="522"/>
      <c r="EU38" s="523">
        <f t="shared" si="48"/>
        <v>0</v>
      </c>
      <c r="EV38" s="524">
        <f t="shared" si="160"/>
        <v>0</v>
      </c>
      <c r="EW38" s="522"/>
      <c r="EX38" s="523">
        <f t="shared" si="49"/>
        <v>0</v>
      </c>
      <c r="EY38" s="524">
        <f t="shared" si="161"/>
        <v>0</v>
      </c>
      <c r="EZ38" s="522"/>
      <c r="FA38" s="523">
        <f t="shared" si="50"/>
        <v>0</v>
      </c>
      <c r="FB38" s="524">
        <f t="shared" si="162"/>
        <v>0</v>
      </c>
      <c r="FC38" s="522"/>
      <c r="FD38" s="523">
        <f t="shared" si="51"/>
        <v>0</v>
      </c>
      <c r="FE38" s="524">
        <f t="shared" si="163"/>
        <v>0</v>
      </c>
      <c r="FF38" s="522"/>
      <c r="FG38" s="523">
        <f t="shared" si="52"/>
        <v>0</v>
      </c>
      <c r="FH38" s="524">
        <f t="shared" si="164"/>
        <v>0</v>
      </c>
      <c r="FI38" s="522"/>
      <c r="FJ38" s="523">
        <f t="shared" si="53"/>
        <v>0</v>
      </c>
      <c r="FK38" s="524">
        <f t="shared" si="165"/>
        <v>0</v>
      </c>
      <c r="FL38" s="522"/>
      <c r="FM38" s="523">
        <f t="shared" si="54"/>
        <v>0</v>
      </c>
      <c r="FN38" s="524">
        <f t="shared" si="166"/>
        <v>0</v>
      </c>
      <c r="FO38" s="522"/>
      <c r="FP38" s="523">
        <f t="shared" si="55"/>
        <v>0</v>
      </c>
      <c r="FQ38" s="524">
        <f t="shared" si="167"/>
        <v>0</v>
      </c>
      <c r="FR38" s="522"/>
      <c r="FS38" s="523">
        <f t="shared" si="56"/>
        <v>0</v>
      </c>
      <c r="FT38" s="524">
        <f t="shared" si="168"/>
        <v>0</v>
      </c>
      <c r="FU38" s="522"/>
      <c r="FV38" s="523">
        <f t="shared" si="57"/>
        <v>0</v>
      </c>
      <c r="FW38" s="524">
        <f t="shared" si="169"/>
        <v>0</v>
      </c>
      <c r="FX38" s="522"/>
      <c r="FY38" s="523">
        <f t="shared" si="58"/>
        <v>0</v>
      </c>
      <c r="FZ38" s="524">
        <f t="shared" si="170"/>
        <v>0</v>
      </c>
      <c r="GA38" s="522"/>
      <c r="GB38" s="523">
        <f t="shared" si="59"/>
        <v>0</v>
      </c>
      <c r="GC38" s="524">
        <f t="shared" si="171"/>
        <v>0</v>
      </c>
      <c r="GD38" s="522"/>
      <c r="GE38" s="523">
        <f t="shared" si="60"/>
        <v>0</v>
      </c>
      <c r="GF38" s="524">
        <f t="shared" si="172"/>
        <v>0</v>
      </c>
      <c r="GG38" s="522"/>
      <c r="GH38" s="523">
        <f t="shared" si="61"/>
        <v>0</v>
      </c>
      <c r="GI38" s="524">
        <f t="shared" si="173"/>
        <v>0</v>
      </c>
      <c r="GJ38" s="522"/>
      <c r="GK38" s="523">
        <f t="shared" si="62"/>
        <v>0</v>
      </c>
      <c r="GL38" s="524">
        <f t="shared" si="174"/>
        <v>0</v>
      </c>
      <c r="GM38" s="522"/>
      <c r="GN38" s="523">
        <f t="shared" si="63"/>
        <v>0</v>
      </c>
      <c r="GO38" s="524">
        <f t="shared" si="175"/>
        <v>0</v>
      </c>
      <c r="GP38" s="522"/>
      <c r="GQ38" s="523">
        <f t="shared" si="64"/>
        <v>0</v>
      </c>
      <c r="GR38" s="524">
        <f t="shared" si="176"/>
        <v>0</v>
      </c>
      <c r="GS38" s="522"/>
      <c r="GT38" s="523">
        <f t="shared" si="65"/>
        <v>0</v>
      </c>
      <c r="GU38" s="524">
        <f t="shared" si="177"/>
        <v>0</v>
      </c>
      <c r="GV38" s="522"/>
      <c r="GW38" s="523">
        <f t="shared" si="66"/>
        <v>0</v>
      </c>
      <c r="GX38" s="524">
        <f t="shared" si="178"/>
        <v>0</v>
      </c>
      <c r="GY38" s="522"/>
      <c r="GZ38" s="523">
        <f t="shared" si="67"/>
        <v>0</v>
      </c>
      <c r="HA38" s="524">
        <f t="shared" si="179"/>
        <v>0</v>
      </c>
      <c r="HB38" s="522"/>
      <c r="HC38" s="523">
        <f t="shared" si="68"/>
        <v>0</v>
      </c>
      <c r="HD38" s="524">
        <f t="shared" si="180"/>
        <v>0</v>
      </c>
      <c r="HE38" s="522"/>
      <c r="HF38" s="523">
        <f t="shared" si="69"/>
        <v>0</v>
      </c>
      <c r="HG38" s="524">
        <f t="shared" si="181"/>
        <v>0</v>
      </c>
      <c r="HH38" s="522"/>
      <c r="HI38" s="523">
        <f t="shared" si="70"/>
        <v>0</v>
      </c>
      <c r="HJ38" s="524">
        <f t="shared" si="182"/>
        <v>0</v>
      </c>
      <c r="HK38" s="522"/>
      <c r="HL38" s="523">
        <f t="shared" si="71"/>
        <v>0</v>
      </c>
      <c r="HM38" s="524">
        <f t="shared" si="183"/>
        <v>0</v>
      </c>
      <c r="HN38" s="522"/>
      <c r="HO38" s="523">
        <f t="shared" si="72"/>
        <v>0</v>
      </c>
      <c r="HP38" s="524">
        <f t="shared" si="184"/>
        <v>0</v>
      </c>
      <c r="HQ38" s="522"/>
      <c r="HR38" s="523">
        <f t="shared" si="73"/>
        <v>0</v>
      </c>
      <c r="HS38" s="524">
        <f t="shared" si="185"/>
        <v>0</v>
      </c>
      <c r="HT38" s="522"/>
      <c r="HU38" s="523">
        <f t="shared" si="74"/>
        <v>0</v>
      </c>
      <c r="HV38" s="524">
        <f t="shared" si="186"/>
        <v>0</v>
      </c>
      <c r="HW38" s="522"/>
      <c r="HX38" s="523">
        <f t="shared" si="75"/>
        <v>0</v>
      </c>
      <c r="HY38" s="524">
        <f t="shared" si="187"/>
        <v>0</v>
      </c>
      <c r="HZ38" s="522"/>
      <c r="IA38" s="523">
        <f t="shared" si="76"/>
        <v>0</v>
      </c>
      <c r="IB38" s="524">
        <f t="shared" si="188"/>
        <v>0</v>
      </c>
      <c r="IC38" s="522"/>
      <c r="ID38" s="523">
        <f t="shared" si="77"/>
        <v>0</v>
      </c>
      <c r="IE38" s="524">
        <f t="shared" si="189"/>
        <v>0</v>
      </c>
      <c r="IF38" s="522"/>
      <c r="IG38" s="523">
        <f t="shared" si="78"/>
        <v>0</v>
      </c>
      <c r="IH38" s="524">
        <f t="shared" si="190"/>
        <v>0</v>
      </c>
      <c r="II38" s="522"/>
      <c r="IJ38" s="523">
        <f t="shared" si="79"/>
        <v>0</v>
      </c>
      <c r="IK38" s="524">
        <f t="shared" si="191"/>
        <v>0</v>
      </c>
      <c r="IL38" s="522"/>
      <c r="IM38" s="523">
        <f t="shared" si="80"/>
        <v>0</v>
      </c>
      <c r="IN38" s="524">
        <f t="shared" si="192"/>
        <v>0</v>
      </c>
      <c r="IO38" s="522"/>
      <c r="IP38" s="523">
        <f t="shared" si="81"/>
        <v>0</v>
      </c>
      <c r="IQ38" s="524">
        <f t="shared" si="193"/>
        <v>0</v>
      </c>
      <c r="IR38" s="522"/>
      <c r="IS38" s="523">
        <f t="shared" si="82"/>
        <v>0</v>
      </c>
      <c r="IT38" s="524">
        <f t="shared" si="194"/>
        <v>0</v>
      </c>
      <c r="IU38" s="522"/>
      <c r="IV38" s="523">
        <f t="shared" si="83"/>
        <v>0</v>
      </c>
      <c r="IW38" s="524">
        <f t="shared" si="195"/>
        <v>0</v>
      </c>
      <c r="IX38" s="522"/>
      <c r="IY38" s="523">
        <f t="shared" si="84"/>
        <v>0</v>
      </c>
      <c r="IZ38" s="524">
        <f t="shared" si="196"/>
        <v>0</v>
      </c>
      <c r="JA38" s="522"/>
      <c r="JB38" s="523">
        <f t="shared" si="85"/>
        <v>0</v>
      </c>
      <c r="JC38" s="524">
        <f t="shared" si="197"/>
        <v>0</v>
      </c>
      <c r="JD38" s="522"/>
      <c r="JE38" s="523">
        <f t="shared" si="86"/>
        <v>0</v>
      </c>
      <c r="JF38" s="524">
        <f t="shared" si="198"/>
        <v>0</v>
      </c>
      <c r="JG38" s="522"/>
      <c r="JH38" s="523">
        <f t="shared" si="87"/>
        <v>0</v>
      </c>
      <c r="JI38" s="524">
        <f t="shared" si="199"/>
        <v>0</v>
      </c>
      <c r="JJ38" s="522"/>
      <c r="JK38" s="524" t="str">
        <f t="shared" si="88"/>
        <v>0</v>
      </c>
      <c r="JL38" s="524" t="str">
        <f t="shared" si="89"/>
        <v>0</v>
      </c>
      <c r="JM38" s="522"/>
      <c r="JN38" s="524" t="str">
        <f t="shared" si="90"/>
        <v>0</v>
      </c>
      <c r="JO38" s="524" t="str">
        <f t="shared" si="91"/>
        <v>0</v>
      </c>
      <c r="JP38" s="522"/>
      <c r="JQ38" s="524" t="str">
        <f t="shared" si="92"/>
        <v>0</v>
      </c>
      <c r="JR38" s="524" t="str">
        <f t="shared" si="93"/>
        <v>0</v>
      </c>
      <c r="JS38" s="522"/>
      <c r="JT38" s="524" t="str">
        <f t="shared" si="94"/>
        <v>0</v>
      </c>
      <c r="JU38" s="524" t="str">
        <f t="shared" si="95"/>
        <v>0</v>
      </c>
      <c r="JV38" s="522"/>
      <c r="JW38" s="524" t="str">
        <f t="shared" si="96"/>
        <v>0</v>
      </c>
      <c r="JX38" s="524" t="str">
        <f t="shared" si="97"/>
        <v>0</v>
      </c>
      <c r="JY38" s="522"/>
      <c r="JZ38" s="524" t="str">
        <f t="shared" si="98"/>
        <v>0</v>
      </c>
      <c r="KA38" s="524" t="str">
        <f t="shared" si="99"/>
        <v>0</v>
      </c>
      <c r="KB38" s="522"/>
      <c r="KC38" s="524" t="str">
        <f t="shared" si="100"/>
        <v>0</v>
      </c>
      <c r="KD38" s="524" t="str">
        <f t="shared" si="101"/>
        <v>0</v>
      </c>
      <c r="KE38" s="522"/>
      <c r="KF38" s="524" t="str">
        <f t="shared" si="102"/>
        <v>0</v>
      </c>
      <c r="KG38" s="524" t="str">
        <f t="shared" si="103"/>
        <v>0</v>
      </c>
      <c r="KH38" s="522"/>
      <c r="KI38" s="524" t="str">
        <f t="shared" si="104"/>
        <v>0</v>
      </c>
      <c r="KJ38" s="524" t="str">
        <f t="shared" si="105"/>
        <v>0</v>
      </c>
      <c r="KK38" s="522"/>
      <c r="KL38" s="524" t="str">
        <f t="shared" si="106"/>
        <v>0</v>
      </c>
      <c r="KM38" s="524" t="str">
        <f t="shared" si="107"/>
        <v>0</v>
      </c>
      <c r="KN38" s="522"/>
      <c r="KO38" s="524" t="str">
        <f t="shared" si="108"/>
        <v>0</v>
      </c>
      <c r="KP38" s="524" t="str">
        <f t="shared" si="109"/>
        <v>0</v>
      </c>
      <c r="KQ38" s="522"/>
      <c r="KR38" s="524" t="str">
        <f t="shared" si="110"/>
        <v>0</v>
      </c>
      <c r="KS38" s="524" t="str">
        <f t="shared" si="111"/>
        <v>0</v>
      </c>
      <c r="KT38" s="524">
        <f t="shared" si="201"/>
        <v>0</v>
      </c>
      <c r="KU38" s="524">
        <f t="shared" si="202"/>
        <v>0</v>
      </c>
      <c r="KV38" s="261">
        <f t="shared" si="204"/>
        <v>308.00016941130281</v>
      </c>
    </row>
    <row r="39" spans="1:308" ht="15" customHeight="1">
      <c r="A39" s="262">
        <f t="shared" si="200"/>
        <v>46022</v>
      </c>
      <c r="B39" s="263" t="str">
        <f>+Report1!B39</f>
        <v>Toilet</v>
      </c>
      <c r="C39" s="263" t="str">
        <f>+Report1!C39</f>
        <v>13</v>
      </c>
      <c r="D39" s="264">
        <f>+Report1!P39</f>
        <v>41.462000000000003</v>
      </c>
      <c r="E39" s="560">
        <f>+Report1!R39</f>
        <v>40.225999999999999</v>
      </c>
      <c r="F39" s="522"/>
      <c r="G39" s="523">
        <f t="shared" si="0"/>
        <v>0</v>
      </c>
      <c r="H39" s="524">
        <f t="shared" si="113"/>
        <v>0</v>
      </c>
      <c r="I39" s="522"/>
      <c r="J39" s="523">
        <f t="shared" si="1"/>
        <v>0</v>
      </c>
      <c r="K39" s="524">
        <f t="shared" si="114"/>
        <v>0</v>
      </c>
      <c r="L39" s="522"/>
      <c r="M39" s="523">
        <f t="shared" si="2"/>
        <v>0</v>
      </c>
      <c r="N39" s="524">
        <f t="shared" si="115"/>
        <v>0</v>
      </c>
      <c r="O39" s="522">
        <v>3</v>
      </c>
      <c r="P39" s="523">
        <f t="shared" si="3"/>
        <v>7.4578630736339677E-2</v>
      </c>
      <c r="Q39" s="524">
        <f t="shared" si="116"/>
        <v>0</v>
      </c>
      <c r="R39" s="522"/>
      <c r="S39" s="523">
        <f t="shared" si="4"/>
        <v>0</v>
      </c>
      <c r="T39" s="524">
        <f t="shared" si="117"/>
        <v>0</v>
      </c>
      <c r="U39" s="522">
        <v>5.125</v>
      </c>
      <c r="V39" s="523">
        <f t="shared" si="5"/>
        <v>0.12740516084124695</v>
      </c>
      <c r="W39" s="524">
        <f t="shared" si="118"/>
        <v>0</v>
      </c>
      <c r="X39" s="522"/>
      <c r="Y39" s="523">
        <f t="shared" si="6"/>
        <v>0</v>
      </c>
      <c r="Z39" s="524">
        <f t="shared" si="119"/>
        <v>0</v>
      </c>
      <c r="AA39" s="522">
        <v>15.625000000000028</v>
      </c>
      <c r="AB39" s="523">
        <f t="shared" si="7"/>
        <v>0.38843036841843653</v>
      </c>
      <c r="AC39" s="524">
        <f t="shared" si="120"/>
        <v>0</v>
      </c>
      <c r="AD39" s="522"/>
      <c r="AE39" s="523">
        <f t="shared" si="8"/>
        <v>0</v>
      </c>
      <c r="AF39" s="524">
        <f t="shared" si="121"/>
        <v>0</v>
      </c>
      <c r="AG39" s="522"/>
      <c r="AH39" s="523">
        <f t="shared" si="9"/>
        <v>0</v>
      </c>
      <c r="AI39" s="524">
        <f t="shared" si="122"/>
        <v>0</v>
      </c>
      <c r="AJ39" s="522"/>
      <c r="AK39" s="523">
        <f t="shared" si="10"/>
        <v>0</v>
      </c>
      <c r="AL39" s="524">
        <f t="shared" si="123"/>
        <v>0</v>
      </c>
      <c r="AM39" s="522"/>
      <c r="AN39" s="523">
        <f t="shared" si="11"/>
        <v>0</v>
      </c>
      <c r="AO39" s="524">
        <f t="shared" si="124"/>
        <v>0</v>
      </c>
      <c r="AP39" s="522">
        <v>39.87341772151899</v>
      </c>
      <c r="AQ39" s="523">
        <f t="shared" si="12"/>
        <v>0.99123496548299583</v>
      </c>
      <c r="AR39" s="524">
        <f t="shared" si="125"/>
        <v>0</v>
      </c>
      <c r="AS39" s="522"/>
      <c r="AT39" s="523">
        <f t="shared" si="13"/>
        <v>0</v>
      </c>
      <c r="AU39" s="524">
        <f t="shared" si="126"/>
        <v>0</v>
      </c>
      <c r="AV39" s="522"/>
      <c r="AW39" s="523">
        <f t="shared" si="14"/>
        <v>0</v>
      </c>
      <c r="AX39" s="524">
        <f t="shared" si="127"/>
        <v>0</v>
      </c>
      <c r="AY39" s="522">
        <v>39.666666666666657</v>
      </c>
      <c r="AZ39" s="523">
        <f t="shared" si="15"/>
        <v>0.98609522862493559</v>
      </c>
      <c r="BA39" s="524">
        <f t="shared" si="128"/>
        <v>0</v>
      </c>
      <c r="BB39" s="522"/>
      <c r="BC39" s="523">
        <f t="shared" si="16"/>
        <v>0</v>
      </c>
      <c r="BD39" s="524">
        <f t="shared" si="129"/>
        <v>0</v>
      </c>
      <c r="BE39" s="522"/>
      <c r="BF39" s="523">
        <f t="shared" si="17"/>
        <v>0</v>
      </c>
      <c r="BG39" s="524">
        <f t="shared" si="130"/>
        <v>0</v>
      </c>
      <c r="BH39" s="522"/>
      <c r="BI39" s="523">
        <f t="shared" si="18"/>
        <v>0</v>
      </c>
      <c r="BJ39" s="524">
        <f t="shared" si="131"/>
        <v>0</v>
      </c>
      <c r="BK39" s="522"/>
      <c r="BL39" s="523">
        <f t="shared" si="19"/>
        <v>0</v>
      </c>
      <c r="BM39" s="524">
        <f t="shared" si="132"/>
        <v>0</v>
      </c>
      <c r="BN39" s="522"/>
      <c r="BO39" s="523">
        <f t="shared" si="20"/>
        <v>0</v>
      </c>
      <c r="BP39" s="524">
        <f t="shared" si="133"/>
        <v>0</v>
      </c>
      <c r="BQ39" s="522"/>
      <c r="BR39" s="523">
        <f t="shared" si="21"/>
        <v>0</v>
      </c>
      <c r="BS39" s="524">
        <f t="shared" si="134"/>
        <v>0</v>
      </c>
      <c r="BT39" s="522"/>
      <c r="BU39" s="523">
        <f t="shared" si="22"/>
        <v>0</v>
      </c>
      <c r="BV39" s="524">
        <f t="shared" si="135"/>
        <v>0</v>
      </c>
      <c r="BW39" s="522"/>
      <c r="BX39" s="523">
        <f t="shared" si="23"/>
        <v>0</v>
      </c>
      <c r="BY39" s="524">
        <f t="shared" si="136"/>
        <v>0</v>
      </c>
      <c r="BZ39" s="522"/>
      <c r="CA39" s="523">
        <f t="shared" si="24"/>
        <v>0</v>
      </c>
      <c r="CB39" s="524">
        <f t="shared" si="137"/>
        <v>0</v>
      </c>
      <c r="CC39" s="522"/>
      <c r="CD39" s="523">
        <f t="shared" si="25"/>
        <v>0</v>
      </c>
      <c r="CE39" s="524">
        <f t="shared" si="138"/>
        <v>0</v>
      </c>
      <c r="CF39" s="522">
        <v>2.5</v>
      </c>
      <c r="CG39" s="523">
        <f t="shared" si="26"/>
        <v>6.2148858946949735E-2</v>
      </c>
      <c r="CH39" s="524">
        <f t="shared" si="139"/>
        <v>0</v>
      </c>
      <c r="CI39" s="522"/>
      <c r="CJ39" s="523">
        <f t="shared" si="27"/>
        <v>0</v>
      </c>
      <c r="CK39" s="524">
        <f t="shared" si="140"/>
        <v>0</v>
      </c>
      <c r="CL39" s="522"/>
      <c r="CM39" s="523">
        <f t="shared" si="28"/>
        <v>0</v>
      </c>
      <c r="CN39" s="524">
        <f t="shared" si="141"/>
        <v>0</v>
      </c>
      <c r="CO39" s="522"/>
      <c r="CP39" s="523">
        <f t="shared" si="29"/>
        <v>0</v>
      </c>
      <c r="CQ39" s="524">
        <f t="shared" si="142"/>
        <v>0</v>
      </c>
      <c r="CR39" s="522"/>
      <c r="CS39" s="523">
        <f t="shared" si="30"/>
        <v>0</v>
      </c>
      <c r="CT39" s="524">
        <f t="shared" si="143"/>
        <v>0</v>
      </c>
      <c r="CU39" s="522"/>
      <c r="CV39" s="523">
        <f t="shared" si="31"/>
        <v>0</v>
      </c>
      <c r="CW39" s="524">
        <f t="shared" si="144"/>
        <v>0</v>
      </c>
      <c r="CX39" s="522"/>
      <c r="CY39" s="523">
        <f t="shared" si="32"/>
        <v>0</v>
      </c>
      <c r="CZ39" s="524">
        <f t="shared" si="145"/>
        <v>0</v>
      </c>
      <c r="DA39" s="522">
        <v>87.209302325581348</v>
      </c>
      <c r="DB39" s="523">
        <f t="shared" si="33"/>
        <v>2.1679834516377805</v>
      </c>
      <c r="DC39" s="524">
        <f t="shared" si="146"/>
        <v>0</v>
      </c>
      <c r="DD39" s="522"/>
      <c r="DE39" s="523">
        <f t="shared" si="34"/>
        <v>0</v>
      </c>
      <c r="DF39" s="524">
        <f t="shared" si="147"/>
        <v>0</v>
      </c>
      <c r="DG39" s="522"/>
      <c r="DH39" s="523">
        <f t="shared" si="35"/>
        <v>0</v>
      </c>
      <c r="DI39" s="524">
        <f t="shared" si="203"/>
        <v>0</v>
      </c>
      <c r="DJ39" s="522"/>
      <c r="DK39" s="523">
        <f t="shared" si="36"/>
        <v>0</v>
      </c>
      <c r="DL39" s="524">
        <f t="shared" si="148"/>
        <v>0</v>
      </c>
      <c r="DM39" s="522"/>
      <c r="DN39" s="523">
        <f t="shared" si="37"/>
        <v>0</v>
      </c>
      <c r="DO39" s="524">
        <f t="shared" si="149"/>
        <v>0</v>
      </c>
      <c r="DP39" s="522"/>
      <c r="DQ39" s="523">
        <f t="shared" si="38"/>
        <v>0</v>
      </c>
      <c r="DR39" s="524">
        <f t="shared" si="150"/>
        <v>0</v>
      </c>
      <c r="DS39" s="522"/>
      <c r="DT39" s="523">
        <f t="shared" si="39"/>
        <v>0</v>
      </c>
      <c r="DU39" s="524">
        <f t="shared" si="151"/>
        <v>0</v>
      </c>
      <c r="DV39" s="522"/>
      <c r="DW39" s="523">
        <f t="shared" si="40"/>
        <v>0</v>
      </c>
      <c r="DX39" s="524">
        <f t="shared" si="152"/>
        <v>0</v>
      </c>
      <c r="DY39" s="522"/>
      <c r="DZ39" s="523">
        <f t="shared" si="41"/>
        <v>0</v>
      </c>
      <c r="EA39" s="524">
        <f t="shared" si="153"/>
        <v>0</v>
      </c>
      <c r="EB39" s="522"/>
      <c r="EC39" s="523">
        <f t="shared" si="42"/>
        <v>0</v>
      </c>
      <c r="ED39" s="524">
        <f t="shared" si="154"/>
        <v>0</v>
      </c>
      <c r="EE39" s="522">
        <v>70.44705882352946</v>
      </c>
      <c r="EF39" s="523">
        <f t="shared" si="43"/>
        <v>1.7512817288204012</v>
      </c>
      <c r="EG39" s="524">
        <f t="shared" si="155"/>
        <v>0</v>
      </c>
      <c r="EH39" s="522"/>
      <c r="EI39" s="523">
        <f t="shared" si="44"/>
        <v>0</v>
      </c>
      <c r="EJ39" s="524">
        <f t="shared" si="156"/>
        <v>0</v>
      </c>
      <c r="EK39" s="522">
        <v>29.069767441860506</v>
      </c>
      <c r="EL39" s="523">
        <f t="shared" si="45"/>
        <v>0.72266115054592817</v>
      </c>
      <c r="EM39" s="524">
        <f t="shared" si="157"/>
        <v>0</v>
      </c>
      <c r="EN39" s="522"/>
      <c r="EO39" s="523">
        <f t="shared" si="46"/>
        <v>0</v>
      </c>
      <c r="EP39" s="524">
        <f t="shared" si="158"/>
        <v>0</v>
      </c>
      <c r="EQ39" s="522"/>
      <c r="ER39" s="523">
        <f t="shared" si="47"/>
        <v>0</v>
      </c>
      <c r="ES39" s="524">
        <f t="shared" si="159"/>
        <v>0</v>
      </c>
      <c r="ET39" s="522"/>
      <c r="EU39" s="523">
        <f t="shared" si="48"/>
        <v>0</v>
      </c>
      <c r="EV39" s="524">
        <f t="shared" si="160"/>
        <v>0</v>
      </c>
      <c r="EW39" s="522"/>
      <c r="EX39" s="523">
        <f t="shared" si="49"/>
        <v>0</v>
      </c>
      <c r="EY39" s="524">
        <f t="shared" si="161"/>
        <v>0</v>
      </c>
      <c r="EZ39" s="522"/>
      <c r="FA39" s="523">
        <f t="shared" si="50"/>
        <v>0</v>
      </c>
      <c r="FB39" s="524">
        <f t="shared" si="162"/>
        <v>0</v>
      </c>
      <c r="FC39" s="522"/>
      <c r="FD39" s="523">
        <f t="shared" si="51"/>
        <v>0</v>
      </c>
      <c r="FE39" s="524">
        <f t="shared" si="163"/>
        <v>0</v>
      </c>
      <c r="FF39" s="522"/>
      <c r="FG39" s="523">
        <f t="shared" si="52"/>
        <v>0</v>
      </c>
      <c r="FH39" s="524">
        <f t="shared" si="164"/>
        <v>0</v>
      </c>
      <c r="FI39" s="522"/>
      <c r="FJ39" s="523">
        <f t="shared" si="53"/>
        <v>0</v>
      </c>
      <c r="FK39" s="524">
        <f t="shared" si="165"/>
        <v>0</v>
      </c>
      <c r="FL39" s="522"/>
      <c r="FM39" s="523">
        <f t="shared" si="54"/>
        <v>0</v>
      </c>
      <c r="FN39" s="524">
        <f t="shared" si="166"/>
        <v>0</v>
      </c>
      <c r="FO39" s="522"/>
      <c r="FP39" s="523">
        <f t="shared" si="55"/>
        <v>0</v>
      </c>
      <c r="FQ39" s="524">
        <f t="shared" si="167"/>
        <v>0</v>
      </c>
      <c r="FR39" s="522"/>
      <c r="FS39" s="523">
        <f t="shared" si="56"/>
        <v>0</v>
      </c>
      <c r="FT39" s="524">
        <f t="shared" si="168"/>
        <v>0</v>
      </c>
      <c r="FU39" s="522"/>
      <c r="FV39" s="523">
        <f t="shared" si="57"/>
        <v>0</v>
      </c>
      <c r="FW39" s="524">
        <f t="shared" si="169"/>
        <v>0</v>
      </c>
      <c r="FX39" s="522"/>
      <c r="FY39" s="523">
        <f t="shared" si="58"/>
        <v>0</v>
      </c>
      <c r="FZ39" s="524">
        <f t="shared" si="170"/>
        <v>0</v>
      </c>
      <c r="GA39" s="522"/>
      <c r="GB39" s="523">
        <f t="shared" si="59"/>
        <v>0</v>
      </c>
      <c r="GC39" s="524">
        <f t="shared" si="171"/>
        <v>0</v>
      </c>
      <c r="GD39" s="522"/>
      <c r="GE39" s="523">
        <f t="shared" si="60"/>
        <v>0</v>
      </c>
      <c r="GF39" s="524">
        <f t="shared" si="172"/>
        <v>0</v>
      </c>
      <c r="GG39" s="522"/>
      <c r="GH39" s="523">
        <f t="shared" si="61"/>
        <v>0</v>
      </c>
      <c r="GI39" s="524">
        <f t="shared" si="173"/>
        <v>0</v>
      </c>
      <c r="GJ39" s="522"/>
      <c r="GK39" s="523">
        <f t="shared" si="62"/>
        <v>0</v>
      </c>
      <c r="GL39" s="524">
        <f t="shared" si="174"/>
        <v>0</v>
      </c>
      <c r="GM39" s="522"/>
      <c r="GN39" s="523">
        <f t="shared" si="63"/>
        <v>0</v>
      </c>
      <c r="GO39" s="524">
        <f t="shared" si="175"/>
        <v>0</v>
      </c>
      <c r="GP39" s="522"/>
      <c r="GQ39" s="523">
        <f t="shared" si="64"/>
        <v>0</v>
      </c>
      <c r="GR39" s="524">
        <f t="shared" si="176"/>
        <v>0</v>
      </c>
      <c r="GS39" s="522"/>
      <c r="GT39" s="523">
        <f t="shared" si="65"/>
        <v>0</v>
      </c>
      <c r="GU39" s="524">
        <f t="shared" si="177"/>
        <v>0</v>
      </c>
      <c r="GV39" s="522"/>
      <c r="GW39" s="523">
        <f t="shared" si="66"/>
        <v>0</v>
      </c>
      <c r="GX39" s="524">
        <f t="shared" si="178"/>
        <v>0</v>
      </c>
      <c r="GY39" s="522"/>
      <c r="GZ39" s="523">
        <f t="shared" si="67"/>
        <v>0</v>
      </c>
      <c r="HA39" s="524">
        <f t="shared" si="179"/>
        <v>0</v>
      </c>
      <c r="HB39" s="522"/>
      <c r="HC39" s="523">
        <f t="shared" si="68"/>
        <v>0</v>
      </c>
      <c r="HD39" s="524">
        <f t="shared" si="180"/>
        <v>0</v>
      </c>
      <c r="HE39" s="522"/>
      <c r="HF39" s="523">
        <f t="shared" si="69"/>
        <v>0</v>
      </c>
      <c r="HG39" s="524">
        <f t="shared" si="181"/>
        <v>0</v>
      </c>
      <c r="HH39" s="522"/>
      <c r="HI39" s="523">
        <f t="shared" si="70"/>
        <v>0</v>
      </c>
      <c r="HJ39" s="524">
        <f t="shared" si="182"/>
        <v>0</v>
      </c>
      <c r="HK39" s="522"/>
      <c r="HL39" s="523">
        <f t="shared" si="71"/>
        <v>0</v>
      </c>
      <c r="HM39" s="524">
        <f t="shared" si="183"/>
        <v>0</v>
      </c>
      <c r="HN39" s="522"/>
      <c r="HO39" s="523">
        <f t="shared" si="72"/>
        <v>0</v>
      </c>
      <c r="HP39" s="524">
        <f t="shared" si="184"/>
        <v>0</v>
      </c>
      <c r="HQ39" s="522"/>
      <c r="HR39" s="523">
        <f t="shared" si="73"/>
        <v>0</v>
      </c>
      <c r="HS39" s="524">
        <f t="shared" si="185"/>
        <v>0</v>
      </c>
      <c r="HT39" s="522"/>
      <c r="HU39" s="523">
        <f t="shared" si="74"/>
        <v>0</v>
      </c>
      <c r="HV39" s="524">
        <f t="shared" si="186"/>
        <v>0</v>
      </c>
      <c r="HW39" s="522"/>
      <c r="HX39" s="523">
        <f t="shared" si="75"/>
        <v>0</v>
      </c>
      <c r="HY39" s="524">
        <f t="shared" si="187"/>
        <v>0</v>
      </c>
      <c r="HZ39" s="522"/>
      <c r="IA39" s="523">
        <f t="shared" si="76"/>
        <v>0</v>
      </c>
      <c r="IB39" s="524">
        <f t="shared" si="188"/>
        <v>0</v>
      </c>
      <c r="IC39" s="522"/>
      <c r="ID39" s="523">
        <f t="shared" si="77"/>
        <v>0</v>
      </c>
      <c r="IE39" s="524">
        <f t="shared" si="189"/>
        <v>0</v>
      </c>
      <c r="IF39" s="522"/>
      <c r="IG39" s="523">
        <f t="shared" si="78"/>
        <v>0</v>
      </c>
      <c r="IH39" s="524">
        <f t="shared" si="190"/>
        <v>0</v>
      </c>
      <c r="II39" s="522"/>
      <c r="IJ39" s="523">
        <f t="shared" si="79"/>
        <v>0</v>
      </c>
      <c r="IK39" s="524">
        <f t="shared" si="191"/>
        <v>0</v>
      </c>
      <c r="IL39" s="522"/>
      <c r="IM39" s="523">
        <f t="shared" si="80"/>
        <v>0</v>
      </c>
      <c r="IN39" s="524">
        <f t="shared" si="192"/>
        <v>0</v>
      </c>
      <c r="IO39" s="522"/>
      <c r="IP39" s="523">
        <f t="shared" si="81"/>
        <v>0</v>
      </c>
      <c r="IQ39" s="524">
        <f t="shared" si="193"/>
        <v>0</v>
      </c>
      <c r="IR39" s="522"/>
      <c r="IS39" s="523">
        <f t="shared" si="82"/>
        <v>0</v>
      </c>
      <c r="IT39" s="524">
        <f t="shared" si="194"/>
        <v>0</v>
      </c>
      <c r="IU39" s="522"/>
      <c r="IV39" s="523">
        <f t="shared" si="83"/>
        <v>0</v>
      </c>
      <c r="IW39" s="524">
        <f t="shared" si="195"/>
        <v>0</v>
      </c>
      <c r="IX39" s="522"/>
      <c r="IY39" s="523">
        <f t="shared" si="84"/>
        <v>0</v>
      </c>
      <c r="IZ39" s="524">
        <f t="shared" si="196"/>
        <v>0</v>
      </c>
      <c r="JA39" s="522"/>
      <c r="JB39" s="523">
        <f t="shared" si="85"/>
        <v>0</v>
      </c>
      <c r="JC39" s="524">
        <f t="shared" si="197"/>
        <v>0</v>
      </c>
      <c r="JD39" s="522"/>
      <c r="JE39" s="523">
        <f t="shared" si="86"/>
        <v>0</v>
      </c>
      <c r="JF39" s="524">
        <f t="shared" si="198"/>
        <v>0</v>
      </c>
      <c r="JG39" s="522"/>
      <c r="JH39" s="523">
        <f t="shared" si="87"/>
        <v>0</v>
      </c>
      <c r="JI39" s="524">
        <f t="shared" si="199"/>
        <v>0</v>
      </c>
      <c r="JJ39" s="522"/>
      <c r="JK39" s="524" t="str">
        <f t="shared" si="88"/>
        <v>0</v>
      </c>
      <c r="JL39" s="524" t="str">
        <f t="shared" si="89"/>
        <v>0</v>
      </c>
      <c r="JM39" s="522"/>
      <c r="JN39" s="524" t="str">
        <f t="shared" si="90"/>
        <v>0</v>
      </c>
      <c r="JO39" s="524" t="str">
        <f t="shared" si="91"/>
        <v>0</v>
      </c>
      <c r="JP39" s="522"/>
      <c r="JQ39" s="524" t="str">
        <f t="shared" si="92"/>
        <v>0</v>
      </c>
      <c r="JR39" s="524" t="str">
        <f t="shared" si="93"/>
        <v>0</v>
      </c>
      <c r="JS39" s="522"/>
      <c r="JT39" s="524" t="str">
        <f t="shared" si="94"/>
        <v>0</v>
      </c>
      <c r="JU39" s="524" t="str">
        <f t="shared" si="95"/>
        <v>0</v>
      </c>
      <c r="JV39" s="522"/>
      <c r="JW39" s="524" t="str">
        <f t="shared" si="96"/>
        <v>0</v>
      </c>
      <c r="JX39" s="524" t="str">
        <f t="shared" si="97"/>
        <v>0</v>
      </c>
      <c r="JY39" s="522"/>
      <c r="JZ39" s="524" t="str">
        <f t="shared" si="98"/>
        <v>0</v>
      </c>
      <c r="KA39" s="524" t="str">
        <f t="shared" si="99"/>
        <v>0</v>
      </c>
      <c r="KB39" s="522"/>
      <c r="KC39" s="524" t="str">
        <f t="shared" si="100"/>
        <v>0</v>
      </c>
      <c r="KD39" s="524" t="str">
        <f t="shared" si="101"/>
        <v>0</v>
      </c>
      <c r="KE39" s="522"/>
      <c r="KF39" s="524" t="str">
        <f t="shared" si="102"/>
        <v>0</v>
      </c>
      <c r="KG39" s="524" t="str">
        <f t="shared" si="103"/>
        <v>0</v>
      </c>
      <c r="KH39" s="522"/>
      <c r="KI39" s="524" t="str">
        <f t="shared" si="104"/>
        <v>0</v>
      </c>
      <c r="KJ39" s="524" t="str">
        <f t="shared" si="105"/>
        <v>0</v>
      </c>
      <c r="KK39" s="522"/>
      <c r="KL39" s="524" t="str">
        <f t="shared" si="106"/>
        <v>0</v>
      </c>
      <c r="KM39" s="524" t="str">
        <f t="shared" si="107"/>
        <v>0</v>
      </c>
      <c r="KN39" s="522"/>
      <c r="KO39" s="524" t="str">
        <f t="shared" si="108"/>
        <v>0</v>
      </c>
      <c r="KP39" s="524" t="str">
        <f t="shared" si="109"/>
        <v>0</v>
      </c>
      <c r="KQ39" s="522"/>
      <c r="KR39" s="524" t="str">
        <f t="shared" si="110"/>
        <v>0</v>
      </c>
      <c r="KS39" s="524" t="str">
        <f t="shared" si="111"/>
        <v>0</v>
      </c>
      <c r="KT39" s="524">
        <f t="shared" si="201"/>
        <v>0</v>
      </c>
      <c r="KU39" s="524">
        <f t="shared" si="202"/>
        <v>0</v>
      </c>
      <c r="KV39" s="261">
        <f t="shared" si="204"/>
        <v>292.51621297915699</v>
      </c>
    </row>
    <row r="40" spans="1:308" ht="15" customHeight="1" thickBot="1">
      <c r="A40" s="265"/>
      <c r="B40" s="266"/>
      <c r="C40" s="267"/>
      <c r="D40" s="267"/>
      <c r="E40" s="560"/>
      <c r="F40" s="522"/>
      <c r="G40" s="523"/>
      <c r="H40" s="524"/>
      <c r="I40" s="522"/>
      <c r="J40" s="523"/>
      <c r="K40" s="524"/>
      <c r="L40" s="522"/>
      <c r="M40" s="523"/>
      <c r="N40" s="524"/>
      <c r="O40" s="522"/>
      <c r="P40" s="523"/>
      <c r="Q40" s="524"/>
      <c r="R40" s="522"/>
      <c r="S40" s="523"/>
      <c r="T40" s="524"/>
      <c r="U40" s="522"/>
      <c r="V40" s="523"/>
      <c r="W40" s="524"/>
      <c r="X40" s="522"/>
      <c r="Y40" s="523"/>
      <c r="Z40" s="524"/>
      <c r="AA40" s="522"/>
      <c r="AB40" s="523"/>
      <c r="AC40" s="524"/>
      <c r="AD40" s="522"/>
      <c r="AE40" s="523"/>
      <c r="AF40" s="524"/>
      <c r="AG40" s="522"/>
      <c r="AH40" s="523"/>
      <c r="AI40" s="524"/>
      <c r="AJ40" s="522"/>
      <c r="AK40" s="523"/>
      <c r="AL40" s="524"/>
      <c r="AM40" s="522"/>
      <c r="AN40" s="523"/>
      <c r="AO40" s="524"/>
      <c r="AP40" s="522"/>
      <c r="AQ40" s="523"/>
      <c r="AR40" s="524"/>
      <c r="AS40" s="522"/>
      <c r="AT40" s="523"/>
      <c r="AU40" s="524"/>
      <c r="AV40" s="522"/>
      <c r="AW40" s="523"/>
      <c r="AX40" s="524"/>
      <c r="AY40" s="522"/>
      <c r="AZ40" s="523"/>
      <c r="BA40" s="524"/>
      <c r="BB40" s="522"/>
      <c r="BC40" s="523"/>
      <c r="BD40" s="524"/>
      <c r="BE40" s="522"/>
      <c r="BF40" s="523"/>
      <c r="BG40" s="524"/>
      <c r="BH40" s="522"/>
      <c r="BI40" s="523"/>
      <c r="BJ40" s="524"/>
      <c r="BK40" s="522"/>
      <c r="BL40" s="523"/>
      <c r="BM40" s="524"/>
      <c r="BN40" s="522"/>
      <c r="BO40" s="523"/>
      <c r="BP40" s="524"/>
      <c r="BQ40" s="522"/>
      <c r="BR40" s="523"/>
      <c r="BS40" s="524"/>
      <c r="BT40" s="522"/>
      <c r="BU40" s="523"/>
      <c r="BV40" s="524"/>
      <c r="BW40" s="522"/>
      <c r="BX40" s="523"/>
      <c r="BY40" s="524"/>
      <c r="BZ40" s="522"/>
      <c r="CA40" s="523"/>
      <c r="CB40" s="524"/>
      <c r="CC40" s="522"/>
      <c r="CD40" s="523"/>
      <c r="CE40" s="524"/>
      <c r="CF40" s="522"/>
      <c r="CG40" s="523"/>
      <c r="CH40" s="524"/>
      <c r="CI40" s="522"/>
      <c r="CJ40" s="523"/>
      <c r="CK40" s="524"/>
      <c r="CL40" s="522"/>
      <c r="CM40" s="523"/>
      <c r="CN40" s="524"/>
      <c r="CO40" s="522"/>
      <c r="CP40" s="523"/>
      <c r="CQ40" s="524"/>
      <c r="CR40" s="522"/>
      <c r="CS40" s="523"/>
      <c r="CT40" s="524"/>
      <c r="CU40" s="522"/>
      <c r="CV40" s="523"/>
      <c r="CW40" s="524"/>
      <c r="CX40" s="522"/>
      <c r="CY40" s="523"/>
      <c r="CZ40" s="524"/>
      <c r="DA40" s="522"/>
      <c r="DB40" s="523"/>
      <c r="DC40" s="524"/>
      <c r="DD40" s="522"/>
      <c r="DE40" s="523"/>
      <c r="DF40" s="524"/>
      <c r="DG40" s="522"/>
      <c r="DH40" s="523"/>
      <c r="DI40" s="524"/>
      <c r="DJ40" s="522"/>
      <c r="DK40" s="523"/>
      <c r="DL40" s="524"/>
      <c r="DM40" s="522"/>
      <c r="DN40" s="523"/>
      <c r="DO40" s="524"/>
      <c r="DP40" s="522"/>
      <c r="DQ40" s="523"/>
      <c r="DR40" s="524"/>
      <c r="DS40" s="522"/>
      <c r="DT40" s="523"/>
      <c r="DU40" s="524"/>
      <c r="DV40" s="522"/>
      <c r="DW40" s="523"/>
      <c r="DX40" s="524"/>
      <c r="DY40" s="522"/>
      <c r="DZ40" s="523"/>
      <c r="EA40" s="524"/>
      <c r="EB40" s="522"/>
      <c r="EC40" s="523"/>
      <c r="ED40" s="524"/>
      <c r="EE40" s="522"/>
      <c r="EF40" s="523"/>
      <c r="EG40" s="524"/>
      <c r="EH40" s="522"/>
      <c r="EI40" s="523"/>
      <c r="EJ40" s="524"/>
      <c r="EK40" s="522"/>
      <c r="EL40" s="523"/>
      <c r="EM40" s="524"/>
      <c r="EN40" s="522"/>
      <c r="EO40" s="523"/>
      <c r="EP40" s="524"/>
      <c r="EQ40" s="522"/>
      <c r="ER40" s="523"/>
      <c r="ES40" s="524"/>
      <c r="ET40" s="522"/>
      <c r="EU40" s="523"/>
      <c r="EV40" s="524"/>
      <c r="EW40" s="522"/>
      <c r="EX40" s="523"/>
      <c r="EY40" s="524"/>
      <c r="EZ40" s="522"/>
      <c r="FA40" s="523"/>
      <c r="FB40" s="524"/>
      <c r="FC40" s="522"/>
      <c r="FD40" s="523"/>
      <c r="FE40" s="524"/>
      <c r="FF40" s="522"/>
      <c r="FG40" s="523"/>
      <c r="FH40" s="524"/>
      <c r="FI40" s="522"/>
      <c r="FJ40" s="523"/>
      <c r="FK40" s="524"/>
      <c r="FL40" s="522"/>
      <c r="FM40" s="523"/>
      <c r="FN40" s="524"/>
      <c r="FO40" s="522"/>
      <c r="FP40" s="523"/>
      <c r="FQ40" s="524"/>
      <c r="FR40" s="522"/>
      <c r="FS40" s="523"/>
      <c r="FT40" s="524"/>
      <c r="FU40" s="522"/>
      <c r="FV40" s="523"/>
      <c r="FW40" s="524"/>
      <c r="FX40" s="522"/>
      <c r="FY40" s="523"/>
      <c r="FZ40" s="524"/>
      <c r="GA40" s="522"/>
      <c r="GB40" s="523"/>
      <c r="GC40" s="524"/>
      <c r="GD40" s="522"/>
      <c r="GE40" s="523"/>
      <c r="GF40" s="524"/>
      <c r="GG40" s="522"/>
      <c r="GH40" s="523"/>
      <c r="GI40" s="524"/>
      <c r="GJ40" s="522"/>
      <c r="GK40" s="523"/>
      <c r="GL40" s="524"/>
      <c r="GM40" s="522"/>
      <c r="GN40" s="523"/>
      <c r="GO40" s="524"/>
      <c r="GP40" s="522"/>
      <c r="GQ40" s="523"/>
      <c r="GR40" s="524"/>
      <c r="GS40" s="522"/>
      <c r="GT40" s="523"/>
      <c r="GU40" s="524"/>
      <c r="GV40" s="522"/>
      <c r="GW40" s="523"/>
      <c r="GX40" s="524"/>
      <c r="GY40" s="522"/>
      <c r="GZ40" s="523"/>
      <c r="HA40" s="524"/>
      <c r="HB40" s="522"/>
      <c r="HC40" s="523"/>
      <c r="HD40" s="524"/>
      <c r="HE40" s="522"/>
      <c r="HF40" s="523"/>
      <c r="HG40" s="524"/>
      <c r="HH40" s="522"/>
      <c r="HI40" s="523"/>
      <c r="HJ40" s="524"/>
      <c r="HK40" s="522"/>
      <c r="HL40" s="523"/>
      <c r="HM40" s="524"/>
      <c r="HN40" s="522"/>
      <c r="HO40" s="523"/>
      <c r="HP40" s="524"/>
      <c r="HQ40" s="522"/>
      <c r="HR40" s="523"/>
      <c r="HS40" s="524"/>
      <c r="HT40" s="522"/>
      <c r="HU40" s="523"/>
      <c r="HV40" s="524"/>
      <c r="HW40" s="522"/>
      <c r="HX40" s="523"/>
      <c r="HY40" s="524"/>
      <c r="HZ40" s="522"/>
      <c r="IA40" s="523"/>
      <c r="IB40" s="524"/>
      <c r="IC40" s="522"/>
      <c r="ID40" s="523"/>
      <c r="IE40" s="524"/>
      <c r="IF40" s="522"/>
      <c r="IG40" s="523"/>
      <c r="IH40" s="524"/>
      <c r="II40" s="522"/>
      <c r="IJ40" s="523"/>
      <c r="IK40" s="524"/>
      <c r="IL40" s="522"/>
      <c r="IM40" s="523"/>
      <c r="IN40" s="524"/>
      <c r="IO40" s="522"/>
      <c r="IP40" s="523"/>
      <c r="IQ40" s="524"/>
      <c r="IR40" s="522"/>
      <c r="IS40" s="523"/>
      <c r="IT40" s="524"/>
      <c r="IU40" s="522"/>
      <c r="IV40" s="523"/>
      <c r="IW40" s="524"/>
      <c r="IX40" s="522"/>
      <c r="IY40" s="523"/>
      <c r="IZ40" s="524"/>
      <c r="JA40" s="522"/>
      <c r="JB40" s="523"/>
      <c r="JC40" s="524"/>
      <c r="JD40" s="522"/>
      <c r="JE40" s="523"/>
      <c r="JF40" s="524"/>
      <c r="JG40" s="522"/>
      <c r="JH40" s="523"/>
      <c r="JI40" s="524"/>
      <c r="JJ40" s="522"/>
      <c r="JK40" s="524"/>
      <c r="JL40" s="524"/>
      <c r="JM40" s="522"/>
      <c r="JN40" s="524"/>
      <c r="JO40" s="524"/>
      <c r="JP40" s="522"/>
      <c r="JQ40" s="524"/>
      <c r="JR40" s="524"/>
      <c r="JS40" s="522"/>
      <c r="JT40" s="524"/>
      <c r="JU40" s="524"/>
      <c r="JV40" s="522"/>
      <c r="JW40" s="524"/>
      <c r="JX40" s="524"/>
      <c r="JY40" s="522"/>
      <c r="JZ40" s="524"/>
      <c r="KA40" s="524"/>
      <c r="KB40" s="522"/>
      <c r="KC40" s="524"/>
      <c r="KD40" s="524"/>
      <c r="KE40" s="522"/>
      <c r="KF40" s="524"/>
      <c r="KG40" s="524"/>
      <c r="KH40" s="522"/>
      <c r="KI40" s="524"/>
      <c r="KJ40" s="524"/>
      <c r="KK40" s="522"/>
      <c r="KL40" s="524"/>
      <c r="KM40" s="524"/>
      <c r="KN40" s="522"/>
      <c r="KO40" s="524"/>
      <c r="KP40" s="524"/>
      <c r="KQ40" s="522"/>
      <c r="KR40" s="524"/>
      <c r="KS40" s="524"/>
      <c r="KT40" s="524"/>
      <c r="KU40" s="524"/>
      <c r="KV40" s="261"/>
    </row>
    <row r="41" spans="1:308" s="527" customFormat="1" ht="15" customHeight="1" thickTop="1" thickBot="1">
      <c r="A41" s="715" t="s">
        <v>28</v>
      </c>
      <c r="B41" s="716"/>
      <c r="C41" s="717"/>
      <c r="D41" s="561">
        <f>SUM(D9:D40)</f>
        <v>1233.3839999999998</v>
      </c>
      <c r="E41" s="560">
        <v>0</v>
      </c>
      <c r="F41" s="525">
        <f>SUM(F9:F39)</f>
        <v>0</v>
      </c>
      <c r="G41" s="525">
        <f>IFERROR((F41/$L$41),0)</f>
        <v>0</v>
      </c>
      <c r="H41" s="525">
        <f>IFERROR(((F41*H$8)/$L$41),0)</f>
        <v>0</v>
      </c>
      <c r="I41" s="525">
        <f>SUM(I9:I39)</f>
        <v>3511.6274744186048</v>
      </c>
      <c r="J41" s="525">
        <f>IFERROR((I41/$L$41),0)</f>
        <v>0</v>
      </c>
      <c r="K41" s="525">
        <f>IFERROR(((I41*K$8)/$L$41),0)</f>
        <v>0</v>
      </c>
      <c r="L41" s="525">
        <f>SUM(L9:L39)</f>
        <v>0</v>
      </c>
      <c r="M41" s="525">
        <f>IFERROR((L41/$L$41),0)</f>
        <v>0</v>
      </c>
      <c r="N41" s="525">
        <f>IFERROR(((L41*N$8)/$L$41),0)</f>
        <v>0</v>
      </c>
      <c r="O41" s="525">
        <f>SUM(O9:O39)</f>
        <v>98.998400000000004</v>
      </c>
      <c r="P41" s="525">
        <f>IFERROR((O41/$L$41),0)</f>
        <v>0</v>
      </c>
      <c r="Q41" s="525">
        <f>IFERROR(((O41*Q$8)/$L$41),0)</f>
        <v>0</v>
      </c>
      <c r="R41" s="525">
        <f>SUM(R9:R39)</f>
        <v>0</v>
      </c>
      <c r="S41" s="525">
        <f>IFERROR((R41/$L$41),0)</f>
        <v>0</v>
      </c>
      <c r="T41" s="525">
        <f>IFERROR(((R41*T$8)/$L$41),0)</f>
        <v>0</v>
      </c>
      <c r="U41" s="525">
        <f>SUM(U9:U39)</f>
        <v>120.43709999999996</v>
      </c>
      <c r="V41" s="525">
        <f>IFERROR((U41/$L$41),0)</f>
        <v>0</v>
      </c>
      <c r="W41" s="525">
        <f>IFERROR(((U41*W$8)/$L$41),0)</f>
        <v>0</v>
      </c>
      <c r="X41" s="525">
        <f>SUM(X9:X39)</f>
        <v>0</v>
      </c>
      <c r="Y41" s="525">
        <f>IFERROR((X41/$L$41),0)</f>
        <v>0</v>
      </c>
      <c r="Z41" s="525">
        <f>IFERROR(((X41*Z$8)/$L$41),0)</f>
        <v>0</v>
      </c>
      <c r="AA41" s="525">
        <f>SUM(AA9:AA39)</f>
        <v>246.76900000000003</v>
      </c>
      <c r="AB41" s="525">
        <f>IFERROR((AA41/$L$41),0)</f>
        <v>0</v>
      </c>
      <c r="AC41" s="525">
        <f>IFERROR(((AA41*AC$8)/$L$41),0)</f>
        <v>0</v>
      </c>
      <c r="AD41" s="525">
        <f>SUM(AD9:AD39)</f>
        <v>0</v>
      </c>
      <c r="AE41" s="525">
        <f>IFERROR((AD41/$L$41),0)</f>
        <v>0</v>
      </c>
      <c r="AF41" s="525">
        <f>IFERROR(((AD41*AF$8)/$L$41),0)</f>
        <v>0</v>
      </c>
      <c r="AG41" s="525">
        <f>SUM(AG9:AG39)</f>
        <v>0</v>
      </c>
      <c r="AH41" s="525">
        <f>IFERROR((AG41/$L$41),0)</f>
        <v>0</v>
      </c>
      <c r="AI41" s="525">
        <f>IFERROR(((AG41*AI$8)/$L$41),0)</f>
        <v>0</v>
      </c>
      <c r="AJ41" s="525">
        <f>SUM(AJ9:AJ39)</f>
        <v>0</v>
      </c>
      <c r="AK41" s="525">
        <f>IFERROR((AJ41/$L$41),0)</f>
        <v>0</v>
      </c>
      <c r="AL41" s="525">
        <f>IFERROR(((AJ41*AL$8)/$L$41),0)</f>
        <v>0</v>
      </c>
      <c r="AM41" s="525">
        <f>SUM(AM9:AM39)</f>
        <v>0</v>
      </c>
      <c r="AN41" s="525">
        <f>IFERROR((AM41/$L$41),0)</f>
        <v>0</v>
      </c>
      <c r="AO41" s="525">
        <f>IFERROR(((AM41*AO$8)/$L$41),0)</f>
        <v>0</v>
      </c>
      <c r="AP41" s="525">
        <f>SUM(AP9:AP39)</f>
        <v>1469.6200063291139</v>
      </c>
      <c r="AQ41" s="525">
        <f>IFERROR((AP41/$L$41),0)</f>
        <v>0</v>
      </c>
      <c r="AR41" s="525">
        <f>IFERROR(((AP41*AR$8)/$L$41),0)</f>
        <v>0</v>
      </c>
      <c r="AS41" s="525">
        <f>SUM(AS9:AS39)</f>
        <v>0</v>
      </c>
      <c r="AT41" s="525">
        <f>IFERROR((AS41/$L$41),0)</f>
        <v>0</v>
      </c>
      <c r="AU41" s="525">
        <f>IFERROR(((AS41*AU$8)/$L$41),0)</f>
        <v>0</v>
      </c>
      <c r="AV41" s="525">
        <f>SUM(AV9:AV39)</f>
        <v>0</v>
      </c>
      <c r="AW41" s="525">
        <f>IFERROR((AV41/$L$41),0)</f>
        <v>0</v>
      </c>
      <c r="AX41" s="525">
        <f>IFERROR(((AV41*AX$8)/$L$41),0)</f>
        <v>0</v>
      </c>
      <c r="AY41" s="525">
        <f>SUM(AY9:AY39)</f>
        <v>1726.6650666666662</v>
      </c>
      <c r="AZ41" s="525">
        <f>IFERROR((AY41/$L$41),0)</f>
        <v>0</v>
      </c>
      <c r="BA41" s="525">
        <f>IFERROR(((AY41*BA$8)/$L$41),0)</f>
        <v>0</v>
      </c>
      <c r="BB41" s="525">
        <f>SUM(BB9:BB39)</f>
        <v>0</v>
      </c>
      <c r="BC41" s="525">
        <f>IFERROR((BB41/$L$41),0)</f>
        <v>0</v>
      </c>
      <c r="BD41" s="525">
        <f>IFERROR(((BB41*BD$8)/$L$41),0)</f>
        <v>0</v>
      </c>
      <c r="BE41" s="525">
        <f>SUM(BE9:BE39)</f>
        <v>0</v>
      </c>
      <c r="BF41" s="525">
        <f>IFERROR((BE41/$L$41),0)</f>
        <v>0</v>
      </c>
      <c r="BG41" s="525">
        <f>IFERROR(((BE41*BG$8)/$L$41),0)</f>
        <v>0</v>
      </c>
      <c r="BH41" s="525">
        <f>SUM(BH9:BH39)</f>
        <v>0</v>
      </c>
      <c r="BI41" s="525">
        <f>IFERROR((BH41/$L$41),0)</f>
        <v>0</v>
      </c>
      <c r="BJ41" s="525">
        <f>IFERROR(((BH41*BJ$8)/$L$41),0)</f>
        <v>0</v>
      </c>
      <c r="BK41" s="525">
        <f>SUM(BK9:BK39)</f>
        <v>0</v>
      </c>
      <c r="BL41" s="525">
        <f>IFERROR((BK41/$L$41),0)</f>
        <v>0</v>
      </c>
      <c r="BM41" s="525">
        <f>IFERROR(((BK41*BM$8)/$L$41),0)</f>
        <v>0</v>
      </c>
      <c r="BN41" s="525">
        <f>SUM(BN9:BN39)</f>
        <v>0</v>
      </c>
      <c r="BO41" s="525">
        <f>IFERROR((BN41/$L$41),0)</f>
        <v>0</v>
      </c>
      <c r="BP41" s="525">
        <f>IFERROR(((BN41*BP$8)/$L$41),0)</f>
        <v>0</v>
      </c>
      <c r="BQ41" s="525">
        <f>SUM(BQ9:BQ39)</f>
        <v>1425.3147979746834</v>
      </c>
      <c r="BR41" s="525">
        <f>IFERROR((BQ41/$L$41),0)</f>
        <v>0</v>
      </c>
      <c r="BS41" s="525">
        <f>IFERROR(((BQ41*BS$8)/$L$41),0)</f>
        <v>0</v>
      </c>
      <c r="BT41" s="525">
        <f>SUM(BT9:BT39)</f>
        <v>0</v>
      </c>
      <c r="BU41" s="525">
        <f>IFERROR((BT41/$L$41),0)</f>
        <v>0</v>
      </c>
      <c r="BV41" s="525">
        <f>IFERROR(((BT41*BV$8)/$L$41),0)</f>
        <v>0</v>
      </c>
      <c r="BW41" s="525">
        <f>SUM(BW9:BW39)</f>
        <v>0</v>
      </c>
      <c r="BX41" s="525">
        <f>IFERROR((BW41/$L$41),0)</f>
        <v>0</v>
      </c>
      <c r="BY41" s="525">
        <f>IFERROR(((BW41*BY$8)/$L$41),0)</f>
        <v>0</v>
      </c>
      <c r="BZ41" s="525">
        <f>SUM(BZ9:BZ39)</f>
        <v>0</v>
      </c>
      <c r="CA41" s="525">
        <f>IFERROR((BZ41/$L$41),0)</f>
        <v>0</v>
      </c>
      <c r="CB41" s="525">
        <f>IFERROR(((BZ41*CB$8)/$L$41),0)</f>
        <v>0</v>
      </c>
      <c r="CC41" s="525">
        <f>SUM(CC9:CC39)</f>
        <v>0</v>
      </c>
      <c r="CD41" s="525">
        <f>IFERROR((CC41/$L$41),0)</f>
        <v>0</v>
      </c>
      <c r="CE41" s="525">
        <f>IFERROR(((CC41*CE$8)/$L$41),0)</f>
        <v>0</v>
      </c>
      <c r="CF41" s="525">
        <f>SUM(CF9:CF39)</f>
        <v>41.29999999999999</v>
      </c>
      <c r="CG41" s="525">
        <f>IFERROR((CF41/$L$41),0)</f>
        <v>0</v>
      </c>
      <c r="CH41" s="525">
        <f>IFERROR(((CF41*CH$8)/$L$41),0)</f>
        <v>0</v>
      </c>
      <c r="CI41" s="525">
        <f>SUM(CI9:CI39)</f>
        <v>0</v>
      </c>
      <c r="CJ41" s="525">
        <f>IFERROR((CI41/$L$41),0)</f>
        <v>0</v>
      </c>
      <c r="CK41" s="525">
        <f>IFERROR(((CI41*CK$8)/$L$41),0)</f>
        <v>0</v>
      </c>
      <c r="CL41" s="525">
        <f>SUM(CL9:CL39)</f>
        <v>0</v>
      </c>
      <c r="CM41" s="525">
        <f>IFERROR((CL41/$L$41),0)</f>
        <v>0</v>
      </c>
      <c r="CN41" s="525">
        <f>IFERROR(((CL41*CN$8)/$L$41),0)</f>
        <v>0</v>
      </c>
      <c r="CO41" s="525">
        <f>SUM(CO9:CO39)</f>
        <v>0</v>
      </c>
      <c r="CP41" s="525">
        <f>IFERROR((CO41/$L$41),0)</f>
        <v>0</v>
      </c>
      <c r="CQ41" s="525">
        <f>IFERROR(((CO41*CQ$8)/$L$41),0)</f>
        <v>0</v>
      </c>
      <c r="CR41" s="525">
        <f>SUM(CR9:CR39)</f>
        <v>0</v>
      </c>
      <c r="CS41" s="525">
        <f>IFERROR((CR41/$L$41),0)</f>
        <v>0</v>
      </c>
      <c r="CT41" s="525">
        <f>IFERROR(((CR41*CT$8)/$L$41),0)</f>
        <v>0</v>
      </c>
      <c r="CU41" s="525">
        <f>SUM(CU9:CU39)</f>
        <v>0</v>
      </c>
      <c r="CV41" s="525">
        <f>IFERROR((CU41/$L$41),0)</f>
        <v>0</v>
      </c>
      <c r="CW41" s="525">
        <f>IFERROR(((CU41*CW$8)/$L$41),0)</f>
        <v>0</v>
      </c>
      <c r="CX41" s="525">
        <f>SUM(CX9:CX39)</f>
        <v>0</v>
      </c>
      <c r="CY41" s="525">
        <f>IFERROR((CX41/$L$41),0)</f>
        <v>0</v>
      </c>
      <c r="CZ41" s="525">
        <f>IFERROR(((CX41*CZ$8)/$L$41),0)</f>
        <v>0</v>
      </c>
      <c r="DA41" s="525">
        <f>SUM(DA9:DA39)</f>
        <v>1816.8604651162791</v>
      </c>
      <c r="DB41" s="525">
        <f>IFERROR((DA41/$L$41),0)</f>
        <v>0</v>
      </c>
      <c r="DC41" s="525">
        <f>IFERROR(((DA41*DC$8)/$L$41),0)</f>
        <v>0</v>
      </c>
      <c r="DD41" s="525">
        <f>SUM(DD9:DD39)</f>
        <v>0</v>
      </c>
      <c r="DE41" s="525">
        <f>IFERROR((DD41/$L$41),0)</f>
        <v>0</v>
      </c>
      <c r="DF41" s="525">
        <f>IFERROR(((DD41*DF$8)/$L$41),0)</f>
        <v>0</v>
      </c>
      <c r="DG41" s="525">
        <f>SUM(DG14:DG39)</f>
        <v>0</v>
      </c>
      <c r="DH41" s="525">
        <f>IFERROR((DG41/$L$41),0)</f>
        <v>0</v>
      </c>
      <c r="DI41" s="525">
        <f>IFERROR(((DG41*DI$8)/$L$41),0)</f>
        <v>0</v>
      </c>
      <c r="DJ41" s="525">
        <f>SUM(DJ9:DJ39)</f>
        <v>0</v>
      </c>
      <c r="DK41" s="525">
        <f>IFERROR((DJ41/$L$41),0)</f>
        <v>0</v>
      </c>
      <c r="DL41" s="525">
        <f>IFERROR(((DJ41*DL$8)/$L$41),0)</f>
        <v>0</v>
      </c>
      <c r="DM41" s="525">
        <f>SUM(DM9:DM39)</f>
        <v>0</v>
      </c>
      <c r="DN41" s="525">
        <f>IFERROR((DM41/$L$41),0)</f>
        <v>0</v>
      </c>
      <c r="DO41" s="525">
        <f>IFERROR(((DM41*DO$8)/$L$41),0)</f>
        <v>0</v>
      </c>
      <c r="DP41" s="525">
        <f>SUM(DP9:DP39)</f>
        <v>0</v>
      </c>
      <c r="DQ41" s="525">
        <f>IFERROR((DP41/$L$41),0)</f>
        <v>0</v>
      </c>
      <c r="DR41" s="525">
        <f>IFERROR(((DP41*DR$8)/$L$41),0)</f>
        <v>0</v>
      </c>
      <c r="DS41" s="525">
        <f>SUM(DS9:DS39)</f>
        <v>0</v>
      </c>
      <c r="DT41" s="525">
        <f>IFERROR((DS41/$L$41),0)</f>
        <v>0</v>
      </c>
      <c r="DU41" s="525">
        <f>IFERROR(((DS41*DU$8)/$L$41),0)</f>
        <v>0</v>
      </c>
      <c r="DV41" s="525">
        <f>SUM(DV9:DV39)</f>
        <v>0</v>
      </c>
      <c r="DW41" s="525">
        <f>IFERROR((DV41/$L$41),0)</f>
        <v>0</v>
      </c>
      <c r="DX41" s="525">
        <f>IFERROR(((DV41*DX$8)/$L$41),0)</f>
        <v>0</v>
      </c>
      <c r="DY41" s="525">
        <f>SUM(DY9:DY39)</f>
        <v>0</v>
      </c>
      <c r="DZ41" s="525">
        <f>IFERROR((DY41/$L$41),0)</f>
        <v>0</v>
      </c>
      <c r="EA41" s="525">
        <f>IFERROR(((DY41*EA$8)/$L$41),0)</f>
        <v>0</v>
      </c>
      <c r="EB41" s="525">
        <f>SUM(EB9:EB39)</f>
        <v>0</v>
      </c>
      <c r="EC41" s="525">
        <f>IFERROR((EB41/$L$41),0)</f>
        <v>0</v>
      </c>
      <c r="ED41" s="525">
        <f>IFERROR(((EB41*ED$8)/$L$41),0)</f>
        <v>0</v>
      </c>
      <c r="EE41" s="525">
        <f>SUM(EE9:EE39)</f>
        <v>1913.8135294117646</v>
      </c>
      <c r="EF41" s="525">
        <f>IFERROR((EE41/$L$41),0)</f>
        <v>0</v>
      </c>
      <c r="EG41" s="525">
        <f>IFERROR(((EE41*EG$8)/$L$41),0)</f>
        <v>0</v>
      </c>
      <c r="EH41" s="525">
        <f>SUM(EH9:EH39)</f>
        <v>941.86046511627887</v>
      </c>
      <c r="EI41" s="525">
        <f>IFERROR((EH41/$L$41),0)</f>
        <v>0</v>
      </c>
      <c r="EJ41" s="525">
        <f>IFERROR(((EH41*EJ$8)/$L$41),0)</f>
        <v>0</v>
      </c>
      <c r="EK41" s="525">
        <f>SUM(EK9:EK39)</f>
        <v>1185.4651162790699</v>
      </c>
      <c r="EL41" s="525">
        <f>IFERROR((EK41/$L$41),0)</f>
        <v>0</v>
      </c>
      <c r="EM41" s="525">
        <f>IFERROR(((EK41*EM$8)/$L$41),0)</f>
        <v>0</v>
      </c>
      <c r="EN41" s="525">
        <f>SUM(EN9:EN39)</f>
        <v>0</v>
      </c>
      <c r="EO41" s="525">
        <f>IFERROR((EN41/$L$41),0)</f>
        <v>0</v>
      </c>
      <c r="EP41" s="525">
        <f>IFERROR(((EN41*EP$8)/$L$41),0)</f>
        <v>0</v>
      </c>
      <c r="EQ41" s="525">
        <f>SUM(EQ9:EQ39)</f>
        <v>0</v>
      </c>
      <c r="ER41" s="525">
        <f>IFERROR((EQ41/$L$41),0)</f>
        <v>0</v>
      </c>
      <c r="ES41" s="525">
        <f>IFERROR(((EQ41*ES$8)/$L$41),0)</f>
        <v>0</v>
      </c>
      <c r="ET41" s="525">
        <f>SUM(ET9:ET39)</f>
        <v>0</v>
      </c>
      <c r="EU41" s="525">
        <f>IFERROR((ET41/$L$41),0)</f>
        <v>0</v>
      </c>
      <c r="EV41" s="525">
        <f>IFERROR(((ET41*EV$8)/$L$41),0)</f>
        <v>0</v>
      </c>
      <c r="EW41" s="525">
        <f>SUM(EW9:EW39)</f>
        <v>0</v>
      </c>
      <c r="EX41" s="525">
        <f>IFERROR((EW41/$L$41),0)</f>
        <v>0</v>
      </c>
      <c r="EY41" s="525">
        <f>IFERROR(((EW41*EY$8)/$L$41),0)</f>
        <v>0</v>
      </c>
      <c r="EZ41" s="525">
        <f>SUM(EZ9:EZ39)</f>
        <v>0</v>
      </c>
      <c r="FA41" s="525">
        <f>IFERROR((EZ41/$L$41),0)</f>
        <v>0</v>
      </c>
      <c r="FB41" s="525">
        <f>IFERROR(((EZ41*FB$8)/$L$41),0)</f>
        <v>0</v>
      </c>
      <c r="FC41" s="525">
        <f>SUM(FC9:FC39)</f>
        <v>0</v>
      </c>
      <c r="FD41" s="525">
        <f>IFERROR((FC41/$L$41),0)</f>
        <v>0</v>
      </c>
      <c r="FE41" s="525">
        <f>IFERROR(((FC41*FE$8)/$L$41),0)</f>
        <v>0</v>
      </c>
      <c r="FF41" s="525">
        <f>SUM(FF9:FF39)</f>
        <v>0</v>
      </c>
      <c r="FG41" s="525">
        <f>IFERROR((FF41/$L$41),0)</f>
        <v>0</v>
      </c>
      <c r="FH41" s="525">
        <f>IFERROR(((FF41*FH$8)/$L$41),0)</f>
        <v>0</v>
      </c>
      <c r="FI41" s="525">
        <f>SUM(FI9:FI39)</f>
        <v>0</v>
      </c>
      <c r="FJ41" s="525">
        <f>IFERROR((FI41/$L$41),0)</f>
        <v>0</v>
      </c>
      <c r="FK41" s="525">
        <f>IFERROR(((FI41*FK$8)/$L$41),0)</f>
        <v>0</v>
      </c>
      <c r="FL41" s="525">
        <f>SUM(FL9:FL39)</f>
        <v>0</v>
      </c>
      <c r="FM41" s="525">
        <f>IFERROR((FL41/$L$41),0)</f>
        <v>0</v>
      </c>
      <c r="FN41" s="525">
        <f>IFERROR(((FL41*FN$8)/$L$41),0)</f>
        <v>0</v>
      </c>
      <c r="FO41" s="525">
        <f>SUM(FO9:FO39)</f>
        <v>0</v>
      </c>
      <c r="FP41" s="525">
        <f>IFERROR((FO41/$L$41),0)</f>
        <v>0</v>
      </c>
      <c r="FQ41" s="525">
        <f>IFERROR(((FO41*FQ$8)/$L$41),0)</f>
        <v>0</v>
      </c>
      <c r="FR41" s="525">
        <f>SUM(FR9:FR39)</f>
        <v>0</v>
      </c>
      <c r="FS41" s="525">
        <f>IFERROR((FR41/$L$41),0)</f>
        <v>0</v>
      </c>
      <c r="FT41" s="525">
        <f>IFERROR(((FR41*FT$8)/$L$41),0)</f>
        <v>0</v>
      </c>
      <c r="FU41" s="525">
        <f>SUM(FU9:FU39)</f>
        <v>0</v>
      </c>
      <c r="FV41" s="525">
        <f>IFERROR((FU41/$L$41),0)</f>
        <v>0</v>
      </c>
      <c r="FW41" s="525">
        <f>IFERROR(((FU41*FW$8)/$L$41),0)</f>
        <v>0</v>
      </c>
      <c r="FX41" s="525">
        <f>SUM(FX9:FX39)</f>
        <v>0</v>
      </c>
      <c r="FY41" s="525">
        <f>IFERROR((FX41/$L$41),0)</f>
        <v>0</v>
      </c>
      <c r="FZ41" s="525">
        <f>IFERROR(((FX41*FZ$8)/$L$41),0)</f>
        <v>0</v>
      </c>
      <c r="GA41" s="525">
        <f>SUM(GA9:GA39)</f>
        <v>0</v>
      </c>
      <c r="GB41" s="525">
        <f>IFERROR((GA41/$L$41),0)</f>
        <v>0</v>
      </c>
      <c r="GC41" s="525">
        <f>IFERROR(((GA41*GC$8)/$L$41),0)</f>
        <v>0</v>
      </c>
      <c r="GD41" s="525">
        <f>SUM(GD9:GD39)</f>
        <v>0</v>
      </c>
      <c r="GE41" s="525">
        <f>IFERROR((GD41/$L$41),0)</f>
        <v>0</v>
      </c>
      <c r="GF41" s="525">
        <f>IFERROR(((GD41*GF$8)/$L$41),0)</f>
        <v>0</v>
      </c>
      <c r="GG41" s="525">
        <f>SUM(GG9:GG39)</f>
        <v>0</v>
      </c>
      <c r="GH41" s="525">
        <f>IFERROR((GG41/$L$41),0)</f>
        <v>0</v>
      </c>
      <c r="GI41" s="525">
        <f>IFERROR(((GG41*GI$8)/$L$41),0)</f>
        <v>0</v>
      </c>
      <c r="GJ41" s="525">
        <f>SUM(GJ9:GJ39)</f>
        <v>0</v>
      </c>
      <c r="GK41" s="525">
        <f>IFERROR((GJ41/$L$41),0)</f>
        <v>0</v>
      </c>
      <c r="GL41" s="525">
        <f>IFERROR(((GJ41*GL$8)/$L$41),0)</f>
        <v>0</v>
      </c>
      <c r="GM41" s="525">
        <f>SUM(GM9:GM39)</f>
        <v>0</v>
      </c>
      <c r="GN41" s="525">
        <f>IFERROR((GM41/$L$41),0)</f>
        <v>0</v>
      </c>
      <c r="GO41" s="525">
        <f>IFERROR(((GM41*GO$8)/$L$41),0)</f>
        <v>0</v>
      </c>
      <c r="GP41" s="525">
        <f>SUM(GP9:GP39)</f>
        <v>0</v>
      </c>
      <c r="GQ41" s="525">
        <f>IFERROR((GP41/$L$41),0)</f>
        <v>0</v>
      </c>
      <c r="GR41" s="525">
        <f>IFERROR(((GP41*GR$8)/$L$41),0)</f>
        <v>0</v>
      </c>
      <c r="GS41" s="525">
        <f>SUM(GS9:GS39)</f>
        <v>0</v>
      </c>
      <c r="GT41" s="525">
        <f>IFERROR((GS41/$L$41),0)</f>
        <v>0</v>
      </c>
      <c r="GU41" s="525">
        <f>IFERROR(((GS41*GU$8)/$L$41),0)</f>
        <v>0</v>
      </c>
      <c r="GV41" s="525">
        <f>SUM(GV9:GV39)</f>
        <v>0</v>
      </c>
      <c r="GW41" s="525">
        <f>IFERROR((GV41/$L$41),0)</f>
        <v>0</v>
      </c>
      <c r="GX41" s="525">
        <f>IFERROR(((GV41*GX$8)/$L$41),0)</f>
        <v>0</v>
      </c>
      <c r="GY41" s="525">
        <f>SUM(GY9:GY39)</f>
        <v>0</v>
      </c>
      <c r="GZ41" s="525">
        <f>IFERROR((GY41/$L$41),0)</f>
        <v>0</v>
      </c>
      <c r="HA41" s="525">
        <f>IFERROR(((GY41*HA$8)/$L$41),0)</f>
        <v>0</v>
      </c>
      <c r="HB41" s="525">
        <f>SUM(HB9:HB39)</f>
        <v>0</v>
      </c>
      <c r="HC41" s="525">
        <f>IFERROR((HB41/$L$41),0)</f>
        <v>0</v>
      </c>
      <c r="HD41" s="525">
        <f>IFERROR(((HB41*HD$8)/$L$41),0)</f>
        <v>0</v>
      </c>
      <c r="HE41" s="525">
        <f>SUM(HE9:HE39)</f>
        <v>0</v>
      </c>
      <c r="HF41" s="525">
        <f>IFERROR((HE41/$L$41),0)</f>
        <v>0</v>
      </c>
      <c r="HG41" s="525">
        <f>IFERROR(((HE41*HG$8)/$L$41),0)</f>
        <v>0</v>
      </c>
      <c r="HH41" s="525">
        <f>SUM(HH9:HH39)</f>
        <v>0</v>
      </c>
      <c r="HI41" s="525">
        <f>IFERROR((HH41/$L$41),0)</f>
        <v>0</v>
      </c>
      <c r="HJ41" s="525">
        <f>IFERROR(((HH41*HJ$8)/$L$41),0)</f>
        <v>0</v>
      </c>
      <c r="HK41" s="525">
        <f>SUM(HK9:HK39)</f>
        <v>0</v>
      </c>
      <c r="HL41" s="525">
        <f>IFERROR((HK41/$L$41),0)</f>
        <v>0</v>
      </c>
      <c r="HM41" s="525">
        <f>IFERROR(((HK41*HM$8)/$L$41),0)</f>
        <v>0</v>
      </c>
      <c r="HN41" s="525">
        <f>SUM(HN9:HN39)</f>
        <v>0</v>
      </c>
      <c r="HO41" s="525">
        <f>IFERROR((HN41/$L$41),0)</f>
        <v>0</v>
      </c>
      <c r="HP41" s="525">
        <f>IFERROR(((HN41*HP$8)/$L$41),0)</f>
        <v>0</v>
      </c>
      <c r="HQ41" s="525">
        <f>SUM(HQ9:HQ39)</f>
        <v>0</v>
      </c>
      <c r="HR41" s="525">
        <f>IFERROR((HQ41/$L$41),0)</f>
        <v>0</v>
      </c>
      <c r="HS41" s="525">
        <f>IFERROR(((HQ41*HS$8)/$L$41),0)</f>
        <v>0</v>
      </c>
      <c r="HT41" s="525">
        <f>SUM(HT9:HT39)</f>
        <v>0</v>
      </c>
      <c r="HU41" s="525">
        <f>IFERROR((HT41/$L$41),0)</f>
        <v>0</v>
      </c>
      <c r="HV41" s="525">
        <f>IFERROR(((HT41*HV$8)/$L$41),0)</f>
        <v>0</v>
      </c>
      <c r="HW41" s="525">
        <f>SUM(HW9:HW39)</f>
        <v>0</v>
      </c>
      <c r="HX41" s="525">
        <f>IFERROR((HW41/$L$41),0)</f>
        <v>0</v>
      </c>
      <c r="HY41" s="525">
        <f>IFERROR(((HW41*HY$8)/$L$41),0)</f>
        <v>0</v>
      </c>
      <c r="HZ41" s="525">
        <f>SUM(HZ9:HZ39)</f>
        <v>0</v>
      </c>
      <c r="IA41" s="525">
        <f>IFERROR((HZ41/$L$41),0)</f>
        <v>0</v>
      </c>
      <c r="IB41" s="525">
        <f>IFERROR(((HZ41*IB$8)/$L$41),0)</f>
        <v>0</v>
      </c>
      <c r="IC41" s="525">
        <f>SUM(IC9:IC39)</f>
        <v>0</v>
      </c>
      <c r="ID41" s="525">
        <f>IFERROR((IC41/$L$41),0)</f>
        <v>0</v>
      </c>
      <c r="IE41" s="525">
        <f>IFERROR(((IC41*IE$8)/$L$41),0)</f>
        <v>0</v>
      </c>
      <c r="IF41" s="525">
        <f>SUM(IF9:IF39)</f>
        <v>0</v>
      </c>
      <c r="IG41" s="525">
        <f>IFERROR((IF41/$L$41),0)</f>
        <v>0</v>
      </c>
      <c r="IH41" s="525">
        <f>IFERROR(((IF41*IH$8)/$L$41),0)</f>
        <v>0</v>
      </c>
      <c r="II41" s="525">
        <f>SUM(II9:II39)</f>
        <v>0</v>
      </c>
      <c r="IJ41" s="525">
        <f>IFERROR((II41/$L$41),0)</f>
        <v>0</v>
      </c>
      <c r="IK41" s="525">
        <f>IFERROR(((II41*IK$8)/$L$41),0)</f>
        <v>0</v>
      </c>
      <c r="IL41" s="525">
        <f>SUM(IL9:IL39)</f>
        <v>0</v>
      </c>
      <c r="IM41" s="525">
        <f>IFERROR((IL41/$L$41),0)</f>
        <v>0</v>
      </c>
      <c r="IN41" s="525">
        <f>IFERROR(((IL41*IN$8)/$L$41),0)</f>
        <v>0</v>
      </c>
      <c r="IO41" s="525">
        <f>SUM(IO9:IO39)</f>
        <v>0</v>
      </c>
      <c r="IP41" s="525">
        <f>IFERROR((IO41/$L$41),0)</f>
        <v>0</v>
      </c>
      <c r="IQ41" s="525">
        <f>IFERROR(((IO41*IQ$8)/$L$41),0)</f>
        <v>0</v>
      </c>
      <c r="IR41" s="525">
        <f>SUM(IR9:IR39)</f>
        <v>0</v>
      </c>
      <c r="IS41" s="525">
        <f>IFERROR((IR41/$L$41),0)</f>
        <v>0</v>
      </c>
      <c r="IT41" s="525">
        <f>IFERROR(((IR41*IT$8)/$L$41),0)</f>
        <v>0</v>
      </c>
      <c r="IU41" s="525">
        <f>SUM(IU9:IU39)</f>
        <v>0</v>
      </c>
      <c r="IV41" s="525">
        <f>IFERROR((IU41/$L$41),0)</f>
        <v>0</v>
      </c>
      <c r="IW41" s="525">
        <f>IFERROR(((IU41*IW$8)/$L$41),0)</f>
        <v>0</v>
      </c>
      <c r="IX41" s="525">
        <f>SUM(IX9:IX39)</f>
        <v>0</v>
      </c>
      <c r="IY41" s="525">
        <f>IFERROR((IX41/$L$41),0)</f>
        <v>0</v>
      </c>
      <c r="IZ41" s="525">
        <f>IFERROR(((IX41*IZ$8)/$L$41),0)</f>
        <v>0</v>
      </c>
      <c r="JA41" s="525">
        <f>SUM(JA9:JA39)</f>
        <v>0</v>
      </c>
      <c r="JB41" s="525">
        <f>IFERROR((JA41/$L$41),0)</f>
        <v>0</v>
      </c>
      <c r="JC41" s="525">
        <f>IFERROR(((JA41*JC$8)/$L$41),0)</f>
        <v>0</v>
      </c>
      <c r="JD41" s="525">
        <f>SUM(JD9:JD39)</f>
        <v>0</v>
      </c>
      <c r="JE41" s="525">
        <f>IFERROR((JD41/$L$41),0)</f>
        <v>0</v>
      </c>
      <c r="JF41" s="525">
        <f>IFERROR(((JD41*JF$8)/$L$41),0)</f>
        <v>0</v>
      </c>
      <c r="JG41" s="525">
        <f>SUM(JG9:JG39)</f>
        <v>0</v>
      </c>
      <c r="JH41" s="525">
        <f>IFERROR((JG41/$L$41),0)</f>
        <v>0</v>
      </c>
      <c r="JI41" s="525">
        <f>IFERROR(((JG41*JI$8)/$L$41),0)</f>
        <v>0</v>
      </c>
      <c r="JJ41" s="525">
        <f>SUM(JJ9:JJ39)</f>
        <v>0</v>
      </c>
      <c r="JK41" s="525">
        <f>IFERROR((JJ41/$L$41),0)</f>
        <v>0</v>
      </c>
      <c r="JL41" s="525">
        <f>IFERROR(((JJ41*JL$8)/$L$41),0)</f>
        <v>0</v>
      </c>
      <c r="JM41" s="525">
        <f>SUM(JM9:JM39)</f>
        <v>0</v>
      </c>
      <c r="JN41" s="525">
        <f>IFERROR((JM41/$L$41),0)</f>
        <v>0</v>
      </c>
      <c r="JO41" s="525">
        <f>IFERROR(((JM41*JO$8)/$L$41),0)</f>
        <v>0</v>
      </c>
      <c r="JP41" s="525">
        <f>SUM(JP9:JP39)</f>
        <v>0</v>
      </c>
      <c r="JQ41" s="525">
        <f>IFERROR((JP41/$L$41),0)</f>
        <v>0</v>
      </c>
      <c r="JR41" s="525">
        <f>IFERROR(((JP41*JR$8)/$L$41),0)</f>
        <v>0</v>
      </c>
      <c r="JS41" s="525">
        <f>SUM(JS9:JS39)</f>
        <v>0</v>
      </c>
      <c r="JT41" s="525">
        <f>IFERROR((JS41/$L$41),0)</f>
        <v>0</v>
      </c>
      <c r="JU41" s="525">
        <f>IFERROR(((JS41*JU$8)/$L$41),0)</f>
        <v>0</v>
      </c>
      <c r="JV41" s="525">
        <f>SUM(JV9:JV39)</f>
        <v>0</v>
      </c>
      <c r="JW41" s="525">
        <f>IFERROR((JV41/$L$41),0)</f>
        <v>0</v>
      </c>
      <c r="JX41" s="525">
        <f>IFERROR(((JV41*JX$8)/$L$41),0)</f>
        <v>0</v>
      </c>
      <c r="JY41" s="525">
        <f>SUM(JY9:JY39)</f>
        <v>0</v>
      </c>
      <c r="JZ41" s="525">
        <f>IFERROR((JY41/$L$41),0)</f>
        <v>0</v>
      </c>
      <c r="KA41" s="525">
        <f>IFERROR(((JY41*KA$8)/$L$41),0)</f>
        <v>0</v>
      </c>
      <c r="KB41" s="525">
        <f>SUM(KB9:KB39)</f>
        <v>0</v>
      </c>
      <c r="KC41" s="525">
        <f>IFERROR((KB41/$L$41),0)</f>
        <v>0</v>
      </c>
      <c r="KD41" s="525">
        <f>IFERROR(((KB41*KD$8)/$L$41),0)</f>
        <v>0</v>
      </c>
      <c r="KE41" s="525">
        <f>SUM(KE9:KE39)</f>
        <v>0</v>
      </c>
      <c r="KF41" s="525">
        <f>IFERROR((KE41/$L$41),0)</f>
        <v>0</v>
      </c>
      <c r="KG41" s="525">
        <f>IFERROR(((KE41*KG$8)/$L$41),0)</f>
        <v>0</v>
      </c>
      <c r="KH41" s="525">
        <f>SUM(KH9:KH39)</f>
        <v>0</v>
      </c>
      <c r="KI41" s="525">
        <f>IFERROR((KH41/$L$41),0)</f>
        <v>0</v>
      </c>
      <c r="KJ41" s="525">
        <f>IFERROR(((KH41*KJ$8)/$L$41),0)</f>
        <v>0</v>
      </c>
      <c r="KK41" s="525">
        <f>SUM(KK9:KK39)</f>
        <v>0</v>
      </c>
      <c r="KL41" s="525">
        <f>IFERROR((KK41/$L$41),0)</f>
        <v>0</v>
      </c>
      <c r="KM41" s="525">
        <f>IFERROR(((KK41*KM$8)/$L$41),0)</f>
        <v>0</v>
      </c>
      <c r="KN41" s="525">
        <f>SUM(KN9:KN39)</f>
        <v>0</v>
      </c>
      <c r="KO41" s="525">
        <f>IFERROR((KN41/$L$41),0)</f>
        <v>0</v>
      </c>
      <c r="KP41" s="525">
        <f>IFERROR(((KN41*KP$8)/$L$41),0)</f>
        <v>0</v>
      </c>
      <c r="KQ41" s="525">
        <f>SUM(KQ9:KQ39)</f>
        <v>0</v>
      </c>
      <c r="KR41" s="525">
        <f>IFERROR((KQ41/$L$41),0)</f>
        <v>0</v>
      </c>
      <c r="KS41" s="525">
        <f>IFERROR(((KQ41*KS$8)/$L$41),0)</f>
        <v>0</v>
      </c>
      <c r="KT41" s="526">
        <f t="shared" si="201"/>
        <v>0</v>
      </c>
      <c r="KU41" s="526">
        <f t="shared" si="202"/>
        <v>0</v>
      </c>
      <c r="KV41" s="261">
        <f t="shared" si="204"/>
        <v>14498.731421312461</v>
      </c>
    </row>
    <row r="43" spans="1:308" ht="15" customHeight="1">
      <c r="A43" s="268" t="s">
        <v>137</v>
      </c>
      <c r="B43" s="269" t="s">
        <v>138</v>
      </c>
      <c r="C43" s="270" t="s">
        <v>147</v>
      </c>
      <c r="D43" s="258"/>
      <c r="E43" s="258"/>
    </row>
    <row r="44" spans="1:308" ht="15" customHeight="1">
      <c r="A44" s="271"/>
      <c r="B44" s="269" t="s">
        <v>139</v>
      </c>
      <c r="C44" s="270" t="s">
        <v>145</v>
      </c>
      <c r="D44" s="258"/>
      <c r="E44" s="258"/>
    </row>
    <row r="45" spans="1:308" ht="15" customHeight="1">
      <c r="A45" s="271"/>
      <c r="B45" s="272" t="s">
        <v>140</v>
      </c>
      <c r="C45" s="270" t="s">
        <v>141</v>
      </c>
      <c r="D45" s="258"/>
      <c r="E45" s="258"/>
    </row>
  </sheetData>
  <mergeCells count="210"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I39"/>
  <sheetViews>
    <sheetView workbookViewId="0">
      <pane xSplit="1" topLeftCell="B1" activePane="topRight" state="frozen"/>
      <selection pane="topRight" activeCell="AK36" sqref="AK36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1" width="9.140625" hidden="1" customWidth="1"/>
    <col min="22" max="22" width="9.28515625" hidden="1" customWidth="1"/>
    <col min="23" max="27" width="9.140625" hidden="1" customWidth="1"/>
    <col min="28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6060</v>
      </c>
      <c r="C1">
        <v>4050</v>
      </c>
      <c r="D1">
        <v>4680</v>
      </c>
      <c r="E1">
        <v>3690</v>
      </c>
      <c r="F1">
        <v>5190</v>
      </c>
      <c r="G1">
        <v>5240</v>
      </c>
      <c r="H1">
        <v>4450</v>
      </c>
      <c r="I1">
        <v>3830</v>
      </c>
      <c r="J1">
        <v>0</v>
      </c>
      <c r="K1">
        <v>4690</v>
      </c>
      <c r="P1">
        <v>4860</v>
      </c>
      <c r="Q1">
        <v>4360</v>
      </c>
      <c r="R1">
        <v>4140</v>
      </c>
      <c r="S1">
        <v>4960</v>
      </c>
      <c r="T1">
        <v>4040</v>
      </c>
      <c r="U1">
        <v>4610</v>
      </c>
      <c r="V1">
        <v>4530</v>
      </c>
      <c r="W1">
        <v>4370</v>
      </c>
      <c r="X1">
        <v>4190</v>
      </c>
      <c r="Y1">
        <v>4810</v>
      </c>
      <c r="Z1">
        <v>4200</v>
      </c>
      <c r="AA1">
        <v>5470</v>
      </c>
      <c r="AB1">
        <v>4690</v>
      </c>
      <c r="AC1">
        <v>4200</v>
      </c>
      <c r="AD1">
        <v>4670</v>
      </c>
      <c r="AE1">
        <v>4900</v>
      </c>
      <c r="AF1">
        <v>4940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6" t="s">
        <v>254</v>
      </c>
      <c r="AH2" s="457" t="s">
        <v>255</v>
      </c>
      <c r="AI2" s="483" t="s">
        <v>275</v>
      </c>
    </row>
    <row r="3" spans="1:35">
      <c r="A3" s="438" t="s">
        <v>196</v>
      </c>
      <c r="B3" s="5">
        <f>3460/1000</f>
        <v>3.46</v>
      </c>
      <c r="C3" s="5">
        <f>3916/1000</f>
        <v>3.9159999999999999</v>
      </c>
      <c r="D3" s="5">
        <f>4505/1000</f>
        <v>4.5049999999999999</v>
      </c>
      <c r="E3" s="5">
        <v>7.1589999999999998</v>
      </c>
      <c r="F3" s="5">
        <f>3403/1000</f>
        <v>3.403</v>
      </c>
      <c r="G3" s="5">
        <f>4040/1000</f>
        <v>4.04</v>
      </c>
      <c r="H3" s="5">
        <f>1933/1000</f>
        <v>1.9330000000000001</v>
      </c>
      <c r="I3" s="5">
        <f>3307/1000</f>
        <v>3.3069999999999999</v>
      </c>
      <c r="J3" s="5">
        <f>3181/1000</f>
        <v>3.181</v>
      </c>
      <c r="K3" s="5">
        <f>3773/1000</f>
        <v>3.7730000000000001</v>
      </c>
      <c r="L3" s="5">
        <f>3340/1000</f>
        <v>3.34</v>
      </c>
      <c r="M3" s="5">
        <f>3305/1000</f>
        <v>3.3050000000000002</v>
      </c>
      <c r="N3" s="5">
        <f>3267/1000</f>
        <v>3.2669999999999999</v>
      </c>
      <c r="O3" s="5">
        <f>4667/1000</f>
        <v>4.6669999999999998</v>
      </c>
      <c r="P3" s="5">
        <f>2254/1000</f>
        <v>2.254</v>
      </c>
      <c r="Q3" s="5">
        <f>5437/1000</f>
        <v>5.4370000000000003</v>
      </c>
      <c r="R3" s="5">
        <f>4932/1000</f>
        <v>4.9320000000000004</v>
      </c>
      <c r="S3" s="5">
        <f>2755/1000</f>
        <v>2.7549999999999999</v>
      </c>
      <c r="T3" s="5">
        <f>3884/1000</f>
        <v>3.8839999999999999</v>
      </c>
      <c r="U3" s="5">
        <f>3670/1000</f>
        <v>3.67</v>
      </c>
      <c r="V3" s="5">
        <f>2676/1000</f>
        <v>2.6760000000000002</v>
      </c>
      <c r="W3" s="5">
        <f>3354/1000</f>
        <v>3.3540000000000001</v>
      </c>
      <c r="X3" s="5">
        <f>3314/1000</f>
        <v>3.3140000000000001</v>
      </c>
      <c r="Y3" s="5">
        <f>3034/1000</f>
        <v>3.0339999999999998</v>
      </c>
      <c r="Z3" s="5">
        <f>3005/1000</f>
        <v>3.0049999999999999</v>
      </c>
      <c r="AA3" s="5">
        <f>5474/1000</f>
        <v>5.4740000000000002</v>
      </c>
      <c r="AB3" s="5">
        <f>2035/1000</f>
        <v>2.0350000000000001</v>
      </c>
      <c r="AC3" s="5">
        <f>3736/1000</f>
        <v>3.7360000000000002</v>
      </c>
      <c r="AD3" s="5">
        <f>2617/1000</f>
        <v>2.617</v>
      </c>
      <c r="AE3" s="5">
        <f>4054/1000</f>
        <v>4.0540000000000003</v>
      </c>
      <c r="AF3" s="5">
        <f>2859/1000</f>
        <v>2.859</v>
      </c>
      <c r="AG3" s="5">
        <f>+AF3</f>
        <v>2.859</v>
      </c>
      <c r="AH3" s="458">
        <f>+AG3/Efficiency1!$K$135</f>
        <v>2.1358711975977438E-3</v>
      </c>
      <c r="AI3" s="718">
        <f>SUM(AH3:AH4)</f>
        <v>2.6296840208268829E-3</v>
      </c>
    </row>
    <row r="4" spans="1:35">
      <c r="A4" s="438" t="s">
        <v>197</v>
      </c>
      <c r="B4" s="5">
        <f>795/1000</f>
        <v>0.79500000000000004</v>
      </c>
      <c r="C4" s="5">
        <f>883/1000</f>
        <v>0.88300000000000001</v>
      </c>
      <c r="D4" s="5">
        <f>1588/1000</f>
        <v>1.5880000000000001</v>
      </c>
      <c r="E4" s="5">
        <f>1520/1000</f>
        <v>1.52</v>
      </c>
      <c r="F4" s="5">
        <f>259/1000</f>
        <v>0.25900000000000001</v>
      </c>
      <c r="G4" s="5">
        <f>643/1000</f>
        <v>0.64300000000000002</v>
      </c>
      <c r="H4" s="5">
        <f>900/1000</f>
        <v>0.9</v>
      </c>
      <c r="I4" s="5">
        <f>963/1000</f>
        <v>0.96299999999999997</v>
      </c>
      <c r="J4" s="5">
        <f>481/1000</f>
        <v>0.48099999999999998</v>
      </c>
      <c r="K4" s="5">
        <f>444/1000</f>
        <v>0.44400000000000001</v>
      </c>
      <c r="L4" s="5">
        <f>1532/1000</f>
        <v>1.532</v>
      </c>
      <c r="M4" s="5">
        <f>381/1000</f>
        <v>0.38100000000000001</v>
      </c>
      <c r="N4" s="439">
        <f>483/1000</f>
        <v>0.48299999999999998</v>
      </c>
      <c r="O4" s="439">
        <f>676/1000</f>
        <v>0.67600000000000005</v>
      </c>
      <c r="P4" s="5">
        <f>637/1000</f>
        <v>0.63700000000000001</v>
      </c>
      <c r="Q4" s="5">
        <f>1290/1000</f>
        <v>1.29</v>
      </c>
      <c r="R4" s="5">
        <f>427/1000</f>
        <v>0.42699999999999999</v>
      </c>
      <c r="S4" s="5">
        <f>822/1000</f>
        <v>0.82199999999999995</v>
      </c>
      <c r="T4" s="5">
        <f>999/1000</f>
        <v>0.999</v>
      </c>
      <c r="U4" s="5">
        <f>1017/1000</f>
        <v>1.0169999999999999</v>
      </c>
      <c r="V4" s="5">
        <f>1677/1000</f>
        <v>1.677</v>
      </c>
      <c r="W4" s="439">
        <f>713/1000</f>
        <v>0.71299999999999997</v>
      </c>
      <c r="X4" s="5">
        <f>636/1000</f>
        <v>0.63600000000000001</v>
      </c>
      <c r="Y4" s="5">
        <f>499/1000</f>
        <v>0.499</v>
      </c>
      <c r="Z4" s="5">
        <f>740/1000</f>
        <v>0.74</v>
      </c>
      <c r="AA4" s="5">
        <f>555/1000</f>
        <v>0.55500000000000005</v>
      </c>
      <c r="AB4" s="5">
        <f>1960/1000</f>
        <v>1.96</v>
      </c>
      <c r="AC4" s="5">
        <f>1171/1000</f>
        <v>1.171</v>
      </c>
      <c r="AD4" s="5">
        <f>1278/1000</f>
        <v>1.278</v>
      </c>
      <c r="AE4" s="5">
        <f>300/1000</f>
        <v>0.3</v>
      </c>
      <c r="AF4" s="5">
        <f>661/1000</f>
        <v>0.66100000000000003</v>
      </c>
      <c r="AG4" s="5">
        <f>+AF4</f>
        <v>0.66100000000000003</v>
      </c>
      <c r="AH4" s="458">
        <f>+AG4/Efficiency1!$K$135</f>
        <v>4.9381282322913909E-4</v>
      </c>
      <c r="AI4" s="719"/>
    </row>
    <row r="5" spans="1:35">
      <c r="A5" s="484"/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6"/>
      <c r="O5" s="486"/>
      <c r="P5" s="485"/>
      <c r="Q5" s="485"/>
      <c r="R5" s="485"/>
      <c r="S5" s="485"/>
      <c r="T5" s="485"/>
      <c r="U5" s="485"/>
      <c r="V5" s="485"/>
      <c r="W5" s="486"/>
      <c r="X5" s="485"/>
      <c r="Y5" s="485"/>
      <c r="Z5" s="485"/>
      <c r="AA5" s="485"/>
      <c r="AB5" s="485"/>
      <c r="AC5" s="485"/>
      <c r="AD5" s="485"/>
      <c r="AE5" s="485"/>
      <c r="AF5" s="485"/>
      <c r="AG5" s="485"/>
      <c r="AH5" s="487"/>
    </row>
    <row r="6" spans="1:35">
      <c r="A6" s="438" t="s">
        <v>198</v>
      </c>
      <c r="B6" s="439">
        <v>0.4</v>
      </c>
      <c r="C6" s="5">
        <v>0.42499999999999999</v>
      </c>
      <c r="D6" s="5">
        <v>0.72099999999999997</v>
      </c>
      <c r="E6" s="5">
        <v>0.63100000000000001</v>
      </c>
      <c r="F6" s="5">
        <v>0.40699999999999997</v>
      </c>
      <c r="G6" s="5">
        <v>0.501</v>
      </c>
      <c r="H6" s="5">
        <v>0.72499999999999998</v>
      </c>
      <c r="I6" s="5">
        <v>0.55100000000000005</v>
      </c>
      <c r="J6" s="5">
        <v>0.43</v>
      </c>
      <c r="K6" s="5">
        <v>0.64300000000000002</v>
      </c>
      <c r="L6" s="5">
        <v>0.61</v>
      </c>
      <c r="M6" s="5">
        <v>0.59099999999999997</v>
      </c>
      <c r="N6" s="5">
        <v>0.33500000000000002</v>
      </c>
      <c r="O6" s="5">
        <v>0.82799999999999996</v>
      </c>
      <c r="P6" s="5">
        <v>0.45900000000000002</v>
      </c>
      <c r="Q6" s="5">
        <f>1066/1000</f>
        <v>1.0660000000000001</v>
      </c>
      <c r="R6" s="5">
        <f>1941/1000</f>
        <v>1.9410000000000001</v>
      </c>
      <c r="S6" s="5">
        <v>0.7</v>
      </c>
      <c r="T6" s="5">
        <v>0.74199999999999999</v>
      </c>
      <c r="U6" s="5">
        <v>0.51</v>
      </c>
      <c r="V6" s="5">
        <v>0.73399999999999999</v>
      </c>
      <c r="W6" s="439">
        <v>0.36</v>
      </c>
      <c r="X6" s="5">
        <v>0.377</v>
      </c>
      <c r="Y6" s="5">
        <v>0.58099999999999996</v>
      </c>
      <c r="Z6" s="5">
        <v>0.3</v>
      </c>
      <c r="AA6" s="5">
        <v>0.56499999999999995</v>
      </c>
      <c r="AB6" s="439">
        <v>0.77200000000000002</v>
      </c>
      <c r="AC6" s="5">
        <v>0.48099999999999998</v>
      </c>
      <c r="AD6" s="5">
        <v>0.47099999999999997</v>
      </c>
      <c r="AE6" s="5">
        <v>0.46200000000000002</v>
      </c>
      <c r="AF6" s="5">
        <v>0.55500000000000005</v>
      </c>
      <c r="AG6" s="5">
        <f t="shared" ref="AG6:AG37" si="0">+SUM(B6:AC6)</f>
        <v>17.385999999999999</v>
      </c>
      <c r="AH6" s="488">
        <f t="shared" ref="AH6:AH36" si="1">+AG6/$AG$39</f>
        <v>0.41262608282900193</v>
      </c>
    </row>
    <row r="7" spans="1:35">
      <c r="A7" s="438" t="s">
        <v>219</v>
      </c>
      <c r="B7" s="5">
        <f>95/1000</f>
        <v>9.5000000000000001E-2</v>
      </c>
      <c r="C7" s="5">
        <v>0.71</v>
      </c>
      <c r="D7" s="5">
        <v>0.39800000000000002</v>
      </c>
      <c r="E7" s="5">
        <v>0.42699999999999999</v>
      </c>
      <c r="F7" s="5">
        <v>0.65500000000000003</v>
      </c>
      <c r="G7" s="5">
        <v>0.47199999999999998</v>
      </c>
      <c r="H7" s="5">
        <v>0.77700000000000002</v>
      </c>
      <c r="I7" s="5">
        <v>0.31900000000000001</v>
      </c>
      <c r="J7" s="5">
        <v>0.43</v>
      </c>
      <c r="K7" s="5">
        <v>0.33500000000000002</v>
      </c>
      <c r="L7" s="5">
        <v>0.44400000000000001</v>
      </c>
      <c r="M7" s="5">
        <v>0.67200000000000004</v>
      </c>
      <c r="N7" s="5">
        <v>0.45500000000000002</v>
      </c>
      <c r="O7" s="5">
        <v>0.56299999999999994</v>
      </c>
      <c r="P7" s="5">
        <v>0.501</v>
      </c>
      <c r="Q7" s="5">
        <v>0.498</v>
      </c>
      <c r="R7" s="470">
        <v>0.64</v>
      </c>
      <c r="S7" s="5">
        <v>0.66200000000000003</v>
      </c>
      <c r="T7" s="5">
        <v>0.51100000000000001</v>
      </c>
      <c r="U7" s="5">
        <v>0.45400000000000001</v>
      </c>
      <c r="V7" s="5">
        <v>0.625</v>
      </c>
      <c r="W7" s="5">
        <v>0.57299999999999995</v>
      </c>
      <c r="X7" s="5">
        <v>0.29599999999999999</v>
      </c>
      <c r="Y7" s="5">
        <v>0.48899999999999999</v>
      </c>
      <c r="Z7" s="5">
        <v>0.25</v>
      </c>
      <c r="AA7" s="5">
        <v>0.28100000000000003</v>
      </c>
      <c r="AB7" s="439">
        <v>0.58599999999999997</v>
      </c>
      <c r="AC7" s="5">
        <v>0.39100000000000001</v>
      </c>
      <c r="AD7" s="5">
        <v>0.68899999999999995</v>
      </c>
      <c r="AE7" s="5">
        <v>0.70599999999999996</v>
      </c>
      <c r="AF7" s="5">
        <v>0.47899999999999998</v>
      </c>
      <c r="AG7" s="5">
        <f t="shared" si="0"/>
        <v>13.509000000000002</v>
      </c>
      <c r="AH7" s="458">
        <f t="shared" si="1"/>
        <v>0.32061231755072983</v>
      </c>
    </row>
    <row r="8" spans="1:35">
      <c r="A8" s="440" t="s">
        <v>199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8">
        <f t="shared" si="1"/>
        <v>0</v>
      </c>
    </row>
    <row r="9" spans="1:35">
      <c r="A9" s="438" t="s">
        <v>200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8">
        <f t="shared" si="1"/>
        <v>0</v>
      </c>
    </row>
    <row r="10" spans="1:35">
      <c r="A10" s="438" t="s">
        <v>201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f t="shared" si="0"/>
        <v>0</v>
      </c>
      <c r="AH10" s="458">
        <f t="shared" si="1"/>
        <v>0</v>
      </c>
    </row>
    <row r="11" spans="1:35">
      <c r="A11" s="438" t="s">
        <v>202</v>
      </c>
      <c r="B11" s="5">
        <v>0.65</v>
      </c>
      <c r="C11" s="5"/>
      <c r="D11" s="5"/>
      <c r="E11" s="5"/>
      <c r="F11" s="5"/>
      <c r="G11" s="5"/>
      <c r="H11" s="5"/>
      <c r="I11" s="5">
        <v>0.30099999999999999</v>
      </c>
      <c r="J11" s="5"/>
      <c r="K11" s="5"/>
      <c r="L11" s="5">
        <v>0.1</v>
      </c>
      <c r="M11" s="5">
        <v>0.15</v>
      </c>
      <c r="N11" s="5"/>
      <c r="O11" s="5"/>
      <c r="P11" s="5">
        <v>0.20100000000000001</v>
      </c>
      <c r="Q11" s="5">
        <v>0.15</v>
      </c>
      <c r="R11" s="5">
        <v>0.11</v>
      </c>
      <c r="S11" s="5"/>
      <c r="T11" s="5">
        <v>0.26</v>
      </c>
      <c r="U11" s="5"/>
      <c r="V11" s="5"/>
      <c r="W11" s="5">
        <v>0.28699999999999998</v>
      </c>
      <c r="X11" s="5"/>
      <c r="Y11" s="5"/>
      <c r="Z11" s="5">
        <f>140/1000</f>
        <v>0.14000000000000001</v>
      </c>
      <c r="AA11" s="5"/>
      <c r="AB11" s="5"/>
      <c r="AC11" s="5">
        <v>0.1</v>
      </c>
      <c r="AD11" s="5">
        <v>0.108</v>
      </c>
      <c r="AE11" s="5"/>
      <c r="AF11" s="5"/>
      <c r="AG11" s="5">
        <f t="shared" si="0"/>
        <v>2.4490000000000003</v>
      </c>
      <c r="AH11" s="458">
        <f t="shared" si="1"/>
        <v>5.8122700842529962E-2</v>
      </c>
    </row>
    <row r="12" spans="1:35">
      <c r="A12" s="438" t="s">
        <v>203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0.29599999999999999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0.27400000000000002</v>
      </c>
      <c r="Z12" s="5"/>
      <c r="AA12" s="5"/>
      <c r="AB12" s="5"/>
      <c r="AC12" s="5"/>
      <c r="AD12" s="5"/>
      <c r="AE12" s="5"/>
      <c r="AF12" s="5">
        <v>0.21</v>
      </c>
      <c r="AG12" s="5">
        <f t="shared" si="0"/>
        <v>0.57000000000000006</v>
      </c>
      <c r="AH12" s="458">
        <f t="shared" si="1"/>
        <v>1.3527945888216446E-2</v>
      </c>
    </row>
    <row r="13" spans="1:35">
      <c r="A13" s="438" t="s">
        <v>204</v>
      </c>
      <c r="B13" s="5"/>
      <c r="C13" s="5"/>
      <c r="D13" s="5"/>
      <c r="E13" s="5">
        <v>0.216</v>
      </c>
      <c r="F13" s="5"/>
      <c r="G13" s="5"/>
      <c r="H13" s="5">
        <v>0.64600000000000002</v>
      </c>
      <c r="I13" s="5"/>
      <c r="J13" s="5"/>
      <c r="K13" s="5"/>
      <c r="L13" s="5"/>
      <c r="M13" s="5"/>
      <c r="N13" s="5"/>
      <c r="O13" s="5"/>
      <c r="P13" s="5"/>
      <c r="Q13" s="5">
        <v>0.112</v>
      </c>
      <c r="R13" s="5"/>
      <c r="S13" s="5"/>
      <c r="T13" s="5"/>
      <c r="U13" s="5"/>
      <c r="V13" s="5"/>
      <c r="W13" s="5">
        <v>0.26800000000000002</v>
      </c>
      <c r="X13" s="5"/>
      <c r="Y13" s="5"/>
      <c r="Z13" s="5"/>
      <c r="AA13" s="5"/>
      <c r="AB13" s="439"/>
      <c r="AC13" s="5"/>
      <c r="AD13" s="5"/>
      <c r="AE13" s="5"/>
      <c r="AF13" s="5">
        <v>0.5</v>
      </c>
      <c r="AG13" s="5">
        <f t="shared" si="0"/>
        <v>1.242</v>
      </c>
      <c r="AH13" s="458">
        <f t="shared" si="1"/>
        <v>2.9476682093271624E-2</v>
      </c>
    </row>
    <row r="14" spans="1:35">
      <c r="A14" s="438" t="s">
        <v>205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8">
        <f t="shared" si="1"/>
        <v>0</v>
      </c>
    </row>
    <row r="15" spans="1:35">
      <c r="A15" s="438" t="s">
        <v>276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8">
        <f t="shared" si="1"/>
        <v>0</v>
      </c>
    </row>
    <row r="16" spans="1:35">
      <c r="A16" s="438" t="s">
        <v>277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8">
        <f t="shared" si="1"/>
        <v>0</v>
      </c>
    </row>
    <row r="17" spans="1:34">
      <c r="A17" s="438" t="s">
        <v>206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58">
        <f t="shared" si="1"/>
        <v>0</v>
      </c>
    </row>
    <row r="18" spans="1:34">
      <c r="A18" s="438" t="s">
        <v>207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3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0.188</v>
      </c>
      <c r="AD18" s="5"/>
      <c r="AE18" s="5"/>
      <c r="AF18" s="5"/>
      <c r="AG18" s="5">
        <f t="shared" si="0"/>
        <v>0.188</v>
      </c>
      <c r="AH18" s="458">
        <f t="shared" si="1"/>
        <v>4.4618488192713895E-3</v>
      </c>
    </row>
    <row r="19" spans="1:34">
      <c r="A19" s="438" t="s">
        <v>278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>1854/1000</f>
        <v>1.8540000000000001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1.8540000000000001</v>
      </c>
      <c r="AH19" s="458">
        <f t="shared" si="1"/>
        <v>4.4001423994304019E-2</v>
      </c>
    </row>
    <row r="20" spans="1:34">
      <c r="A20" s="438" t="s">
        <v>279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>
        <v>0.26</v>
      </c>
      <c r="AG20" s="5">
        <f t="shared" si="0"/>
        <v>0</v>
      </c>
      <c r="AH20" s="458">
        <f t="shared" si="1"/>
        <v>0</v>
      </c>
    </row>
    <row r="21" spans="1:34">
      <c r="A21" s="438" t="s">
        <v>208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8">
        <f t="shared" si="1"/>
        <v>0</v>
      </c>
    </row>
    <row r="22" spans="1:34">
      <c r="A22" s="438" t="s">
        <v>286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8">
        <f t="shared" si="1"/>
        <v>0</v>
      </c>
    </row>
    <row r="23" spans="1:34">
      <c r="A23" s="438" t="s">
        <v>209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8">
        <f t="shared" si="1"/>
        <v>0</v>
      </c>
    </row>
    <row r="24" spans="1:34">
      <c r="A24" s="438" t="s">
        <v>280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8">
        <f t="shared" si="1"/>
        <v>0</v>
      </c>
    </row>
    <row r="25" spans="1:34">
      <c r="A25" s="438" t="s">
        <v>210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8">
        <f t="shared" si="1"/>
        <v>0</v>
      </c>
    </row>
    <row r="26" spans="1:34">
      <c r="A26" s="438" t="s">
        <v>211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8">
        <f t="shared" si="1"/>
        <v>0</v>
      </c>
    </row>
    <row r="27" spans="1:34">
      <c r="A27" s="438" t="s">
        <v>212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8">
        <f t="shared" si="1"/>
        <v>0</v>
      </c>
    </row>
    <row r="28" spans="1:34">
      <c r="A28" s="438" t="s">
        <v>213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8">
        <f t="shared" si="1"/>
        <v>0</v>
      </c>
    </row>
    <row r="29" spans="1:34">
      <c r="A29" s="438" t="s">
        <v>281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8">
        <f t="shared" si="1"/>
        <v>0</v>
      </c>
    </row>
    <row r="30" spans="1:34">
      <c r="A30" s="438" t="s">
        <v>282</v>
      </c>
      <c r="B30" s="5"/>
      <c r="C30" s="5"/>
      <c r="D30" s="5"/>
      <c r="E30" s="5"/>
      <c r="F30" s="5">
        <v>0.34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0.34</v>
      </c>
      <c r="AH30" s="458">
        <f t="shared" si="1"/>
        <v>8.0693010561291093E-3</v>
      </c>
    </row>
    <row r="31" spans="1:34">
      <c r="A31" s="438" t="s">
        <v>214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8">
        <f t="shared" si="1"/>
        <v>0</v>
      </c>
    </row>
    <row r="32" spans="1:34">
      <c r="A32" s="438" t="s">
        <v>215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8">
        <f t="shared" si="1"/>
        <v>0</v>
      </c>
    </row>
    <row r="33" spans="1:34">
      <c r="A33" s="438" t="s">
        <v>216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0.56999999999999995</v>
      </c>
      <c r="M33" s="5"/>
      <c r="N33" s="5"/>
      <c r="O33" s="5"/>
      <c r="P33" s="5">
        <v>0.53700000000000003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0.56000000000000005</v>
      </c>
      <c r="AD33" s="5"/>
      <c r="AE33" s="5"/>
      <c r="AF33" s="5"/>
      <c r="AG33" s="5">
        <f t="shared" si="0"/>
        <v>1.667</v>
      </c>
      <c r="AH33" s="458">
        <f t="shared" si="1"/>
        <v>3.9563308413433008E-2</v>
      </c>
    </row>
    <row r="34" spans="1:34">
      <c r="A34" s="441" t="s">
        <v>217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8">
        <f t="shared" si="1"/>
        <v>0</v>
      </c>
    </row>
    <row r="35" spans="1:34">
      <c r="A35" s="441" t="s">
        <v>218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8">
        <f t="shared" si="1"/>
        <v>0</v>
      </c>
    </row>
    <row r="36" spans="1:34">
      <c r="A36" s="441" t="s">
        <v>511</v>
      </c>
      <c r="B36" s="5"/>
      <c r="C36" s="5"/>
      <c r="D36" s="5"/>
      <c r="E36" s="5"/>
      <c r="F36" s="5"/>
      <c r="G36" s="5"/>
      <c r="H36" s="5"/>
      <c r="I36" s="5"/>
      <c r="J36" s="5"/>
      <c r="K36" s="5">
        <v>0.81</v>
      </c>
      <c r="L36" s="5"/>
      <c r="M36" s="5">
        <v>0.2</v>
      </c>
      <c r="N36" s="5"/>
      <c r="O36" s="5"/>
      <c r="P36" s="5">
        <f>1920/1000</f>
        <v>1.92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2.9299999999999997</v>
      </c>
      <c r="AH36" s="458">
        <f t="shared" si="1"/>
        <v>6.9538388513112601E-2</v>
      </c>
    </row>
    <row r="37" spans="1:34">
      <c r="A37" s="441" t="s">
        <v>378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8">
        <f>+AG37/$AG$39</f>
        <v>0</v>
      </c>
    </row>
    <row r="38" spans="1:34">
      <c r="A38" s="489" t="s">
        <v>283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90">
        <f>+AG39/Efficiency1!$K$135</f>
        <v>3.1477765970892253E-2</v>
      </c>
    </row>
    <row r="39" spans="1:34">
      <c r="A39" s="441" t="s">
        <v>2</v>
      </c>
      <c r="B39" s="5">
        <f>SUM(B3:B37)</f>
        <v>5.4</v>
      </c>
      <c r="C39" s="5">
        <f t="shared" ref="C39:AC39" si="2">SUM(C3:C37)</f>
        <v>5.9339999999999993</v>
      </c>
      <c r="D39" s="5">
        <f t="shared" si="2"/>
        <v>7.2119999999999997</v>
      </c>
      <c r="E39" s="5">
        <f t="shared" si="2"/>
        <v>9.9529999999999994</v>
      </c>
      <c r="F39" s="5">
        <f>SUM(F3:F37)</f>
        <v>5.0640000000000001</v>
      </c>
      <c r="G39" s="5">
        <f>SUM(G3:G37)</f>
        <v>5.6560000000000006</v>
      </c>
      <c r="H39" s="5">
        <f t="shared" si="2"/>
        <v>4.9809999999999999</v>
      </c>
      <c r="I39" s="5">
        <f t="shared" si="2"/>
        <v>5.4409999999999998</v>
      </c>
      <c r="J39" s="5">
        <f t="shared" si="2"/>
        <v>4.5219999999999994</v>
      </c>
      <c r="K39" s="5">
        <f t="shared" si="2"/>
        <v>6.0050000000000008</v>
      </c>
      <c r="L39" s="5">
        <f t="shared" si="2"/>
        <v>6.5960000000000001</v>
      </c>
      <c r="M39" s="5">
        <f t="shared" si="2"/>
        <v>5.2990000000000004</v>
      </c>
      <c r="N39" s="5">
        <f t="shared" si="2"/>
        <v>4.8360000000000003</v>
      </c>
      <c r="O39" s="6">
        <f t="shared" si="2"/>
        <v>6.734</v>
      </c>
      <c r="P39" s="5">
        <f t="shared" si="2"/>
        <v>6.5089999999999995</v>
      </c>
      <c r="Q39" s="5">
        <f t="shared" si="2"/>
        <v>8.5530000000000008</v>
      </c>
      <c r="R39" s="5">
        <f>SUM(R3:R37)</f>
        <v>9.9039999999999999</v>
      </c>
      <c r="S39" s="5">
        <f t="shared" si="2"/>
        <v>4.9390000000000001</v>
      </c>
      <c r="T39" s="5">
        <f t="shared" si="2"/>
        <v>6.3959999999999999</v>
      </c>
      <c r="U39" s="5">
        <f t="shared" si="2"/>
        <v>5.6509999999999989</v>
      </c>
      <c r="V39" s="5">
        <f t="shared" si="2"/>
        <v>5.7119999999999997</v>
      </c>
      <c r="W39" s="5">
        <f t="shared" si="2"/>
        <v>5.5549999999999997</v>
      </c>
      <c r="X39" s="5">
        <f t="shared" si="2"/>
        <v>4.6230000000000002</v>
      </c>
      <c r="Y39" s="5">
        <f t="shared" si="2"/>
        <v>4.8769999999999998</v>
      </c>
      <c r="Z39" s="5">
        <f t="shared" si="2"/>
        <v>4.4349999999999996</v>
      </c>
      <c r="AA39" s="5">
        <f t="shared" si="2"/>
        <v>6.8749999999999991</v>
      </c>
      <c r="AB39" s="5">
        <f t="shared" si="2"/>
        <v>5.3530000000000006</v>
      </c>
      <c r="AC39" s="5">
        <f t="shared" si="2"/>
        <v>6.6269999999999989</v>
      </c>
      <c r="AD39" s="5">
        <f>SUM(AD3:AD37)</f>
        <v>5.1629999999999994</v>
      </c>
      <c r="AE39" s="5">
        <f>SUM(AE3:AE37)</f>
        <v>5.5220000000000002</v>
      </c>
      <c r="AF39" s="5">
        <f>SUM(AF3:AF37)</f>
        <v>5.524</v>
      </c>
      <c r="AG39" s="16">
        <f>SUM(AG6:AG38)</f>
        <v>42.135000000000005</v>
      </c>
      <c r="AH39" s="459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A45"/>
  <sheetViews>
    <sheetView zoomScale="85" workbookViewId="0">
      <pane xSplit="5" ySplit="9" topLeftCell="F10" activePane="bottomRight" state="frozen"/>
      <selection activeCell="DK16" sqref="DK16"/>
      <selection pane="topRight" activeCell="DK16" sqref="DK16"/>
      <selection pane="bottomLeft" activeCell="DK16" sqref="DK16"/>
      <selection pane="bottomRight" activeCell="AN48" sqref="AN48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3.140625" bestFit="1" customWidth="1"/>
    <col min="20" max="20" width="8.28515625" bestFit="1" customWidth="1"/>
    <col min="21" max="21" width="14.42578125" bestFit="1" customWidth="1"/>
    <col min="22" max="22" width="8" bestFit="1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3.7109375" customWidth="1"/>
    <col min="40" max="40" width="8.140625" customWidth="1"/>
    <col min="41" max="41" width="13.140625" bestFit="1" customWidth="1"/>
    <col min="42" max="42" width="8.1406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2.140625" hidden="1" customWidth="1"/>
    <col min="48" max="48" width="7.7109375" hidden="1" customWidth="1"/>
    <col min="49" max="49" width="12.140625" hidden="1" customWidth="1"/>
    <col min="50" max="50" width="7.7109375" hidden="1" customWidth="1"/>
    <col min="51" max="51" width="13.28515625" hidden="1" customWidth="1"/>
    <col min="52" max="52" width="8.85546875" hidden="1" customWidth="1"/>
    <col min="53" max="53" width="15.28515625" hidden="1" customWidth="1"/>
    <col min="54" max="54" width="7.7109375" hidden="1" customWidth="1"/>
    <col min="55" max="55" width="10.28515625" hidden="1" customWidth="1"/>
    <col min="56" max="56" width="8.140625" hidden="1" customWidth="1"/>
    <col min="57" max="57" width="11.42578125" hidden="1" customWidth="1"/>
    <col min="58" max="58" width="7.7109375" hidden="1" customWidth="1"/>
    <col min="59" max="59" width="17.7109375" customWidth="1"/>
    <col min="60" max="60" width="9.28515625" customWidth="1"/>
    <col min="61" max="61" width="14.42578125" customWidth="1"/>
    <col min="62" max="62" width="10" customWidth="1"/>
    <col min="63" max="63" width="15.42578125" hidden="1" customWidth="1"/>
    <col min="64" max="64" width="8.7109375" hidden="1" customWidth="1"/>
    <col min="65" max="65" width="12.85546875" hidden="1" customWidth="1"/>
    <col min="66" max="66" width="8.42578125" hidden="1" customWidth="1"/>
    <col min="67" max="67" width="17.7109375" bestFit="1" customWidth="1"/>
    <col min="68" max="68" width="14.42578125" bestFit="1" customWidth="1"/>
    <col min="69" max="69" width="8.85546875" bestFit="1" customWidth="1"/>
    <col min="70" max="70" width="10.28515625" bestFit="1" customWidth="1"/>
    <col min="71" max="71" width="13.28515625" bestFit="1" customWidth="1"/>
    <col min="72" max="72" width="10.42578125" bestFit="1" customWidth="1"/>
    <col min="74" max="74" width="15.42578125" bestFit="1" customWidth="1"/>
    <col min="75" max="75" width="10.42578125" bestFit="1" customWidth="1"/>
    <col min="78" max="78" width="10.42578125" bestFit="1" customWidth="1"/>
  </cols>
  <sheetData>
    <row r="1" spans="1:70" ht="15.75">
      <c r="A1" s="147"/>
      <c r="AE1" s="251"/>
    </row>
    <row r="2" spans="1:70" ht="15.75">
      <c r="A2" s="147"/>
      <c r="AE2" s="251"/>
      <c r="AI2" s="18"/>
    </row>
    <row r="3" spans="1:70" ht="15">
      <c r="A3" s="149"/>
      <c r="AE3" s="251"/>
    </row>
    <row r="4" spans="1:70" ht="15.75">
      <c r="A4" s="150" t="s">
        <v>288</v>
      </c>
      <c r="G4" s="13"/>
      <c r="AA4" s="13"/>
      <c r="AE4" s="251"/>
      <c r="AZ4" s="18"/>
    </row>
    <row r="5" spans="1:70" ht="15.75">
      <c r="A5" s="150"/>
      <c r="G5" s="13"/>
      <c r="AA5" s="13"/>
      <c r="AE5" s="13"/>
    </row>
    <row r="6" spans="1:70" ht="18">
      <c r="A6" s="252"/>
      <c r="AA6" s="13"/>
      <c r="AE6" s="13"/>
      <c r="BH6" s="13"/>
      <c r="BI6" s="13"/>
      <c r="BJ6" s="13"/>
      <c r="BP6" s="13"/>
    </row>
    <row r="7" spans="1:70" ht="16.5" thickBot="1">
      <c r="A7" s="253"/>
      <c r="B7" s="253"/>
      <c r="C7" s="253"/>
      <c r="D7" s="253"/>
      <c r="E7" s="253"/>
      <c r="F7" s="253"/>
      <c r="G7" s="253">
        <v>250</v>
      </c>
      <c r="S7" s="253"/>
      <c r="T7" s="253"/>
      <c r="U7" s="254"/>
      <c r="V7" s="254"/>
      <c r="W7" s="253">
        <v>248.881</v>
      </c>
      <c r="X7" s="253"/>
      <c r="Y7" s="253"/>
      <c r="Z7" s="253"/>
      <c r="AA7" s="444">
        <v>250.69</v>
      </c>
      <c r="AB7" s="253"/>
      <c r="AC7" s="253"/>
      <c r="AD7" s="253"/>
      <c r="AE7" s="444">
        <v>251.53399999999999</v>
      </c>
      <c r="AF7" s="253"/>
      <c r="AG7" s="253"/>
      <c r="AH7" s="253"/>
      <c r="AI7" s="253">
        <v>238.345</v>
      </c>
      <c r="AJ7" s="253"/>
      <c r="AK7" s="253"/>
      <c r="AL7" s="253"/>
      <c r="AM7" s="253"/>
      <c r="AN7" s="253"/>
      <c r="AO7" s="253"/>
      <c r="AP7" s="253"/>
      <c r="AQ7" s="253">
        <v>249.15700000000001</v>
      </c>
      <c r="AR7" s="253"/>
      <c r="AS7" s="253"/>
      <c r="AT7" s="253"/>
      <c r="AU7" s="253">
        <v>248.881</v>
      </c>
      <c r="AV7" s="253"/>
      <c r="AW7" s="253"/>
      <c r="AX7" s="253"/>
      <c r="AY7" s="253">
        <v>251.53399999999999</v>
      </c>
      <c r="AZ7" s="253"/>
      <c r="BA7" s="253"/>
      <c r="BB7" s="253"/>
      <c r="BC7" s="253">
        <v>250.51599999999999</v>
      </c>
      <c r="BD7" s="253"/>
      <c r="BE7" s="253"/>
      <c r="BF7" s="253"/>
      <c r="BG7" s="254"/>
      <c r="BH7" s="254"/>
      <c r="BI7" s="253"/>
      <c r="BJ7" s="253"/>
      <c r="BK7" s="253"/>
      <c r="BL7" s="253"/>
      <c r="BM7" s="253"/>
      <c r="BN7" s="253"/>
      <c r="BO7" s="253"/>
      <c r="BP7" s="253"/>
      <c r="BQ7" s="253"/>
      <c r="BR7" s="253"/>
    </row>
    <row r="8" spans="1:70" ht="38.25" customHeight="1" thickTop="1">
      <c r="A8" s="542" t="s">
        <v>29</v>
      </c>
      <c r="B8" s="542" t="s">
        <v>4</v>
      </c>
      <c r="C8" s="542" t="s">
        <v>5</v>
      </c>
      <c r="D8" s="544" t="s">
        <v>41</v>
      </c>
      <c r="E8" s="546" t="s">
        <v>39</v>
      </c>
      <c r="F8" s="547"/>
      <c r="G8" s="720" t="s">
        <v>377</v>
      </c>
      <c r="H8" s="721"/>
      <c r="I8" s="721"/>
      <c r="J8" s="722"/>
      <c r="K8" s="720" t="s">
        <v>146</v>
      </c>
      <c r="L8" s="721"/>
      <c r="M8" s="721"/>
      <c r="N8" s="722"/>
      <c r="O8" s="720" t="s">
        <v>42</v>
      </c>
      <c r="P8" s="721"/>
      <c r="Q8" s="721"/>
      <c r="R8" s="722"/>
      <c r="S8" s="720" t="s">
        <v>43</v>
      </c>
      <c r="T8" s="721"/>
      <c r="U8" s="721"/>
      <c r="V8" s="722"/>
      <c r="W8" s="720" t="s">
        <v>390</v>
      </c>
      <c r="X8" s="721"/>
      <c r="Y8" s="721"/>
      <c r="Z8" s="722"/>
      <c r="AA8" s="720" t="s">
        <v>172</v>
      </c>
      <c r="AB8" s="721"/>
      <c r="AC8" s="721"/>
      <c r="AD8" s="722"/>
      <c r="AE8" s="720" t="s">
        <v>226</v>
      </c>
      <c r="AF8" s="721"/>
      <c r="AG8" s="721"/>
      <c r="AH8" s="722"/>
      <c r="AI8" s="720" t="s">
        <v>380</v>
      </c>
      <c r="AJ8" s="721"/>
      <c r="AK8" s="721"/>
      <c r="AL8" s="722"/>
      <c r="AM8" s="720" t="s">
        <v>89</v>
      </c>
      <c r="AN8" s="721"/>
      <c r="AO8" s="721"/>
      <c r="AP8" s="722"/>
      <c r="AQ8" s="720" t="s">
        <v>640</v>
      </c>
      <c r="AR8" s="721"/>
      <c r="AS8" s="721"/>
      <c r="AT8" s="722"/>
      <c r="AU8" s="720" t="s">
        <v>416</v>
      </c>
      <c r="AV8" s="721"/>
      <c r="AW8" s="721"/>
      <c r="AX8" s="722"/>
      <c r="AY8" s="720" t="s">
        <v>417</v>
      </c>
      <c r="AZ8" s="721"/>
      <c r="BA8" s="721"/>
      <c r="BB8" s="722"/>
      <c r="BC8" s="720" t="s">
        <v>465</v>
      </c>
      <c r="BD8" s="721"/>
      <c r="BE8" s="721"/>
      <c r="BF8" s="722"/>
      <c r="BG8" s="720" t="s">
        <v>90</v>
      </c>
      <c r="BH8" s="721"/>
      <c r="BI8" s="721"/>
      <c r="BJ8" s="722"/>
      <c r="BK8" s="538" t="s">
        <v>44</v>
      </c>
      <c r="BL8" s="539"/>
      <c r="BM8" s="539"/>
      <c r="BN8" s="540"/>
      <c r="BO8" s="720" t="s">
        <v>45</v>
      </c>
      <c r="BP8" s="722"/>
      <c r="BQ8" s="720" t="s">
        <v>46</v>
      </c>
      <c r="BR8" s="722"/>
    </row>
    <row r="9" spans="1:70">
      <c r="A9" s="543"/>
      <c r="B9" s="543"/>
      <c r="C9" s="543"/>
      <c r="D9" s="545"/>
      <c r="E9" s="2" t="s">
        <v>37</v>
      </c>
      <c r="F9" s="541" t="s">
        <v>38</v>
      </c>
      <c r="G9" s="8" t="s">
        <v>37</v>
      </c>
      <c r="H9" s="8" t="s">
        <v>11</v>
      </c>
      <c r="I9" s="545" t="s">
        <v>38</v>
      </c>
      <c r="J9" s="545" t="s">
        <v>11</v>
      </c>
      <c r="K9" s="8" t="s">
        <v>37</v>
      </c>
      <c r="L9" s="8" t="s">
        <v>11</v>
      </c>
      <c r="M9" s="545" t="s">
        <v>38</v>
      </c>
      <c r="N9" s="545" t="s">
        <v>11</v>
      </c>
      <c r="O9" s="8" t="s">
        <v>37</v>
      </c>
      <c r="P9" s="8" t="s">
        <v>11</v>
      </c>
      <c r="Q9" s="545" t="s">
        <v>38</v>
      </c>
      <c r="R9" s="545" t="s">
        <v>11</v>
      </c>
      <c r="S9" s="545" t="s">
        <v>37</v>
      </c>
      <c r="T9" s="545" t="s">
        <v>11</v>
      </c>
      <c r="U9" s="545" t="s">
        <v>38</v>
      </c>
      <c r="V9" s="545" t="s">
        <v>11</v>
      </c>
      <c r="W9" s="545" t="s">
        <v>37</v>
      </c>
      <c r="X9" s="545" t="s">
        <v>11</v>
      </c>
      <c r="Y9" s="545" t="s">
        <v>38</v>
      </c>
      <c r="Z9" s="545" t="s">
        <v>11</v>
      </c>
      <c r="AA9" s="545" t="s">
        <v>37</v>
      </c>
      <c r="AB9" s="545" t="s">
        <v>11</v>
      </c>
      <c r="AC9" s="545" t="s">
        <v>38</v>
      </c>
      <c r="AD9" s="545" t="s">
        <v>11</v>
      </c>
      <c r="AE9" s="545" t="s">
        <v>37</v>
      </c>
      <c r="AF9" s="545" t="s">
        <v>11</v>
      </c>
      <c r="AG9" s="545" t="s">
        <v>38</v>
      </c>
      <c r="AH9" s="545" t="s">
        <v>11</v>
      </c>
      <c r="AI9" s="545" t="s">
        <v>37</v>
      </c>
      <c r="AJ9" s="545" t="s">
        <v>11</v>
      </c>
      <c r="AK9" s="545" t="s">
        <v>38</v>
      </c>
      <c r="AL9" s="545" t="s">
        <v>11</v>
      </c>
      <c r="AM9" s="545" t="s">
        <v>37</v>
      </c>
      <c r="AN9" s="545" t="s">
        <v>11</v>
      </c>
      <c r="AO9" s="545" t="s">
        <v>38</v>
      </c>
      <c r="AP9" s="545" t="s">
        <v>11</v>
      </c>
      <c r="AQ9" s="545" t="s">
        <v>37</v>
      </c>
      <c r="AR9" s="545" t="s">
        <v>11</v>
      </c>
      <c r="AS9" s="545" t="s">
        <v>38</v>
      </c>
      <c r="AT9" s="545" t="s">
        <v>11</v>
      </c>
      <c r="AU9" s="545" t="s">
        <v>37</v>
      </c>
      <c r="AV9" s="545" t="s">
        <v>11</v>
      </c>
      <c r="AW9" s="545" t="s">
        <v>38</v>
      </c>
      <c r="AX9" s="545" t="s">
        <v>11</v>
      </c>
      <c r="AY9" s="545" t="s">
        <v>37</v>
      </c>
      <c r="AZ9" s="545" t="s">
        <v>11</v>
      </c>
      <c r="BA9" s="545" t="s">
        <v>38</v>
      </c>
      <c r="BB9" s="545" t="s">
        <v>11</v>
      </c>
      <c r="BC9" s="545" t="s">
        <v>37</v>
      </c>
      <c r="BD9" s="545" t="s">
        <v>11</v>
      </c>
      <c r="BE9" s="545" t="s">
        <v>38</v>
      </c>
      <c r="BF9" s="545" t="s">
        <v>11</v>
      </c>
      <c r="BG9" s="545" t="s">
        <v>37</v>
      </c>
      <c r="BH9" s="545" t="s">
        <v>11</v>
      </c>
      <c r="BI9" s="545" t="s">
        <v>38</v>
      </c>
      <c r="BJ9" s="545" t="s">
        <v>11</v>
      </c>
      <c r="BK9" s="545" t="s">
        <v>37</v>
      </c>
      <c r="BL9" s="545" t="s">
        <v>11</v>
      </c>
      <c r="BM9" s="545" t="s">
        <v>38</v>
      </c>
      <c r="BN9" s="545" t="s">
        <v>11</v>
      </c>
      <c r="BO9" s="545" t="s">
        <v>37</v>
      </c>
      <c r="BP9" s="545" t="s">
        <v>38</v>
      </c>
      <c r="BQ9" s="545" t="s">
        <v>37</v>
      </c>
      <c r="BR9" s="545" t="s">
        <v>38</v>
      </c>
    </row>
    <row r="10" spans="1:70">
      <c r="A10" s="15">
        <f>+Chem!A9</f>
        <v>45992</v>
      </c>
      <c r="B10" s="5" t="str">
        <f>+Chem!B9</f>
        <v>Facial</v>
      </c>
      <c r="C10" s="15" t="str">
        <f>+Chem!C9</f>
        <v>14</v>
      </c>
      <c r="D10" s="7">
        <f>+Chem!D9</f>
        <v>24.750999999999998</v>
      </c>
      <c r="E10" s="6">
        <f>+Chem!E9</f>
        <v>23.289000000000001</v>
      </c>
      <c r="F10" s="6">
        <f>+E10</f>
        <v>23.289000000000001</v>
      </c>
      <c r="G10" s="95">
        <f>21*G7</f>
        <v>5250</v>
      </c>
      <c r="H10" s="9">
        <f t="shared" ref="H10:H40" si="0">G10/BO10*100</f>
        <v>19.986728812068787</v>
      </c>
      <c r="I10" s="7">
        <f>G10</f>
        <v>5250</v>
      </c>
      <c r="J10" s="9">
        <f t="shared" ref="J10:J40" si="1">I10/BP10*100</f>
        <v>19.986728812068787</v>
      </c>
      <c r="K10" s="95">
        <v>0</v>
      </c>
      <c r="L10" s="9">
        <f t="shared" ref="L10:L40" si="2">+K10/BO10*100</f>
        <v>0</v>
      </c>
      <c r="M10" s="9">
        <f>+K10</f>
        <v>0</v>
      </c>
      <c r="N10" s="9">
        <f t="shared" ref="N10:N40" si="3">+M10/BP10*100</f>
        <v>0</v>
      </c>
      <c r="O10" s="95"/>
      <c r="P10" s="9">
        <f t="shared" ref="P10:P40" si="4">+O10/BO10*100</f>
        <v>0</v>
      </c>
      <c r="Q10" s="9">
        <f>+O10</f>
        <v>0</v>
      </c>
      <c r="R10" s="9">
        <f t="shared" ref="R10:R40" si="5">+Q10/BP10*100</f>
        <v>0</v>
      </c>
      <c r="S10" s="9">
        <f>G10+K10+O10</f>
        <v>5250</v>
      </c>
      <c r="T10" s="9">
        <f t="shared" ref="T10:T40" si="6">S10/BO10*100</f>
        <v>19.986728812068787</v>
      </c>
      <c r="U10" s="9">
        <f>S10</f>
        <v>5250</v>
      </c>
      <c r="V10" s="9">
        <f t="shared" ref="V10:V40" si="7">U10/BP10*100</f>
        <v>19.986728812068787</v>
      </c>
      <c r="W10" s="95"/>
      <c r="X10" s="9">
        <f>W10/BO10*100</f>
        <v>0</v>
      </c>
      <c r="Y10" s="9">
        <f>W10</f>
        <v>0</v>
      </c>
      <c r="Z10" s="9">
        <f>Y10/BP10*100</f>
        <v>0</v>
      </c>
      <c r="AA10" s="95"/>
      <c r="AB10" s="9">
        <f t="shared" ref="AB10:AB40" si="8">AA10/BO10*100</f>
        <v>0</v>
      </c>
      <c r="AC10" s="9">
        <f>AA10</f>
        <v>0</v>
      </c>
      <c r="AD10" s="9">
        <f t="shared" ref="AD10:AD40" si="9">AC10/BP10*100</f>
        <v>0</v>
      </c>
      <c r="AE10" s="95"/>
      <c r="AF10" s="9">
        <f t="shared" ref="AF10:AF40" si="10">AE10/BO10*100</f>
        <v>0</v>
      </c>
      <c r="AG10" s="9">
        <f>AE10</f>
        <v>0</v>
      </c>
      <c r="AH10" s="9">
        <f t="shared" ref="AH10:AH40" si="11">AG10/BP10*100</f>
        <v>0</v>
      </c>
      <c r="AI10" s="95"/>
      <c r="AJ10" s="9">
        <f t="shared" ref="AJ10:AJ40" si="12">AI10/BO10*100</f>
        <v>0</v>
      </c>
      <c r="AK10" s="9">
        <f>AI10</f>
        <v>0</v>
      </c>
      <c r="AL10" s="9">
        <f t="shared" ref="AL10:AL40" si="13">AK10/BP10</f>
        <v>0</v>
      </c>
      <c r="AM10" s="9">
        <f>AA10+AE10+AI10+W10</f>
        <v>0</v>
      </c>
      <c r="AN10" s="9">
        <f t="shared" ref="AN10:AN39" si="14">AM10/BO10*100</f>
        <v>0</v>
      </c>
      <c r="AO10" s="9">
        <f>AM10</f>
        <v>0</v>
      </c>
      <c r="AP10" s="9">
        <f t="shared" ref="AP10:AP39" si="15">AO10/BP10*100</f>
        <v>0</v>
      </c>
      <c r="AQ10" s="95"/>
      <c r="AR10" s="587">
        <f>+AQ10/BO10*100</f>
        <v>0</v>
      </c>
      <c r="AS10" s="9">
        <f>+AQ10</f>
        <v>0</v>
      </c>
      <c r="AT10" s="587">
        <f>+AS10/BP10*100</f>
        <v>0</v>
      </c>
      <c r="AU10" s="95">
        <f>42*AU7</f>
        <v>10453.002</v>
      </c>
      <c r="AV10" s="9">
        <f t="shared" ref="AV10:AV39" si="16">+AU10/BO10*100</f>
        <v>39.794536427811934</v>
      </c>
      <c r="AW10" s="9">
        <f>+AU10</f>
        <v>10453.002</v>
      </c>
      <c r="AX10" s="9">
        <f>+AW10/BP10*100</f>
        <v>39.794536427811934</v>
      </c>
      <c r="AY10" s="95">
        <f>42*AY7</f>
        <v>10564.428</v>
      </c>
      <c r="AZ10" s="9">
        <f t="shared" ref="AZ10:AZ39" si="17">AY10/BO10*100</f>
        <v>40.218734760119276</v>
      </c>
      <c r="BA10" s="9">
        <f>AY10</f>
        <v>10564.428</v>
      </c>
      <c r="BB10" s="9">
        <f t="shared" ref="BB10:BB39" si="18">BA10/BP10*100</f>
        <v>40.218734760119276</v>
      </c>
      <c r="BC10" s="95"/>
      <c r="BD10" s="14">
        <f t="shared" ref="BD10:BD39" si="19">BC10/BO10*100</f>
        <v>0</v>
      </c>
      <c r="BE10" s="9">
        <f>BC10</f>
        <v>0</v>
      </c>
      <c r="BF10" s="9">
        <f t="shared" ref="BF10:BF39" si="20">BE10/BP10*100</f>
        <v>0</v>
      </c>
      <c r="BG10" s="9">
        <f>AU10+AY10+BC10</f>
        <v>21017.43</v>
      </c>
      <c r="BH10" s="9">
        <f t="shared" ref="BH10:BH39" si="21">BG10/BO10*100</f>
        <v>80.01327118793121</v>
      </c>
      <c r="BI10" s="9">
        <f>BG10</f>
        <v>21017.43</v>
      </c>
      <c r="BJ10" s="9">
        <f t="shared" ref="BJ10:BJ39" si="22">BI10/BP10*100</f>
        <v>80.01327118793121</v>
      </c>
      <c r="BK10" s="95">
        <v>0</v>
      </c>
      <c r="BL10" s="9">
        <f t="shared" ref="BL10:BL39" si="23">BK10/BO10*100</f>
        <v>0</v>
      </c>
      <c r="BM10" s="9">
        <f>BK10</f>
        <v>0</v>
      </c>
      <c r="BN10" s="9">
        <f t="shared" ref="BN10:BN39" si="24">BM10/BP10*100</f>
        <v>0</v>
      </c>
      <c r="BO10" s="9">
        <f t="shared" ref="BO10:BO40" si="25">S10+AM10+BG10+BK10</f>
        <v>26267.43</v>
      </c>
      <c r="BP10" s="9">
        <f>BO10</f>
        <v>26267.43</v>
      </c>
      <c r="BQ10" s="510">
        <f t="shared" ref="BQ10:BQ40" si="26">BO10/1000/E10</f>
        <v>1.1278899909828675</v>
      </c>
      <c r="BR10" s="9">
        <f t="shared" ref="BR10:BR40" si="27">(BP10/1000)/F10</f>
        <v>1.1278899909828675</v>
      </c>
    </row>
    <row r="11" spans="1:70">
      <c r="A11" s="15">
        <f>+Chem!A10</f>
        <v>45993</v>
      </c>
      <c r="B11" s="5" t="str">
        <f>+Chem!B10</f>
        <v>Facial</v>
      </c>
      <c r="C11" s="15" t="str">
        <f>+Chem!C10</f>
        <v>14/15</v>
      </c>
      <c r="D11" s="7">
        <f>+Chem!D10</f>
        <v>44.296999999999997</v>
      </c>
      <c r="E11" s="6">
        <f>+Chem!E10</f>
        <v>42.353000000000002</v>
      </c>
      <c r="F11" s="6">
        <f t="shared" ref="F11:F39" si="28">+E11+F10</f>
        <v>65.641999999999996</v>
      </c>
      <c r="G11" s="95">
        <f>36*G7</f>
        <v>9000</v>
      </c>
      <c r="H11" s="9">
        <f t="shared" si="0"/>
        <v>19.986728812068787</v>
      </c>
      <c r="I11" s="7">
        <f t="shared" ref="I11:I39" si="29">G11+I10</f>
        <v>14250</v>
      </c>
      <c r="J11" s="9">
        <f t="shared" si="1"/>
        <v>19.986728812068787</v>
      </c>
      <c r="K11" s="95"/>
      <c r="L11" s="9">
        <f t="shared" si="2"/>
        <v>0</v>
      </c>
      <c r="M11" s="9">
        <f t="shared" ref="M11:M39" si="30">+K11+M10</f>
        <v>0</v>
      </c>
      <c r="N11" s="9">
        <f t="shared" si="3"/>
        <v>0</v>
      </c>
      <c r="O11" s="95"/>
      <c r="P11" s="9">
        <f t="shared" si="4"/>
        <v>0</v>
      </c>
      <c r="Q11" s="9">
        <f t="shared" ref="Q11:Q39" si="31">+O11+Q10</f>
        <v>0</v>
      </c>
      <c r="R11" s="9">
        <f t="shared" si="5"/>
        <v>0</v>
      </c>
      <c r="S11" s="9">
        <f t="shared" ref="S11:S40" si="32">G11+K11+O11</f>
        <v>9000</v>
      </c>
      <c r="T11" s="9">
        <f t="shared" si="6"/>
        <v>19.986728812068787</v>
      </c>
      <c r="U11" s="9">
        <f t="shared" ref="U11:U39" si="33">S11+U10</f>
        <v>14250</v>
      </c>
      <c r="V11" s="9">
        <f t="shared" si="7"/>
        <v>19.986728812068787</v>
      </c>
      <c r="W11" s="95"/>
      <c r="X11" s="9"/>
      <c r="Y11" s="9"/>
      <c r="Z11" s="9"/>
      <c r="AA11" s="95"/>
      <c r="AB11" s="9">
        <f t="shared" si="8"/>
        <v>0</v>
      </c>
      <c r="AC11" s="9">
        <f t="shared" ref="AC11:AC39" si="34">AA11+AC10</f>
        <v>0</v>
      </c>
      <c r="AD11" s="9">
        <f t="shared" si="9"/>
        <v>0</v>
      </c>
      <c r="AE11" s="95"/>
      <c r="AF11" s="9">
        <f t="shared" si="10"/>
        <v>0</v>
      </c>
      <c r="AG11" s="9">
        <f t="shared" ref="AG11:AG39" si="35">AE11+AG10</f>
        <v>0</v>
      </c>
      <c r="AH11" s="9">
        <f t="shared" si="11"/>
        <v>0</v>
      </c>
      <c r="AI11" s="95"/>
      <c r="AJ11" s="9">
        <f t="shared" si="12"/>
        <v>0</v>
      </c>
      <c r="AK11" s="9">
        <f t="shared" ref="AK11:AK39" si="36">AI11+AK10</f>
        <v>0</v>
      </c>
      <c r="AL11" s="9">
        <f t="shared" si="13"/>
        <v>0</v>
      </c>
      <c r="AM11" s="9">
        <f t="shared" ref="AM11:AM40" si="37">AA11+AE11+AI11+W11</f>
        <v>0</v>
      </c>
      <c r="AN11" s="9">
        <f t="shared" si="14"/>
        <v>0</v>
      </c>
      <c r="AO11" s="9">
        <f t="shared" ref="AO11:AO39" si="38">AM11+AO10</f>
        <v>0</v>
      </c>
      <c r="AP11" s="9">
        <f t="shared" si="15"/>
        <v>0</v>
      </c>
      <c r="AQ11" s="95"/>
      <c r="AR11" s="587">
        <f t="shared" ref="AR11:AR40" si="39">+AQ11/BO11*100</f>
        <v>0</v>
      </c>
      <c r="AS11" s="9">
        <f t="shared" ref="AS11:AS39" si="40">+AQ11+AS10</f>
        <v>0</v>
      </c>
      <c r="AT11" s="587">
        <f t="shared" ref="AT11:AT40" si="41">+AS11/BP11*100</f>
        <v>0</v>
      </c>
      <c r="AU11" s="95">
        <f>72*AU7</f>
        <v>17919.432000000001</v>
      </c>
      <c r="AV11" s="9">
        <f t="shared" si="16"/>
        <v>39.794536427811934</v>
      </c>
      <c r="AW11" s="9">
        <f t="shared" ref="AW11:AW39" si="42">+AU11+AW10</f>
        <v>28372.434000000001</v>
      </c>
      <c r="AX11" s="9">
        <f t="shared" ref="AX11:AX39" si="43">+AW11/BP11*100</f>
        <v>39.794536427811941</v>
      </c>
      <c r="AY11" s="95">
        <f>72*AY7</f>
        <v>18110.448</v>
      </c>
      <c r="AZ11" s="9">
        <f t="shared" si="17"/>
        <v>40.218734760119276</v>
      </c>
      <c r="BA11" s="9">
        <f t="shared" ref="BA11:BA39" si="44">AY11+BA10</f>
        <v>28674.876</v>
      </c>
      <c r="BB11" s="9">
        <f t="shared" si="18"/>
        <v>40.218734760119283</v>
      </c>
      <c r="BC11" s="95"/>
      <c r="BD11" s="14">
        <f t="shared" si="19"/>
        <v>0</v>
      </c>
      <c r="BE11" s="9">
        <f t="shared" ref="BE11:BE39" si="45">BC11+BE10</f>
        <v>0</v>
      </c>
      <c r="BF11" s="9">
        <f t="shared" si="20"/>
        <v>0</v>
      </c>
      <c r="BG11" s="9">
        <f t="shared" ref="BG11:BG39" si="46">AU11+AY11+BC11</f>
        <v>36029.880000000005</v>
      </c>
      <c r="BH11" s="9">
        <f t="shared" si="21"/>
        <v>80.01327118793121</v>
      </c>
      <c r="BI11" s="9">
        <f t="shared" ref="BI11:BI39" si="47">BG11+BI10</f>
        <v>57047.310000000005</v>
      </c>
      <c r="BJ11" s="9">
        <f t="shared" si="22"/>
        <v>80.013271187931224</v>
      </c>
      <c r="BK11" s="95">
        <v>0</v>
      </c>
      <c r="BL11" s="9">
        <f t="shared" si="23"/>
        <v>0</v>
      </c>
      <c r="BM11" s="9">
        <f t="shared" ref="BM11:BM39" si="48">BK11+BM10</f>
        <v>0</v>
      </c>
      <c r="BN11" s="9">
        <f t="shared" si="24"/>
        <v>0</v>
      </c>
      <c r="BO11" s="9">
        <f t="shared" si="25"/>
        <v>45029.880000000005</v>
      </c>
      <c r="BP11" s="9">
        <f t="shared" ref="BP11:BP39" si="49">BO11+BP10</f>
        <v>71297.31</v>
      </c>
      <c r="BQ11" s="510">
        <f t="shared" si="26"/>
        <v>1.0632040233277456</v>
      </c>
      <c r="BR11" s="9">
        <f t="shared" si="27"/>
        <v>1.0861538344352701</v>
      </c>
    </row>
    <row r="12" spans="1:70">
      <c r="A12" s="15">
        <f>+Chem!A11</f>
        <v>45994</v>
      </c>
      <c r="B12" s="5" t="str">
        <f>+Chem!B11</f>
        <v>Facial</v>
      </c>
      <c r="C12" s="15" t="str">
        <f>+Chem!C11</f>
        <v>15</v>
      </c>
      <c r="D12" s="7">
        <f>+Chem!D11</f>
        <v>43.881</v>
      </c>
      <c r="E12" s="6">
        <f>+Chem!E11</f>
        <v>41.976999999999997</v>
      </c>
      <c r="F12" s="6">
        <f t="shared" si="28"/>
        <v>107.619</v>
      </c>
      <c r="G12" s="95">
        <f>38*G7</f>
        <v>9500</v>
      </c>
      <c r="H12" s="9">
        <f t="shared" si="0"/>
        <v>19.986728812068787</v>
      </c>
      <c r="I12" s="7">
        <f t="shared" si="29"/>
        <v>23750</v>
      </c>
      <c r="J12" s="9">
        <f t="shared" si="1"/>
        <v>19.986728812068787</v>
      </c>
      <c r="K12" s="95"/>
      <c r="L12" s="9">
        <f t="shared" si="2"/>
        <v>0</v>
      </c>
      <c r="M12" s="9">
        <f t="shared" si="30"/>
        <v>0</v>
      </c>
      <c r="N12" s="9">
        <f t="shared" si="3"/>
        <v>0</v>
      </c>
      <c r="O12" s="95"/>
      <c r="P12" s="9">
        <f t="shared" si="4"/>
        <v>0</v>
      </c>
      <c r="Q12" s="9">
        <f t="shared" si="31"/>
        <v>0</v>
      </c>
      <c r="R12" s="9">
        <f t="shared" si="5"/>
        <v>0</v>
      </c>
      <c r="S12" s="9">
        <f t="shared" si="32"/>
        <v>9500</v>
      </c>
      <c r="T12" s="9">
        <f t="shared" si="6"/>
        <v>19.986728812068787</v>
      </c>
      <c r="U12" s="9">
        <f t="shared" si="33"/>
        <v>23750</v>
      </c>
      <c r="V12" s="9">
        <f t="shared" si="7"/>
        <v>19.986728812068787</v>
      </c>
      <c r="W12" s="95"/>
      <c r="X12" s="9"/>
      <c r="Y12" s="9"/>
      <c r="Z12" s="9"/>
      <c r="AA12" s="95"/>
      <c r="AB12" s="9">
        <f t="shared" si="8"/>
        <v>0</v>
      </c>
      <c r="AC12" s="9">
        <f t="shared" si="34"/>
        <v>0</v>
      </c>
      <c r="AD12" s="9">
        <f t="shared" si="9"/>
        <v>0</v>
      </c>
      <c r="AE12" s="95"/>
      <c r="AF12" s="9">
        <f t="shared" si="10"/>
        <v>0</v>
      </c>
      <c r="AG12" s="9">
        <f t="shared" si="35"/>
        <v>0</v>
      </c>
      <c r="AH12" s="9">
        <f t="shared" si="11"/>
        <v>0</v>
      </c>
      <c r="AI12" s="95"/>
      <c r="AJ12" s="9">
        <f t="shared" si="12"/>
        <v>0</v>
      </c>
      <c r="AK12" s="9">
        <f t="shared" si="36"/>
        <v>0</v>
      </c>
      <c r="AL12" s="9">
        <f t="shared" si="13"/>
        <v>0</v>
      </c>
      <c r="AM12" s="9">
        <f t="shared" si="37"/>
        <v>0</v>
      </c>
      <c r="AN12" s="9">
        <f t="shared" si="14"/>
        <v>0</v>
      </c>
      <c r="AO12" s="9">
        <f t="shared" si="38"/>
        <v>0</v>
      </c>
      <c r="AP12" s="9">
        <f t="shared" si="15"/>
        <v>0</v>
      </c>
      <c r="AQ12" s="95"/>
      <c r="AR12" s="587">
        <f t="shared" si="39"/>
        <v>0</v>
      </c>
      <c r="AS12" s="9">
        <f t="shared" si="40"/>
        <v>0</v>
      </c>
      <c r="AT12" s="587">
        <f t="shared" si="41"/>
        <v>0</v>
      </c>
      <c r="AU12" s="95">
        <f>76*AU7</f>
        <v>18914.955999999998</v>
      </c>
      <c r="AV12" s="9">
        <f t="shared" si="16"/>
        <v>39.794536427811934</v>
      </c>
      <c r="AW12" s="9">
        <f t="shared" si="42"/>
        <v>47287.39</v>
      </c>
      <c r="AX12" s="9">
        <f t="shared" si="43"/>
        <v>39.794536427811934</v>
      </c>
      <c r="AY12" s="95">
        <f>76*AY7</f>
        <v>19116.583999999999</v>
      </c>
      <c r="AZ12" s="9">
        <f t="shared" si="17"/>
        <v>40.218734760119283</v>
      </c>
      <c r="BA12" s="9">
        <f t="shared" si="44"/>
        <v>47791.46</v>
      </c>
      <c r="BB12" s="9">
        <f t="shared" si="18"/>
        <v>40.218734760119283</v>
      </c>
      <c r="BC12" s="95"/>
      <c r="BD12" s="14">
        <f t="shared" si="19"/>
        <v>0</v>
      </c>
      <c r="BE12" s="9">
        <f t="shared" si="45"/>
        <v>0</v>
      </c>
      <c r="BF12" s="9">
        <f t="shared" si="20"/>
        <v>0</v>
      </c>
      <c r="BG12" s="9">
        <f t="shared" si="46"/>
        <v>38031.539999999994</v>
      </c>
      <c r="BH12" s="9">
        <f t="shared" si="21"/>
        <v>80.01327118793121</v>
      </c>
      <c r="BI12" s="9">
        <f t="shared" si="47"/>
        <v>95078.85</v>
      </c>
      <c r="BJ12" s="9">
        <f t="shared" si="22"/>
        <v>80.013271187931224</v>
      </c>
      <c r="BK12" s="95">
        <v>0</v>
      </c>
      <c r="BL12" s="9">
        <f t="shared" si="23"/>
        <v>0</v>
      </c>
      <c r="BM12" s="9">
        <f t="shared" si="48"/>
        <v>0</v>
      </c>
      <c r="BN12" s="9">
        <f t="shared" si="24"/>
        <v>0</v>
      </c>
      <c r="BO12" s="9">
        <f t="shared" si="25"/>
        <v>47531.539999999994</v>
      </c>
      <c r="BP12" s="9">
        <f t="shared" si="49"/>
        <v>118828.84999999999</v>
      </c>
      <c r="BQ12" s="510">
        <f t="shared" si="26"/>
        <v>1.1323234152035637</v>
      </c>
      <c r="BR12" s="9">
        <f t="shared" si="27"/>
        <v>1.1041623690983933</v>
      </c>
    </row>
    <row r="13" spans="1:70">
      <c r="A13" s="15">
        <f>+Chem!A12</f>
        <v>45995</v>
      </c>
      <c r="B13" s="5" t="str">
        <f>+Chem!B12</f>
        <v>Facial</v>
      </c>
      <c r="C13" s="15" t="str">
        <f>+Chem!C12</f>
        <v>15/14</v>
      </c>
      <c r="D13" s="7">
        <f>+Chem!D12</f>
        <v>44.146999999999998</v>
      </c>
      <c r="E13" s="6">
        <f>+Chem!E12</f>
        <v>40.161999999999999</v>
      </c>
      <c r="F13" s="6">
        <f t="shared" si="28"/>
        <v>147.78100000000001</v>
      </c>
      <c r="G13" s="95">
        <f>38*G7</f>
        <v>9500</v>
      </c>
      <c r="H13" s="9">
        <f t="shared" si="0"/>
        <v>19.986728812068787</v>
      </c>
      <c r="I13" s="7">
        <f t="shared" si="29"/>
        <v>33250</v>
      </c>
      <c r="J13" s="9">
        <f t="shared" si="1"/>
        <v>19.986728812068787</v>
      </c>
      <c r="K13" s="95"/>
      <c r="L13" s="9">
        <f t="shared" si="2"/>
        <v>0</v>
      </c>
      <c r="M13" s="9">
        <f t="shared" si="30"/>
        <v>0</v>
      </c>
      <c r="N13" s="9">
        <f t="shared" si="3"/>
        <v>0</v>
      </c>
      <c r="O13" s="95"/>
      <c r="P13" s="9">
        <f t="shared" si="4"/>
        <v>0</v>
      </c>
      <c r="Q13" s="9">
        <f t="shared" si="31"/>
        <v>0</v>
      </c>
      <c r="R13" s="9">
        <f t="shared" si="5"/>
        <v>0</v>
      </c>
      <c r="S13" s="9">
        <f t="shared" si="32"/>
        <v>9500</v>
      </c>
      <c r="T13" s="9">
        <f t="shared" si="6"/>
        <v>19.986728812068787</v>
      </c>
      <c r="U13" s="9">
        <f t="shared" si="33"/>
        <v>33250</v>
      </c>
      <c r="V13" s="9">
        <f t="shared" si="7"/>
        <v>19.986728812068787</v>
      </c>
      <c r="W13" s="95"/>
      <c r="X13" s="9"/>
      <c r="Y13" s="9"/>
      <c r="Z13" s="9"/>
      <c r="AA13" s="95"/>
      <c r="AB13" s="9">
        <f t="shared" si="8"/>
        <v>0</v>
      </c>
      <c r="AC13" s="9">
        <f t="shared" si="34"/>
        <v>0</v>
      </c>
      <c r="AD13" s="9">
        <f t="shared" si="9"/>
        <v>0</v>
      </c>
      <c r="AE13" s="95"/>
      <c r="AF13" s="9">
        <f t="shared" si="10"/>
        <v>0</v>
      </c>
      <c r="AG13" s="9">
        <f t="shared" si="35"/>
        <v>0</v>
      </c>
      <c r="AH13" s="9">
        <f t="shared" si="11"/>
        <v>0</v>
      </c>
      <c r="AI13" s="95"/>
      <c r="AJ13" s="9">
        <f t="shared" si="12"/>
        <v>0</v>
      </c>
      <c r="AK13" s="9">
        <f t="shared" si="36"/>
        <v>0</v>
      </c>
      <c r="AL13" s="9">
        <f t="shared" si="13"/>
        <v>0</v>
      </c>
      <c r="AM13" s="9">
        <f t="shared" si="37"/>
        <v>0</v>
      </c>
      <c r="AN13" s="9">
        <f t="shared" si="14"/>
        <v>0</v>
      </c>
      <c r="AO13" s="9">
        <f t="shared" si="38"/>
        <v>0</v>
      </c>
      <c r="AP13" s="9">
        <f t="shared" si="15"/>
        <v>0</v>
      </c>
      <c r="AQ13" s="95"/>
      <c r="AR13" s="587">
        <f t="shared" si="39"/>
        <v>0</v>
      </c>
      <c r="AS13" s="9">
        <f t="shared" si="40"/>
        <v>0</v>
      </c>
      <c r="AT13" s="587">
        <f t="shared" si="41"/>
        <v>0</v>
      </c>
      <c r="AU13" s="95">
        <f>76*AU7</f>
        <v>18914.955999999998</v>
      </c>
      <c r="AV13" s="9">
        <f t="shared" si="16"/>
        <v>39.794536427811934</v>
      </c>
      <c r="AW13" s="9">
        <f t="shared" si="42"/>
        <v>66202.34599999999</v>
      </c>
      <c r="AX13" s="9">
        <f t="shared" si="43"/>
        <v>39.794536427811934</v>
      </c>
      <c r="AY13" s="95">
        <f>76*AY7</f>
        <v>19116.583999999999</v>
      </c>
      <c r="AZ13" s="9">
        <f t="shared" si="17"/>
        <v>40.218734760119283</v>
      </c>
      <c r="BA13" s="9">
        <f t="shared" si="44"/>
        <v>66908.043999999994</v>
      </c>
      <c r="BB13" s="9">
        <f t="shared" si="18"/>
        <v>40.218734760119276</v>
      </c>
      <c r="BC13" s="95"/>
      <c r="BD13" s="14">
        <f t="shared" si="19"/>
        <v>0</v>
      </c>
      <c r="BE13" s="9">
        <f t="shared" si="45"/>
        <v>0</v>
      </c>
      <c r="BF13" s="9">
        <f t="shared" si="20"/>
        <v>0</v>
      </c>
      <c r="BG13" s="9">
        <f t="shared" si="46"/>
        <v>38031.539999999994</v>
      </c>
      <c r="BH13" s="9">
        <f t="shared" si="21"/>
        <v>80.01327118793121</v>
      </c>
      <c r="BI13" s="9">
        <f t="shared" si="47"/>
        <v>133110.39000000001</v>
      </c>
      <c r="BJ13" s="9">
        <f t="shared" si="22"/>
        <v>80.013271187931238</v>
      </c>
      <c r="BK13" s="95">
        <v>0</v>
      </c>
      <c r="BL13" s="9">
        <f t="shared" si="23"/>
        <v>0</v>
      </c>
      <c r="BM13" s="9">
        <f t="shared" si="48"/>
        <v>0</v>
      </c>
      <c r="BN13" s="9">
        <f t="shared" si="24"/>
        <v>0</v>
      </c>
      <c r="BO13" s="9">
        <f t="shared" si="25"/>
        <v>47531.539999999994</v>
      </c>
      <c r="BP13" s="9">
        <f t="shared" si="49"/>
        <v>166360.38999999998</v>
      </c>
      <c r="BQ13" s="510">
        <f t="shared" si="26"/>
        <v>1.1834953438573774</v>
      </c>
      <c r="BR13" s="9">
        <f t="shared" si="27"/>
        <v>1.1257224541720519</v>
      </c>
    </row>
    <row r="14" spans="1:70">
      <c r="A14" s="15">
        <f>+Chem!A13</f>
        <v>45996</v>
      </c>
      <c r="B14" s="5" t="str">
        <f>+Chem!B13</f>
        <v>Facial</v>
      </c>
      <c r="C14" s="15" t="str">
        <f>+Chem!C13</f>
        <v>14</v>
      </c>
      <c r="D14" s="7">
        <f>+Chem!D13</f>
        <v>42.655000000000001</v>
      </c>
      <c r="E14" s="6">
        <f>+Chem!E13</f>
        <v>45.195999999999998</v>
      </c>
      <c r="F14" s="6">
        <f t="shared" si="28"/>
        <v>192.977</v>
      </c>
      <c r="G14" s="96">
        <f>37*G7</f>
        <v>9250</v>
      </c>
      <c r="H14" s="86">
        <f t="shared" si="0"/>
        <v>13.157776822199175</v>
      </c>
      <c r="I14" s="7">
        <f t="shared" si="29"/>
        <v>42500</v>
      </c>
      <c r="J14" s="86">
        <f t="shared" si="1"/>
        <v>17.958174945751523</v>
      </c>
      <c r="K14" s="96"/>
      <c r="L14" s="86">
        <f t="shared" si="2"/>
        <v>0</v>
      </c>
      <c r="M14" s="86">
        <f t="shared" si="30"/>
        <v>0</v>
      </c>
      <c r="N14" s="86">
        <f t="shared" si="3"/>
        <v>0</v>
      </c>
      <c r="O14" s="96"/>
      <c r="P14" s="86">
        <f t="shared" si="4"/>
        <v>0</v>
      </c>
      <c r="Q14" s="86">
        <f t="shared" si="31"/>
        <v>0</v>
      </c>
      <c r="R14" s="86">
        <f t="shared" si="5"/>
        <v>0</v>
      </c>
      <c r="S14" s="9">
        <f t="shared" si="32"/>
        <v>9250</v>
      </c>
      <c r="T14" s="86">
        <f t="shared" si="6"/>
        <v>13.157776822199175</v>
      </c>
      <c r="U14" s="86">
        <f t="shared" si="33"/>
        <v>42500</v>
      </c>
      <c r="V14" s="86">
        <f t="shared" si="7"/>
        <v>17.958174945751523</v>
      </c>
      <c r="W14" s="96"/>
      <c r="X14" s="86"/>
      <c r="Y14" s="86"/>
      <c r="Z14" s="86"/>
      <c r="AA14" s="96"/>
      <c r="AB14" s="86">
        <f t="shared" si="8"/>
        <v>0</v>
      </c>
      <c r="AC14" s="86">
        <f t="shared" si="34"/>
        <v>0</v>
      </c>
      <c r="AD14" s="86">
        <f t="shared" si="9"/>
        <v>0</v>
      </c>
      <c r="AE14" s="96"/>
      <c r="AF14" s="86">
        <f t="shared" si="10"/>
        <v>0</v>
      </c>
      <c r="AG14" s="86">
        <f t="shared" si="35"/>
        <v>0</v>
      </c>
      <c r="AH14" s="86">
        <f t="shared" si="11"/>
        <v>0</v>
      </c>
      <c r="AI14" s="96"/>
      <c r="AJ14" s="86">
        <f t="shared" si="12"/>
        <v>0</v>
      </c>
      <c r="AK14" s="86">
        <f t="shared" si="36"/>
        <v>0</v>
      </c>
      <c r="AL14" s="86">
        <f t="shared" si="13"/>
        <v>0</v>
      </c>
      <c r="AM14" s="9">
        <f t="shared" si="37"/>
        <v>0</v>
      </c>
      <c r="AN14" s="86">
        <f t="shared" si="14"/>
        <v>0</v>
      </c>
      <c r="AO14" s="86">
        <f t="shared" si="38"/>
        <v>0</v>
      </c>
      <c r="AP14" s="86">
        <f t="shared" si="15"/>
        <v>0</v>
      </c>
      <c r="AQ14" s="96"/>
      <c r="AR14" s="587">
        <f t="shared" si="39"/>
        <v>0</v>
      </c>
      <c r="AS14" s="86">
        <f t="shared" si="40"/>
        <v>0</v>
      </c>
      <c r="AT14" s="587">
        <f t="shared" si="41"/>
        <v>0</v>
      </c>
      <c r="AU14" s="96">
        <f>122*AU7</f>
        <v>30363.482</v>
      </c>
      <c r="AV14" s="86">
        <f t="shared" si="16"/>
        <v>43.190910237931007</v>
      </c>
      <c r="AW14" s="86">
        <f t="shared" si="42"/>
        <v>96565.827999999994</v>
      </c>
      <c r="AX14" s="86">
        <f t="shared" si="43"/>
        <v>40.803436070714142</v>
      </c>
      <c r="AY14" s="96">
        <f>122*AY7</f>
        <v>30687.147999999997</v>
      </c>
      <c r="AZ14" s="86">
        <f t="shared" si="17"/>
        <v>43.651312939869804</v>
      </c>
      <c r="BA14" s="86">
        <f t="shared" si="44"/>
        <v>97595.191999999995</v>
      </c>
      <c r="BB14" s="86">
        <f t="shared" si="18"/>
        <v>41.238388983534342</v>
      </c>
      <c r="BC14" s="96"/>
      <c r="BD14" s="87">
        <f t="shared" si="19"/>
        <v>0</v>
      </c>
      <c r="BE14" s="86">
        <f t="shared" si="45"/>
        <v>0</v>
      </c>
      <c r="BF14" s="86">
        <f t="shared" si="20"/>
        <v>0</v>
      </c>
      <c r="BG14" s="86">
        <f t="shared" si="46"/>
        <v>61050.63</v>
      </c>
      <c r="BH14" s="86">
        <f t="shared" si="21"/>
        <v>86.842223177800818</v>
      </c>
      <c r="BI14" s="86">
        <f t="shared" si="47"/>
        <v>194161.02000000002</v>
      </c>
      <c r="BJ14" s="86">
        <f t="shared" si="22"/>
        <v>82.041825054248491</v>
      </c>
      <c r="BK14" s="96">
        <v>0</v>
      </c>
      <c r="BL14" s="86">
        <f t="shared" si="23"/>
        <v>0</v>
      </c>
      <c r="BM14" s="86">
        <f t="shared" si="48"/>
        <v>0</v>
      </c>
      <c r="BN14" s="86">
        <f t="shared" si="24"/>
        <v>0</v>
      </c>
      <c r="BO14" s="86">
        <f t="shared" si="25"/>
        <v>70300.63</v>
      </c>
      <c r="BP14" s="86">
        <f t="shared" si="49"/>
        <v>236661.02</v>
      </c>
      <c r="BQ14" s="510">
        <f t="shared" si="26"/>
        <v>1.5554613240109745</v>
      </c>
      <c r="BR14" s="86">
        <f t="shared" si="27"/>
        <v>1.2263690491612989</v>
      </c>
    </row>
    <row r="15" spans="1:70">
      <c r="A15" s="15">
        <f>+Chem!A14</f>
        <v>45997</v>
      </c>
      <c r="B15" s="5" t="str">
        <f>+Chem!B14</f>
        <v>Facial</v>
      </c>
      <c r="C15" s="15" t="str">
        <f>+Chem!C14</f>
        <v>14</v>
      </c>
      <c r="D15" s="7">
        <f>+Chem!D14</f>
        <v>41.825000000000003</v>
      </c>
      <c r="E15" s="6">
        <f>+Chem!E14</f>
        <v>40.381999999999998</v>
      </c>
      <c r="F15" s="6">
        <f t="shared" si="28"/>
        <v>233.35900000000001</v>
      </c>
      <c r="G15" s="96">
        <f>35*G7</f>
        <v>8750</v>
      </c>
      <c r="H15" s="86">
        <f t="shared" si="0"/>
        <v>20.071873364142323</v>
      </c>
      <c r="I15" s="7">
        <f t="shared" si="29"/>
        <v>51250</v>
      </c>
      <c r="J15" s="86">
        <f t="shared" si="1"/>
        <v>18.286959032501763</v>
      </c>
      <c r="K15" s="96"/>
      <c r="L15" s="86">
        <f t="shared" si="2"/>
        <v>0</v>
      </c>
      <c r="M15" s="86">
        <f t="shared" si="30"/>
        <v>0</v>
      </c>
      <c r="N15" s="86">
        <f t="shared" si="3"/>
        <v>0</v>
      </c>
      <c r="O15" s="96"/>
      <c r="P15" s="86">
        <f t="shared" si="4"/>
        <v>0</v>
      </c>
      <c r="Q15" s="86">
        <f t="shared" si="31"/>
        <v>0</v>
      </c>
      <c r="R15" s="86">
        <f t="shared" si="5"/>
        <v>0</v>
      </c>
      <c r="S15" s="9">
        <f t="shared" si="32"/>
        <v>8750</v>
      </c>
      <c r="T15" s="86">
        <f t="shared" si="6"/>
        <v>20.071873364142323</v>
      </c>
      <c r="U15" s="86">
        <f t="shared" si="33"/>
        <v>51250</v>
      </c>
      <c r="V15" s="86">
        <f t="shared" si="7"/>
        <v>18.286959032501763</v>
      </c>
      <c r="W15" s="96"/>
      <c r="X15" s="86"/>
      <c r="Y15" s="86"/>
      <c r="Z15" s="86"/>
      <c r="AA15" s="96"/>
      <c r="AB15" s="86">
        <f t="shared" si="8"/>
        <v>0</v>
      </c>
      <c r="AC15" s="86">
        <f t="shared" si="34"/>
        <v>0</v>
      </c>
      <c r="AD15" s="86">
        <f t="shared" si="9"/>
        <v>0</v>
      </c>
      <c r="AE15" s="96"/>
      <c r="AF15" s="86">
        <f t="shared" si="10"/>
        <v>0</v>
      </c>
      <c r="AG15" s="86">
        <f t="shared" si="35"/>
        <v>0</v>
      </c>
      <c r="AH15" s="86">
        <f t="shared" si="11"/>
        <v>0</v>
      </c>
      <c r="AI15" s="96"/>
      <c r="AJ15" s="86">
        <f t="shared" si="12"/>
        <v>0</v>
      </c>
      <c r="AK15" s="86">
        <f t="shared" si="36"/>
        <v>0</v>
      </c>
      <c r="AL15" s="86">
        <f t="shared" si="13"/>
        <v>0</v>
      </c>
      <c r="AM15" s="9">
        <f t="shared" si="37"/>
        <v>0</v>
      </c>
      <c r="AN15" s="86">
        <f t="shared" si="14"/>
        <v>0</v>
      </c>
      <c r="AO15" s="86">
        <f t="shared" si="38"/>
        <v>0</v>
      </c>
      <c r="AP15" s="86">
        <f t="shared" si="15"/>
        <v>0</v>
      </c>
      <c r="AQ15" s="96"/>
      <c r="AR15" s="587">
        <f t="shared" si="39"/>
        <v>0</v>
      </c>
      <c r="AS15" s="86">
        <f t="shared" si="40"/>
        <v>0</v>
      </c>
      <c r="AT15" s="587">
        <f t="shared" si="41"/>
        <v>0</v>
      </c>
      <c r="AU15" s="96">
        <f>140*AU7</f>
        <v>34843.339999999997</v>
      </c>
      <c r="AV15" s="86">
        <f t="shared" si="16"/>
        <v>79.92812663585768</v>
      </c>
      <c r="AW15" s="86">
        <f t="shared" si="42"/>
        <v>131409.16800000001</v>
      </c>
      <c r="AX15" s="86">
        <f t="shared" si="43"/>
        <v>46.889250179729594</v>
      </c>
      <c r="AY15" s="96"/>
      <c r="AZ15" s="86">
        <f t="shared" si="17"/>
        <v>0</v>
      </c>
      <c r="BA15" s="86">
        <f t="shared" si="44"/>
        <v>97595.191999999995</v>
      </c>
      <c r="BB15" s="86">
        <f t="shared" si="18"/>
        <v>34.823790787768658</v>
      </c>
      <c r="BC15" s="96"/>
      <c r="BD15" s="87">
        <f t="shared" si="19"/>
        <v>0</v>
      </c>
      <c r="BE15" s="86">
        <f t="shared" si="45"/>
        <v>0</v>
      </c>
      <c r="BF15" s="86">
        <f t="shared" si="20"/>
        <v>0</v>
      </c>
      <c r="BG15" s="86">
        <f t="shared" si="46"/>
        <v>34843.339999999997</v>
      </c>
      <c r="BH15" s="86">
        <f t="shared" si="21"/>
        <v>79.92812663585768</v>
      </c>
      <c r="BI15" s="86">
        <f t="shared" si="47"/>
        <v>229004.36000000002</v>
      </c>
      <c r="BJ15" s="86">
        <f t="shared" si="22"/>
        <v>81.713040967498245</v>
      </c>
      <c r="BK15" s="96">
        <v>0</v>
      </c>
      <c r="BL15" s="86">
        <f t="shared" si="23"/>
        <v>0</v>
      </c>
      <c r="BM15" s="86">
        <f t="shared" si="48"/>
        <v>0</v>
      </c>
      <c r="BN15" s="86">
        <f t="shared" si="24"/>
        <v>0</v>
      </c>
      <c r="BO15" s="86">
        <f t="shared" si="25"/>
        <v>43593.34</v>
      </c>
      <c r="BP15" s="86">
        <f t="shared" si="49"/>
        <v>280254.36</v>
      </c>
      <c r="BQ15" s="510">
        <f t="shared" si="26"/>
        <v>1.0795240453667476</v>
      </c>
      <c r="BR15" s="86">
        <f t="shared" si="27"/>
        <v>1.2009580089047345</v>
      </c>
    </row>
    <row r="16" spans="1:70">
      <c r="A16" s="15">
        <f>+Chem!A15</f>
        <v>45998</v>
      </c>
      <c r="B16" s="5" t="str">
        <f>+Chem!B15</f>
        <v>Facial</v>
      </c>
      <c r="C16" s="15" t="str">
        <f>+Chem!C15</f>
        <v>14</v>
      </c>
      <c r="D16" s="7">
        <f>+Chem!D15</f>
        <v>41.730000000000004</v>
      </c>
      <c r="E16" s="6">
        <f>+Chem!E15</f>
        <v>41.706000000000003</v>
      </c>
      <c r="F16" s="6">
        <f t="shared" si="28"/>
        <v>275.065</v>
      </c>
      <c r="G16" s="96">
        <f>35*G7</f>
        <v>8750</v>
      </c>
      <c r="H16" s="86">
        <f t="shared" si="0"/>
        <v>20.071873364142323</v>
      </c>
      <c r="I16" s="7">
        <f t="shared" si="29"/>
        <v>60000</v>
      </c>
      <c r="J16" s="86">
        <f t="shared" si="1"/>
        <v>18.527227459080304</v>
      </c>
      <c r="K16" s="96"/>
      <c r="L16" s="86">
        <f t="shared" si="2"/>
        <v>0</v>
      </c>
      <c r="M16" s="86">
        <f t="shared" si="30"/>
        <v>0</v>
      </c>
      <c r="N16" s="86">
        <f t="shared" si="3"/>
        <v>0</v>
      </c>
      <c r="O16" s="96"/>
      <c r="P16" s="86">
        <f t="shared" si="4"/>
        <v>0</v>
      </c>
      <c r="Q16" s="86">
        <f t="shared" si="31"/>
        <v>0</v>
      </c>
      <c r="R16" s="86">
        <f t="shared" si="5"/>
        <v>0</v>
      </c>
      <c r="S16" s="9">
        <f t="shared" si="32"/>
        <v>8750</v>
      </c>
      <c r="T16" s="86">
        <f t="shared" si="6"/>
        <v>20.071873364142323</v>
      </c>
      <c r="U16" s="86">
        <f t="shared" si="33"/>
        <v>60000</v>
      </c>
      <c r="V16" s="86">
        <f t="shared" si="7"/>
        <v>18.527227459080304</v>
      </c>
      <c r="W16" s="96"/>
      <c r="X16" s="86"/>
      <c r="Y16" s="86"/>
      <c r="Z16" s="86"/>
      <c r="AA16" s="96"/>
      <c r="AB16" s="86">
        <f t="shared" si="8"/>
        <v>0</v>
      </c>
      <c r="AC16" s="86">
        <f t="shared" si="34"/>
        <v>0</v>
      </c>
      <c r="AD16" s="86">
        <f t="shared" si="9"/>
        <v>0</v>
      </c>
      <c r="AE16" s="96"/>
      <c r="AF16" s="86">
        <f t="shared" si="10"/>
        <v>0</v>
      </c>
      <c r="AG16" s="86">
        <f t="shared" si="35"/>
        <v>0</v>
      </c>
      <c r="AH16" s="86">
        <f t="shared" si="11"/>
        <v>0</v>
      </c>
      <c r="AI16" s="96"/>
      <c r="AJ16" s="86">
        <f t="shared" si="12"/>
        <v>0</v>
      </c>
      <c r="AK16" s="86">
        <f t="shared" si="36"/>
        <v>0</v>
      </c>
      <c r="AL16" s="86">
        <f t="shared" si="13"/>
        <v>0</v>
      </c>
      <c r="AM16" s="9">
        <f t="shared" si="37"/>
        <v>0</v>
      </c>
      <c r="AN16" s="86">
        <f t="shared" si="14"/>
        <v>0</v>
      </c>
      <c r="AO16" s="86">
        <f t="shared" si="38"/>
        <v>0</v>
      </c>
      <c r="AP16" s="86">
        <f t="shared" si="15"/>
        <v>0</v>
      </c>
      <c r="AQ16" s="96"/>
      <c r="AR16" s="587">
        <f t="shared" si="39"/>
        <v>0</v>
      </c>
      <c r="AS16" s="86">
        <f t="shared" si="40"/>
        <v>0</v>
      </c>
      <c r="AT16" s="587">
        <f t="shared" si="41"/>
        <v>0</v>
      </c>
      <c r="AU16" s="96">
        <f>140*AU7</f>
        <v>34843.339999999997</v>
      </c>
      <c r="AV16" s="86">
        <f t="shared" si="16"/>
        <v>79.92812663585768</v>
      </c>
      <c r="AW16" s="86">
        <f t="shared" si="42"/>
        <v>166252.508</v>
      </c>
      <c r="AX16" s="86">
        <f t="shared" si="43"/>
        <v>51.336633855976132</v>
      </c>
      <c r="AY16" s="96"/>
      <c r="AZ16" s="86">
        <f t="shared" si="17"/>
        <v>0</v>
      </c>
      <c r="BA16" s="86">
        <f t="shared" si="44"/>
        <v>97595.191999999995</v>
      </c>
      <c r="BB16" s="86">
        <f t="shared" si="18"/>
        <v>30.136138684943575</v>
      </c>
      <c r="BC16" s="96"/>
      <c r="BD16" s="87">
        <f t="shared" si="19"/>
        <v>0</v>
      </c>
      <c r="BE16" s="86">
        <f t="shared" si="45"/>
        <v>0</v>
      </c>
      <c r="BF16" s="86">
        <f t="shared" si="20"/>
        <v>0</v>
      </c>
      <c r="BG16" s="86">
        <f t="shared" si="46"/>
        <v>34843.339999999997</v>
      </c>
      <c r="BH16" s="86">
        <f t="shared" si="21"/>
        <v>79.92812663585768</v>
      </c>
      <c r="BI16" s="86">
        <f t="shared" si="47"/>
        <v>263847.7</v>
      </c>
      <c r="BJ16" s="86">
        <f t="shared" si="22"/>
        <v>81.472772540919721</v>
      </c>
      <c r="BK16" s="96">
        <v>0</v>
      </c>
      <c r="BL16" s="86">
        <f t="shared" si="23"/>
        <v>0</v>
      </c>
      <c r="BM16" s="86">
        <f t="shared" si="48"/>
        <v>0</v>
      </c>
      <c r="BN16" s="86">
        <f t="shared" si="24"/>
        <v>0</v>
      </c>
      <c r="BO16" s="86">
        <f t="shared" si="25"/>
        <v>43593.34</v>
      </c>
      <c r="BP16" s="86">
        <f t="shared" si="49"/>
        <v>323847.69999999995</v>
      </c>
      <c r="BQ16" s="510">
        <f t="shared" si="26"/>
        <v>1.0452534407519301</v>
      </c>
      <c r="BR16" s="86">
        <f t="shared" si="27"/>
        <v>1.1773497173395377</v>
      </c>
    </row>
    <row r="17" spans="1:79">
      <c r="A17" s="15">
        <f>+Chem!A16</f>
        <v>45999</v>
      </c>
      <c r="B17" s="5" t="str">
        <f>+Chem!B16</f>
        <v>Facial/Toilet</v>
      </c>
      <c r="C17" s="15" t="str">
        <f>+Chem!C16</f>
        <v>14/12/13</v>
      </c>
      <c r="D17" s="7">
        <f>+Chem!D16</f>
        <v>38.814999999999998</v>
      </c>
      <c r="E17" s="6">
        <f>+Chem!E16</f>
        <v>37.368000000000002</v>
      </c>
      <c r="F17" s="6">
        <f t="shared" si="28"/>
        <v>312.43299999999999</v>
      </c>
      <c r="G17" s="96">
        <f>29*G7</f>
        <v>7250</v>
      </c>
      <c r="H17" s="86">
        <f t="shared" si="0"/>
        <v>18.693195568521443</v>
      </c>
      <c r="I17" s="7">
        <f t="shared" si="29"/>
        <v>67250</v>
      </c>
      <c r="J17" s="86">
        <f t="shared" si="1"/>
        <v>18.544978063235078</v>
      </c>
      <c r="K17" s="96"/>
      <c r="L17" s="86">
        <f t="shared" si="2"/>
        <v>0</v>
      </c>
      <c r="M17" s="86">
        <f t="shared" si="30"/>
        <v>0</v>
      </c>
      <c r="N17" s="86">
        <f t="shared" si="3"/>
        <v>0</v>
      </c>
      <c r="O17" s="96"/>
      <c r="P17" s="86">
        <f t="shared" si="4"/>
        <v>0</v>
      </c>
      <c r="Q17" s="86">
        <f t="shared" si="31"/>
        <v>0</v>
      </c>
      <c r="R17" s="86">
        <f t="shared" si="5"/>
        <v>0</v>
      </c>
      <c r="S17" s="9">
        <f t="shared" si="32"/>
        <v>7250</v>
      </c>
      <c r="T17" s="86">
        <f t="shared" si="6"/>
        <v>18.693195568521443</v>
      </c>
      <c r="U17" s="86">
        <f t="shared" si="33"/>
        <v>67250</v>
      </c>
      <c r="V17" s="86">
        <f t="shared" si="7"/>
        <v>18.544978063235078</v>
      </c>
      <c r="W17" s="96"/>
      <c r="X17" s="86"/>
      <c r="Y17" s="86"/>
      <c r="Z17" s="86"/>
      <c r="AA17" s="96"/>
      <c r="AB17" s="86">
        <f t="shared" si="8"/>
        <v>0</v>
      </c>
      <c r="AC17" s="86">
        <f t="shared" si="34"/>
        <v>0</v>
      </c>
      <c r="AD17" s="86">
        <f t="shared" si="9"/>
        <v>0</v>
      </c>
      <c r="AE17" s="96"/>
      <c r="AF17" s="86">
        <f t="shared" si="10"/>
        <v>0</v>
      </c>
      <c r="AG17" s="86">
        <f t="shared" si="35"/>
        <v>0</v>
      </c>
      <c r="AH17" s="86">
        <f t="shared" si="11"/>
        <v>0</v>
      </c>
      <c r="AI17" s="96"/>
      <c r="AJ17" s="86">
        <f t="shared" si="12"/>
        <v>0</v>
      </c>
      <c r="AK17" s="86">
        <f t="shared" si="36"/>
        <v>0</v>
      </c>
      <c r="AL17" s="86">
        <f t="shared" si="13"/>
        <v>0</v>
      </c>
      <c r="AM17" s="9">
        <f t="shared" si="37"/>
        <v>0</v>
      </c>
      <c r="AN17" s="86">
        <f t="shared" si="14"/>
        <v>0</v>
      </c>
      <c r="AO17" s="86">
        <f t="shared" si="38"/>
        <v>0</v>
      </c>
      <c r="AP17" s="86">
        <f t="shared" si="15"/>
        <v>0</v>
      </c>
      <c r="AQ17" s="96"/>
      <c r="AR17" s="587">
        <f t="shared" si="39"/>
        <v>0</v>
      </c>
      <c r="AS17" s="86">
        <f t="shared" si="40"/>
        <v>0</v>
      </c>
      <c r="AT17" s="587">
        <f t="shared" si="41"/>
        <v>0</v>
      </c>
      <c r="AU17" s="96">
        <f>50*AU7</f>
        <v>12444.05</v>
      </c>
      <c r="AV17" s="86">
        <f t="shared" si="16"/>
        <v>32.085387629580588</v>
      </c>
      <c r="AW17" s="86">
        <f t="shared" si="42"/>
        <v>178696.55799999999</v>
      </c>
      <c r="AX17" s="86">
        <f t="shared" si="43"/>
        <v>49.277676551458946</v>
      </c>
      <c r="AY17" s="96">
        <f>50*AY7</f>
        <v>12576.699999999999</v>
      </c>
      <c r="AZ17" s="86">
        <f t="shared" si="17"/>
        <v>32.427408649189466</v>
      </c>
      <c r="BA17" s="86">
        <f t="shared" si="44"/>
        <v>110171.89199999999</v>
      </c>
      <c r="BB17" s="86">
        <f t="shared" si="18"/>
        <v>30.381194354276637</v>
      </c>
      <c r="BC17" s="96">
        <f>26*BC7</f>
        <v>6513.4160000000002</v>
      </c>
      <c r="BD17" s="87">
        <f t="shared" si="19"/>
        <v>16.794008152708507</v>
      </c>
      <c r="BE17" s="86">
        <f t="shared" si="45"/>
        <v>6513.4160000000002</v>
      </c>
      <c r="BF17" s="86">
        <f t="shared" si="20"/>
        <v>1.7961510310293587</v>
      </c>
      <c r="BG17" s="86">
        <f t="shared" si="46"/>
        <v>31534.166000000001</v>
      </c>
      <c r="BH17" s="86">
        <f t="shared" si="21"/>
        <v>81.306804431478568</v>
      </c>
      <c r="BI17" s="86">
        <f t="shared" si="47"/>
        <v>295381.86600000004</v>
      </c>
      <c r="BJ17" s="86">
        <f t="shared" si="22"/>
        <v>81.455021936764965</v>
      </c>
      <c r="BK17" s="96">
        <v>0</v>
      </c>
      <c r="BL17" s="86">
        <f t="shared" si="23"/>
        <v>0</v>
      </c>
      <c r="BM17" s="86">
        <f t="shared" si="48"/>
        <v>0</v>
      </c>
      <c r="BN17" s="86">
        <f t="shared" si="24"/>
        <v>0</v>
      </c>
      <c r="BO17" s="86">
        <f t="shared" si="25"/>
        <v>38784.165999999997</v>
      </c>
      <c r="BP17" s="86">
        <f t="shared" si="49"/>
        <v>362631.86599999992</v>
      </c>
      <c r="BQ17" s="510">
        <f t="shared" si="26"/>
        <v>1.0378978270177692</v>
      </c>
      <c r="BR17" s="86">
        <f t="shared" si="27"/>
        <v>1.1606708190235986</v>
      </c>
    </row>
    <row r="18" spans="1:79">
      <c r="A18" s="15">
        <f>+Chem!A17</f>
        <v>46000</v>
      </c>
      <c r="B18" s="5" t="str">
        <f>+Chem!B17</f>
        <v>Toilet</v>
      </c>
      <c r="C18" s="15" t="str">
        <f>+Chem!C17</f>
        <v>13</v>
      </c>
      <c r="D18" s="7">
        <f>+Chem!D17</f>
        <v>38.148000000000003</v>
      </c>
      <c r="E18" s="6">
        <f>+Chem!E17</f>
        <v>37.177999999999997</v>
      </c>
      <c r="F18" s="6">
        <f t="shared" si="28"/>
        <v>349.61099999999999</v>
      </c>
      <c r="G18" s="95">
        <f>40*G7</f>
        <v>10000</v>
      </c>
      <c r="H18" s="9">
        <f t="shared" si="0"/>
        <v>24.758099748502271</v>
      </c>
      <c r="I18" s="7">
        <f t="shared" si="29"/>
        <v>77250</v>
      </c>
      <c r="J18" s="9">
        <f t="shared" si="1"/>
        <v>19.167655395122573</v>
      </c>
      <c r="K18" s="95"/>
      <c r="L18" s="9">
        <f t="shared" si="2"/>
        <v>0</v>
      </c>
      <c r="M18" s="9">
        <f t="shared" si="30"/>
        <v>0</v>
      </c>
      <c r="N18" s="9">
        <f t="shared" si="3"/>
        <v>0</v>
      </c>
      <c r="O18" s="95"/>
      <c r="P18" s="9">
        <f t="shared" si="4"/>
        <v>0</v>
      </c>
      <c r="Q18" s="9">
        <f t="shared" si="31"/>
        <v>0</v>
      </c>
      <c r="R18" s="9">
        <f t="shared" si="5"/>
        <v>0</v>
      </c>
      <c r="S18" s="9">
        <f t="shared" si="32"/>
        <v>10000</v>
      </c>
      <c r="T18" s="9">
        <f t="shared" si="6"/>
        <v>24.758099748502271</v>
      </c>
      <c r="U18" s="9">
        <f t="shared" si="33"/>
        <v>77250</v>
      </c>
      <c r="V18" s="9">
        <f t="shared" si="7"/>
        <v>19.167655395122573</v>
      </c>
      <c r="W18" s="95"/>
      <c r="X18" s="9"/>
      <c r="Y18" s="9"/>
      <c r="Z18" s="9"/>
      <c r="AA18" s="95"/>
      <c r="AB18" s="9">
        <f t="shared" si="8"/>
        <v>0</v>
      </c>
      <c r="AC18" s="9">
        <f t="shared" si="34"/>
        <v>0</v>
      </c>
      <c r="AD18" s="9">
        <f t="shared" si="9"/>
        <v>0</v>
      </c>
      <c r="AE18" s="95"/>
      <c r="AF18" s="9">
        <f t="shared" si="10"/>
        <v>0</v>
      </c>
      <c r="AG18" s="9">
        <f t="shared" si="35"/>
        <v>0</v>
      </c>
      <c r="AH18" s="9">
        <f t="shared" si="11"/>
        <v>0</v>
      </c>
      <c r="AI18" s="95"/>
      <c r="AJ18" s="9">
        <f t="shared" si="12"/>
        <v>0</v>
      </c>
      <c r="AK18" s="9">
        <f t="shared" si="36"/>
        <v>0</v>
      </c>
      <c r="AL18" s="9">
        <f t="shared" si="13"/>
        <v>0</v>
      </c>
      <c r="AM18" s="9">
        <f t="shared" si="37"/>
        <v>0</v>
      </c>
      <c r="AN18" s="9">
        <f t="shared" si="14"/>
        <v>0</v>
      </c>
      <c r="AO18" s="9">
        <f t="shared" si="38"/>
        <v>0</v>
      </c>
      <c r="AP18" s="9">
        <f t="shared" si="15"/>
        <v>0</v>
      </c>
      <c r="AQ18" s="95"/>
      <c r="AR18" s="587">
        <f t="shared" si="39"/>
        <v>0</v>
      </c>
      <c r="AS18" s="9">
        <f t="shared" si="40"/>
        <v>0</v>
      </c>
      <c r="AT18" s="587">
        <f t="shared" si="41"/>
        <v>0</v>
      </c>
      <c r="AU18" s="95"/>
      <c r="AV18" s="9">
        <f t="shared" si="16"/>
        <v>0</v>
      </c>
      <c r="AW18" s="9">
        <f t="shared" si="42"/>
        <v>178696.55799999999</v>
      </c>
      <c r="AX18" s="9">
        <f t="shared" si="43"/>
        <v>44.339081476226973</v>
      </c>
      <c r="AY18" s="95">
        <f>77*AY7</f>
        <v>19368.117999999999</v>
      </c>
      <c r="AZ18" s="9">
        <f t="shared" si="17"/>
        <v>47.951779738476233</v>
      </c>
      <c r="BA18" s="9">
        <f t="shared" si="44"/>
        <v>129540.01</v>
      </c>
      <c r="BB18" s="9">
        <f t="shared" si="18"/>
        <v>32.142113547711745</v>
      </c>
      <c r="BC18" s="95">
        <f>44*BC7</f>
        <v>11022.704</v>
      </c>
      <c r="BD18" s="14">
        <f t="shared" si="19"/>
        <v>27.290120513021499</v>
      </c>
      <c r="BE18" s="9">
        <f t="shared" si="45"/>
        <v>17536.12</v>
      </c>
      <c r="BF18" s="9">
        <f t="shared" si="20"/>
        <v>4.3511495809387295</v>
      </c>
      <c r="BG18" s="9">
        <f t="shared" si="46"/>
        <v>30390.822</v>
      </c>
      <c r="BH18" s="9">
        <f t="shared" si="21"/>
        <v>75.241900251497725</v>
      </c>
      <c r="BI18" s="9">
        <f t="shared" si="47"/>
        <v>325772.68800000002</v>
      </c>
      <c r="BJ18" s="9">
        <f t="shared" si="22"/>
        <v>80.832344604877463</v>
      </c>
      <c r="BK18" s="95">
        <v>0</v>
      </c>
      <c r="BL18" s="9">
        <f t="shared" si="23"/>
        <v>0</v>
      </c>
      <c r="BM18" s="9">
        <f t="shared" si="48"/>
        <v>0</v>
      </c>
      <c r="BN18" s="9">
        <f t="shared" si="24"/>
        <v>0</v>
      </c>
      <c r="BO18" s="9">
        <f t="shared" si="25"/>
        <v>40390.822</v>
      </c>
      <c r="BP18" s="9">
        <f t="shared" si="49"/>
        <v>403022.68799999991</v>
      </c>
      <c r="BQ18" s="510">
        <f t="shared" si="26"/>
        <v>1.0864172897950402</v>
      </c>
      <c r="BR18" s="9">
        <f t="shared" si="27"/>
        <v>1.1527746209358398</v>
      </c>
    </row>
    <row r="19" spans="1:79">
      <c r="A19" s="15">
        <f>+Chem!A18</f>
        <v>46001</v>
      </c>
      <c r="B19" s="5" t="str">
        <f>+Chem!B18</f>
        <v>Toilet</v>
      </c>
      <c r="C19" s="15" t="str">
        <f>+Chem!C18</f>
        <v>13</v>
      </c>
      <c r="D19" s="7">
        <f>+Chem!D18</f>
        <v>38.79</v>
      </c>
      <c r="E19" s="6">
        <f>+Chem!E18</f>
        <v>37.624000000000002</v>
      </c>
      <c r="F19" s="6">
        <f t="shared" si="28"/>
        <v>387.23500000000001</v>
      </c>
      <c r="G19" s="95">
        <f>40*G7</f>
        <v>10000</v>
      </c>
      <c r="H19" s="9">
        <f t="shared" si="0"/>
        <v>24.910719979593139</v>
      </c>
      <c r="I19" s="7">
        <f t="shared" si="29"/>
        <v>87250</v>
      </c>
      <c r="J19" s="9">
        <f t="shared" si="1"/>
        <v>19.687880060703574</v>
      </c>
      <c r="K19" s="95"/>
      <c r="L19" s="9">
        <f t="shared" si="2"/>
        <v>0</v>
      </c>
      <c r="M19" s="9">
        <f t="shared" si="30"/>
        <v>0</v>
      </c>
      <c r="N19" s="9">
        <f t="shared" si="3"/>
        <v>0</v>
      </c>
      <c r="O19" s="95"/>
      <c r="P19" s="9">
        <f t="shared" si="4"/>
        <v>0</v>
      </c>
      <c r="Q19" s="9">
        <f t="shared" si="31"/>
        <v>0</v>
      </c>
      <c r="R19" s="9">
        <f t="shared" si="5"/>
        <v>0</v>
      </c>
      <c r="S19" s="9">
        <f t="shared" si="32"/>
        <v>10000</v>
      </c>
      <c r="T19" s="9">
        <f t="shared" si="6"/>
        <v>24.910719979593139</v>
      </c>
      <c r="U19" s="9">
        <f t="shared" si="33"/>
        <v>87250</v>
      </c>
      <c r="V19" s="9">
        <f t="shared" si="7"/>
        <v>19.687880060703574</v>
      </c>
      <c r="W19" s="95"/>
      <c r="X19" s="9"/>
      <c r="Y19" s="9"/>
      <c r="Z19" s="9"/>
      <c r="AA19" s="95"/>
      <c r="AB19" s="9">
        <f t="shared" si="8"/>
        <v>0</v>
      </c>
      <c r="AC19" s="9">
        <f t="shared" si="34"/>
        <v>0</v>
      </c>
      <c r="AD19" s="9">
        <f t="shared" si="9"/>
        <v>0</v>
      </c>
      <c r="AE19" s="95"/>
      <c r="AF19" s="9">
        <f t="shared" si="10"/>
        <v>0</v>
      </c>
      <c r="AG19" s="9">
        <f t="shared" si="35"/>
        <v>0</v>
      </c>
      <c r="AH19" s="9">
        <f t="shared" si="11"/>
        <v>0</v>
      </c>
      <c r="AI19" s="95"/>
      <c r="AJ19" s="9">
        <f t="shared" si="12"/>
        <v>0</v>
      </c>
      <c r="AK19" s="9">
        <f t="shared" si="36"/>
        <v>0</v>
      </c>
      <c r="AL19" s="9">
        <f t="shared" si="13"/>
        <v>0</v>
      </c>
      <c r="AM19" s="9">
        <f t="shared" si="37"/>
        <v>0</v>
      </c>
      <c r="AN19" s="9">
        <f t="shared" si="14"/>
        <v>0</v>
      </c>
      <c r="AO19" s="9">
        <f t="shared" si="38"/>
        <v>0</v>
      </c>
      <c r="AP19" s="9">
        <f t="shared" si="15"/>
        <v>0</v>
      </c>
      <c r="AQ19" s="95"/>
      <c r="AR19" s="587">
        <f t="shared" si="39"/>
        <v>0</v>
      </c>
      <c r="AS19" s="9">
        <f t="shared" si="40"/>
        <v>0</v>
      </c>
      <c r="AT19" s="587">
        <f t="shared" si="41"/>
        <v>0</v>
      </c>
      <c r="AU19" s="95"/>
      <c r="AV19" s="9">
        <f t="shared" si="16"/>
        <v>0</v>
      </c>
      <c r="AW19" s="9">
        <f t="shared" si="42"/>
        <v>178696.55799999999</v>
      </c>
      <c r="AX19" s="9">
        <f t="shared" si="43"/>
        <v>40.322709468934775</v>
      </c>
      <c r="AY19" s="95">
        <f>80*AY7</f>
        <v>20122.72</v>
      </c>
      <c r="AZ19" s="9">
        <f t="shared" si="17"/>
        <v>50.127144314775848</v>
      </c>
      <c r="BA19" s="9">
        <f t="shared" si="44"/>
        <v>149662.72999999998</v>
      </c>
      <c r="BB19" s="9">
        <f t="shared" si="18"/>
        <v>33.771253613724497</v>
      </c>
      <c r="BC19" s="95">
        <f>40*BC7</f>
        <v>10020.64</v>
      </c>
      <c r="BD19" s="14">
        <f t="shared" si="19"/>
        <v>24.962135705631017</v>
      </c>
      <c r="BE19" s="9">
        <f t="shared" si="45"/>
        <v>27556.76</v>
      </c>
      <c r="BF19" s="9">
        <f t="shared" si="20"/>
        <v>6.2181568566371777</v>
      </c>
      <c r="BG19" s="9">
        <f t="shared" si="46"/>
        <v>30143.360000000001</v>
      </c>
      <c r="BH19" s="9">
        <f t="shared" si="21"/>
        <v>75.089280020406861</v>
      </c>
      <c r="BI19" s="9">
        <f t="shared" si="47"/>
        <v>355916.04800000001</v>
      </c>
      <c r="BJ19" s="9">
        <f t="shared" si="22"/>
        <v>80.312119939296451</v>
      </c>
      <c r="BK19" s="95"/>
      <c r="BL19" s="9">
        <f t="shared" si="23"/>
        <v>0</v>
      </c>
      <c r="BM19" s="9">
        <f t="shared" si="48"/>
        <v>0</v>
      </c>
      <c r="BN19" s="9">
        <f t="shared" si="24"/>
        <v>0</v>
      </c>
      <c r="BO19" s="9">
        <f t="shared" si="25"/>
        <v>40143.360000000001</v>
      </c>
      <c r="BP19" s="9">
        <f t="shared" si="49"/>
        <v>443166.04799999989</v>
      </c>
      <c r="BQ19" s="510">
        <f t="shared" si="26"/>
        <v>1.0669615139272803</v>
      </c>
      <c r="BR19" s="9">
        <f t="shared" si="27"/>
        <v>1.1444369646338783</v>
      </c>
    </row>
    <row r="20" spans="1:79">
      <c r="A20" s="15">
        <f>+Chem!A19</f>
        <v>46002</v>
      </c>
      <c r="B20" s="5" t="str">
        <f>+Chem!B19</f>
        <v>Toilet</v>
      </c>
      <c r="C20" s="15" t="str">
        <f>+Chem!C19</f>
        <v>13/15</v>
      </c>
      <c r="D20" s="7">
        <f>+Chem!D19</f>
        <v>36.974000000000004</v>
      </c>
      <c r="E20" s="6">
        <f>+Chem!E19</f>
        <v>36.598999999999997</v>
      </c>
      <c r="F20" s="6">
        <f t="shared" si="28"/>
        <v>423.834</v>
      </c>
      <c r="G20" s="95">
        <f>40.25*G7</f>
        <v>10062.5</v>
      </c>
      <c r="H20" s="9">
        <f t="shared" si="0"/>
        <v>24.124336338008938</v>
      </c>
      <c r="I20" s="7">
        <f t="shared" si="29"/>
        <v>97312.5</v>
      </c>
      <c r="J20" s="9">
        <f t="shared" si="1"/>
        <v>20.069521130553021</v>
      </c>
      <c r="K20" s="95"/>
      <c r="L20" s="9">
        <f t="shared" si="2"/>
        <v>0</v>
      </c>
      <c r="M20" s="9">
        <f t="shared" si="30"/>
        <v>0</v>
      </c>
      <c r="N20" s="9">
        <f t="shared" si="3"/>
        <v>0</v>
      </c>
      <c r="O20" s="95"/>
      <c r="P20" s="9">
        <f t="shared" si="4"/>
        <v>0</v>
      </c>
      <c r="Q20" s="9">
        <f t="shared" si="31"/>
        <v>0</v>
      </c>
      <c r="R20" s="9">
        <f t="shared" si="5"/>
        <v>0</v>
      </c>
      <c r="S20" s="9">
        <f t="shared" si="32"/>
        <v>10062.5</v>
      </c>
      <c r="T20" s="9">
        <f t="shared" si="6"/>
        <v>24.124336338008938</v>
      </c>
      <c r="U20" s="9">
        <f t="shared" si="33"/>
        <v>97312.5</v>
      </c>
      <c r="V20" s="9">
        <f t="shared" si="7"/>
        <v>20.069521130553021</v>
      </c>
      <c r="W20" s="95"/>
      <c r="X20" s="9"/>
      <c r="Y20" s="9"/>
      <c r="Z20" s="9"/>
      <c r="AA20" s="95"/>
      <c r="AB20" s="9">
        <f t="shared" si="8"/>
        <v>0</v>
      </c>
      <c r="AC20" s="9">
        <f t="shared" si="34"/>
        <v>0</v>
      </c>
      <c r="AD20" s="9">
        <f t="shared" si="9"/>
        <v>0</v>
      </c>
      <c r="AE20" s="95"/>
      <c r="AF20" s="9">
        <f t="shared" si="10"/>
        <v>0</v>
      </c>
      <c r="AG20" s="9">
        <f t="shared" si="35"/>
        <v>0</v>
      </c>
      <c r="AH20" s="9">
        <f t="shared" si="11"/>
        <v>0</v>
      </c>
      <c r="AI20" s="95"/>
      <c r="AJ20" s="9">
        <f t="shared" si="12"/>
        <v>0</v>
      </c>
      <c r="AK20" s="9">
        <f t="shared" si="36"/>
        <v>0</v>
      </c>
      <c r="AL20" s="9">
        <f t="shared" si="13"/>
        <v>0</v>
      </c>
      <c r="AM20" s="9">
        <f t="shared" si="37"/>
        <v>0</v>
      </c>
      <c r="AN20" s="9">
        <f t="shared" si="14"/>
        <v>0</v>
      </c>
      <c r="AO20" s="9">
        <f t="shared" si="38"/>
        <v>0</v>
      </c>
      <c r="AP20" s="9">
        <f t="shared" si="15"/>
        <v>0</v>
      </c>
      <c r="AQ20" s="95"/>
      <c r="AR20" s="587">
        <f t="shared" si="39"/>
        <v>0</v>
      </c>
      <c r="AS20" s="9">
        <f t="shared" si="40"/>
        <v>0</v>
      </c>
      <c r="AT20" s="587">
        <f t="shared" si="41"/>
        <v>0</v>
      </c>
      <c r="AU20" s="95"/>
      <c r="AV20" s="9">
        <f t="shared" si="16"/>
        <v>0</v>
      </c>
      <c r="AW20" s="9">
        <f t="shared" si="42"/>
        <v>178696.55799999999</v>
      </c>
      <c r="AX20" s="9">
        <f t="shared" si="43"/>
        <v>36.853994571489714</v>
      </c>
      <c r="AY20" s="95">
        <f>82*AY7</f>
        <v>20625.788</v>
      </c>
      <c r="AZ20" s="9">
        <f t="shared" si="17"/>
        <v>49.449286653263968</v>
      </c>
      <c r="BA20" s="9">
        <f t="shared" si="44"/>
        <v>170288.51799999998</v>
      </c>
      <c r="BB20" s="9">
        <f t="shared" si="18"/>
        <v>35.119938448725065</v>
      </c>
      <c r="BC20" s="95">
        <f>44*BC7</f>
        <v>11022.704</v>
      </c>
      <c r="BD20" s="14">
        <f t="shared" si="19"/>
        <v>26.426377008727098</v>
      </c>
      <c r="BE20" s="9">
        <f t="shared" si="45"/>
        <v>38579.464</v>
      </c>
      <c r="BF20" s="9">
        <f t="shared" si="20"/>
        <v>7.9565458492322101</v>
      </c>
      <c r="BG20" s="9">
        <f t="shared" si="46"/>
        <v>31648.491999999998</v>
      </c>
      <c r="BH20" s="9">
        <f t="shared" si="21"/>
        <v>75.875663661991069</v>
      </c>
      <c r="BI20" s="9">
        <f t="shared" si="47"/>
        <v>387564.54000000004</v>
      </c>
      <c r="BJ20" s="9">
        <f t="shared" si="22"/>
        <v>79.930478869447015</v>
      </c>
      <c r="BK20" s="95"/>
      <c r="BL20" s="9">
        <f t="shared" si="23"/>
        <v>0</v>
      </c>
      <c r="BM20" s="9">
        <f t="shared" si="48"/>
        <v>0</v>
      </c>
      <c r="BN20" s="9">
        <f t="shared" si="24"/>
        <v>0</v>
      </c>
      <c r="BO20" s="9">
        <f t="shared" si="25"/>
        <v>41710.991999999998</v>
      </c>
      <c r="BP20" s="9">
        <f t="shared" si="49"/>
        <v>484877.03999999992</v>
      </c>
      <c r="BQ20" s="510">
        <f t="shared" si="26"/>
        <v>1.1396757288450505</v>
      </c>
      <c r="BR20" s="9">
        <f t="shared" si="27"/>
        <v>1.144025821430088</v>
      </c>
    </row>
    <row r="21" spans="1:79">
      <c r="A21" s="15">
        <f>+Chem!A20</f>
        <v>46003</v>
      </c>
      <c r="B21" s="5" t="str">
        <f>+Chem!B20</f>
        <v>Toilet</v>
      </c>
      <c r="C21" s="15" t="str">
        <f>+Chem!C20</f>
        <v>15/12</v>
      </c>
      <c r="D21" s="7">
        <f>+Chem!D20</f>
        <v>42.488999999999997</v>
      </c>
      <c r="E21" s="6">
        <f>+Chem!E20</f>
        <v>41.506999999999998</v>
      </c>
      <c r="F21" s="6">
        <f t="shared" si="28"/>
        <v>465.34100000000001</v>
      </c>
      <c r="G21" s="95">
        <f>26.25*G7</f>
        <v>6562.5</v>
      </c>
      <c r="H21" s="9">
        <f t="shared" si="0"/>
        <v>15.735146022155085</v>
      </c>
      <c r="I21" s="7">
        <f t="shared" si="29"/>
        <v>103875</v>
      </c>
      <c r="J21" s="9">
        <f t="shared" si="1"/>
        <v>19.726233492062338</v>
      </c>
      <c r="K21" s="95"/>
      <c r="L21" s="9">
        <f t="shared" si="2"/>
        <v>0</v>
      </c>
      <c r="M21" s="9">
        <f t="shared" si="30"/>
        <v>0</v>
      </c>
      <c r="N21" s="9">
        <f t="shared" si="3"/>
        <v>0</v>
      </c>
      <c r="O21" s="95"/>
      <c r="P21" s="9">
        <f t="shared" si="4"/>
        <v>0</v>
      </c>
      <c r="Q21" s="9">
        <f t="shared" si="31"/>
        <v>0</v>
      </c>
      <c r="R21" s="9">
        <f t="shared" si="5"/>
        <v>0</v>
      </c>
      <c r="S21" s="9">
        <f t="shared" si="32"/>
        <v>6562.5</v>
      </c>
      <c r="T21" s="9">
        <f t="shared" si="6"/>
        <v>15.735146022155085</v>
      </c>
      <c r="U21" s="9">
        <f t="shared" si="33"/>
        <v>103875</v>
      </c>
      <c r="V21" s="9">
        <f t="shared" si="7"/>
        <v>19.726233492062338</v>
      </c>
      <c r="W21" s="95"/>
      <c r="X21" s="9"/>
      <c r="Y21" s="9"/>
      <c r="Z21" s="9"/>
      <c r="AA21" s="95"/>
      <c r="AB21" s="9">
        <f t="shared" si="8"/>
        <v>0</v>
      </c>
      <c r="AC21" s="9">
        <f t="shared" si="34"/>
        <v>0</v>
      </c>
      <c r="AD21" s="9">
        <f t="shared" si="9"/>
        <v>0</v>
      </c>
      <c r="AE21" s="95"/>
      <c r="AF21" s="9">
        <f t="shared" si="10"/>
        <v>0</v>
      </c>
      <c r="AG21" s="9">
        <f t="shared" si="35"/>
        <v>0</v>
      </c>
      <c r="AH21" s="9">
        <f t="shared" si="11"/>
        <v>0</v>
      </c>
      <c r="AI21" s="95"/>
      <c r="AJ21" s="9">
        <f t="shared" si="12"/>
        <v>0</v>
      </c>
      <c r="AK21" s="9">
        <f t="shared" si="36"/>
        <v>0</v>
      </c>
      <c r="AL21" s="9">
        <f t="shared" si="13"/>
        <v>0</v>
      </c>
      <c r="AM21" s="9">
        <f t="shared" si="37"/>
        <v>0</v>
      </c>
      <c r="AN21" s="9">
        <f t="shared" si="14"/>
        <v>0</v>
      </c>
      <c r="AO21" s="9">
        <f t="shared" si="38"/>
        <v>0</v>
      </c>
      <c r="AP21" s="9">
        <f t="shared" si="15"/>
        <v>0</v>
      </c>
      <c r="AQ21" s="95"/>
      <c r="AR21" s="587">
        <f t="shared" si="39"/>
        <v>0</v>
      </c>
      <c r="AS21" s="9">
        <f t="shared" si="40"/>
        <v>0</v>
      </c>
      <c r="AT21" s="587">
        <f t="shared" si="41"/>
        <v>0</v>
      </c>
      <c r="AU21" s="95"/>
      <c r="AV21" s="9">
        <f t="shared" si="16"/>
        <v>0</v>
      </c>
      <c r="AW21" s="9">
        <f t="shared" si="42"/>
        <v>178696.55799999999</v>
      </c>
      <c r="AX21" s="9">
        <f t="shared" si="43"/>
        <v>33.935114583257374</v>
      </c>
      <c r="AY21" s="95">
        <f>70*AY7</f>
        <v>17607.38</v>
      </c>
      <c r="AZ21" s="9">
        <f t="shared" si="17"/>
        <v>42.21785834172541</v>
      </c>
      <c r="BA21" s="9">
        <f t="shared" si="44"/>
        <v>187895.89799999999</v>
      </c>
      <c r="BB21" s="9">
        <f t="shared" si="18"/>
        <v>35.682102104921576</v>
      </c>
      <c r="BC21" s="95">
        <f>70*BC7</f>
        <v>17536.12</v>
      </c>
      <c r="BD21" s="14">
        <f t="shared" si="19"/>
        <v>42.046995636119497</v>
      </c>
      <c r="BE21" s="9">
        <f t="shared" si="45"/>
        <v>56115.584000000003</v>
      </c>
      <c r="BF21" s="9">
        <f t="shared" si="20"/>
        <v>10.656549819758725</v>
      </c>
      <c r="BG21" s="9">
        <f t="shared" si="46"/>
        <v>35143.5</v>
      </c>
      <c r="BH21" s="9">
        <f t="shared" si="21"/>
        <v>84.264853977844908</v>
      </c>
      <c r="BI21" s="9">
        <f t="shared" si="47"/>
        <v>422708.04000000004</v>
      </c>
      <c r="BJ21" s="9">
        <f t="shared" si="22"/>
        <v>80.27376650793768</v>
      </c>
      <c r="BK21" s="95"/>
      <c r="BL21" s="9">
        <f t="shared" si="23"/>
        <v>0</v>
      </c>
      <c r="BM21" s="9">
        <f t="shared" si="48"/>
        <v>0</v>
      </c>
      <c r="BN21" s="9">
        <f t="shared" si="24"/>
        <v>0</v>
      </c>
      <c r="BO21" s="9">
        <f t="shared" si="25"/>
        <v>41706</v>
      </c>
      <c r="BP21" s="9">
        <f t="shared" si="49"/>
        <v>526583.03999999992</v>
      </c>
      <c r="BQ21" s="510">
        <f t="shared" si="26"/>
        <v>1.004794372033633</v>
      </c>
      <c r="BR21" s="9">
        <f t="shared" si="27"/>
        <v>1.1316068001744954</v>
      </c>
      <c r="BV21" s="13"/>
      <c r="BW21" s="13"/>
      <c r="BZ21" s="13"/>
      <c r="CA21" s="13"/>
    </row>
    <row r="22" spans="1:79">
      <c r="A22" s="15">
        <f>+Chem!A21</f>
        <v>46004</v>
      </c>
      <c r="B22" s="5" t="str">
        <f>+Chem!B21</f>
        <v>Toilet/Facial</v>
      </c>
      <c r="C22" s="15" t="str">
        <f>+Chem!C21</f>
        <v>12/12</v>
      </c>
      <c r="D22" s="7">
        <f>+Chem!D21</f>
        <v>35.811999999999998</v>
      </c>
      <c r="E22" s="6">
        <f>+Chem!E21</f>
        <v>34.055999999999997</v>
      </c>
      <c r="F22" s="6">
        <f t="shared" si="28"/>
        <v>499.39699999999999</v>
      </c>
      <c r="G22" s="95">
        <f>24*G7</f>
        <v>6000</v>
      </c>
      <c r="H22" s="9">
        <f t="shared" si="0"/>
        <v>16.159815838429424</v>
      </c>
      <c r="I22" s="7">
        <f t="shared" si="29"/>
        <v>109875</v>
      </c>
      <c r="J22" s="9">
        <f t="shared" si="1"/>
        <v>19.491329915854081</v>
      </c>
      <c r="K22" s="95"/>
      <c r="L22" s="9">
        <f t="shared" si="2"/>
        <v>0</v>
      </c>
      <c r="M22" s="9">
        <f t="shared" si="30"/>
        <v>0</v>
      </c>
      <c r="N22" s="9">
        <f t="shared" si="3"/>
        <v>0</v>
      </c>
      <c r="O22" s="95"/>
      <c r="P22" s="9">
        <f t="shared" si="4"/>
        <v>0</v>
      </c>
      <c r="Q22" s="9">
        <f t="shared" si="31"/>
        <v>0</v>
      </c>
      <c r="R22" s="9">
        <f t="shared" si="5"/>
        <v>0</v>
      </c>
      <c r="S22" s="9">
        <f t="shared" si="32"/>
        <v>6000</v>
      </c>
      <c r="T22" s="9">
        <f t="shared" si="6"/>
        <v>16.159815838429424</v>
      </c>
      <c r="U22" s="9">
        <f t="shared" si="33"/>
        <v>109875</v>
      </c>
      <c r="V22" s="9">
        <f t="shared" si="7"/>
        <v>19.491329915854081</v>
      </c>
      <c r="W22" s="95"/>
      <c r="X22" s="9"/>
      <c r="Y22" s="9"/>
      <c r="Z22" s="9"/>
      <c r="AA22" s="95"/>
      <c r="AB22" s="9">
        <f t="shared" si="8"/>
        <v>0</v>
      </c>
      <c r="AC22" s="9">
        <f t="shared" si="34"/>
        <v>0</v>
      </c>
      <c r="AD22" s="9">
        <f t="shared" si="9"/>
        <v>0</v>
      </c>
      <c r="AE22" s="95"/>
      <c r="AF22" s="9">
        <f t="shared" si="10"/>
        <v>0</v>
      </c>
      <c r="AG22" s="9">
        <f t="shared" si="35"/>
        <v>0</v>
      </c>
      <c r="AH22" s="9">
        <f t="shared" si="11"/>
        <v>0</v>
      </c>
      <c r="AI22" s="95"/>
      <c r="AJ22" s="9">
        <f t="shared" si="12"/>
        <v>0</v>
      </c>
      <c r="AK22" s="9">
        <f t="shared" si="36"/>
        <v>0</v>
      </c>
      <c r="AL22" s="9">
        <f t="shared" si="13"/>
        <v>0</v>
      </c>
      <c r="AM22" s="9">
        <f t="shared" si="37"/>
        <v>0</v>
      </c>
      <c r="AN22" s="9">
        <f t="shared" si="14"/>
        <v>0</v>
      </c>
      <c r="AO22" s="9">
        <f t="shared" si="38"/>
        <v>0</v>
      </c>
      <c r="AP22" s="9">
        <f t="shared" si="15"/>
        <v>0</v>
      </c>
      <c r="AQ22" s="95"/>
      <c r="AR22" s="587">
        <f t="shared" si="39"/>
        <v>0</v>
      </c>
      <c r="AS22" s="9">
        <f t="shared" si="40"/>
        <v>0</v>
      </c>
      <c r="AT22" s="587">
        <f t="shared" si="41"/>
        <v>0</v>
      </c>
      <c r="AU22" s="95"/>
      <c r="AV22" s="9">
        <f t="shared" si="16"/>
        <v>0</v>
      </c>
      <c r="AW22" s="9">
        <f t="shared" si="42"/>
        <v>178696.55799999999</v>
      </c>
      <c r="AX22" s="9">
        <f t="shared" si="43"/>
        <v>31.699964203008452</v>
      </c>
      <c r="AY22" s="95">
        <f>64*AY7</f>
        <v>16098.175999999999</v>
      </c>
      <c r="AZ22" s="9">
        <f t="shared" si="17"/>
        <v>43.357259915770726</v>
      </c>
      <c r="BA22" s="9">
        <f t="shared" si="44"/>
        <v>203994.07399999999</v>
      </c>
      <c r="BB22" s="9">
        <f t="shared" si="18"/>
        <v>36.18762955370331</v>
      </c>
      <c r="BC22" s="95">
        <f>60*BC7</f>
        <v>15030.96</v>
      </c>
      <c r="BD22" s="14">
        <f t="shared" si="19"/>
        <v>40.482924245799843</v>
      </c>
      <c r="BE22" s="9">
        <f t="shared" si="45"/>
        <v>71146.543999999994</v>
      </c>
      <c r="BF22" s="9">
        <f t="shared" si="20"/>
        <v>12.62107632743416</v>
      </c>
      <c r="BG22" s="9">
        <f t="shared" si="46"/>
        <v>31129.135999999999</v>
      </c>
      <c r="BH22" s="9">
        <f t="shared" si="21"/>
        <v>83.840184161570576</v>
      </c>
      <c r="BI22" s="9">
        <f t="shared" si="47"/>
        <v>453837.17600000004</v>
      </c>
      <c r="BJ22" s="9">
        <f t="shared" si="22"/>
        <v>80.508670084145933</v>
      </c>
      <c r="BK22" s="95"/>
      <c r="BL22" s="9">
        <f t="shared" si="23"/>
        <v>0</v>
      </c>
      <c r="BM22" s="9">
        <f t="shared" si="48"/>
        <v>0</v>
      </c>
      <c r="BN22" s="9">
        <f t="shared" si="24"/>
        <v>0</v>
      </c>
      <c r="BO22" s="9">
        <f t="shared" si="25"/>
        <v>37129.135999999999</v>
      </c>
      <c r="BP22" s="9">
        <f t="shared" si="49"/>
        <v>563712.17599999998</v>
      </c>
      <c r="BQ22" s="510">
        <f t="shared" si="26"/>
        <v>1.0902377260981913</v>
      </c>
      <c r="BR22" s="9">
        <f t="shared" si="27"/>
        <v>1.1287856675150232</v>
      </c>
      <c r="BV22" s="13"/>
      <c r="BW22" s="13"/>
      <c r="BZ22" s="13"/>
      <c r="CA22" s="13"/>
    </row>
    <row r="23" spans="1:79">
      <c r="A23" s="15">
        <f>+Chem!A22</f>
        <v>46005</v>
      </c>
      <c r="B23" s="5" t="str">
        <f>+Chem!B22</f>
        <v>Facial</v>
      </c>
      <c r="C23" s="15" t="str">
        <f>+Chem!C22</f>
        <v>12</v>
      </c>
      <c r="D23" s="7">
        <f>+Chem!D22</f>
        <v>36.808999999999997</v>
      </c>
      <c r="E23" s="6">
        <f>+Chem!E22</f>
        <v>33.35</v>
      </c>
      <c r="F23" s="6">
        <f t="shared" si="28"/>
        <v>532.74699999999996</v>
      </c>
      <c r="G23" s="95">
        <f>29*G7</f>
        <v>7250</v>
      </c>
      <c r="H23" s="9">
        <f t="shared" si="0"/>
        <v>19.399031386294919</v>
      </c>
      <c r="I23" s="7">
        <f t="shared" si="29"/>
        <v>117125</v>
      </c>
      <c r="J23" s="9">
        <f t="shared" si="1"/>
        <v>19.48559117352114</v>
      </c>
      <c r="K23" s="95"/>
      <c r="L23" s="9">
        <f t="shared" si="2"/>
        <v>0</v>
      </c>
      <c r="M23" s="9">
        <f t="shared" si="30"/>
        <v>0</v>
      </c>
      <c r="N23" s="9">
        <f t="shared" si="3"/>
        <v>0</v>
      </c>
      <c r="O23" s="95"/>
      <c r="P23" s="9">
        <f t="shared" si="4"/>
        <v>0</v>
      </c>
      <c r="Q23" s="9">
        <f t="shared" si="31"/>
        <v>0</v>
      </c>
      <c r="R23" s="9">
        <f t="shared" si="5"/>
        <v>0</v>
      </c>
      <c r="S23" s="9">
        <f t="shared" si="32"/>
        <v>7250</v>
      </c>
      <c r="T23" s="9">
        <f t="shared" si="6"/>
        <v>19.399031386294919</v>
      </c>
      <c r="U23" s="9">
        <f t="shared" si="33"/>
        <v>117125</v>
      </c>
      <c r="V23" s="9">
        <f t="shared" si="7"/>
        <v>19.48559117352114</v>
      </c>
      <c r="W23" s="95"/>
      <c r="X23" s="9"/>
      <c r="Y23" s="9"/>
      <c r="Z23" s="9"/>
      <c r="AA23" s="95"/>
      <c r="AB23" s="9">
        <f t="shared" si="8"/>
        <v>0</v>
      </c>
      <c r="AC23" s="9">
        <f t="shared" si="34"/>
        <v>0</v>
      </c>
      <c r="AD23" s="9">
        <f t="shared" si="9"/>
        <v>0</v>
      </c>
      <c r="AE23" s="95"/>
      <c r="AF23" s="9">
        <f t="shared" si="10"/>
        <v>0</v>
      </c>
      <c r="AG23" s="9">
        <f t="shared" si="35"/>
        <v>0</v>
      </c>
      <c r="AH23" s="9">
        <f t="shared" si="11"/>
        <v>0</v>
      </c>
      <c r="AI23" s="95"/>
      <c r="AJ23" s="9">
        <f t="shared" si="12"/>
        <v>0</v>
      </c>
      <c r="AK23" s="9">
        <f t="shared" si="36"/>
        <v>0</v>
      </c>
      <c r="AL23" s="9">
        <f t="shared" si="13"/>
        <v>0</v>
      </c>
      <c r="AM23" s="9">
        <f t="shared" si="37"/>
        <v>0</v>
      </c>
      <c r="AN23" s="9">
        <f t="shared" si="14"/>
        <v>0</v>
      </c>
      <c r="AO23" s="9">
        <f t="shared" si="38"/>
        <v>0</v>
      </c>
      <c r="AP23" s="9">
        <f t="shared" si="15"/>
        <v>0</v>
      </c>
      <c r="AQ23" s="95"/>
      <c r="AR23" s="587">
        <f t="shared" si="39"/>
        <v>0</v>
      </c>
      <c r="AS23" s="9">
        <f t="shared" si="40"/>
        <v>0</v>
      </c>
      <c r="AT23" s="587">
        <f t="shared" si="41"/>
        <v>0</v>
      </c>
      <c r="AU23" s="95"/>
      <c r="AV23" s="9">
        <f t="shared" si="16"/>
        <v>0</v>
      </c>
      <c r="AW23" s="9">
        <f t="shared" si="42"/>
        <v>178696.55799999999</v>
      </c>
      <c r="AX23" s="9">
        <f t="shared" si="43"/>
        <v>29.728991020733474</v>
      </c>
      <c r="AY23" s="95">
        <f>60*AY7</f>
        <v>15092.039999999999</v>
      </c>
      <c r="AZ23" s="9">
        <f t="shared" si="17"/>
        <v>40.382201054237015</v>
      </c>
      <c r="BA23" s="9">
        <f t="shared" si="44"/>
        <v>219086.114</v>
      </c>
      <c r="BB23" s="9">
        <f t="shared" si="18"/>
        <v>36.4484307295577</v>
      </c>
      <c r="BC23" s="95">
        <f>60*BC7</f>
        <v>15030.96</v>
      </c>
      <c r="BD23" s="14">
        <f t="shared" si="19"/>
        <v>40.218767559468063</v>
      </c>
      <c r="BE23" s="9">
        <f t="shared" si="45"/>
        <v>86177.503999999986</v>
      </c>
      <c r="BF23" s="9">
        <f t="shared" si="20"/>
        <v>14.336987076187683</v>
      </c>
      <c r="BG23" s="9">
        <f t="shared" si="46"/>
        <v>30123</v>
      </c>
      <c r="BH23" s="9">
        <f t="shared" si="21"/>
        <v>80.600968613705078</v>
      </c>
      <c r="BI23" s="9">
        <f t="shared" si="47"/>
        <v>483960.17600000004</v>
      </c>
      <c r="BJ23" s="9">
        <f t="shared" si="22"/>
        <v>80.514408826478871</v>
      </c>
      <c r="BK23" s="95"/>
      <c r="BL23" s="9">
        <f t="shared" si="23"/>
        <v>0</v>
      </c>
      <c r="BM23" s="9">
        <f t="shared" si="48"/>
        <v>0</v>
      </c>
      <c r="BN23" s="9">
        <f t="shared" si="24"/>
        <v>0</v>
      </c>
      <c r="BO23" s="9">
        <f t="shared" si="25"/>
        <v>37373</v>
      </c>
      <c r="BP23" s="9">
        <f t="shared" si="49"/>
        <v>601085.17599999998</v>
      </c>
      <c r="BQ23" s="510">
        <f t="shared" si="26"/>
        <v>1.1206296851574211</v>
      </c>
      <c r="BR23" s="9">
        <f t="shared" si="27"/>
        <v>1.1282751024407458</v>
      </c>
      <c r="BZ23" s="13"/>
      <c r="CA23" s="13"/>
    </row>
    <row r="24" spans="1:79">
      <c r="A24" s="15">
        <f>+Chem!A23</f>
        <v>46006</v>
      </c>
      <c r="B24" s="5" t="str">
        <f>+Chem!B23</f>
        <v>Facial</v>
      </c>
      <c r="C24" s="15" t="str">
        <f>+Chem!C23</f>
        <v>12/13</v>
      </c>
      <c r="D24" s="7">
        <f>+Chem!D23</f>
        <v>38.225999999999999</v>
      </c>
      <c r="E24" s="6">
        <f>+Chem!E23</f>
        <v>37.173000000000002</v>
      </c>
      <c r="F24" s="6">
        <f t="shared" si="28"/>
        <v>569.91999999999996</v>
      </c>
      <c r="G24" s="95">
        <f>25.25*G7</f>
        <v>6312.5</v>
      </c>
      <c r="H24" s="9">
        <f t="shared" si="0"/>
        <v>16.002159816263518</v>
      </c>
      <c r="I24" s="7">
        <f t="shared" si="29"/>
        <v>123437.5</v>
      </c>
      <c r="J24" s="9">
        <f t="shared" si="1"/>
        <v>19.27106091724464</v>
      </c>
      <c r="K24" s="95"/>
      <c r="L24" s="9">
        <f t="shared" si="2"/>
        <v>0</v>
      </c>
      <c r="M24" s="9">
        <f t="shared" si="30"/>
        <v>0</v>
      </c>
      <c r="N24" s="9">
        <f t="shared" si="3"/>
        <v>0</v>
      </c>
      <c r="O24" s="95"/>
      <c r="P24" s="9">
        <f t="shared" si="4"/>
        <v>0</v>
      </c>
      <c r="Q24" s="9">
        <f t="shared" si="31"/>
        <v>0</v>
      </c>
      <c r="R24" s="9">
        <f t="shared" si="5"/>
        <v>0</v>
      </c>
      <c r="S24" s="9">
        <f t="shared" si="32"/>
        <v>6312.5</v>
      </c>
      <c r="T24" s="9">
        <f t="shared" si="6"/>
        <v>16.002159816263518</v>
      </c>
      <c r="U24" s="9">
        <f t="shared" si="33"/>
        <v>123437.5</v>
      </c>
      <c r="V24" s="9">
        <f t="shared" si="7"/>
        <v>19.27106091724464</v>
      </c>
      <c r="W24" s="95"/>
      <c r="X24" s="9"/>
      <c r="Y24" s="9"/>
      <c r="Z24" s="9"/>
      <c r="AA24" s="95"/>
      <c r="AB24" s="9">
        <f t="shared" si="8"/>
        <v>0</v>
      </c>
      <c r="AC24" s="9">
        <f t="shared" si="34"/>
        <v>0</v>
      </c>
      <c r="AD24" s="9">
        <f t="shared" si="9"/>
        <v>0</v>
      </c>
      <c r="AE24" s="95"/>
      <c r="AF24" s="9">
        <f t="shared" si="10"/>
        <v>0</v>
      </c>
      <c r="AG24" s="9">
        <f t="shared" si="35"/>
        <v>0</v>
      </c>
      <c r="AH24" s="9">
        <f t="shared" si="11"/>
        <v>0</v>
      </c>
      <c r="AI24" s="95"/>
      <c r="AJ24" s="9">
        <f t="shared" si="12"/>
        <v>0</v>
      </c>
      <c r="AK24" s="9">
        <f t="shared" si="36"/>
        <v>0</v>
      </c>
      <c r="AL24" s="9">
        <f t="shared" si="13"/>
        <v>0</v>
      </c>
      <c r="AM24" s="9">
        <f t="shared" si="37"/>
        <v>0</v>
      </c>
      <c r="AN24" s="9">
        <f t="shared" si="14"/>
        <v>0</v>
      </c>
      <c r="AO24" s="9">
        <f t="shared" si="38"/>
        <v>0</v>
      </c>
      <c r="AP24" s="9">
        <f t="shared" si="15"/>
        <v>0</v>
      </c>
      <c r="AQ24" s="95"/>
      <c r="AR24" s="587">
        <f t="shared" si="39"/>
        <v>0</v>
      </c>
      <c r="AS24" s="9">
        <f t="shared" si="40"/>
        <v>0</v>
      </c>
      <c r="AT24" s="587">
        <f t="shared" si="41"/>
        <v>0</v>
      </c>
      <c r="AU24" s="95"/>
      <c r="AV24" s="9">
        <f t="shared" si="16"/>
        <v>0</v>
      </c>
      <c r="AW24" s="9">
        <f t="shared" si="42"/>
        <v>178696.55799999999</v>
      </c>
      <c r="AX24" s="9">
        <f t="shared" si="43"/>
        <v>27.898104343655213</v>
      </c>
      <c r="AY24" s="95">
        <f>66*AY7</f>
        <v>16601.243999999999</v>
      </c>
      <c r="AZ24" s="9">
        <f t="shared" si="17"/>
        <v>42.084080734540322</v>
      </c>
      <c r="BA24" s="9">
        <f t="shared" si="44"/>
        <v>235687.35800000001</v>
      </c>
      <c r="BB24" s="9">
        <f t="shared" si="18"/>
        <v>36.795507308900831</v>
      </c>
      <c r="BC24" s="95">
        <f>66*BC7</f>
        <v>16534.056</v>
      </c>
      <c r="BD24" s="14">
        <f t="shared" si="19"/>
        <v>41.913759449196149</v>
      </c>
      <c r="BE24" s="9">
        <f t="shared" si="45"/>
        <v>102711.55999999998</v>
      </c>
      <c r="BF24" s="9">
        <f t="shared" si="20"/>
        <v>16.035327430199313</v>
      </c>
      <c r="BG24" s="9">
        <f t="shared" si="46"/>
        <v>33135.300000000003</v>
      </c>
      <c r="BH24" s="9">
        <f t="shared" si="21"/>
        <v>83.997840183736486</v>
      </c>
      <c r="BI24" s="9">
        <f t="shared" si="47"/>
        <v>517095.47600000002</v>
      </c>
      <c r="BJ24" s="9">
        <f t="shared" si="22"/>
        <v>80.72893908275536</v>
      </c>
      <c r="BK24" s="95"/>
      <c r="BL24" s="9">
        <f t="shared" si="23"/>
        <v>0</v>
      </c>
      <c r="BM24" s="9">
        <f t="shared" si="48"/>
        <v>0</v>
      </c>
      <c r="BN24" s="9">
        <f t="shared" si="24"/>
        <v>0</v>
      </c>
      <c r="BO24" s="9">
        <f t="shared" si="25"/>
        <v>39447.800000000003</v>
      </c>
      <c r="BP24" s="9">
        <f t="shared" si="49"/>
        <v>640532.97600000002</v>
      </c>
      <c r="BQ24" s="510">
        <f t="shared" si="26"/>
        <v>1.061194953326339</v>
      </c>
      <c r="BR24" s="9">
        <f t="shared" si="27"/>
        <v>1.1238998034811905</v>
      </c>
      <c r="BZ24" s="13"/>
      <c r="CA24" s="13"/>
    </row>
    <row r="25" spans="1:79">
      <c r="A25" s="15">
        <f>+Chem!A24</f>
        <v>46007</v>
      </c>
      <c r="B25" s="5" t="str">
        <f>+Chem!B24</f>
        <v>Facial</v>
      </c>
      <c r="C25" s="15" t="str">
        <f>+Chem!C24</f>
        <v>13/12</v>
      </c>
      <c r="D25" s="7">
        <f>+Chem!D24</f>
        <v>34.789000000000001</v>
      </c>
      <c r="E25" s="6">
        <f>+Chem!E24</f>
        <v>30.58</v>
      </c>
      <c r="F25" s="6">
        <f t="shared" si="28"/>
        <v>600.5</v>
      </c>
      <c r="G25" s="95">
        <f>16.25*G7</f>
        <v>4062.5</v>
      </c>
      <c r="H25" s="9">
        <f t="shared" si="0"/>
        <v>12.243304984117607</v>
      </c>
      <c r="I25" s="7">
        <f t="shared" si="29"/>
        <v>127500</v>
      </c>
      <c r="J25" s="9">
        <f t="shared" si="1"/>
        <v>18.924933850602589</v>
      </c>
      <c r="K25" s="95"/>
      <c r="L25" s="9">
        <f t="shared" si="2"/>
        <v>0</v>
      </c>
      <c r="M25" s="9">
        <f t="shared" si="30"/>
        <v>0</v>
      </c>
      <c r="N25" s="9">
        <f t="shared" si="3"/>
        <v>0</v>
      </c>
      <c r="O25" s="95"/>
      <c r="P25" s="9">
        <f t="shared" si="4"/>
        <v>0</v>
      </c>
      <c r="Q25" s="9">
        <f t="shared" si="31"/>
        <v>0</v>
      </c>
      <c r="R25" s="9">
        <f t="shared" si="5"/>
        <v>0</v>
      </c>
      <c r="S25" s="9">
        <f t="shared" si="32"/>
        <v>4062.5</v>
      </c>
      <c r="T25" s="9">
        <f t="shared" si="6"/>
        <v>12.243304984117607</v>
      </c>
      <c r="U25" s="9">
        <f t="shared" si="33"/>
        <v>127500</v>
      </c>
      <c r="V25" s="9">
        <f t="shared" si="7"/>
        <v>18.924933850602589</v>
      </c>
      <c r="W25" s="95"/>
      <c r="X25" s="9"/>
      <c r="Y25" s="9"/>
      <c r="Z25" s="9"/>
      <c r="AA25" s="95"/>
      <c r="AB25" s="9">
        <f t="shared" si="8"/>
        <v>0</v>
      </c>
      <c r="AC25" s="9">
        <f t="shared" si="34"/>
        <v>0</v>
      </c>
      <c r="AD25" s="9">
        <f t="shared" si="9"/>
        <v>0</v>
      </c>
      <c r="AE25" s="95"/>
      <c r="AF25" s="9">
        <f t="shared" si="10"/>
        <v>0</v>
      </c>
      <c r="AG25" s="9">
        <f t="shared" si="35"/>
        <v>0</v>
      </c>
      <c r="AH25" s="9">
        <f t="shared" si="11"/>
        <v>0</v>
      </c>
      <c r="AI25" s="95"/>
      <c r="AJ25" s="9">
        <f t="shared" si="12"/>
        <v>0</v>
      </c>
      <c r="AK25" s="9">
        <f t="shared" si="36"/>
        <v>0</v>
      </c>
      <c r="AL25" s="9">
        <f t="shared" si="13"/>
        <v>0</v>
      </c>
      <c r="AM25" s="9">
        <f t="shared" si="37"/>
        <v>0</v>
      </c>
      <c r="AN25" s="9">
        <f t="shared" si="14"/>
        <v>0</v>
      </c>
      <c r="AO25" s="9">
        <f t="shared" si="38"/>
        <v>0</v>
      </c>
      <c r="AP25" s="9">
        <f t="shared" si="15"/>
        <v>0</v>
      </c>
      <c r="AQ25" s="95"/>
      <c r="AR25" s="587">
        <f t="shared" si="39"/>
        <v>0</v>
      </c>
      <c r="AS25" s="9">
        <f t="shared" si="40"/>
        <v>0</v>
      </c>
      <c r="AT25" s="587">
        <f t="shared" si="41"/>
        <v>0</v>
      </c>
      <c r="AU25" s="95"/>
      <c r="AV25" s="9">
        <f t="shared" si="16"/>
        <v>0</v>
      </c>
      <c r="AW25" s="9">
        <f t="shared" si="42"/>
        <v>178696.55799999999</v>
      </c>
      <c r="AX25" s="9">
        <f t="shared" si="43"/>
        <v>26.524082662591127</v>
      </c>
      <c r="AY25" s="95">
        <f>58*AY7</f>
        <v>14588.972</v>
      </c>
      <c r="AZ25" s="9">
        <f t="shared" si="17"/>
        <v>43.96731904018516</v>
      </c>
      <c r="BA25" s="9">
        <f t="shared" si="44"/>
        <v>250276.33000000002</v>
      </c>
      <c r="BB25" s="9">
        <f t="shared" si="18"/>
        <v>37.148729330365363</v>
      </c>
      <c r="BC25" s="95">
        <f>58*BC7</f>
        <v>14529.928</v>
      </c>
      <c r="BD25" s="14">
        <f t="shared" si="19"/>
        <v>43.789375975697226</v>
      </c>
      <c r="BE25" s="9">
        <f t="shared" si="45"/>
        <v>117241.48799999998</v>
      </c>
      <c r="BF25" s="9">
        <f t="shared" si="20"/>
        <v>17.402254156440915</v>
      </c>
      <c r="BG25" s="9">
        <f t="shared" si="46"/>
        <v>29118.9</v>
      </c>
      <c r="BH25" s="9">
        <f t="shared" si="21"/>
        <v>87.756695015882386</v>
      </c>
      <c r="BI25" s="9">
        <f t="shared" si="47"/>
        <v>546214.37600000005</v>
      </c>
      <c r="BJ25" s="9">
        <f t="shared" si="22"/>
        <v>81.075066149397415</v>
      </c>
      <c r="BK25" s="95"/>
      <c r="BL25" s="9">
        <f t="shared" si="23"/>
        <v>0</v>
      </c>
      <c r="BM25" s="9">
        <f t="shared" si="48"/>
        <v>0</v>
      </c>
      <c r="BN25" s="9">
        <f t="shared" si="24"/>
        <v>0</v>
      </c>
      <c r="BO25" s="9">
        <f t="shared" si="25"/>
        <v>33181.4</v>
      </c>
      <c r="BP25" s="9">
        <f t="shared" si="49"/>
        <v>673714.37600000005</v>
      </c>
      <c r="BQ25" s="510">
        <f t="shared" si="26"/>
        <v>1.0850686723348595</v>
      </c>
      <c r="BR25" s="9">
        <f t="shared" si="27"/>
        <v>1.1219223580349709</v>
      </c>
      <c r="BZ25" s="13"/>
      <c r="CA25" s="13"/>
    </row>
    <row r="26" spans="1:79">
      <c r="A26" s="15">
        <f>+Chem!A25</f>
        <v>46008</v>
      </c>
      <c r="B26" s="5" t="str">
        <f>+Chem!B25</f>
        <v>Facial</v>
      </c>
      <c r="C26" s="15" t="str">
        <f>+Chem!C25</f>
        <v>12/11,5</v>
      </c>
      <c r="D26" s="7">
        <f>+Chem!D25</f>
        <v>36.963999999999999</v>
      </c>
      <c r="E26" s="6">
        <f>+Chem!E25</f>
        <v>34.347000000000001</v>
      </c>
      <c r="F26" s="6">
        <f t="shared" si="28"/>
        <v>634.84699999999998</v>
      </c>
      <c r="G26" s="95">
        <f>16.5*G7</f>
        <v>4125</v>
      </c>
      <c r="H26" s="9">
        <f t="shared" si="0"/>
        <v>11.070764325569037</v>
      </c>
      <c r="I26" s="7">
        <f t="shared" si="29"/>
        <v>131625</v>
      </c>
      <c r="J26" s="9">
        <f t="shared" si="1"/>
        <v>18.513317624831966</v>
      </c>
      <c r="K26" s="95"/>
      <c r="L26" s="9">
        <f t="shared" si="2"/>
        <v>0</v>
      </c>
      <c r="M26" s="9">
        <f t="shared" si="30"/>
        <v>0</v>
      </c>
      <c r="N26" s="9">
        <f t="shared" si="3"/>
        <v>0</v>
      </c>
      <c r="O26" s="95"/>
      <c r="P26" s="9">
        <f t="shared" si="4"/>
        <v>0</v>
      </c>
      <c r="Q26" s="9">
        <f t="shared" si="31"/>
        <v>0</v>
      </c>
      <c r="R26" s="9">
        <f t="shared" si="5"/>
        <v>0</v>
      </c>
      <c r="S26" s="9">
        <f t="shared" si="32"/>
        <v>4125</v>
      </c>
      <c r="T26" s="9">
        <f t="shared" si="6"/>
        <v>11.070764325569037</v>
      </c>
      <c r="U26" s="9">
        <f t="shared" si="33"/>
        <v>131625</v>
      </c>
      <c r="V26" s="9">
        <f t="shared" si="7"/>
        <v>18.513317624831966</v>
      </c>
      <c r="W26" s="95"/>
      <c r="X26" s="9"/>
      <c r="Y26" s="9"/>
      <c r="Z26" s="9"/>
      <c r="AA26" s="95"/>
      <c r="AB26" s="9">
        <f t="shared" si="8"/>
        <v>0</v>
      </c>
      <c r="AC26" s="9">
        <f t="shared" si="34"/>
        <v>0</v>
      </c>
      <c r="AD26" s="9">
        <f t="shared" si="9"/>
        <v>0</v>
      </c>
      <c r="AE26" s="95"/>
      <c r="AF26" s="9">
        <f t="shared" si="10"/>
        <v>0</v>
      </c>
      <c r="AG26" s="9">
        <f t="shared" si="35"/>
        <v>0</v>
      </c>
      <c r="AH26" s="9">
        <f t="shared" si="11"/>
        <v>0</v>
      </c>
      <c r="AI26" s="95"/>
      <c r="AJ26" s="9">
        <f t="shared" si="12"/>
        <v>0</v>
      </c>
      <c r="AK26" s="9">
        <f t="shared" si="36"/>
        <v>0</v>
      </c>
      <c r="AL26" s="9">
        <f t="shared" si="13"/>
        <v>0</v>
      </c>
      <c r="AM26" s="9">
        <f t="shared" si="37"/>
        <v>0</v>
      </c>
      <c r="AN26" s="9">
        <f t="shared" si="14"/>
        <v>0</v>
      </c>
      <c r="AO26" s="9">
        <f t="shared" si="38"/>
        <v>0</v>
      </c>
      <c r="AP26" s="9">
        <f t="shared" si="15"/>
        <v>0</v>
      </c>
      <c r="AQ26" s="95"/>
      <c r="AR26" s="587">
        <f t="shared" si="39"/>
        <v>0</v>
      </c>
      <c r="AS26" s="9">
        <f t="shared" si="40"/>
        <v>0</v>
      </c>
      <c r="AT26" s="587">
        <f t="shared" si="41"/>
        <v>0</v>
      </c>
      <c r="AU26" s="95"/>
      <c r="AV26" s="9">
        <f t="shared" si="16"/>
        <v>0</v>
      </c>
      <c r="AW26" s="9">
        <f t="shared" si="42"/>
        <v>178696.55799999999</v>
      </c>
      <c r="AX26" s="9">
        <f t="shared" si="43"/>
        <v>25.134025730052862</v>
      </c>
      <c r="AY26" s="95">
        <f>66*AY7</f>
        <v>16601.243999999999</v>
      </c>
      <c r="AZ26" s="9">
        <f t="shared" si="17"/>
        <v>44.554778141882913</v>
      </c>
      <c r="BA26" s="9">
        <f t="shared" si="44"/>
        <v>266877.57400000002</v>
      </c>
      <c r="BB26" s="9">
        <f t="shared" si="18"/>
        <v>37.536860736232462</v>
      </c>
      <c r="BC26" s="95">
        <f>66*BC7</f>
        <v>16534.056</v>
      </c>
      <c r="BD26" s="14">
        <f t="shared" si="19"/>
        <v>44.374457532548043</v>
      </c>
      <c r="BE26" s="9">
        <f t="shared" si="45"/>
        <v>133775.54399999999</v>
      </c>
      <c r="BF26" s="9">
        <f t="shared" si="20"/>
        <v>18.815795908882691</v>
      </c>
      <c r="BG26" s="9">
        <f t="shared" si="46"/>
        <v>33135.300000000003</v>
      </c>
      <c r="BH26" s="9">
        <f t="shared" si="21"/>
        <v>88.929235674430956</v>
      </c>
      <c r="BI26" s="9">
        <f t="shared" si="47"/>
        <v>579349.67600000009</v>
      </c>
      <c r="BJ26" s="9">
        <f t="shared" si="22"/>
        <v>81.48668237516803</v>
      </c>
      <c r="BK26" s="95"/>
      <c r="BL26" s="9">
        <f t="shared" si="23"/>
        <v>0</v>
      </c>
      <c r="BM26" s="9">
        <f t="shared" si="48"/>
        <v>0</v>
      </c>
      <c r="BN26" s="9">
        <f t="shared" si="24"/>
        <v>0</v>
      </c>
      <c r="BO26" s="9">
        <f t="shared" si="25"/>
        <v>37260.300000000003</v>
      </c>
      <c r="BP26" s="9">
        <f t="shared" si="49"/>
        <v>710974.67600000009</v>
      </c>
      <c r="BQ26" s="510">
        <f t="shared" si="26"/>
        <v>1.0848196349026116</v>
      </c>
      <c r="BR26" s="9">
        <f t="shared" si="27"/>
        <v>1.1199149968417588</v>
      </c>
      <c r="BT26" s="13"/>
      <c r="BZ26" s="13"/>
    </row>
    <row r="27" spans="1:79">
      <c r="A27" s="15">
        <f>+Chem!A26</f>
        <v>46009</v>
      </c>
      <c r="B27" s="5" t="str">
        <f>+Chem!B26</f>
        <v>Facial</v>
      </c>
      <c r="C27" s="15" t="str">
        <f>+Chem!C26</f>
        <v>11,5</v>
      </c>
      <c r="D27" s="7">
        <f>+Chem!D26</f>
        <v>35.033999999999999</v>
      </c>
      <c r="E27" s="6">
        <f>+Chem!E26</f>
        <v>35.722000000000001</v>
      </c>
      <c r="F27" s="6">
        <f t="shared" si="28"/>
        <v>670.56899999999996</v>
      </c>
      <c r="G27" s="95">
        <f>22.75*G7</f>
        <v>5687.5</v>
      </c>
      <c r="H27" s="9">
        <f t="shared" si="0"/>
        <v>15.44903380723952</v>
      </c>
      <c r="I27" s="7">
        <f t="shared" si="29"/>
        <v>137312.5</v>
      </c>
      <c r="J27" s="9">
        <f t="shared" si="1"/>
        <v>18.362459105391075</v>
      </c>
      <c r="K27" s="95"/>
      <c r="L27" s="9">
        <f t="shared" si="2"/>
        <v>0</v>
      </c>
      <c r="M27" s="9">
        <f t="shared" si="30"/>
        <v>0</v>
      </c>
      <c r="N27" s="9">
        <f t="shared" si="3"/>
        <v>0</v>
      </c>
      <c r="O27" s="95"/>
      <c r="P27" s="9">
        <f t="shared" si="4"/>
        <v>0</v>
      </c>
      <c r="Q27" s="9">
        <f t="shared" si="31"/>
        <v>0</v>
      </c>
      <c r="R27" s="9">
        <f t="shared" si="5"/>
        <v>0</v>
      </c>
      <c r="S27" s="9">
        <f t="shared" si="32"/>
        <v>5687.5</v>
      </c>
      <c r="T27" s="9">
        <f t="shared" si="6"/>
        <v>15.44903380723952</v>
      </c>
      <c r="U27" s="9">
        <f t="shared" si="33"/>
        <v>137312.5</v>
      </c>
      <c r="V27" s="9">
        <f t="shared" si="7"/>
        <v>18.362459105391075</v>
      </c>
      <c r="W27" s="95"/>
      <c r="X27" s="9"/>
      <c r="Y27" s="9"/>
      <c r="Z27" s="9"/>
      <c r="AA27" s="95"/>
      <c r="AB27" s="9">
        <f t="shared" si="8"/>
        <v>0</v>
      </c>
      <c r="AC27" s="9">
        <f t="shared" si="34"/>
        <v>0</v>
      </c>
      <c r="AD27" s="9">
        <f t="shared" si="9"/>
        <v>0</v>
      </c>
      <c r="AE27" s="95"/>
      <c r="AF27" s="9">
        <f t="shared" si="10"/>
        <v>0</v>
      </c>
      <c r="AG27" s="9">
        <f t="shared" si="35"/>
        <v>0</v>
      </c>
      <c r="AH27" s="9">
        <f t="shared" si="11"/>
        <v>0</v>
      </c>
      <c r="AI27" s="95"/>
      <c r="AJ27" s="9">
        <f t="shared" si="12"/>
        <v>0</v>
      </c>
      <c r="AK27" s="9">
        <f t="shared" si="36"/>
        <v>0</v>
      </c>
      <c r="AL27" s="9">
        <f t="shared" si="13"/>
        <v>0</v>
      </c>
      <c r="AM27" s="9">
        <f t="shared" si="37"/>
        <v>0</v>
      </c>
      <c r="AN27" s="9">
        <f t="shared" si="14"/>
        <v>0</v>
      </c>
      <c r="AO27" s="9">
        <f t="shared" si="38"/>
        <v>0</v>
      </c>
      <c r="AP27" s="9">
        <f t="shared" si="15"/>
        <v>0</v>
      </c>
      <c r="AQ27" s="95"/>
      <c r="AR27" s="587">
        <f t="shared" si="39"/>
        <v>0</v>
      </c>
      <c r="AS27" s="9">
        <f t="shared" si="40"/>
        <v>0</v>
      </c>
      <c r="AT27" s="587">
        <f t="shared" si="41"/>
        <v>0</v>
      </c>
      <c r="AU27" s="95"/>
      <c r="AV27" s="9">
        <f t="shared" si="16"/>
        <v>0</v>
      </c>
      <c r="AW27" s="9">
        <f t="shared" si="42"/>
        <v>178696.55799999999</v>
      </c>
      <c r="AX27" s="9">
        <f t="shared" si="43"/>
        <v>23.896646252519936</v>
      </c>
      <c r="AY27" s="95">
        <f>62*AY7</f>
        <v>15595.108</v>
      </c>
      <c r="AZ27" s="9">
        <f t="shared" si="17"/>
        <v>42.361204522118946</v>
      </c>
      <c r="BA27" s="9">
        <f t="shared" si="44"/>
        <v>282472.68200000003</v>
      </c>
      <c r="BB27" s="9">
        <f t="shared" si="18"/>
        <v>37.774369206118436</v>
      </c>
      <c r="BC27" s="95">
        <f>62*BC7</f>
        <v>15531.992</v>
      </c>
      <c r="BD27" s="14">
        <f t="shared" si="19"/>
        <v>42.189761670641538</v>
      </c>
      <c r="BE27" s="9">
        <f t="shared" si="45"/>
        <v>149307.53599999999</v>
      </c>
      <c r="BF27" s="9">
        <f t="shared" si="20"/>
        <v>19.966525435970546</v>
      </c>
      <c r="BG27" s="9">
        <f t="shared" si="46"/>
        <v>31127.1</v>
      </c>
      <c r="BH27" s="9">
        <f t="shared" si="21"/>
        <v>84.550966192760484</v>
      </c>
      <c r="BI27" s="9">
        <f t="shared" si="47"/>
        <v>610476.77600000007</v>
      </c>
      <c r="BJ27" s="9">
        <f t="shared" si="22"/>
        <v>81.637540894608932</v>
      </c>
      <c r="BK27" s="95"/>
      <c r="BL27" s="9">
        <f t="shared" si="23"/>
        <v>0</v>
      </c>
      <c r="BM27" s="9">
        <f t="shared" si="48"/>
        <v>0</v>
      </c>
      <c r="BN27" s="9">
        <f t="shared" si="24"/>
        <v>0</v>
      </c>
      <c r="BO27" s="9">
        <f t="shared" si="25"/>
        <v>36814.6</v>
      </c>
      <c r="BP27" s="9">
        <f t="shared" si="49"/>
        <v>747789.27600000007</v>
      </c>
      <c r="BQ27" s="510">
        <f t="shared" si="26"/>
        <v>1.0305861933822293</v>
      </c>
      <c r="BR27" s="9">
        <f t="shared" si="27"/>
        <v>1.1151563463267764</v>
      </c>
      <c r="BZ27" s="13"/>
    </row>
    <row r="28" spans="1:79">
      <c r="A28" s="15">
        <f>+Chem!A27</f>
        <v>46010</v>
      </c>
      <c r="B28" s="5" t="str">
        <f>+Chem!B27</f>
        <v>Facial/Toilet</v>
      </c>
      <c r="C28" s="15" t="str">
        <f>+Chem!C27</f>
        <v>11,5/14/13</v>
      </c>
      <c r="D28" s="7">
        <f>+Chem!D27</f>
        <v>39.844999999999999</v>
      </c>
      <c r="E28" s="6">
        <f>+Chem!E27</f>
        <v>37.222000000000001</v>
      </c>
      <c r="F28" s="6">
        <f t="shared" si="28"/>
        <v>707.79099999999994</v>
      </c>
      <c r="G28" s="95">
        <f>25.5*G7</f>
        <v>6375</v>
      </c>
      <c r="H28" s="9">
        <f t="shared" si="0"/>
        <v>15.735146022155089</v>
      </c>
      <c r="I28" s="7">
        <f t="shared" si="29"/>
        <v>143687.5</v>
      </c>
      <c r="J28" s="9">
        <f t="shared" si="1"/>
        <v>18.227429907354637</v>
      </c>
      <c r="K28" s="95"/>
      <c r="L28" s="9">
        <f t="shared" si="2"/>
        <v>0</v>
      </c>
      <c r="M28" s="9">
        <f t="shared" si="30"/>
        <v>0</v>
      </c>
      <c r="N28" s="9">
        <f t="shared" si="3"/>
        <v>0</v>
      </c>
      <c r="O28" s="95"/>
      <c r="P28" s="9">
        <f t="shared" si="4"/>
        <v>0</v>
      </c>
      <c r="Q28" s="9">
        <f t="shared" si="31"/>
        <v>0</v>
      </c>
      <c r="R28" s="9">
        <f t="shared" si="5"/>
        <v>0</v>
      </c>
      <c r="S28" s="9">
        <f t="shared" si="32"/>
        <v>6375</v>
      </c>
      <c r="T28" s="9">
        <f t="shared" si="6"/>
        <v>15.735146022155089</v>
      </c>
      <c r="U28" s="9">
        <f t="shared" si="33"/>
        <v>143687.5</v>
      </c>
      <c r="V28" s="9">
        <f t="shared" si="7"/>
        <v>18.227429907354637</v>
      </c>
      <c r="W28" s="95"/>
      <c r="X28" s="9"/>
      <c r="Y28" s="9"/>
      <c r="Z28" s="9"/>
      <c r="AA28" s="95"/>
      <c r="AB28" s="9">
        <f t="shared" si="8"/>
        <v>0</v>
      </c>
      <c r="AC28" s="9">
        <f t="shared" si="34"/>
        <v>0</v>
      </c>
      <c r="AD28" s="9">
        <f t="shared" si="9"/>
        <v>0</v>
      </c>
      <c r="AE28" s="95"/>
      <c r="AF28" s="9">
        <f t="shared" si="10"/>
        <v>0</v>
      </c>
      <c r="AG28" s="9">
        <f t="shared" si="35"/>
        <v>0</v>
      </c>
      <c r="AH28" s="9">
        <f t="shared" si="11"/>
        <v>0</v>
      </c>
      <c r="AI28" s="95"/>
      <c r="AJ28" s="9">
        <f t="shared" si="12"/>
        <v>0</v>
      </c>
      <c r="AK28" s="9">
        <f t="shared" si="36"/>
        <v>0</v>
      </c>
      <c r="AL28" s="9">
        <f t="shared" si="13"/>
        <v>0</v>
      </c>
      <c r="AM28" s="9">
        <f t="shared" si="37"/>
        <v>0</v>
      </c>
      <c r="AN28" s="9">
        <f t="shared" si="14"/>
        <v>0</v>
      </c>
      <c r="AO28" s="9">
        <f t="shared" si="38"/>
        <v>0</v>
      </c>
      <c r="AP28" s="9">
        <f t="shared" si="15"/>
        <v>0</v>
      </c>
      <c r="AQ28" s="95"/>
      <c r="AR28" s="587">
        <f t="shared" si="39"/>
        <v>0</v>
      </c>
      <c r="AS28" s="9">
        <f t="shared" si="40"/>
        <v>0</v>
      </c>
      <c r="AT28" s="587">
        <f t="shared" si="41"/>
        <v>0</v>
      </c>
      <c r="AU28" s="95"/>
      <c r="AV28" s="9">
        <f t="shared" si="16"/>
        <v>0</v>
      </c>
      <c r="AW28" s="9">
        <f t="shared" si="42"/>
        <v>178696.55799999999</v>
      </c>
      <c r="AX28" s="9">
        <f t="shared" si="43"/>
        <v>22.668492287989782</v>
      </c>
      <c r="AY28" s="95">
        <f>68*AY7</f>
        <v>17104.311999999998</v>
      </c>
      <c r="AZ28" s="9">
        <f t="shared" si="17"/>
        <v>42.21785834172541</v>
      </c>
      <c r="BA28" s="9">
        <f t="shared" si="44"/>
        <v>299576.99400000001</v>
      </c>
      <c r="BB28" s="9">
        <f t="shared" si="18"/>
        <v>38.002739695457151</v>
      </c>
      <c r="BC28" s="95">
        <f>68*BC7</f>
        <v>17035.088</v>
      </c>
      <c r="BD28" s="14">
        <f t="shared" si="19"/>
        <v>42.046995636119512</v>
      </c>
      <c r="BE28" s="9">
        <f t="shared" si="45"/>
        <v>166342.62399999998</v>
      </c>
      <c r="BF28" s="9">
        <f t="shared" si="20"/>
        <v>21.101338109198412</v>
      </c>
      <c r="BG28" s="9">
        <f t="shared" si="46"/>
        <v>34139.399999999994</v>
      </c>
      <c r="BH28" s="9">
        <f t="shared" si="21"/>
        <v>84.264853977844908</v>
      </c>
      <c r="BI28" s="9">
        <f t="shared" si="47"/>
        <v>644616.17600000009</v>
      </c>
      <c r="BJ28" s="9">
        <f t="shared" si="22"/>
        <v>81.772570092645367</v>
      </c>
      <c r="BK28" s="95"/>
      <c r="BL28" s="9">
        <f t="shared" si="23"/>
        <v>0</v>
      </c>
      <c r="BM28" s="9">
        <f t="shared" si="48"/>
        <v>0</v>
      </c>
      <c r="BN28" s="9">
        <f t="shared" si="24"/>
        <v>0</v>
      </c>
      <c r="BO28" s="9">
        <f t="shared" si="25"/>
        <v>40514.399999999994</v>
      </c>
      <c r="BP28" s="9">
        <f t="shared" si="49"/>
        <v>788303.67600000009</v>
      </c>
      <c r="BQ28" s="510">
        <f t="shared" si="26"/>
        <v>1.088453065391435</v>
      </c>
      <c r="BR28" s="9">
        <f t="shared" si="27"/>
        <v>1.1137520482741377</v>
      </c>
      <c r="BZ28" s="13"/>
    </row>
    <row r="29" spans="1:79">
      <c r="A29" s="15">
        <f>+Chem!A28</f>
        <v>46011</v>
      </c>
      <c r="B29" s="5" t="str">
        <f>+Chem!B28</f>
        <v>Toilet</v>
      </c>
      <c r="C29" s="15" t="str">
        <f>+Chem!C28</f>
        <v>13</v>
      </c>
      <c r="D29" s="7">
        <f>+Chem!D28</f>
        <v>40.629000000000005</v>
      </c>
      <c r="E29" s="6">
        <f>+Chem!E28</f>
        <v>39.682000000000002</v>
      </c>
      <c r="F29" s="6">
        <f t="shared" si="28"/>
        <v>747.47299999999996</v>
      </c>
      <c r="G29" s="95">
        <f>27*G7</f>
        <v>6750</v>
      </c>
      <c r="H29" s="9">
        <f t="shared" si="0"/>
        <v>15.735146022155085</v>
      </c>
      <c r="I29" s="7">
        <f t="shared" si="29"/>
        <v>150437.5</v>
      </c>
      <c r="J29" s="9">
        <f t="shared" si="1"/>
        <v>18.098805228494378</v>
      </c>
      <c r="K29" s="95"/>
      <c r="L29" s="9">
        <f t="shared" si="2"/>
        <v>0</v>
      </c>
      <c r="M29" s="9">
        <f t="shared" si="30"/>
        <v>0</v>
      </c>
      <c r="N29" s="9">
        <f t="shared" si="3"/>
        <v>0</v>
      </c>
      <c r="O29" s="95"/>
      <c r="P29" s="9">
        <f t="shared" si="4"/>
        <v>0</v>
      </c>
      <c r="Q29" s="9">
        <f t="shared" si="31"/>
        <v>0</v>
      </c>
      <c r="R29" s="9">
        <f t="shared" si="5"/>
        <v>0</v>
      </c>
      <c r="S29" s="9">
        <f t="shared" si="32"/>
        <v>6750</v>
      </c>
      <c r="T29" s="9">
        <f t="shared" si="6"/>
        <v>15.735146022155085</v>
      </c>
      <c r="U29" s="9">
        <f t="shared" si="33"/>
        <v>150437.5</v>
      </c>
      <c r="V29" s="9">
        <f t="shared" si="7"/>
        <v>18.098805228494378</v>
      </c>
      <c r="W29" s="95"/>
      <c r="X29" s="9"/>
      <c r="Y29" s="9"/>
      <c r="Z29" s="9"/>
      <c r="AA29" s="95"/>
      <c r="AB29" s="9">
        <f t="shared" si="8"/>
        <v>0</v>
      </c>
      <c r="AC29" s="9">
        <f t="shared" si="34"/>
        <v>0</v>
      </c>
      <c r="AD29" s="9">
        <f t="shared" si="9"/>
        <v>0</v>
      </c>
      <c r="AE29" s="95"/>
      <c r="AF29" s="9">
        <f t="shared" si="10"/>
        <v>0</v>
      </c>
      <c r="AG29" s="9">
        <f t="shared" si="35"/>
        <v>0</v>
      </c>
      <c r="AH29" s="9">
        <f t="shared" si="11"/>
        <v>0</v>
      </c>
      <c r="AI29" s="95"/>
      <c r="AJ29" s="9">
        <f t="shared" si="12"/>
        <v>0</v>
      </c>
      <c r="AK29" s="9">
        <f t="shared" si="36"/>
        <v>0</v>
      </c>
      <c r="AL29" s="9">
        <f t="shared" si="13"/>
        <v>0</v>
      </c>
      <c r="AM29" s="9">
        <f t="shared" si="37"/>
        <v>0</v>
      </c>
      <c r="AN29" s="9">
        <f t="shared" si="14"/>
        <v>0</v>
      </c>
      <c r="AO29" s="9">
        <f t="shared" si="38"/>
        <v>0</v>
      </c>
      <c r="AP29" s="9">
        <f t="shared" si="15"/>
        <v>0</v>
      </c>
      <c r="AQ29" s="95"/>
      <c r="AR29" s="587">
        <f t="shared" si="39"/>
        <v>0</v>
      </c>
      <c r="AS29" s="9">
        <f t="shared" si="40"/>
        <v>0</v>
      </c>
      <c r="AT29" s="587">
        <f t="shared" si="41"/>
        <v>0</v>
      </c>
      <c r="AU29" s="95"/>
      <c r="AV29" s="9">
        <f t="shared" si="16"/>
        <v>0</v>
      </c>
      <c r="AW29" s="9">
        <f t="shared" si="42"/>
        <v>178696.55799999999</v>
      </c>
      <c r="AX29" s="9">
        <f t="shared" si="43"/>
        <v>21.498590432866465</v>
      </c>
      <c r="AY29" s="95">
        <f>72*AY7</f>
        <v>18110.448</v>
      </c>
      <c r="AZ29" s="9">
        <f t="shared" si="17"/>
        <v>42.21785834172541</v>
      </c>
      <c r="BA29" s="9">
        <f t="shared" si="44"/>
        <v>317687.44199999998</v>
      </c>
      <c r="BB29" s="9">
        <f t="shared" si="18"/>
        <v>38.220278429890179</v>
      </c>
      <c r="BC29" s="95">
        <f>72*BC7</f>
        <v>18037.151999999998</v>
      </c>
      <c r="BD29" s="14">
        <f t="shared" si="19"/>
        <v>42.046995636119497</v>
      </c>
      <c r="BE29" s="9">
        <f t="shared" si="45"/>
        <v>184379.77599999998</v>
      </c>
      <c r="BF29" s="9">
        <f t="shared" si="20"/>
        <v>22.182325908748961</v>
      </c>
      <c r="BG29" s="9">
        <f t="shared" si="46"/>
        <v>36147.599999999999</v>
      </c>
      <c r="BH29" s="9">
        <f t="shared" si="21"/>
        <v>84.264853977844908</v>
      </c>
      <c r="BI29" s="9">
        <f t="shared" si="47"/>
        <v>680763.77600000007</v>
      </c>
      <c r="BJ29" s="9">
        <f t="shared" si="22"/>
        <v>81.901194771505629</v>
      </c>
      <c r="BK29" s="95"/>
      <c r="BL29" s="9">
        <f t="shared" si="23"/>
        <v>0</v>
      </c>
      <c r="BM29" s="9">
        <f t="shared" si="48"/>
        <v>0</v>
      </c>
      <c r="BN29" s="9">
        <f t="shared" si="24"/>
        <v>0</v>
      </c>
      <c r="BO29" s="9">
        <f t="shared" si="25"/>
        <v>42897.599999999999</v>
      </c>
      <c r="BP29" s="9">
        <f t="shared" si="49"/>
        <v>831201.27600000007</v>
      </c>
      <c r="BQ29" s="510">
        <f t="shared" si="26"/>
        <v>1.0810342220654199</v>
      </c>
      <c r="BR29" s="9">
        <f t="shared" si="27"/>
        <v>1.1120151176029103</v>
      </c>
      <c r="BZ29" s="13"/>
    </row>
    <row r="30" spans="1:79">
      <c r="A30" s="15">
        <f>+Chem!A29</f>
        <v>46012</v>
      </c>
      <c r="B30" s="5" t="str">
        <f>+Chem!B29</f>
        <v>Toilet</v>
      </c>
      <c r="C30" s="15" t="str">
        <f>+Chem!C29</f>
        <v>13</v>
      </c>
      <c r="D30" s="7">
        <f>+Chem!D29</f>
        <v>38.564</v>
      </c>
      <c r="E30" s="6">
        <f>+Chem!E29</f>
        <v>37.963999999999999</v>
      </c>
      <c r="F30" s="6">
        <f t="shared" si="28"/>
        <v>785.4369999999999</v>
      </c>
      <c r="G30" s="95">
        <f>27*G7</f>
        <v>6750</v>
      </c>
      <c r="H30" s="9">
        <f t="shared" si="0"/>
        <v>15.735146022155085</v>
      </c>
      <c r="I30" s="7">
        <f t="shared" si="29"/>
        <v>157187.5</v>
      </c>
      <c r="J30" s="9">
        <f t="shared" si="1"/>
        <v>17.9828054143385</v>
      </c>
      <c r="K30" s="95"/>
      <c r="L30" s="9">
        <f t="shared" si="2"/>
        <v>0</v>
      </c>
      <c r="M30" s="9">
        <f t="shared" si="30"/>
        <v>0</v>
      </c>
      <c r="N30" s="9">
        <f t="shared" si="3"/>
        <v>0</v>
      </c>
      <c r="O30" s="95"/>
      <c r="P30" s="9">
        <f t="shared" si="4"/>
        <v>0</v>
      </c>
      <c r="Q30" s="9">
        <f t="shared" si="31"/>
        <v>0</v>
      </c>
      <c r="R30" s="9">
        <f t="shared" si="5"/>
        <v>0</v>
      </c>
      <c r="S30" s="9">
        <f t="shared" si="32"/>
        <v>6750</v>
      </c>
      <c r="T30" s="9">
        <f t="shared" si="6"/>
        <v>15.735146022155085</v>
      </c>
      <c r="U30" s="9">
        <f t="shared" si="33"/>
        <v>157187.5</v>
      </c>
      <c r="V30" s="9">
        <f t="shared" si="7"/>
        <v>17.9828054143385</v>
      </c>
      <c r="W30" s="95"/>
      <c r="X30" s="9"/>
      <c r="Y30" s="9"/>
      <c r="Z30" s="9"/>
      <c r="AA30" s="95"/>
      <c r="AB30" s="9">
        <f t="shared" si="8"/>
        <v>0</v>
      </c>
      <c r="AC30" s="9">
        <f t="shared" si="34"/>
        <v>0</v>
      </c>
      <c r="AD30" s="9">
        <f t="shared" si="9"/>
        <v>0</v>
      </c>
      <c r="AE30" s="95"/>
      <c r="AF30" s="9">
        <f t="shared" si="10"/>
        <v>0</v>
      </c>
      <c r="AG30" s="9">
        <f t="shared" si="35"/>
        <v>0</v>
      </c>
      <c r="AH30" s="9">
        <f t="shared" si="11"/>
        <v>0</v>
      </c>
      <c r="AI30" s="95"/>
      <c r="AJ30" s="9">
        <f t="shared" si="12"/>
        <v>0</v>
      </c>
      <c r="AK30" s="9">
        <f t="shared" si="36"/>
        <v>0</v>
      </c>
      <c r="AL30" s="9">
        <f t="shared" si="13"/>
        <v>0</v>
      </c>
      <c r="AM30" s="9">
        <f t="shared" si="37"/>
        <v>0</v>
      </c>
      <c r="AN30" s="9">
        <f t="shared" si="14"/>
        <v>0</v>
      </c>
      <c r="AO30" s="9">
        <f t="shared" si="38"/>
        <v>0</v>
      </c>
      <c r="AP30" s="9">
        <f t="shared" si="15"/>
        <v>0</v>
      </c>
      <c r="AQ30" s="95"/>
      <c r="AR30" s="587">
        <f t="shared" si="39"/>
        <v>0</v>
      </c>
      <c r="AS30" s="9">
        <f t="shared" si="40"/>
        <v>0</v>
      </c>
      <c r="AT30" s="587">
        <f t="shared" si="41"/>
        <v>0</v>
      </c>
      <c r="AU30" s="95"/>
      <c r="AV30" s="9">
        <f t="shared" si="16"/>
        <v>0</v>
      </c>
      <c r="AW30" s="9">
        <f t="shared" si="42"/>
        <v>178696.55799999999</v>
      </c>
      <c r="AX30" s="9">
        <f t="shared" si="43"/>
        <v>20.443517650742294</v>
      </c>
      <c r="AY30" s="95">
        <f>72*AY7</f>
        <v>18110.448</v>
      </c>
      <c r="AZ30" s="9">
        <f t="shared" si="17"/>
        <v>42.21785834172541</v>
      </c>
      <c r="BA30" s="9">
        <f t="shared" si="44"/>
        <v>335797.88999999996</v>
      </c>
      <c r="BB30" s="9">
        <f t="shared" si="18"/>
        <v>38.416465141410377</v>
      </c>
      <c r="BC30" s="95">
        <f>72*BC7</f>
        <v>18037.151999999998</v>
      </c>
      <c r="BD30" s="14">
        <f t="shared" si="19"/>
        <v>42.046995636119497</v>
      </c>
      <c r="BE30" s="9">
        <f t="shared" si="45"/>
        <v>202416.92799999999</v>
      </c>
      <c r="BF30" s="9">
        <f t="shared" si="20"/>
        <v>23.157211793508814</v>
      </c>
      <c r="BG30" s="9">
        <f t="shared" si="46"/>
        <v>36147.599999999999</v>
      </c>
      <c r="BH30" s="9">
        <f t="shared" si="21"/>
        <v>84.264853977844908</v>
      </c>
      <c r="BI30" s="9">
        <f t="shared" si="47"/>
        <v>716911.37600000005</v>
      </c>
      <c r="BJ30" s="9">
        <f t="shared" si="22"/>
        <v>82.0171945856615</v>
      </c>
      <c r="BK30" s="95"/>
      <c r="BL30" s="9">
        <f t="shared" si="23"/>
        <v>0</v>
      </c>
      <c r="BM30" s="9">
        <f t="shared" si="48"/>
        <v>0</v>
      </c>
      <c r="BN30" s="9">
        <f t="shared" si="24"/>
        <v>0</v>
      </c>
      <c r="BO30" s="9">
        <f t="shared" si="25"/>
        <v>42897.599999999999</v>
      </c>
      <c r="BP30" s="9">
        <f t="shared" si="49"/>
        <v>874098.87600000005</v>
      </c>
      <c r="BQ30" s="510">
        <f t="shared" si="26"/>
        <v>1.1299546939205563</v>
      </c>
      <c r="BR30" s="9">
        <f t="shared" si="27"/>
        <v>1.1128822247996977</v>
      </c>
    </row>
    <row r="31" spans="1:79">
      <c r="A31" s="15">
        <f>+Chem!A30</f>
        <v>46013</v>
      </c>
      <c r="B31" s="5" t="str">
        <f>+Chem!B30</f>
        <v>Toilet</v>
      </c>
      <c r="C31" s="15" t="str">
        <f>+Chem!C30</f>
        <v>13/15</v>
      </c>
      <c r="D31" s="7">
        <f>+Chem!D30</f>
        <v>42.471000000000004</v>
      </c>
      <c r="E31" s="6">
        <f>+Chem!E30</f>
        <v>40.158000000000001</v>
      </c>
      <c r="F31" s="6">
        <f t="shared" si="28"/>
        <v>825.59499999999991</v>
      </c>
      <c r="G31" s="95">
        <f>35.75*G7</f>
        <v>8937.5</v>
      </c>
      <c r="H31" s="9">
        <f t="shared" si="0"/>
        <v>19.609246463446347</v>
      </c>
      <c r="I31" s="7">
        <f t="shared" si="29"/>
        <v>166125</v>
      </c>
      <c r="J31" s="9">
        <f t="shared" si="1"/>
        <v>18.063409715175784</v>
      </c>
      <c r="K31" s="95"/>
      <c r="L31" s="9">
        <f t="shared" si="2"/>
        <v>0</v>
      </c>
      <c r="M31" s="9">
        <f t="shared" si="30"/>
        <v>0</v>
      </c>
      <c r="N31" s="9">
        <f t="shared" si="3"/>
        <v>0</v>
      </c>
      <c r="O31" s="95"/>
      <c r="P31" s="9">
        <f t="shared" si="4"/>
        <v>0</v>
      </c>
      <c r="Q31" s="9">
        <f t="shared" si="31"/>
        <v>0</v>
      </c>
      <c r="R31" s="9">
        <f t="shared" si="5"/>
        <v>0</v>
      </c>
      <c r="S31" s="9">
        <f t="shared" si="32"/>
        <v>8937.5</v>
      </c>
      <c r="T31" s="9">
        <f t="shared" si="6"/>
        <v>19.609246463446347</v>
      </c>
      <c r="U31" s="9">
        <f t="shared" si="33"/>
        <v>166125</v>
      </c>
      <c r="V31" s="9">
        <f t="shared" si="7"/>
        <v>18.063409715175784</v>
      </c>
      <c r="W31" s="95"/>
      <c r="X31" s="9"/>
      <c r="Y31" s="9"/>
      <c r="Z31" s="9"/>
      <c r="AA31" s="95"/>
      <c r="AB31" s="9">
        <f t="shared" si="8"/>
        <v>0</v>
      </c>
      <c r="AC31" s="9">
        <f t="shared" si="34"/>
        <v>0</v>
      </c>
      <c r="AD31" s="9">
        <f t="shared" si="9"/>
        <v>0</v>
      </c>
      <c r="AE31" s="95"/>
      <c r="AF31" s="9">
        <f t="shared" si="10"/>
        <v>0</v>
      </c>
      <c r="AG31" s="9">
        <f t="shared" si="35"/>
        <v>0</v>
      </c>
      <c r="AH31" s="9">
        <f t="shared" si="11"/>
        <v>0</v>
      </c>
      <c r="AI31" s="95"/>
      <c r="AJ31" s="9">
        <f t="shared" si="12"/>
        <v>0</v>
      </c>
      <c r="AK31" s="9">
        <f t="shared" si="36"/>
        <v>0</v>
      </c>
      <c r="AL31" s="9">
        <f t="shared" si="13"/>
        <v>0</v>
      </c>
      <c r="AM31" s="9">
        <f t="shared" si="37"/>
        <v>0</v>
      </c>
      <c r="AN31" s="9">
        <f t="shared" si="14"/>
        <v>0</v>
      </c>
      <c r="AO31" s="9">
        <f t="shared" si="38"/>
        <v>0</v>
      </c>
      <c r="AP31" s="9">
        <f t="shared" si="15"/>
        <v>0</v>
      </c>
      <c r="AQ31" s="95"/>
      <c r="AR31" s="587">
        <f t="shared" si="39"/>
        <v>0</v>
      </c>
      <c r="AS31" s="9">
        <f t="shared" si="40"/>
        <v>0</v>
      </c>
      <c r="AT31" s="587">
        <f t="shared" si="41"/>
        <v>0</v>
      </c>
      <c r="AU31" s="95"/>
      <c r="AV31" s="9">
        <f t="shared" si="16"/>
        <v>0</v>
      </c>
      <c r="AW31" s="9">
        <f t="shared" si="42"/>
        <v>178696.55799999999</v>
      </c>
      <c r="AX31" s="9">
        <f t="shared" si="43"/>
        <v>19.430363532554839</v>
      </c>
      <c r="AY31" s="95">
        <f>64*AY7</f>
        <v>16098.175999999999</v>
      </c>
      <c r="AZ31" s="9">
        <f t="shared" si="17"/>
        <v>35.320067221923004</v>
      </c>
      <c r="BA31" s="9">
        <f t="shared" si="44"/>
        <v>351896.06599999993</v>
      </c>
      <c r="BB31" s="9">
        <f t="shared" si="18"/>
        <v>38.263011691897894</v>
      </c>
      <c r="BC31" s="95">
        <f>82*BC7</f>
        <v>20542.311999999998</v>
      </c>
      <c r="BD31" s="14">
        <f t="shared" si="19"/>
        <v>45.070686314630649</v>
      </c>
      <c r="BE31" s="9">
        <f t="shared" si="45"/>
        <v>222959.24</v>
      </c>
      <c r="BF31" s="9">
        <f t="shared" si="20"/>
        <v>24.243215060371462</v>
      </c>
      <c r="BG31" s="9">
        <f t="shared" si="46"/>
        <v>36640.487999999998</v>
      </c>
      <c r="BH31" s="9">
        <f t="shared" si="21"/>
        <v>80.390753536553646</v>
      </c>
      <c r="BI31" s="9">
        <f t="shared" si="47"/>
        <v>753551.86400000006</v>
      </c>
      <c r="BJ31" s="9">
        <f t="shared" si="22"/>
        <v>81.93659028482422</v>
      </c>
      <c r="BK31" s="95"/>
      <c r="BL31" s="9">
        <f t="shared" si="23"/>
        <v>0</v>
      </c>
      <c r="BM31" s="9">
        <f t="shared" si="48"/>
        <v>0</v>
      </c>
      <c r="BN31" s="9">
        <f t="shared" si="24"/>
        <v>0</v>
      </c>
      <c r="BO31" s="9">
        <f t="shared" si="25"/>
        <v>45577.987999999998</v>
      </c>
      <c r="BP31" s="9">
        <f t="shared" si="49"/>
        <v>919676.86400000006</v>
      </c>
      <c r="BQ31" s="510">
        <f t="shared" si="26"/>
        <v>1.1349665820010957</v>
      </c>
      <c r="BR31" s="9">
        <f t="shared" si="27"/>
        <v>1.1139564362671772</v>
      </c>
    </row>
    <row r="32" spans="1:79">
      <c r="A32" s="15">
        <f>+Chem!A31</f>
        <v>46014</v>
      </c>
      <c r="B32" s="5" t="str">
        <f>+Chem!B31</f>
        <v>Toilet</v>
      </c>
      <c r="C32" s="15" t="str">
        <f>+Chem!C31</f>
        <v>15/14</v>
      </c>
      <c r="D32" s="7">
        <f>+Chem!D31</f>
        <v>42.808</v>
      </c>
      <c r="E32" s="6">
        <f>+Chem!E31</f>
        <v>41.517000000000003</v>
      </c>
      <c r="F32" s="6">
        <f t="shared" si="28"/>
        <v>867.11199999999997</v>
      </c>
      <c r="G32" s="95">
        <f>28.5*G7</f>
        <v>7125</v>
      </c>
      <c r="H32" s="9">
        <f t="shared" si="0"/>
        <v>15.735146022155085</v>
      </c>
      <c r="I32" s="7">
        <f t="shared" si="29"/>
        <v>173250</v>
      </c>
      <c r="J32" s="9">
        <f t="shared" si="1"/>
        <v>17.954155551429455</v>
      </c>
      <c r="K32" s="95"/>
      <c r="L32" s="9">
        <f t="shared" si="2"/>
        <v>0</v>
      </c>
      <c r="M32" s="9">
        <f t="shared" si="30"/>
        <v>0</v>
      </c>
      <c r="N32" s="9">
        <f t="shared" si="3"/>
        <v>0</v>
      </c>
      <c r="O32" s="95"/>
      <c r="P32" s="9">
        <f t="shared" si="4"/>
        <v>0</v>
      </c>
      <c r="Q32" s="9">
        <f t="shared" si="31"/>
        <v>0</v>
      </c>
      <c r="R32" s="9">
        <f t="shared" si="5"/>
        <v>0</v>
      </c>
      <c r="S32" s="9">
        <f t="shared" si="32"/>
        <v>7125</v>
      </c>
      <c r="T32" s="9">
        <f t="shared" si="6"/>
        <v>15.735146022155085</v>
      </c>
      <c r="U32" s="9">
        <f t="shared" si="33"/>
        <v>173250</v>
      </c>
      <c r="V32" s="9">
        <f t="shared" si="7"/>
        <v>17.954155551429455</v>
      </c>
      <c r="W32" s="95"/>
      <c r="X32" s="9"/>
      <c r="Y32" s="9"/>
      <c r="Z32" s="9"/>
      <c r="AA32" s="95"/>
      <c r="AB32" s="9">
        <f t="shared" si="8"/>
        <v>0</v>
      </c>
      <c r="AC32" s="9">
        <f t="shared" si="34"/>
        <v>0</v>
      </c>
      <c r="AD32" s="9">
        <f t="shared" si="9"/>
        <v>0</v>
      </c>
      <c r="AE32" s="95"/>
      <c r="AF32" s="9">
        <f t="shared" si="10"/>
        <v>0</v>
      </c>
      <c r="AG32" s="9">
        <f t="shared" si="35"/>
        <v>0</v>
      </c>
      <c r="AH32" s="9">
        <f t="shared" si="11"/>
        <v>0</v>
      </c>
      <c r="AI32" s="95"/>
      <c r="AJ32" s="9">
        <f t="shared" si="12"/>
        <v>0</v>
      </c>
      <c r="AK32" s="9">
        <f t="shared" si="36"/>
        <v>0</v>
      </c>
      <c r="AL32" s="9">
        <f t="shared" si="13"/>
        <v>0</v>
      </c>
      <c r="AM32" s="9">
        <f t="shared" si="37"/>
        <v>0</v>
      </c>
      <c r="AN32" s="9">
        <f t="shared" si="14"/>
        <v>0</v>
      </c>
      <c r="AO32" s="9">
        <f t="shared" si="38"/>
        <v>0</v>
      </c>
      <c r="AP32" s="9">
        <f t="shared" si="15"/>
        <v>0</v>
      </c>
      <c r="AQ32" s="95"/>
      <c r="AR32" s="587">
        <f t="shared" si="39"/>
        <v>0</v>
      </c>
      <c r="AS32" s="9">
        <f t="shared" si="40"/>
        <v>0</v>
      </c>
      <c r="AT32" s="587">
        <f t="shared" si="41"/>
        <v>0</v>
      </c>
      <c r="AU32" s="95"/>
      <c r="AV32" s="9">
        <f t="shared" si="16"/>
        <v>0</v>
      </c>
      <c r="AW32" s="9">
        <f t="shared" si="42"/>
        <v>178696.55799999999</v>
      </c>
      <c r="AX32" s="9">
        <f t="shared" si="43"/>
        <v>18.518590469477836</v>
      </c>
      <c r="AY32" s="95">
        <f>76*AY7</f>
        <v>19116.583999999999</v>
      </c>
      <c r="AZ32" s="9">
        <f t="shared" si="17"/>
        <v>42.217858341725403</v>
      </c>
      <c r="BA32" s="9">
        <f t="shared" si="44"/>
        <v>371012.64999999991</v>
      </c>
      <c r="BB32" s="9">
        <f t="shared" si="18"/>
        <v>38.448593533322082</v>
      </c>
      <c r="BC32" s="95">
        <f>76*BC7</f>
        <v>19039.216</v>
      </c>
      <c r="BD32" s="14">
        <f t="shared" si="19"/>
        <v>42.046995636119497</v>
      </c>
      <c r="BE32" s="9">
        <f t="shared" si="45"/>
        <v>241998.45600000001</v>
      </c>
      <c r="BF32" s="9">
        <f t="shared" si="20"/>
        <v>25.078660445770602</v>
      </c>
      <c r="BG32" s="9">
        <f t="shared" si="46"/>
        <v>38155.800000000003</v>
      </c>
      <c r="BH32" s="9">
        <f t="shared" si="21"/>
        <v>84.264853977844908</v>
      </c>
      <c r="BI32" s="9">
        <f t="shared" si="47"/>
        <v>791707.66400000011</v>
      </c>
      <c r="BJ32" s="9">
        <f t="shared" si="22"/>
        <v>82.045844448570548</v>
      </c>
      <c r="BK32" s="95"/>
      <c r="BL32" s="9">
        <f t="shared" si="23"/>
        <v>0</v>
      </c>
      <c r="BM32" s="9">
        <f t="shared" si="48"/>
        <v>0</v>
      </c>
      <c r="BN32" s="9">
        <f t="shared" si="24"/>
        <v>0</v>
      </c>
      <c r="BO32" s="9">
        <f t="shared" si="25"/>
        <v>45280.800000000003</v>
      </c>
      <c r="BP32" s="9">
        <f t="shared" si="49"/>
        <v>964957.66400000011</v>
      </c>
      <c r="BQ32" s="510">
        <f t="shared" si="26"/>
        <v>1.0906568393670064</v>
      </c>
      <c r="BR32" s="9">
        <f t="shared" si="27"/>
        <v>1.1128408602348949</v>
      </c>
    </row>
    <row r="33" spans="1:70">
      <c r="A33" s="15">
        <f>+Chem!A32</f>
        <v>46015</v>
      </c>
      <c r="B33" s="5" t="str">
        <f>+Chem!B32</f>
        <v>Toilet</v>
      </c>
      <c r="C33" s="15" t="str">
        <f>+Chem!C32</f>
        <v>14</v>
      </c>
      <c r="D33" s="7">
        <f>+Chem!D32</f>
        <v>41.698999999999998</v>
      </c>
      <c r="E33" s="6">
        <f>+Chem!E32</f>
        <v>40.146000000000001</v>
      </c>
      <c r="F33" s="6">
        <f t="shared" si="28"/>
        <v>907.25799999999992</v>
      </c>
      <c r="G33" s="95">
        <f>27.75*G7</f>
        <v>6937.5</v>
      </c>
      <c r="H33" s="9">
        <f t="shared" si="0"/>
        <v>15.735146022155085</v>
      </c>
      <c r="I33" s="7">
        <f t="shared" si="29"/>
        <v>180187.5</v>
      </c>
      <c r="J33" s="9">
        <f t="shared" si="1"/>
        <v>17.857198355060742</v>
      </c>
      <c r="K33" s="95"/>
      <c r="L33" s="9">
        <f t="shared" si="2"/>
        <v>0</v>
      </c>
      <c r="M33" s="9">
        <f t="shared" si="30"/>
        <v>0</v>
      </c>
      <c r="N33" s="9">
        <f t="shared" si="3"/>
        <v>0</v>
      </c>
      <c r="O33" s="95"/>
      <c r="P33" s="9">
        <f t="shared" si="4"/>
        <v>0</v>
      </c>
      <c r="Q33" s="9">
        <f t="shared" si="31"/>
        <v>0</v>
      </c>
      <c r="R33" s="9">
        <f t="shared" si="5"/>
        <v>0</v>
      </c>
      <c r="S33" s="9">
        <f t="shared" si="32"/>
        <v>6937.5</v>
      </c>
      <c r="T33" s="9">
        <f t="shared" si="6"/>
        <v>15.735146022155085</v>
      </c>
      <c r="U33" s="9">
        <f t="shared" si="33"/>
        <v>180187.5</v>
      </c>
      <c r="V33" s="9">
        <f t="shared" si="7"/>
        <v>17.857198355060742</v>
      </c>
      <c r="W33" s="95"/>
      <c r="X33" s="9"/>
      <c r="Y33" s="9"/>
      <c r="Z33" s="9"/>
      <c r="AA33" s="95"/>
      <c r="AB33" s="9">
        <f t="shared" si="8"/>
        <v>0</v>
      </c>
      <c r="AC33" s="9">
        <f>AA33+AC32</f>
        <v>0</v>
      </c>
      <c r="AD33" s="9">
        <f t="shared" si="9"/>
        <v>0</v>
      </c>
      <c r="AE33" s="95"/>
      <c r="AF33" s="9">
        <f t="shared" si="10"/>
        <v>0</v>
      </c>
      <c r="AG33" s="9">
        <f t="shared" si="35"/>
        <v>0</v>
      </c>
      <c r="AH33" s="9">
        <f t="shared" si="11"/>
        <v>0</v>
      </c>
      <c r="AI33" s="95"/>
      <c r="AJ33" s="9">
        <f t="shared" si="12"/>
        <v>0</v>
      </c>
      <c r="AK33" s="9">
        <f t="shared" si="36"/>
        <v>0</v>
      </c>
      <c r="AL33" s="9">
        <f t="shared" si="13"/>
        <v>0</v>
      </c>
      <c r="AM33" s="9">
        <f t="shared" si="37"/>
        <v>0</v>
      </c>
      <c r="AN33" s="9">
        <f t="shared" si="14"/>
        <v>0</v>
      </c>
      <c r="AO33" s="9">
        <f t="shared" si="38"/>
        <v>0</v>
      </c>
      <c r="AP33" s="9">
        <f t="shared" si="15"/>
        <v>0</v>
      </c>
      <c r="AQ33" s="95"/>
      <c r="AR33" s="587">
        <f t="shared" si="39"/>
        <v>0</v>
      </c>
      <c r="AS33" s="9">
        <f t="shared" si="40"/>
        <v>0</v>
      </c>
      <c r="AT33" s="587">
        <f t="shared" si="41"/>
        <v>0</v>
      </c>
      <c r="AU33" s="95"/>
      <c r="AV33" s="9">
        <f t="shared" si="16"/>
        <v>0</v>
      </c>
      <c r="AW33" s="9">
        <f t="shared" si="42"/>
        <v>178696.55799999999</v>
      </c>
      <c r="AX33" s="9">
        <f t="shared" si="43"/>
        <v>17.709440896691593</v>
      </c>
      <c r="AY33" s="95">
        <f>74*AY7</f>
        <v>18613.516</v>
      </c>
      <c r="AZ33" s="9">
        <f t="shared" si="17"/>
        <v>42.21785834172541</v>
      </c>
      <c r="BA33" s="9">
        <f t="shared" si="44"/>
        <v>389626.16599999991</v>
      </c>
      <c r="BB33" s="9">
        <f t="shared" si="18"/>
        <v>38.613287439937963</v>
      </c>
      <c r="BC33" s="95">
        <f>74*BC7</f>
        <v>18538.184000000001</v>
      </c>
      <c r="BD33" s="14">
        <f t="shared" si="19"/>
        <v>42.046995636119512</v>
      </c>
      <c r="BE33" s="9">
        <f t="shared" si="45"/>
        <v>260536.64</v>
      </c>
      <c r="BF33" s="9">
        <f t="shared" si="20"/>
        <v>25.820073308309695</v>
      </c>
      <c r="BG33" s="9">
        <f t="shared" si="46"/>
        <v>37151.699999999997</v>
      </c>
      <c r="BH33" s="9">
        <f t="shared" si="21"/>
        <v>84.264853977844908</v>
      </c>
      <c r="BI33" s="9">
        <f t="shared" si="47"/>
        <v>828859.36400000006</v>
      </c>
      <c r="BJ33" s="9">
        <f t="shared" si="22"/>
        <v>82.142801644939254</v>
      </c>
      <c r="BK33" s="95"/>
      <c r="BL33" s="9">
        <f t="shared" si="23"/>
        <v>0</v>
      </c>
      <c r="BM33" s="9">
        <f t="shared" si="48"/>
        <v>0</v>
      </c>
      <c r="BN33" s="9">
        <f t="shared" si="24"/>
        <v>0</v>
      </c>
      <c r="BO33" s="9">
        <f t="shared" si="25"/>
        <v>44089.2</v>
      </c>
      <c r="BP33" s="9">
        <f t="shared" si="49"/>
        <v>1009046.8640000001</v>
      </c>
      <c r="BQ33" s="510">
        <f t="shared" si="26"/>
        <v>1.0982214915558213</v>
      </c>
      <c r="BR33" s="9">
        <f t="shared" si="27"/>
        <v>1.1121939558537925</v>
      </c>
    </row>
    <row r="34" spans="1:70">
      <c r="A34" s="15">
        <f>+Chem!A33</f>
        <v>46016</v>
      </c>
      <c r="B34" s="5" t="str">
        <f>+Chem!B33</f>
        <v>Toilet</v>
      </c>
      <c r="C34" s="15" t="str">
        <f>+Chem!C33</f>
        <v>14/13</v>
      </c>
      <c r="D34" s="7">
        <f>+Chem!D33</f>
        <v>41.521000000000001</v>
      </c>
      <c r="E34" s="6">
        <f>+Chem!E33</f>
        <v>40.588999999999999</v>
      </c>
      <c r="F34" s="6">
        <f t="shared" si="28"/>
        <v>947.84699999999998</v>
      </c>
      <c r="G34" s="95">
        <f>39*G7</f>
        <v>9750</v>
      </c>
      <c r="H34" s="9">
        <f t="shared" si="0"/>
        <v>22.878871650656386</v>
      </c>
      <c r="I34" s="7">
        <f t="shared" si="29"/>
        <v>189937.5</v>
      </c>
      <c r="J34" s="9">
        <f t="shared" si="1"/>
        <v>18.060687870690302</v>
      </c>
      <c r="K34" s="95"/>
      <c r="L34" s="9">
        <f t="shared" si="2"/>
        <v>0</v>
      </c>
      <c r="M34" s="9">
        <f t="shared" si="30"/>
        <v>0</v>
      </c>
      <c r="N34" s="9">
        <f t="shared" si="3"/>
        <v>0</v>
      </c>
      <c r="O34" s="95"/>
      <c r="P34" s="9">
        <f t="shared" si="4"/>
        <v>0</v>
      </c>
      <c r="Q34" s="9">
        <f t="shared" si="31"/>
        <v>0</v>
      </c>
      <c r="R34" s="9">
        <f t="shared" si="5"/>
        <v>0</v>
      </c>
      <c r="S34" s="9">
        <f t="shared" si="32"/>
        <v>9750</v>
      </c>
      <c r="T34" s="9">
        <f t="shared" si="6"/>
        <v>22.878871650656386</v>
      </c>
      <c r="U34" s="9">
        <f t="shared" si="33"/>
        <v>189937.5</v>
      </c>
      <c r="V34" s="9">
        <f t="shared" si="7"/>
        <v>18.060687870690302</v>
      </c>
      <c r="W34" s="95"/>
      <c r="X34" s="9"/>
      <c r="Y34" s="9"/>
      <c r="Z34" s="9"/>
      <c r="AA34" s="95"/>
      <c r="AB34" s="9">
        <f t="shared" si="8"/>
        <v>0</v>
      </c>
      <c r="AC34" s="9">
        <f>AA34+AC33</f>
        <v>0</v>
      </c>
      <c r="AD34" s="9">
        <f t="shared" si="9"/>
        <v>0</v>
      </c>
      <c r="AE34" s="95"/>
      <c r="AF34" s="9">
        <f t="shared" si="10"/>
        <v>0</v>
      </c>
      <c r="AG34" s="9">
        <f t="shared" si="35"/>
        <v>0</v>
      </c>
      <c r="AH34" s="9">
        <f t="shared" si="11"/>
        <v>0</v>
      </c>
      <c r="AI34" s="95"/>
      <c r="AJ34" s="9">
        <f t="shared" si="12"/>
        <v>0</v>
      </c>
      <c r="AK34" s="9">
        <f t="shared" si="36"/>
        <v>0</v>
      </c>
      <c r="AL34" s="9">
        <f t="shared" si="13"/>
        <v>0</v>
      </c>
      <c r="AM34" s="9">
        <f t="shared" si="37"/>
        <v>0</v>
      </c>
      <c r="AN34" s="9">
        <f t="shared" si="14"/>
        <v>0</v>
      </c>
      <c r="AO34" s="9">
        <f t="shared" si="38"/>
        <v>0</v>
      </c>
      <c r="AP34" s="9">
        <f t="shared" si="15"/>
        <v>0</v>
      </c>
      <c r="AQ34" s="95">
        <f>26*AQ7</f>
        <v>6478.0820000000003</v>
      </c>
      <c r="AR34" s="587">
        <f t="shared" si="39"/>
        <v>15.201149396966915</v>
      </c>
      <c r="AS34" s="9">
        <f t="shared" si="40"/>
        <v>6478.0820000000003</v>
      </c>
      <c r="AT34" s="587">
        <f t="shared" si="41"/>
        <v>0.61598482133721444</v>
      </c>
      <c r="AU34" s="95"/>
      <c r="AV34" s="9">
        <f t="shared" si="16"/>
        <v>0</v>
      </c>
      <c r="AW34" s="9">
        <f t="shared" si="42"/>
        <v>178696.55799999999</v>
      </c>
      <c r="AX34" s="9">
        <f t="shared" si="43"/>
        <v>16.991814452673673</v>
      </c>
      <c r="AY34" s="95">
        <f>82*AY7</f>
        <v>20625.788</v>
      </c>
      <c r="AZ34" s="9">
        <f t="shared" si="17"/>
        <v>48.399462189297296</v>
      </c>
      <c r="BA34" s="9">
        <f t="shared" si="44"/>
        <v>410251.95399999991</v>
      </c>
      <c r="BB34" s="9">
        <f t="shared" si="18"/>
        <v>39.009845288764957</v>
      </c>
      <c r="BC34" s="95">
        <f>23*BC7</f>
        <v>5761.8679999999995</v>
      </c>
      <c r="BD34" s="14">
        <f t="shared" si="19"/>
        <v>13.520516763079405</v>
      </c>
      <c r="BE34" s="9">
        <f t="shared" si="45"/>
        <v>266298.50800000003</v>
      </c>
      <c r="BF34" s="9">
        <f t="shared" si="20"/>
        <v>25.321667566533858</v>
      </c>
      <c r="BG34" s="9">
        <f>AU34+AY34+BC34+AQ34</f>
        <v>32865.737999999998</v>
      </c>
      <c r="BH34" s="9">
        <f t="shared" si="21"/>
        <v>77.121128349343621</v>
      </c>
      <c r="BI34" s="9">
        <f t="shared" si="47"/>
        <v>861725.10200000007</v>
      </c>
      <c r="BJ34" s="9">
        <f t="shared" si="22"/>
        <v>81.939312129309712</v>
      </c>
      <c r="BK34" s="95"/>
      <c r="BL34" s="9">
        <f t="shared" si="23"/>
        <v>0</v>
      </c>
      <c r="BM34" s="9">
        <f t="shared" si="48"/>
        <v>0</v>
      </c>
      <c r="BN34" s="9">
        <f t="shared" si="24"/>
        <v>0</v>
      </c>
      <c r="BO34" s="9">
        <f t="shared" si="25"/>
        <v>42615.737999999998</v>
      </c>
      <c r="BP34" s="9">
        <f t="shared" si="49"/>
        <v>1051662.602</v>
      </c>
      <c r="BQ34" s="510">
        <f t="shared" si="26"/>
        <v>1.0499331838675503</v>
      </c>
      <c r="BR34" s="9">
        <f t="shared" si="27"/>
        <v>1.1095278056479578</v>
      </c>
    </row>
    <row r="35" spans="1:70">
      <c r="A35" s="15">
        <f>+Chem!A34</f>
        <v>46017</v>
      </c>
      <c r="B35" s="5" t="str">
        <f>+Chem!B34</f>
        <v>Toilet</v>
      </c>
      <c r="C35" s="15" t="str">
        <f>+Chem!C34</f>
        <v>13</v>
      </c>
      <c r="D35" s="7">
        <f>+Chem!D34</f>
        <v>42.19</v>
      </c>
      <c r="E35" s="6">
        <f>+Chem!E34</f>
        <v>38.847999999999999</v>
      </c>
      <c r="F35" s="6">
        <f t="shared" si="28"/>
        <v>986.69499999999994</v>
      </c>
      <c r="G35" s="95">
        <f>43*G7</f>
        <v>10750</v>
      </c>
      <c r="H35" s="9">
        <f t="shared" si="0"/>
        <v>33.197533290486383</v>
      </c>
      <c r="I35" s="7">
        <f t="shared" si="29"/>
        <v>200687.5</v>
      </c>
      <c r="J35" s="9">
        <f t="shared" si="1"/>
        <v>18.512846583941883</v>
      </c>
      <c r="K35" s="95"/>
      <c r="L35" s="9">
        <f t="shared" si="2"/>
        <v>0</v>
      </c>
      <c r="M35" s="9">
        <f t="shared" si="30"/>
        <v>0</v>
      </c>
      <c r="N35" s="9">
        <f t="shared" si="3"/>
        <v>0</v>
      </c>
      <c r="O35" s="95"/>
      <c r="P35" s="9">
        <f t="shared" si="4"/>
        <v>0</v>
      </c>
      <c r="Q35" s="9">
        <f t="shared" si="31"/>
        <v>0</v>
      </c>
      <c r="R35" s="9">
        <f t="shared" si="5"/>
        <v>0</v>
      </c>
      <c r="S35" s="9">
        <f t="shared" si="32"/>
        <v>10750</v>
      </c>
      <c r="T35" s="9">
        <f t="shared" si="6"/>
        <v>33.197533290486383</v>
      </c>
      <c r="U35" s="9">
        <f t="shared" si="33"/>
        <v>200687.5</v>
      </c>
      <c r="V35" s="9">
        <f t="shared" si="7"/>
        <v>18.512846583941883</v>
      </c>
      <c r="W35" s="95"/>
      <c r="X35" s="9"/>
      <c r="Y35" s="9"/>
      <c r="Z35" s="9"/>
      <c r="AA35" s="95"/>
      <c r="AB35" s="9">
        <f t="shared" si="8"/>
        <v>0</v>
      </c>
      <c r="AC35" s="9">
        <f>AA35+AC34</f>
        <v>0</v>
      </c>
      <c r="AD35" s="9">
        <f t="shared" si="9"/>
        <v>0</v>
      </c>
      <c r="AE35" s="95"/>
      <c r="AF35" s="9">
        <f t="shared" si="10"/>
        <v>0</v>
      </c>
      <c r="AG35" s="9">
        <f t="shared" si="35"/>
        <v>0</v>
      </c>
      <c r="AH35" s="9">
        <f t="shared" si="11"/>
        <v>0</v>
      </c>
      <c r="AI35" s="95"/>
      <c r="AJ35" s="9">
        <f t="shared" si="12"/>
        <v>0</v>
      </c>
      <c r="AK35" s="9">
        <f t="shared" si="36"/>
        <v>0</v>
      </c>
      <c r="AL35" s="9">
        <f t="shared" si="13"/>
        <v>0</v>
      </c>
      <c r="AM35" s="9">
        <f t="shared" si="37"/>
        <v>0</v>
      </c>
      <c r="AN35" s="9">
        <f t="shared" si="14"/>
        <v>0</v>
      </c>
      <c r="AO35" s="9">
        <f t="shared" si="38"/>
        <v>0</v>
      </c>
      <c r="AP35" s="9">
        <f t="shared" si="15"/>
        <v>0</v>
      </c>
      <c r="AQ35" s="95">
        <f>43*AQ7</f>
        <v>10713.751</v>
      </c>
      <c r="AR35" s="587">
        <f t="shared" si="39"/>
        <v>33.085591208230866</v>
      </c>
      <c r="AS35" s="9">
        <f t="shared" si="40"/>
        <v>17191.832999999999</v>
      </c>
      <c r="AT35" s="587">
        <f t="shared" si="41"/>
        <v>1.58589731211834</v>
      </c>
      <c r="AU35" s="95"/>
      <c r="AV35" s="9">
        <f t="shared" si="16"/>
        <v>0</v>
      </c>
      <c r="AW35" s="9">
        <f t="shared" si="42"/>
        <v>178696.55799999999</v>
      </c>
      <c r="AX35" s="9">
        <f t="shared" si="43"/>
        <v>16.484245223705873</v>
      </c>
      <c r="AY35" s="95">
        <f>86*AY7</f>
        <v>21631.923999999999</v>
      </c>
      <c r="AZ35" s="9">
        <f t="shared" si="17"/>
        <v>66.802466709513624</v>
      </c>
      <c r="BA35" s="9">
        <f t="shared" si="44"/>
        <v>431883.87799999991</v>
      </c>
      <c r="BB35" s="9">
        <f t="shared" si="18"/>
        <v>39.840049706592943</v>
      </c>
      <c r="BC35" s="95"/>
      <c r="BD35" s="14">
        <f t="shared" si="19"/>
        <v>0</v>
      </c>
      <c r="BE35" s="9">
        <f t="shared" si="45"/>
        <v>266298.50800000003</v>
      </c>
      <c r="BF35" s="9">
        <f t="shared" si="20"/>
        <v>24.565273991337879</v>
      </c>
      <c r="BG35" s="9">
        <f t="shared" si="46"/>
        <v>21631.923999999999</v>
      </c>
      <c r="BH35" s="9">
        <f t="shared" si="21"/>
        <v>66.802466709513624</v>
      </c>
      <c r="BI35" s="9">
        <f t="shared" si="47"/>
        <v>883357.02600000007</v>
      </c>
      <c r="BJ35" s="9">
        <f t="shared" si="22"/>
        <v>81.487153416058106</v>
      </c>
      <c r="BK35" s="95"/>
      <c r="BL35" s="9">
        <f t="shared" si="23"/>
        <v>0</v>
      </c>
      <c r="BM35" s="9">
        <f t="shared" si="48"/>
        <v>0</v>
      </c>
      <c r="BN35" s="9">
        <f t="shared" si="24"/>
        <v>0</v>
      </c>
      <c r="BO35" s="9">
        <f t="shared" si="25"/>
        <v>32381.923999999999</v>
      </c>
      <c r="BP35" s="9">
        <f t="shared" si="49"/>
        <v>1084044.5260000001</v>
      </c>
      <c r="BQ35" s="510">
        <f t="shared" si="26"/>
        <v>0.83355446869851724</v>
      </c>
      <c r="BR35" s="9">
        <f t="shared" si="27"/>
        <v>1.0986622269292945</v>
      </c>
    </row>
    <row r="36" spans="1:70">
      <c r="A36" s="15">
        <f>+Chem!A35</f>
        <v>46018</v>
      </c>
      <c r="B36" s="5" t="str">
        <f>+Chem!B35</f>
        <v>Toilet</v>
      </c>
      <c r="C36" s="15" t="str">
        <f>+Chem!C35</f>
        <v>13</v>
      </c>
      <c r="D36" s="7">
        <f>+Chem!D35</f>
        <v>40.792999999999999</v>
      </c>
      <c r="E36" s="6">
        <f>+Chem!E35</f>
        <v>42.837000000000003</v>
      </c>
      <c r="F36" s="6">
        <f t="shared" si="28"/>
        <v>1029.5319999999999</v>
      </c>
      <c r="G36" s="95">
        <f>44*G7</f>
        <v>11000</v>
      </c>
      <c r="H36" s="9">
        <f t="shared" si="0"/>
        <v>33.197533290486383</v>
      </c>
      <c r="I36" s="7">
        <f t="shared" si="29"/>
        <v>211687.5</v>
      </c>
      <c r="J36" s="9">
        <f t="shared" si="1"/>
        <v>18.948387129310042</v>
      </c>
      <c r="K36" s="95"/>
      <c r="L36" s="9">
        <f t="shared" si="2"/>
        <v>0</v>
      </c>
      <c r="M36" s="9">
        <f t="shared" si="30"/>
        <v>0</v>
      </c>
      <c r="N36" s="9">
        <f t="shared" si="3"/>
        <v>0</v>
      </c>
      <c r="O36" s="95"/>
      <c r="P36" s="9">
        <f t="shared" si="4"/>
        <v>0</v>
      </c>
      <c r="Q36" s="9">
        <f t="shared" si="31"/>
        <v>0</v>
      </c>
      <c r="R36" s="9">
        <f t="shared" si="5"/>
        <v>0</v>
      </c>
      <c r="S36" s="9">
        <f t="shared" si="32"/>
        <v>11000</v>
      </c>
      <c r="T36" s="9">
        <f t="shared" si="6"/>
        <v>33.197533290486383</v>
      </c>
      <c r="U36" s="9">
        <f t="shared" si="33"/>
        <v>211687.5</v>
      </c>
      <c r="V36" s="9">
        <f t="shared" si="7"/>
        <v>18.948387129310042</v>
      </c>
      <c r="W36" s="95"/>
      <c r="X36" s="9"/>
      <c r="Y36" s="9"/>
      <c r="Z36" s="9"/>
      <c r="AA36" s="95"/>
      <c r="AB36" s="9">
        <f t="shared" si="8"/>
        <v>0</v>
      </c>
      <c r="AC36" s="9">
        <f t="shared" si="34"/>
        <v>0</v>
      </c>
      <c r="AD36" s="9">
        <f t="shared" si="9"/>
        <v>0</v>
      </c>
      <c r="AE36" s="95"/>
      <c r="AF36" s="9">
        <f t="shared" si="10"/>
        <v>0</v>
      </c>
      <c r="AG36" s="9">
        <f t="shared" si="35"/>
        <v>0</v>
      </c>
      <c r="AH36" s="9">
        <f t="shared" si="11"/>
        <v>0</v>
      </c>
      <c r="AI36" s="95"/>
      <c r="AJ36" s="9">
        <f t="shared" si="12"/>
        <v>0</v>
      </c>
      <c r="AK36" s="9">
        <f t="shared" si="36"/>
        <v>0</v>
      </c>
      <c r="AL36" s="9">
        <f t="shared" si="13"/>
        <v>0</v>
      </c>
      <c r="AM36" s="9">
        <f t="shared" si="37"/>
        <v>0</v>
      </c>
      <c r="AN36" s="9">
        <f t="shared" si="14"/>
        <v>0</v>
      </c>
      <c r="AO36" s="9">
        <f t="shared" si="38"/>
        <v>0</v>
      </c>
      <c r="AP36" s="9">
        <f t="shared" si="15"/>
        <v>0</v>
      </c>
      <c r="AQ36" s="95">
        <f>44*AQ7</f>
        <v>10962.908000000001</v>
      </c>
      <c r="AR36" s="587">
        <f t="shared" si="39"/>
        <v>33.085591208230866</v>
      </c>
      <c r="AS36" s="9">
        <f t="shared" si="40"/>
        <v>28154.741000000002</v>
      </c>
      <c r="AT36" s="587">
        <f t="shared" si="41"/>
        <v>2.5201626548259006</v>
      </c>
      <c r="AU36" s="95"/>
      <c r="AV36" s="9">
        <f t="shared" si="16"/>
        <v>0</v>
      </c>
      <c r="AW36" s="9">
        <f t="shared" si="42"/>
        <v>178696.55799999999</v>
      </c>
      <c r="AX36" s="9">
        <f t="shared" si="43"/>
        <v>15.995330662694798</v>
      </c>
      <c r="AY36" s="95">
        <f>88*AY7</f>
        <v>22134.991999999998</v>
      </c>
      <c r="AZ36" s="9">
        <f t="shared" si="17"/>
        <v>66.802466709513624</v>
      </c>
      <c r="BA36" s="9">
        <f t="shared" si="44"/>
        <v>454018.86999999988</v>
      </c>
      <c r="BB36" s="9">
        <f t="shared" si="18"/>
        <v>40.639741660569882</v>
      </c>
      <c r="BC36" s="95"/>
      <c r="BD36" s="14">
        <f t="shared" si="19"/>
        <v>0</v>
      </c>
      <c r="BE36" s="9">
        <f t="shared" si="45"/>
        <v>266298.50800000003</v>
      </c>
      <c r="BF36" s="9">
        <f t="shared" si="20"/>
        <v>23.836680113571504</v>
      </c>
      <c r="BG36" s="9">
        <f t="shared" si="46"/>
        <v>22134.991999999998</v>
      </c>
      <c r="BH36" s="9">
        <f t="shared" si="21"/>
        <v>66.802466709513624</v>
      </c>
      <c r="BI36" s="9">
        <f t="shared" si="47"/>
        <v>905492.01800000004</v>
      </c>
      <c r="BJ36" s="9">
        <f t="shared" si="22"/>
        <v>81.051612870689951</v>
      </c>
      <c r="BK36" s="95"/>
      <c r="BL36" s="9">
        <f t="shared" si="23"/>
        <v>0</v>
      </c>
      <c r="BM36" s="9">
        <f t="shared" si="48"/>
        <v>0</v>
      </c>
      <c r="BN36" s="9">
        <f t="shared" si="24"/>
        <v>0</v>
      </c>
      <c r="BO36" s="9">
        <f t="shared" si="25"/>
        <v>33134.991999999998</v>
      </c>
      <c r="BP36" s="9">
        <f t="shared" si="49"/>
        <v>1117179.5180000002</v>
      </c>
      <c r="BQ36" s="510">
        <f t="shared" si="26"/>
        <v>0.7735133646147021</v>
      </c>
      <c r="BR36" s="9">
        <f t="shared" si="27"/>
        <v>1.0851333596235961</v>
      </c>
    </row>
    <row r="37" spans="1:70">
      <c r="A37" s="15">
        <f>+Chem!A36</f>
        <v>46019</v>
      </c>
      <c r="B37" s="5" t="str">
        <f>+Chem!B36</f>
        <v>Toilet</v>
      </c>
      <c r="C37" s="15" t="str">
        <f>+Chem!C36</f>
        <v>13/12,5</v>
      </c>
      <c r="D37" s="7">
        <f>+Chem!D36</f>
        <v>42.265000000000001</v>
      </c>
      <c r="E37" s="6">
        <f>+Chem!E36</f>
        <v>39.213999999999999</v>
      </c>
      <c r="F37" s="6">
        <f t="shared" si="28"/>
        <v>1068.7459999999999</v>
      </c>
      <c r="G37" s="95">
        <f>27.25*G7</f>
        <v>6812.5</v>
      </c>
      <c r="H37" s="9">
        <f t="shared" si="0"/>
        <v>27.334246333940914</v>
      </c>
      <c r="I37" s="7">
        <f t="shared" si="29"/>
        <v>218500</v>
      </c>
      <c r="J37" s="9">
        <f t="shared" si="1"/>
        <v>19.13138326066796</v>
      </c>
      <c r="K37" s="95"/>
      <c r="L37" s="9">
        <f t="shared" si="2"/>
        <v>0</v>
      </c>
      <c r="M37" s="9">
        <f t="shared" si="30"/>
        <v>0</v>
      </c>
      <c r="N37" s="9">
        <f t="shared" si="3"/>
        <v>0</v>
      </c>
      <c r="O37" s="95"/>
      <c r="P37" s="9">
        <f t="shared" si="4"/>
        <v>0</v>
      </c>
      <c r="Q37" s="9">
        <f t="shared" si="31"/>
        <v>0</v>
      </c>
      <c r="R37" s="9">
        <f t="shared" si="5"/>
        <v>0</v>
      </c>
      <c r="S37" s="9">
        <f t="shared" si="32"/>
        <v>6812.5</v>
      </c>
      <c r="T37" s="9">
        <f t="shared" si="6"/>
        <v>27.334246333940914</v>
      </c>
      <c r="U37" s="9">
        <f t="shared" si="33"/>
        <v>218500</v>
      </c>
      <c r="V37" s="9">
        <f t="shared" si="7"/>
        <v>19.13138326066796</v>
      </c>
      <c r="W37" s="95"/>
      <c r="X37" s="9"/>
      <c r="Y37" s="9"/>
      <c r="Z37" s="9"/>
      <c r="AA37" s="95"/>
      <c r="AB37" s="9">
        <f t="shared" si="8"/>
        <v>0</v>
      </c>
      <c r="AC37" s="9">
        <f t="shared" si="34"/>
        <v>0</v>
      </c>
      <c r="AD37" s="9">
        <f t="shared" si="9"/>
        <v>0</v>
      </c>
      <c r="AE37" s="95"/>
      <c r="AF37" s="9">
        <f t="shared" si="10"/>
        <v>0</v>
      </c>
      <c r="AG37" s="9">
        <f t="shared" si="35"/>
        <v>0</v>
      </c>
      <c r="AH37" s="9">
        <f t="shared" si="11"/>
        <v>0</v>
      </c>
      <c r="AI37" s="95"/>
      <c r="AJ37" s="9">
        <f t="shared" si="12"/>
        <v>0</v>
      </c>
      <c r="AK37" s="9">
        <f t="shared" si="36"/>
        <v>0</v>
      </c>
      <c r="AL37" s="9">
        <f t="shared" si="13"/>
        <v>0</v>
      </c>
      <c r="AM37" s="9">
        <f t="shared" si="37"/>
        <v>0</v>
      </c>
      <c r="AN37" s="9">
        <f t="shared" si="14"/>
        <v>0</v>
      </c>
      <c r="AO37" s="9">
        <f t="shared" si="38"/>
        <v>0</v>
      </c>
      <c r="AP37" s="9">
        <f t="shared" si="15"/>
        <v>0</v>
      </c>
      <c r="AQ37" s="95">
        <f>71*AQ7</f>
        <v>17690.147000000001</v>
      </c>
      <c r="AR37" s="587">
        <f t="shared" si="39"/>
        <v>70.979352041339567</v>
      </c>
      <c r="AS37" s="9">
        <f t="shared" si="40"/>
        <v>45844.888000000006</v>
      </c>
      <c r="AT37" s="587">
        <f t="shared" si="41"/>
        <v>4.0140783655395769</v>
      </c>
      <c r="AU37" s="95"/>
      <c r="AV37" s="9">
        <f t="shared" si="16"/>
        <v>0</v>
      </c>
      <c r="AW37" s="9">
        <f t="shared" si="42"/>
        <v>178696.55799999999</v>
      </c>
      <c r="AX37" s="9">
        <f t="shared" si="43"/>
        <v>15.646280725218217</v>
      </c>
      <c r="AY37" s="95">
        <f>72*AY7</f>
        <v>18110.448</v>
      </c>
      <c r="AZ37" s="9">
        <f t="shared" si="17"/>
        <v>72.665753666059089</v>
      </c>
      <c r="BA37" s="9">
        <f t="shared" si="44"/>
        <v>472129.31799999985</v>
      </c>
      <c r="BB37" s="9">
        <f t="shared" si="18"/>
        <v>41.338612957692341</v>
      </c>
      <c r="BC37" s="95"/>
      <c r="BD37" s="14">
        <f t="shared" si="19"/>
        <v>0</v>
      </c>
      <c r="BE37" s="9">
        <f t="shared" si="45"/>
        <v>266298.50800000003</v>
      </c>
      <c r="BF37" s="9">
        <f t="shared" si="20"/>
        <v>23.316516330856079</v>
      </c>
      <c r="BG37" s="9">
        <f t="shared" si="46"/>
        <v>18110.448</v>
      </c>
      <c r="BH37" s="9">
        <f t="shared" si="21"/>
        <v>72.665753666059089</v>
      </c>
      <c r="BI37" s="9">
        <f t="shared" si="47"/>
        <v>923602.46600000001</v>
      </c>
      <c r="BJ37" s="9">
        <f t="shared" si="22"/>
        <v>80.868616739332026</v>
      </c>
      <c r="BK37" s="95"/>
      <c r="BL37" s="9">
        <f t="shared" si="23"/>
        <v>0</v>
      </c>
      <c r="BM37" s="9">
        <f t="shared" si="48"/>
        <v>0</v>
      </c>
      <c r="BN37" s="9">
        <f t="shared" si="24"/>
        <v>0</v>
      </c>
      <c r="BO37" s="9">
        <f t="shared" si="25"/>
        <v>24922.948</v>
      </c>
      <c r="BP37" s="9">
        <f t="shared" si="49"/>
        <v>1142102.4660000002</v>
      </c>
      <c r="BQ37" s="510">
        <f t="shared" si="26"/>
        <v>0.63556250318763718</v>
      </c>
      <c r="BR37" s="9">
        <f t="shared" si="27"/>
        <v>1.0686378858961816</v>
      </c>
    </row>
    <row r="38" spans="1:70">
      <c r="A38" s="15">
        <f>+Chem!A37</f>
        <v>46020</v>
      </c>
      <c r="B38" s="5" t="str">
        <f>+Chem!B37</f>
        <v>Toilet</v>
      </c>
      <c r="C38" s="15" t="str">
        <f>+Chem!C37</f>
        <v>12,5/13</v>
      </c>
      <c r="D38" s="7">
        <f>+Chem!D37</f>
        <v>41.18</v>
      </c>
      <c r="E38" s="6">
        <f>+Chem!E37</f>
        <v>40.776000000000003</v>
      </c>
      <c r="F38" s="6">
        <f t="shared" si="28"/>
        <v>1109.5219999999999</v>
      </c>
      <c r="G38" s="95">
        <f>27.25*G7</f>
        <v>6812.5</v>
      </c>
      <c r="H38" s="9">
        <f t="shared" si="0"/>
        <v>26.793422925557824</v>
      </c>
      <c r="I38" s="7">
        <f t="shared" si="29"/>
        <v>225312.5</v>
      </c>
      <c r="J38" s="9">
        <f t="shared" si="1"/>
        <v>19.298244408910271</v>
      </c>
      <c r="K38" s="95"/>
      <c r="L38" s="9">
        <f t="shared" si="2"/>
        <v>0</v>
      </c>
      <c r="M38" s="9">
        <f t="shared" si="30"/>
        <v>0</v>
      </c>
      <c r="N38" s="9">
        <f t="shared" si="3"/>
        <v>0</v>
      </c>
      <c r="O38" s="95"/>
      <c r="P38" s="9">
        <f t="shared" si="4"/>
        <v>0</v>
      </c>
      <c r="Q38" s="9">
        <f t="shared" si="31"/>
        <v>0</v>
      </c>
      <c r="R38" s="9">
        <f t="shared" si="5"/>
        <v>0</v>
      </c>
      <c r="S38" s="9">
        <f t="shared" si="32"/>
        <v>6812.5</v>
      </c>
      <c r="T38" s="9">
        <f t="shared" si="6"/>
        <v>26.793422925557824</v>
      </c>
      <c r="U38" s="9">
        <f t="shared" si="33"/>
        <v>225312.5</v>
      </c>
      <c r="V38" s="9">
        <f t="shared" si="7"/>
        <v>19.298244408910271</v>
      </c>
      <c r="W38" s="95"/>
      <c r="X38" s="9"/>
      <c r="Y38" s="9"/>
      <c r="Z38" s="9"/>
      <c r="AA38" s="95"/>
      <c r="AB38" s="9">
        <f t="shared" si="8"/>
        <v>0</v>
      </c>
      <c r="AC38" s="9">
        <f t="shared" si="34"/>
        <v>0</v>
      </c>
      <c r="AD38" s="9">
        <f t="shared" si="9"/>
        <v>0</v>
      </c>
      <c r="AE38" s="95"/>
      <c r="AF38" s="9">
        <f t="shared" si="10"/>
        <v>0</v>
      </c>
      <c r="AG38" s="9">
        <f t="shared" si="35"/>
        <v>0</v>
      </c>
      <c r="AH38" s="9">
        <f t="shared" si="11"/>
        <v>0</v>
      </c>
      <c r="AI38" s="95"/>
      <c r="AJ38" s="9">
        <f t="shared" si="12"/>
        <v>0</v>
      </c>
      <c r="AK38" s="9">
        <f t="shared" si="36"/>
        <v>0</v>
      </c>
      <c r="AL38" s="9">
        <f t="shared" si="13"/>
        <v>0</v>
      </c>
      <c r="AM38" s="9">
        <f t="shared" si="37"/>
        <v>0</v>
      </c>
      <c r="AN38" s="9">
        <f t="shared" si="14"/>
        <v>0</v>
      </c>
      <c r="AO38" s="9">
        <f t="shared" si="38"/>
        <v>0</v>
      </c>
      <c r="AP38" s="9">
        <f t="shared" si="15"/>
        <v>0</v>
      </c>
      <c r="AQ38" s="95">
        <f>74*AQ7</f>
        <v>18437.618000000002</v>
      </c>
      <c r="AR38" s="587">
        <f t="shared" si="39"/>
        <v>72.514773844238917</v>
      </c>
      <c r="AS38" s="9">
        <f t="shared" si="40"/>
        <v>64282.506000000008</v>
      </c>
      <c r="AT38" s="587">
        <f t="shared" si="41"/>
        <v>5.5058619118124428</v>
      </c>
      <c r="AU38" s="95"/>
      <c r="AV38" s="9">
        <f t="shared" si="16"/>
        <v>0</v>
      </c>
      <c r="AW38" s="9">
        <f t="shared" si="42"/>
        <v>178696.55799999999</v>
      </c>
      <c r="AX38" s="9">
        <f t="shared" si="43"/>
        <v>15.305541642452191</v>
      </c>
      <c r="AY38" s="95">
        <f>74*AY7</f>
        <v>18613.516</v>
      </c>
      <c r="AZ38" s="9">
        <f t="shared" si="17"/>
        <v>73.20657707444218</v>
      </c>
      <c r="BA38" s="9">
        <f t="shared" si="44"/>
        <v>490742.83399999986</v>
      </c>
      <c r="BB38" s="9">
        <f t="shared" si="18"/>
        <v>42.032622035853663</v>
      </c>
      <c r="BC38" s="95"/>
      <c r="BD38" s="14">
        <f t="shared" si="19"/>
        <v>0</v>
      </c>
      <c r="BE38" s="9">
        <f t="shared" si="45"/>
        <v>266298.50800000003</v>
      </c>
      <c r="BF38" s="9">
        <f t="shared" si="20"/>
        <v>22.80873761159344</v>
      </c>
      <c r="BG38" s="9">
        <f t="shared" si="46"/>
        <v>18613.516</v>
      </c>
      <c r="BH38" s="9">
        <f t="shared" si="21"/>
        <v>73.20657707444218</v>
      </c>
      <c r="BI38" s="9">
        <f t="shared" si="47"/>
        <v>942215.98199999996</v>
      </c>
      <c r="BJ38" s="9">
        <f t="shared" si="22"/>
        <v>80.701755591089693</v>
      </c>
      <c r="BK38" s="95"/>
      <c r="BL38" s="9">
        <f t="shared" si="23"/>
        <v>0</v>
      </c>
      <c r="BM38" s="9">
        <f t="shared" si="48"/>
        <v>0</v>
      </c>
      <c r="BN38" s="9">
        <f t="shared" si="24"/>
        <v>0</v>
      </c>
      <c r="BO38" s="9">
        <f t="shared" si="25"/>
        <v>25426.016</v>
      </c>
      <c r="BP38" s="9">
        <f t="shared" si="49"/>
        <v>1167528.4820000003</v>
      </c>
      <c r="BQ38" s="510">
        <f t="shared" si="26"/>
        <v>0.62355346282126733</v>
      </c>
      <c r="BR38" s="9">
        <f t="shared" si="27"/>
        <v>1.052280605522018</v>
      </c>
    </row>
    <row r="39" spans="1:70">
      <c r="A39" s="15">
        <f>+Chem!A38</f>
        <v>46021</v>
      </c>
      <c r="B39" s="5" t="str">
        <f>+Chem!B38</f>
        <v>Toilet</v>
      </c>
      <c r="C39" s="15" t="str">
        <f>+Chem!C38</f>
        <v>13</v>
      </c>
      <c r="D39" s="7">
        <f>+Chem!D38</f>
        <v>41.820999999999998</v>
      </c>
      <c r="E39" s="6">
        <f>+Chem!E38</f>
        <v>39.149000000000001</v>
      </c>
      <c r="F39" s="6">
        <f t="shared" si="28"/>
        <v>1148.6709999999998</v>
      </c>
      <c r="G39" s="95">
        <f>26.25*G7</f>
        <v>6562.5</v>
      </c>
      <c r="H39" s="9">
        <f t="shared" si="0"/>
        <v>25.071250105060479</v>
      </c>
      <c r="I39" s="7">
        <f t="shared" si="29"/>
        <v>231875</v>
      </c>
      <c r="J39" s="9">
        <f t="shared" si="1"/>
        <v>19.424834206914305</v>
      </c>
      <c r="K39" s="95"/>
      <c r="L39" s="9">
        <f t="shared" si="2"/>
        <v>0</v>
      </c>
      <c r="M39" s="9">
        <f t="shared" si="30"/>
        <v>0</v>
      </c>
      <c r="N39" s="9">
        <f t="shared" si="3"/>
        <v>0</v>
      </c>
      <c r="O39" s="95"/>
      <c r="P39" s="9">
        <f t="shared" si="4"/>
        <v>0</v>
      </c>
      <c r="Q39" s="9">
        <f t="shared" si="31"/>
        <v>0</v>
      </c>
      <c r="R39" s="9">
        <f t="shared" si="5"/>
        <v>0</v>
      </c>
      <c r="S39" s="9">
        <f t="shared" si="32"/>
        <v>6562.5</v>
      </c>
      <c r="T39" s="9">
        <f t="shared" si="6"/>
        <v>25.071250105060479</v>
      </c>
      <c r="U39" s="9">
        <f t="shared" si="33"/>
        <v>231875</v>
      </c>
      <c r="V39" s="9">
        <f t="shared" si="7"/>
        <v>19.424834206914305</v>
      </c>
      <c r="W39" s="95"/>
      <c r="X39" s="9"/>
      <c r="Y39" s="9"/>
      <c r="Z39" s="9"/>
      <c r="AA39" s="95">
        <f>8*AA7</f>
        <v>2005.52</v>
      </c>
      <c r="AB39" s="9">
        <f t="shared" si="8"/>
        <v>7.6618504397258498</v>
      </c>
      <c r="AC39" s="9">
        <f t="shared" si="34"/>
        <v>2005.52</v>
      </c>
      <c r="AD39" s="9">
        <f t="shared" si="9"/>
        <v>0.16800816603191709</v>
      </c>
      <c r="AE39" s="95"/>
      <c r="AF39" s="9">
        <f t="shared" si="10"/>
        <v>0</v>
      </c>
      <c r="AG39" s="9">
        <f t="shared" si="35"/>
        <v>0</v>
      </c>
      <c r="AH39" s="9">
        <f t="shared" si="11"/>
        <v>0</v>
      </c>
      <c r="AI39" s="95"/>
      <c r="AJ39" s="9">
        <f t="shared" si="12"/>
        <v>0</v>
      </c>
      <c r="AK39" s="9">
        <f t="shared" si="36"/>
        <v>0</v>
      </c>
      <c r="AL39" s="9">
        <f t="shared" si="13"/>
        <v>0</v>
      </c>
      <c r="AM39" s="9">
        <f t="shared" si="37"/>
        <v>2005.52</v>
      </c>
      <c r="AN39" s="9">
        <f t="shared" si="14"/>
        <v>7.6618504397258498</v>
      </c>
      <c r="AO39" s="9">
        <f t="shared" si="38"/>
        <v>2005.52</v>
      </c>
      <c r="AP39" s="9">
        <f t="shared" si="15"/>
        <v>0.16800816603191709</v>
      </c>
      <c r="AQ39" s="95">
        <f>62*AQ7</f>
        <v>15447.734</v>
      </c>
      <c r="AR39" s="587">
        <f t="shared" si="39"/>
        <v>59.016228978353723</v>
      </c>
      <c r="AS39" s="9">
        <f t="shared" si="40"/>
        <v>79730.240000000005</v>
      </c>
      <c r="AT39" s="587">
        <f t="shared" si="41"/>
        <v>6.6792310222209688</v>
      </c>
      <c r="AU39" s="95"/>
      <c r="AV39" s="9">
        <f t="shared" si="16"/>
        <v>0</v>
      </c>
      <c r="AW39" s="9">
        <f t="shared" si="42"/>
        <v>178696.55799999999</v>
      </c>
      <c r="AX39" s="9">
        <f t="shared" si="43"/>
        <v>14.969923504026935</v>
      </c>
      <c r="AY39" s="95">
        <f>70*AY7</f>
        <v>17607.38</v>
      </c>
      <c r="AZ39" s="9">
        <f t="shared" si="17"/>
        <v>67.266899455213675</v>
      </c>
      <c r="BA39" s="9">
        <f t="shared" si="44"/>
        <v>508350.21399999986</v>
      </c>
      <c r="BB39" s="9">
        <f t="shared" si="18"/>
        <v>42.585956338541905</v>
      </c>
      <c r="BC39" s="95"/>
      <c r="BD39" s="14">
        <f t="shared" si="19"/>
        <v>0</v>
      </c>
      <c r="BE39" s="9">
        <f t="shared" si="45"/>
        <v>266298.50800000003</v>
      </c>
      <c r="BF39" s="9">
        <f t="shared" si="20"/>
        <v>22.308590263929457</v>
      </c>
      <c r="BG39" s="9">
        <f t="shared" si="46"/>
        <v>17607.38</v>
      </c>
      <c r="BH39" s="9">
        <f t="shared" si="21"/>
        <v>67.266899455213675</v>
      </c>
      <c r="BI39" s="9">
        <f t="shared" si="47"/>
        <v>959823.36199999996</v>
      </c>
      <c r="BJ39" s="9">
        <f t="shared" si="22"/>
        <v>80.407157627053763</v>
      </c>
      <c r="BK39" s="95"/>
      <c r="BL39" s="9">
        <f t="shared" si="23"/>
        <v>0</v>
      </c>
      <c r="BM39" s="9">
        <f t="shared" si="48"/>
        <v>0</v>
      </c>
      <c r="BN39" s="9">
        <f t="shared" si="24"/>
        <v>0</v>
      </c>
      <c r="BO39" s="9">
        <f>S39+AM39+BG39+BK39</f>
        <v>26175.4</v>
      </c>
      <c r="BP39" s="9">
        <f t="shared" si="49"/>
        <v>1193703.8820000002</v>
      </c>
      <c r="BQ39" s="510">
        <f t="shared" si="26"/>
        <v>0.66860967074510202</v>
      </c>
      <c r="BR39" s="9">
        <f t="shared" si="27"/>
        <v>1.0392043344003639</v>
      </c>
    </row>
    <row r="40" spans="1:70">
      <c r="A40" s="15">
        <f>+Chem!A39</f>
        <v>46022</v>
      </c>
      <c r="B40" s="5" t="str">
        <f>+Chem!B39</f>
        <v>Toilet</v>
      </c>
      <c r="C40" s="15" t="str">
        <f>+Chem!C39</f>
        <v>13</v>
      </c>
      <c r="D40" s="7">
        <f>+Chem!D39</f>
        <v>41.462000000000003</v>
      </c>
      <c r="E40" s="6">
        <f>+Chem!E39</f>
        <v>40.225999999999999</v>
      </c>
      <c r="F40" s="6">
        <f>+E40+F39</f>
        <v>1188.8969999999999</v>
      </c>
      <c r="G40" s="95">
        <f>26.25*G7</f>
        <v>6562.5</v>
      </c>
      <c r="H40" s="9">
        <f t="shared" si="0"/>
        <v>15.749831665799158</v>
      </c>
      <c r="I40" s="7">
        <f>G40+I39</f>
        <v>238437.5</v>
      </c>
      <c r="J40" s="9">
        <f t="shared" si="1"/>
        <v>19.300882176937364</v>
      </c>
      <c r="K40" s="95"/>
      <c r="L40" s="9">
        <f t="shared" si="2"/>
        <v>0</v>
      </c>
      <c r="M40" s="9">
        <f>+K40+M39</f>
        <v>0</v>
      </c>
      <c r="N40" s="9">
        <f t="shared" si="3"/>
        <v>0</v>
      </c>
      <c r="O40" s="95"/>
      <c r="P40" s="9">
        <f t="shared" si="4"/>
        <v>0</v>
      </c>
      <c r="Q40" s="9">
        <f>+O40+Q39</f>
        <v>0</v>
      </c>
      <c r="R40" s="9">
        <f t="shared" si="5"/>
        <v>0</v>
      </c>
      <c r="S40" s="9">
        <f t="shared" si="32"/>
        <v>6562.5</v>
      </c>
      <c r="T40" s="9">
        <f t="shared" si="6"/>
        <v>15.749831665799158</v>
      </c>
      <c r="U40" s="9">
        <f>S40+U39</f>
        <v>238437.5</v>
      </c>
      <c r="V40" s="9">
        <f t="shared" si="7"/>
        <v>19.300882176937364</v>
      </c>
      <c r="W40" s="95"/>
      <c r="X40" s="9"/>
      <c r="Y40" s="9"/>
      <c r="Z40" s="9"/>
      <c r="AA40" s="95">
        <f>68*AA7</f>
        <v>17046.919999999998</v>
      </c>
      <c r="AB40" s="9">
        <f t="shared" si="8"/>
        <v>40.912170730719232</v>
      </c>
      <c r="AC40" s="9">
        <f>AA40+AC39</f>
        <v>19052.439999999999</v>
      </c>
      <c r="AD40" s="9">
        <f t="shared" si="9"/>
        <v>1.5422444020893042</v>
      </c>
      <c r="AE40" s="95"/>
      <c r="AF40" s="9">
        <f t="shared" si="10"/>
        <v>0</v>
      </c>
      <c r="AG40" s="9">
        <f>AE40+AG39</f>
        <v>0</v>
      </c>
      <c r="AH40" s="9">
        <f t="shared" si="11"/>
        <v>0</v>
      </c>
      <c r="AI40" s="95">
        <f>4*AI7</f>
        <v>953.38</v>
      </c>
      <c r="AJ40" s="9">
        <f t="shared" si="12"/>
        <v>2.28808754492032</v>
      </c>
      <c r="AK40" s="9">
        <f>AI40+AK39</f>
        <v>953.38</v>
      </c>
      <c r="AL40" s="9">
        <f t="shared" si="13"/>
        <v>7.7173578190714738E-4</v>
      </c>
      <c r="AM40" s="9">
        <f t="shared" si="37"/>
        <v>18000.3</v>
      </c>
      <c r="AN40" s="9">
        <f>AM40/BO40*100</f>
        <v>43.200258275639555</v>
      </c>
      <c r="AO40" s="9">
        <f>AM40+AO39</f>
        <v>20005.82</v>
      </c>
      <c r="AP40" s="9">
        <f>AO40/BP40*100</f>
        <v>1.619417980280019</v>
      </c>
      <c r="AQ40" s="95"/>
      <c r="AR40" s="587">
        <f t="shared" si="39"/>
        <v>0</v>
      </c>
      <c r="AS40" s="9">
        <f>+AQ40+AS39</f>
        <v>79730.240000000005</v>
      </c>
      <c r="AT40" s="587">
        <f t="shared" si="41"/>
        <v>6.4539511116285766</v>
      </c>
      <c r="AU40" s="95"/>
      <c r="AV40" s="9">
        <f>+AU40/BO40*100</f>
        <v>0</v>
      </c>
      <c r="AW40" s="9">
        <f>+AU40+AW39</f>
        <v>178696.55799999999</v>
      </c>
      <c r="AX40" s="9">
        <f>+AW40/BP40*100</f>
        <v>14.465011633582192</v>
      </c>
      <c r="AY40" s="95">
        <f>68*AY7</f>
        <v>17104.311999999998</v>
      </c>
      <c r="AZ40" s="9">
        <f>AY40/BO40*100</f>
        <v>41.049910058561295</v>
      </c>
      <c r="BA40" s="9">
        <f>AY40+BA39</f>
        <v>525454.52599999984</v>
      </c>
      <c r="BB40" s="9">
        <f>BA40/BP40*100</f>
        <v>42.534147924149799</v>
      </c>
      <c r="BC40" s="95"/>
      <c r="BD40" s="14">
        <f>BC40/BO40*100</f>
        <v>0</v>
      </c>
      <c r="BE40" s="9">
        <f>BC40+BE39</f>
        <v>266298.50800000003</v>
      </c>
      <c r="BF40" s="9">
        <f>BE40/BP40*100</f>
        <v>21.556156757230774</v>
      </c>
      <c r="BG40" s="9">
        <f>AU40+AY40+BC40</f>
        <v>17104.311999999998</v>
      </c>
      <c r="BH40" s="9">
        <f>BG40/BO40*100</f>
        <v>41.049910058561295</v>
      </c>
      <c r="BI40" s="9">
        <f>BG40+BI39</f>
        <v>976927.674</v>
      </c>
      <c r="BJ40" s="9">
        <f>BI40/BP40*100</f>
        <v>79.079699842782603</v>
      </c>
      <c r="BK40" s="95"/>
      <c r="BL40" s="9">
        <f>BK40/BO40*100</f>
        <v>0</v>
      </c>
      <c r="BM40" s="9">
        <f>BK40+BM39</f>
        <v>0</v>
      </c>
      <c r="BN40" s="9">
        <f>BM40/BP40*100</f>
        <v>0</v>
      </c>
      <c r="BO40" s="9">
        <f t="shared" si="25"/>
        <v>41667.111999999994</v>
      </c>
      <c r="BP40" s="9">
        <f>BO40+BP39</f>
        <v>1235370.9940000002</v>
      </c>
      <c r="BQ40" s="510">
        <f t="shared" si="26"/>
        <v>1.0358253865659026</v>
      </c>
      <c r="BR40" s="9">
        <f t="shared" si="27"/>
        <v>1.0390900086382591</v>
      </c>
    </row>
    <row r="41" spans="1:70">
      <c r="A41" s="15"/>
      <c r="B41" s="15"/>
      <c r="C41" s="15"/>
      <c r="D41" s="7"/>
      <c r="E41" s="6"/>
      <c r="F41" s="6"/>
      <c r="G41" s="95"/>
      <c r="H41" s="9"/>
      <c r="I41" s="7"/>
      <c r="J41" s="9"/>
      <c r="K41" s="95"/>
      <c r="L41" s="9"/>
      <c r="M41" s="9"/>
      <c r="N41" s="9"/>
      <c r="O41" s="95"/>
      <c r="P41" s="9"/>
      <c r="Q41" s="9"/>
      <c r="R41" s="9"/>
      <c r="S41" s="9"/>
      <c r="T41" s="9"/>
      <c r="U41" s="9"/>
      <c r="V41" s="9"/>
      <c r="W41" s="95"/>
      <c r="X41" s="9"/>
      <c r="Y41" s="9"/>
      <c r="Z41" s="9"/>
      <c r="AA41" s="95"/>
      <c r="AB41" s="9"/>
      <c r="AC41" s="9"/>
      <c r="AD41" s="9"/>
      <c r="AE41" s="95"/>
      <c r="AF41" s="9"/>
      <c r="AG41" s="9"/>
      <c r="AH41" s="9"/>
      <c r="AI41" s="95"/>
      <c r="AJ41" s="9"/>
      <c r="AK41" s="9"/>
      <c r="AL41" s="9"/>
      <c r="AM41" s="9"/>
      <c r="AN41" s="9"/>
      <c r="AO41" s="9"/>
      <c r="AP41" s="9"/>
      <c r="AQ41" s="95"/>
      <c r="AR41" s="9"/>
      <c r="AS41" s="9"/>
      <c r="AT41" s="9"/>
      <c r="AU41" s="95"/>
      <c r="AV41" s="9"/>
      <c r="AW41" s="9"/>
      <c r="AX41" s="9"/>
      <c r="AY41" s="95"/>
      <c r="AZ41" s="9"/>
      <c r="BA41" s="9"/>
      <c r="BB41" s="9"/>
      <c r="BC41" s="95"/>
      <c r="BD41" s="14"/>
      <c r="BE41" s="9"/>
      <c r="BF41" s="9"/>
      <c r="BG41" s="9"/>
      <c r="BH41" s="9"/>
      <c r="BI41" s="9"/>
      <c r="BJ41" s="9"/>
      <c r="BK41" s="95"/>
      <c r="BL41" s="9"/>
      <c r="BM41" s="9"/>
      <c r="BN41" s="9"/>
      <c r="BO41" s="9"/>
      <c r="BP41" s="9"/>
      <c r="BQ41" s="9"/>
      <c r="BR41" s="9"/>
    </row>
    <row r="42" spans="1:70" ht="13.5" thickBot="1">
      <c r="A42" s="10" t="s">
        <v>28</v>
      </c>
      <c r="B42" s="10"/>
      <c r="C42" s="11"/>
      <c r="D42" s="11">
        <f>SUM(D10:D41)</f>
        <v>1233.3839999999998</v>
      </c>
      <c r="E42" s="11">
        <f>SUM(E10:E41)</f>
        <v>1188.8969999999999</v>
      </c>
      <c r="F42" s="11"/>
      <c r="G42" s="11">
        <f>SUM(G10:G41)</f>
        <v>238437.5</v>
      </c>
      <c r="H42" s="11">
        <f>G42/BO42*100</f>
        <v>19.300882176937364</v>
      </c>
      <c r="I42" s="11"/>
      <c r="J42" s="11"/>
      <c r="K42" s="11">
        <f>SUM(K10:K41)</f>
        <v>0</v>
      </c>
      <c r="L42" s="11"/>
      <c r="M42" s="11"/>
      <c r="N42" s="11"/>
      <c r="O42" s="11"/>
      <c r="P42" s="11"/>
      <c r="Q42" s="11"/>
      <c r="R42" s="11"/>
      <c r="S42" s="11">
        <f>SUM(S10:S41)</f>
        <v>238437.5</v>
      </c>
      <c r="T42" s="17">
        <f>S42/$BO$42*100</f>
        <v>19.300882176937364</v>
      </c>
      <c r="U42" s="11"/>
      <c r="V42" s="11"/>
      <c r="W42" s="11">
        <f>SUM(W10:W41)</f>
        <v>0</v>
      </c>
      <c r="X42" s="11" t="e">
        <f>W42/BK42*100</f>
        <v>#DIV/0!</v>
      </c>
      <c r="Y42" s="11"/>
      <c r="Z42" s="11"/>
      <c r="AA42" s="11">
        <f>SUM(AA10:AA41)</f>
        <v>19052.439999999999</v>
      </c>
      <c r="AB42" s="11">
        <f>AA42/$BO$42*100</f>
        <v>1.5422444020893042</v>
      </c>
      <c r="AC42" s="11"/>
      <c r="AD42" s="11"/>
      <c r="AE42" s="11">
        <f>SUM(AE10:AE41)</f>
        <v>0</v>
      </c>
      <c r="AF42" s="11">
        <f>AE42/$BO$42*100</f>
        <v>0</v>
      </c>
      <c r="AG42" s="11"/>
      <c r="AH42" s="11"/>
      <c r="AI42" s="11">
        <f>SUM(AI10:AI41)</f>
        <v>953.38</v>
      </c>
      <c r="AJ42" s="11">
        <f>AI42/$BO$42*100</f>
        <v>7.7173578190714742E-2</v>
      </c>
      <c r="AK42" s="11"/>
      <c r="AL42" s="11"/>
      <c r="AM42" s="11">
        <f>SUM(AM10:AM41)</f>
        <v>20005.82</v>
      </c>
      <c r="AN42" s="17">
        <f>AM42/$BO$42*100</f>
        <v>1.619417980280019</v>
      </c>
      <c r="AO42" s="11"/>
      <c r="AP42" s="11"/>
      <c r="AQ42" s="11">
        <f>SUM(AQ10:AQ41)</f>
        <v>79730.240000000005</v>
      </c>
      <c r="AR42" s="11">
        <f>AQ42/$BO$42*100</f>
        <v>6.4539511116285766</v>
      </c>
      <c r="AS42" s="11"/>
      <c r="AT42" s="11"/>
      <c r="AU42" s="11">
        <f>SUM(AU10:AU41)</f>
        <v>178696.55799999999</v>
      </c>
      <c r="AV42" s="11">
        <f>AU42/$BO$42*100</f>
        <v>14.465011633582192</v>
      </c>
      <c r="AW42" s="11"/>
      <c r="AX42" s="11"/>
      <c r="AY42" s="11">
        <f>SUM(AY10:AY41)</f>
        <v>525454.52599999984</v>
      </c>
      <c r="AZ42" s="11">
        <f>AY42/$BO$42*100</f>
        <v>42.534147924149799</v>
      </c>
      <c r="BA42" s="11"/>
      <c r="BB42" s="11"/>
      <c r="BC42" s="11">
        <f>SUM(BC10:BC41)</f>
        <v>266298.50800000003</v>
      </c>
      <c r="BD42" s="11">
        <f>BC42/$BO$42*100</f>
        <v>21.556156757230774</v>
      </c>
      <c r="BE42" s="11"/>
      <c r="BF42" s="11"/>
      <c r="BG42" s="11">
        <f>SUM(BG10:BG41)</f>
        <v>976927.674</v>
      </c>
      <c r="BH42" s="19">
        <f>BG42/$BO$42*100</f>
        <v>79.079699842782603</v>
      </c>
      <c r="BI42" s="11"/>
      <c r="BJ42" s="11"/>
      <c r="BK42" s="11">
        <f>SUM(BK10:BK41)</f>
        <v>0</v>
      </c>
      <c r="BL42" s="11">
        <f>BK42/$BO$42*100</f>
        <v>0</v>
      </c>
      <c r="BM42" s="11"/>
      <c r="BN42" s="11"/>
      <c r="BO42" s="11">
        <f>SUM(BO10:BO41)</f>
        <v>1235370.9940000002</v>
      </c>
      <c r="BP42" s="11">
        <f>BO42/$BO$42*100</f>
        <v>100</v>
      </c>
      <c r="BQ42" s="11">
        <f>BO42/1000/E42</f>
        <v>1.0390900086382591</v>
      </c>
      <c r="BR42" s="11"/>
    </row>
    <row r="43" spans="1:70" ht="13.5" thickTop="1"/>
    <row r="44" spans="1:70">
      <c r="W44" s="13"/>
      <c r="AA44" s="13"/>
      <c r="AE44" s="13"/>
      <c r="BH44" s="13"/>
      <c r="BK44" s="13"/>
      <c r="BL44" s="13"/>
    </row>
    <row r="45" spans="1:70">
      <c r="E45" s="13"/>
      <c r="F45" s="13"/>
      <c r="G45" s="13"/>
      <c r="I45" s="13"/>
      <c r="AA45" s="13"/>
      <c r="AE45" s="13"/>
      <c r="BK45" s="13"/>
    </row>
  </sheetData>
  <mergeCells count="16">
    <mergeCell ref="G8:J8"/>
    <mergeCell ref="O8:R8"/>
    <mergeCell ref="K8:N8"/>
    <mergeCell ref="BO8:BP8"/>
    <mergeCell ref="BQ8:BR8"/>
    <mergeCell ref="S8:V8"/>
    <mergeCell ref="W8:Z8"/>
    <mergeCell ref="AA8:AD8"/>
    <mergeCell ref="AE8:AH8"/>
    <mergeCell ref="AI8:AL8"/>
    <mergeCell ref="AM8:AP8"/>
    <mergeCell ref="AU8:AX8"/>
    <mergeCell ref="AY8:BB8"/>
    <mergeCell ref="BC8:BF8"/>
    <mergeCell ref="BG8:BJ8"/>
    <mergeCell ref="AQ8:AT8"/>
  </mergeCells>
  <phoneticPr fontId="32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155"/>
  <sheetViews>
    <sheetView topLeftCell="G100" workbookViewId="0">
      <selection activeCell="I131" sqref="I131"/>
    </sheetView>
  </sheetViews>
  <sheetFormatPr defaultRowHeight="12.75"/>
  <cols>
    <col min="2" max="2" width="10.85546875" style="468" bestFit="1" customWidth="1"/>
    <col min="3" max="3" width="11.85546875" style="3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68" bestFit="1" customWidth="1"/>
    <col min="14" max="14" width="11.85546875" style="3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20" t="s">
        <v>186</v>
      </c>
      <c r="B1" s="461" t="s">
        <v>8</v>
      </c>
      <c r="C1" s="462" t="s">
        <v>256</v>
      </c>
      <c r="D1" s="463" t="s">
        <v>127</v>
      </c>
      <c r="E1" s="463" t="s">
        <v>257</v>
      </c>
      <c r="F1" s="463" t="s">
        <v>258</v>
      </c>
      <c r="H1" s="460" t="s">
        <v>259</v>
      </c>
      <c r="I1" s="453" t="s">
        <v>260</v>
      </c>
      <c r="J1" s="453" t="s">
        <v>261</v>
      </c>
      <c r="L1" s="420" t="s">
        <v>372</v>
      </c>
      <c r="M1" s="461" t="s">
        <v>8</v>
      </c>
      <c r="N1" s="462" t="s">
        <v>256</v>
      </c>
      <c r="O1" s="463" t="s">
        <v>127</v>
      </c>
      <c r="P1" s="463" t="s">
        <v>257</v>
      </c>
      <c r="Q1" s="463" t="s">
        <v>258</v>
      </c>
      <c r="S1" s="532" t="s">
        <v>259</v>
      </c>
      <c r="T1" s="453" t="s">
        <v>260</v>
      </c>
      <c r="U1" s="453" t="s">
        <v>261</v>
      </c>
    </row>
    <row r="2" spans="1:21">
      <c r="B2" s="327">
        <v>45992</v>
      </c>
      <c r="C2" s="3">
        <v>0</v>
      </c>
      <c r="D2" s="467" t="s">
        <v>384</v>
      </c>
      <c r="E2" t="s">
        <v>247</v>
      </c>
      <c r="F2" t="s">
        <v>244</v>
      </c>
      <c r="H2" s="5" t="s">
        <v>148</v>
      </c>
      <c r="I2" s="305">
        <f>+Efficiency1!Z135</f>
        <v>4.7749999999999995</v>
      </c>
      <c r="J2" s="455">
        <f>I2/$I$8</f>
        <v>3.5672560225705578E-3</v>
      </c>
      <c r="M2" s="327">
        <v>45992</v>
      </c>
      <c r="N2" s="3">
        <v>0</v>
      </c>
      <c r="O2" s="467" t="s">
        <v>384</v>
      </c>
      <c r="P2" t="s">
        <v>247</v>
      </c>
      <c r="Q2" t="s">
        <v>244</v>
      </c>
      <c r="S2" s="5" t="s">
        <v>148</v>
      </c>
      <c r="T2" s="305">
        <f>+Efficiency2!Z135</f>
        <v>4.7749999999999995</v>
      </c>
      <c r="U2" s="455">
        <f>T2/$T$8</f>
        <v>3.5672560225705578E-3</v>
      </c>
    </row>
    <row r="3" spans="1:21">
      <c r="B3" s="327"/>
      <c r="C3" s="3">
        <v>15</v>
      </c>
      <c r="D3" s="467" t="s">
        <v>412</v>
      </c>
      <c r="E3" t="s">
        <v>245</v>
      </c>
      <c r="F3" t="s">
        <v>244</v>
      </c>
      <c r="H3" s="5" t="s">
        <v>238</v>
      </c>
      <c r="I3" s="305">
        <f>+Efficiency1!Y135+Efficiency1!AA135</f>
        <v>44.679043767292804</v>
      </c>
      <c r="J3" s="455">
        <f>I3/$I$8</f>
        <v>3.33783430286008E-2</v>
      </c>
      <c r="M3" s="327"/>
      <c r="N3" s="3">
        <v>15</v>
      </c>
      <c r="O3" s="467" t="s">
        <v>412</v>
      </c>
      <c r="P3" t="s">
        <v>245</v>
      </c>
      <c r="Q3" t="s">
        <v>244</v>
      </c>
      <c r="S3" s="5" t="s">
        <v>238</v>
      </c>
      <c r="T3" s="305">
        <f>+Efficiency2!AA135+Efficiency2!Y135</f>
        <v>44.679043767292804</v>
      </c>
      <c r="U3" s="455">
        <f>T3/$T$8</f>
        <v>3.33783430286008E-2</v>
      </c>
    </row>
    <row r="4" spans="1:21">
      <c r="B4" s="39"/>
      <c r="C4" s="3">
        <v>23</v>
      </c>
      <c r="D4" s="467" t="s">
        <v>413</v>
      </c>
      <c r="E4" t="s">
        <v>246</v>
      </c>
      <c r="F4" t="s">
        <v>244</v>
      </c>
      <c r="H4" s="5" t="s">
        <v>262</v>
      </c>
      <c r="I4" s="305">
        <f>+Efficiency1!AB135</f>
        <v>-0.77895666632450811</v>
      </c>
      <c r="J4" s="455">
        <f>I4/$I$8</f>
        <v>-5.8193463021310706E-4</v>
      </c>
      <c r="M4" s="39"/>
      <c r="N4" s="3">
        <v>23</v>
      </c>
      <c r="O4" s="467" t="s">
        <v>413</v>
      </c>
      <c r="P4" t="s">
        <v>246</v>
      </c>
      <c r="Q4" t="s">
        <v>244</v>
      </c>
      <c r="S4" s="5" t="s">
        <v>262</v>
      </c>
      <c r="T4" s="305">
        <f>+Efficiency2!AB135</f>
        <v>0.76225933367549747</v>
      </c>
      <c r="U4" s="455">
        <f>T4/$T$8</f>
        <v>5.6946056519676215E-4</v>
      </c>
    </row>
    <row r="5" spans="1:21" ht="15" customHeight="1">
      <c r="B5" s="39"/>
      <c r="C5" s="3">
        <v>481</v>
      </c>
      <c r="D5" s="467" t="s">
        <v>411</v>
      </c>
      <c r="E5" t="s">
        <v>485</v>
      </c>
      <c r="F5" t="s">
        <v>250</v>
      </c>
      <c r="H5" s="5" t="s">
        <v>241</v>
      </c>
      <c r="I5" s="305">
        <f>+Efficiency1!AC135</f>
        <v>16.380938978346077</v>
      </c>
      <c r="J5" s="455">
        <f>I5/$I$8</f>
        <v>1.2237697010652535E-2</v>
      </c>
      <c r="M5" s="39"/>
      <c r="N5" s="3">
        <v>481</v>
      </c>
      <c r="O5" s="467" t="s">
        <v>411</v>
      </c>
      <c r="P5" t="s">
        <v>485</v>
      </c>
      <c r="Q5" t="s">
        <v>250</v>
      </c>
      <c r="S5" s="5" t="s">
        <v>241</v>
      </c>
      <c r="T5" s="305">
        <f>+Efficiency2!AC135</f>
        <v>14.839722978346071</v>
      </c>
      <c r="U5" s="455">
        <f>T5/$T$8</f>
        <v>1.1086301815242665E-2</v>
      </c>
    </row>
    <row r="6" spans="1:21" ht="15" customHeight="1">
      <c r="B6" s="327"/>
      <c r="C6" s="3">
        <v>84</v>
      </c>
      <c r="D6" s="467" t="s">
        <v>414</v>
      </c>
      <c r="E6" t="s">
        <v>484</v>
      </c>
      <c r="F6" t="s">
        <v>249</v>
      </c>
      <c r="M6" s="327"/>
      <c r="N6" s="3">
        <v>84</v>
      </c>
      <c r="O6" s="467" t="s">
        <v>414</v>
      </c>
      <c r="P6" t="s">
        <v>484</v>
      </c>
      <c r="Q6" t="s">
        <v>249</v>
      </c>
    </row>
    <row r="7" spans="1:21" ht="12.75" customHeight="1">
      <c r="B7" s="327"/>
      <c r="I7" s="464"/>
      <c r="J7" s="465"/>
      <c r="M7" s="327"/>
      <c r="T7" s="464"/>
      <c r="U7" s="465"/>
    </row>
    <row r="8" spans="1:21" ht="12.75" customHeight="1">
      <c r="B8" s="327">
        <v>45993</v>
      </c>
      <c r="C8" s="3">
        <v>14</v>
      </c>
      <c r="D8" t="s">
        <v>427</v>
      </c>
      <c r="E8" t="s">
        <v>247</v>
      </c>
      <c r="F8" t="s">
        <v>244</v>
      </c>
      <c r="H8" s="466" t="s">
        <v>263</v>
      </c>
      <c r="I8" s="6">
        <f>+Efficiency1!K135</f>
        <v>1338.5638624724063</v>
      </c>
      <c r="M8" s="327">
        <v>45993</v>
      </c>
      <c r="N8" s="3">
        <v>14</v>
      </c>
      <c r="O8" t="s">
        <v>427</v>
      </c>
      <c r="P8" t="s">
        <v>247</v>
      </c>
      <c r="Q8" t="s">
        <v>244</v>
      </c>
      <c r="S8" s="466" t="s">
        <v>263</v>
      </c>
      <c r="T8" s="6">
        <f>+Efficiency2!K135</f>
        <v>1338.5638624724063</v>
      </c>
    </row>
    <row r="9" spans="1:21" ht="12.75" customHeight="1">
      <c r="B9" s="327"/>
      <c r="C9" s="3">
        <v>8</v>
      </c>
      <c r="D9" t="s">
        <v>424</v>
      </c>
      <c r="E9" t="s">
        <v>245</v>
      </c>
      <c r="F9" t="s">
        <v>244</v>
      </c>
      <c r="H9" s="466" t="s">
        <v>264</v>
      </c>
      <c r="I9" s="6">
        <f>+Efficiency1!AD135</f>
        <v>2804</v>
      </c>
      <c r="M9" s="327"/>
      <c r="N9" s="3">
        <v>8</v>
      </c>
      <c r="O9" t="s">
        <v>424</v>
      </c>
      <c r="P9" t="s">
        <v>245</v>
      </c>
      <c r="Q9" t="s">
        <v>244</v>
      </c>
      <c r="S9" s="466" t="s">
        <v>264</v>
      </c>
      <c r="T9" s="6">
        <f>+Efficiency2!AD135</f>
        <v>2804</v>
      </c>
    </row>
    <row r="10" spans="1:21" ht="15" customHeight="1">
      <c r="B10" s="327"/>
      <c r="C10" s="3">
        <v>47</v>
      </c>
      <c r="D10" t="s">
        <v>428</v>
      </c>
      <c r="E10" t="s">
        <v>246</v>
      </c>
      <c r="F10" t="s">
        <v>244</v>
      </c>
      <c r="H10" s="466" t="s">
        <v>265</v>
      </c>
      <c r="I10" s="6">
        <f>+Efficiency1!V135</f>
        <v>84.610836393091915</v>
      </c>
      <c r="M10" s="327"/>
      <c r="N10" s="3">
        <v>47</v>
      </c>
      <c r="O10" t="s">
        <v>428</v>
      </c>
      <c r="P10" t="s">
        <v>246</v>
      </c>
      <c r="Q10" t="s">
        <v>244</v>
      </c>
      <c r="S10" s="466" t="s">
        <v>265</v>
      </c>
      <c r="T10" s="6">
        <f>+Efficiency2!V135</f>
        <v>84.610836393091915</v>
      </c>
    </row>
    <row r="11" spans="1:21" ht="12.75" customHeight="1">
      <c r="B11" s="327"/>
      <c r="H11" s="466" t="s">
        <v>266</v>
      </c>
      <c r="I11" s="458">
        <f>I10/I8</f>
        <v>6.3210160355599856E-2</v>
      </c>
      <c r="M11" s="327"/>
      <c r="S11" s="466" t="s">
        <v>266</v>
      </c>
      <c r="T11" s="458">
        <f>T10/T8</f>
        <v>6.3210160355599856E-2</v>
      </c>
    </row>
    <row r="12" spans="1:21">
      <c r="B12" s="327">
        <v>45994</v>
      </c>
      <c r="C12" s="3">
        <v>18</v>
      </c>
      <c r="D12" t="s">
        <v>436</v>
      </c>
      <c r="E12" t="s">
        <v>247</v>
      </c>
      <c r="F12" t="s">
        <v>244</v>
      </c>
      <c r="M12" s="327">
        <v>45994</v>
      </c>
      <c r="N12" s="3">
        <v>18</v>
      </c>
      <c r="O12" t="s">
        <v>436</v>
      </c>
      <c r="P12" t="s">
        <v>247</v>
      </c>
      <c r="Q12" t="s">
        <v>244</v>
      </c>
    </row>
    <row r="13" spans="1:21">
      <c r="B13" s="327"/>
      <c r="C13" s="3">
        <v>10</v>
      </c>
      <c r="D13" t="s">
        <v>435</v>
      </c>
      <c r="E13" t="s">
        <v>245</v>
      </c>
      <c r="F13" t="s">
        <v>244</v>
      </c>
      <c r="M13" s="327"/>
      <c r="N13" s="3">
        <v>10</v>
      </c>
      <c r="O13" t="s">
        <v>435</v>
      </c>
      <c r="P13" t="s">
        <v>245</v>
      </c>
      <c r="Q13" t="s">
        <v>244</v>
      </c>
    </row>
    <row r="14" spans="1:21" ht="15" customHeight="1">
      <c r="B14" s="327"/>
      <c r="C14" s="3">
        <v>39</v>
      </c>
      <c r="D14" t="s">
        <v>437</v>
      </c>
      <c r="E14" t="s">
        <v>246</v>
      </c>
      <c r="F14" t="s">
        <v>244</v>
      </c>
      <c r="M14" s="327"/>
      <c r="N14" s="3">
        <v>39</v>
      </c>
      <c r="O14" t="s">
        <v>437</v>
      </c>
      <c r="P14" t="s">
        <v>246</v>
      </c>
      <c r="Q14" t="s">
        <v>244</v>
      </c>
    </row>
    <row r="15" spans="1:21" ht="15" customHeight="1">
      <c r="B15" s="327"/>
      <c r="G15" s="511">
        <f>+summary!H42</f>
        <v>0.99999999999999967</v>
      </c>
      <c r="M15" s="327"/>
      <c r="R15" s="511">
        <f>+summary!Q42</f>
        <v>0.99999999999999967</v>
      </c>
    </row>
    <row r="16" spans="1:21">
      <c r="B16" s="327">
        <v>45995</v>
      </c>
      <c r="C16" s="3">
        <v>21</v>
      </c>
      <c r="D16" t="s">
        <v>442</v>
      </c>
      <c r="E16" t="s">
        <v>247</v>
      </c>
      <c r="F16" t="s">
        <v>244</v>
      </c>
      <c r="M16" s="327">
        <v>45995</v>
      </c>
      <c r="N16" s="3">
        <v>21</v>
      </c>
      <c r="O16" t="s">
        <v>442</v>
      </c>
      <c r="P16" t="s">
        <v>247</v>
      </c>
      <c r="Q16" t="s">
        <v>244</v>
      </c>
    </row>
    <row r="17" spans="2:17">
      <c r="B17" s="327"/>
      <c r="C17" s="3">
        <v>9</v>
      </c>
      <c r="D17" t="s">
        <v>412</v>
      </c>
      <c r="E17" t="s">
        <v>245</v>
      </c>
      <c r="F17" t="s">
        <v>244</v>
      </c>
      <c r="M17" s="327"/>
      <c r="N17" s="3">
        <v>9</v>
      </c>
      <c r="O17" t="s">
        <v>412</v>
      </c>
      <c r="P17" t="s">
        <v>245</v>
      </c>
      <c r="Q17" t="s">
        <v>244</v>
      </c>
    </row>
    <row r="18" spans="2:17">
      <c r="B18" s="327"/>
      <c r="C18" s="3">
        <v>47</v>
      </c>
      <c r="D18" t="s">
        <v>443</v>
      </c>
      <c r="E18" t="s">
        <v>246</v>
      </c>
      <c r="F18" t="s">
        <v>244</v>
      </c>
      <c r="M18" s="327"/>
      <c r="N18" s="3">
        <v>47</v>
      </c>
      <c r="O18" t="s">
        <v>443</v>
      </c>
      <c r="P18" t="s">
        <v>246</v>
      </c>
      <c r="Q18" t="s">
        <v>244</v>
      </c>
    </row>
    <row r="19" spans="2:17">
      <c r="B19" s="327"/>
      <c r="M19" s="327"/>
    </row>
    <row r="20" spans="2:17">
      <c r="B20" s="327">
        <v>45996</v>
      </c>
      <c r="C20" s="3">
        <v>27</v>
      </c>
      <c r="D20" t="s">
        <v>436</v>
      </c>
      <c r="E20" t="s">
        <v>247</v>
      </c>
      <c r="F20" t="s">
        <v>244</v>
      </c>
      <c r="M20" s="327">
        <v>45996</v>
      </c>
      <c r="N20" s="3">
        <v>27</v>
      </c>
      <c r="O20" t="s">
        <v>436</v>
      </c>
      <c r="P20" t="s">
        <v>247</v>
      </c>
      <c r="Q20" t="s">
        <v>244</v>
      </c>
    </row>
    <row r="21" spans="2:17">
      <c r="B21" s="327"/>
      <c r="C21" s="3">
        <v>0</v>
      </c>
      <c r="D21" t="s">
        <v>284</v>
      </c>
      <c r="E21" t="s">
        <v>245</v>
      </c>
      <c r="F21" t="s">
        <v>244</v>
      </c>
      <c r="M21" s="327"/>
      <c r="N21" s="3">
        <v>0</v>
      </c>
      <c r="O21" t="s">
        <v>284</v>
      </c>
      <c r="P21" t="s">
        <v>245</v>
      </c>
      <c r="Q21" t="s">
        <v>244</v>
      </c>
    </row>
    <row r="22" spans="2:17">
      <c r="B22" s="327"/>
      <c r="C22" s="3">
        <v>47</v>
      </c>
      <c r="D22" t="s">
        <v>428</v>
      </c>
      <c r="E22" t="s">
        <v>246</v>
      </c>
      <c r="F22" t="s">
        <v>244</v>
      </c>
      <c r="M22" s="327"/>
      <c r="N22" s="3">
        <v>47</v>
      </c>
      <c r="O22" t="s">
        <v>428</v>
      </c>
      <c r="P22" t="s">
        <v>246</v>
      </c>
      <c r="Q22" t="s">
        <v>244</v>
      </c>
    </row>
    <row r="23" spans="2:17">
      <c r="B23" s="327"/>
      <c r="M23" s="327"/>
    </row>
    <row r="24" spans="2:17">
      <c r="B24" s="327">
        <v>45997</v>
      </c>
      <c r="C24" s="3">
        <v>30</v>
      </c>
      <c r="D24" t="s">
        <v>436</v>
      </c>
      <c r="E24" t="s">
        <v>247</v>
      </c>
      <c r="F24" t="s">
        <v>244</v>
      </c>
      <c r="M24" s="327">
        <v>45997</v>
      </c>
      <c r="N24" s="3">
        <v>30</v>
      </c>
      <c r="O24" t="s">
        <v>436</v>
      </c>
      <c r="P24" t="s">
        <v>247</v>
      </c>
      <c r="Q24" t="s">
        <v>244</v>
      </c>
    </row>
    <row r="25" spans="2:17">
      <c r="B25" s="327"/>
      <c r="C25" s="3">
        <v>0</v>
      </c>
      <c r="D25" t="s">
        <v>284</v>
      </c>
      <c r="E25" t="s">
        <v>245</v>
      </c>
      <c r="F25" t="s">
        <v>244</v>
      </c>
      <c r="M25" s="327"/>
      <c r="N25" s="3">
        <v>0</v>
      </c>
      <c r="O25" t="s">
        <v>284</v>
      </c>
      <c r="P25" t="s">
        <v>245</v>
      </c>
      <c r="Q25" t="s">
        <v>244</v>
      </c>
    </row>
    <row r="26" spans="2:17">
      <c r="B26" s="327"/>
      <c r="C26" s="3">
        <v>50</v>
      </c>
      <c r="D26" t="s">
        <v>428</v>
      </c>
      <c r="E26" t="s">
        <v>246</v>
      </c>
      <c r="F26" t="s">
        <v>244</v>
      </c>
      <c r="M26" s="327"/>
      <c r="N26" s="3">
        <v>50</v>
      </c>
      <c r="O26" t="s">
        <v>428</v>
      </c>
      <c r="P26" t="s">
        <v>246</v>
      </c>
      <c r="Q26" t="s">
        <v>244</v>
      </c>
    </row>
    <row r="27" spans="2:17">
      <c r="B27" s="327"/>
      <c r="M27" s="327"/>
    </row>
    <row r="28" spans="2:17">
      <c r="B28" s="327">
        <v>45998</v>
      </c>
      <c r="C28" s="3">
        <v>21</v>
      </c>
      <c r="D28" t="s">
        <v>442</v>
      </c>
      <c r="E28" t="s">
        <v>247</v>
      </c>
      <c r="F28" t="s">
        <v>244</v>
      </c>
      <c r="M28" s="327">
        <v>45998</v>
      </c>
      <c r="N28" s="3">
        <v>21</v>
      </c>
      <c r="O28" t="s">
        <v>442</v>
      </c>
      <c r="P28" t="s">
        <v>247</v>
      </c>
      <c r="Q28" t="s">
        <v>244</v>
      </c>
    </row>
    <row r="29" spans="2:17">
      <c r="B29" s="327"/>
      <c r="C29" s="3">
        <v>9</v>
      </c>
      <c r="D29" t="s">
        <v>424</v>
      </c>
      <c r="E29" t="s">
        <v>245</v>
      </c>
      <c r="F29" t="s">
        <v>244</v>
      </c>
      <c r="M29" s="327"/>
      <c r="N29" s="3">
        <v>9</v>
      </c>
      <c r="O29" t="s">
        <v>424</v>
      </c>
      <c r="P29" t="s">
        <v>245</v>
      </c>
      <c r="Q29" t="s">
        <v>244</v>
      </c>
    </row>
    <row r="30" spans="2:17">
      <c r="B30" s="327"/>
      <c r="C30" s="3">
        <v>45</v>
      </c>
      <c r="D30" t="s">
        <v>437</v>
      </c>
      <c r="E30" t="s">
        <v>246</v>
      </c>
      <c r="F30" t="s">
        <v>244</v>
      </c>
      <c r="M30" s="327"/>
      <c r="N30" s="3">
        <v>45</v>
      </c>
      <c r="O30" t="s">
        <v>437</v>
      </c>
      <c r="P30" t="s">
        <v>246</v>
      </c>
      <c r="Q30" t="s">
        <v>244</v>
      </c>
    </row>
    <row r="31" spans="2:17">
      <c r="B31" s="327"/>
      <c r="M31" s="327"/>
    </row>
    <row r="32" spans="2:17">
      <c r="B32" s="327">
        <v>45999</v>
      </c>
      <c r="C32" s="3">
        <v>12</v>
      </c>
      <c r="D32" t="s">
        <v>442</v>
      </c>
      <c r="E32" t="s">
        <v>247</v>
      </c>
      <c r="F32" t="s">
        <v>244</v>
      </c>
      <c r="M32" s="327">
        <v>45999</v>
      </c>
      <c r="N32" s="3">
        <v>12</v>
      </c>
      <c r="O32" t="s">
        <v>442</v>
      </c>
      <c r="P32" t="s">
        <v>247</v>
      </c>
      <c r="Q32" t="s">
        <v>244</v>
      </c>
    </row>
    <row r="33" spans="2:17">
      <c r="B33" s="327"/>
      <c r="C33" s="3">
        <v>8</v>
      </c>
      <c r="D33" t="s">
        <v>407</v>
      </c>
      <c r="E33" t="s">
        <v>245</v>
      </c>
      <c r="F33" t="s">
        <v>244</v>
      </c>
      <c r="M33" s="327"/>
      <c r="N33" s="3">
        <v>8</v>
      </c>
      <c r="O33" t="s">
        <v>407</v>
      </c>
      <c r="P33" t="s">
        <v>245</v>
      </c>
      <c r="Q33" t="s">
        <v>244</v>
      </c>
    </row>
    <row r="34" spans="2:17">
      <c r="B34" s="327"/>
      <c r="C34" s="3">
        <v>43</v>
      </c>
      <c r="D34" t="s">
        <v>437</v>
      </c>
      <c r="E34" t="s">
        <v>246</v>
      </c>
      <c r="F34" t="s">
        <v>244</v>
      </c>
      <c r="M34" s="327"/>
      <c r="N34" s="3">
        <v>43</v>
      </c>
      <c r="O34" t="s">
        <v>437</v>
      </c>
      <c r="P34" t="s">
        <v>246</v>
      </c>
      <c r="Q34" t="s">
        <v>244</v>
      </c>
    </row>
    <row r="35" spans="2:17">
      <c r="B35" s="327"/>
      <c r="M35" s="327"/>
    </row>
    <row r="36" spans="2:17">
      <c r="B36" s="327">
        <v>46000</v>
      </c>
      <c r="C36" s="3">
        <v>9</v>
      </c>
      <c r="D36" t="s">
        <v>423</v>
      </c>
      <c r="E36" t="s">
        <v>247</v>
      </c>
      <c r="F36" t="s">
        <v>244</v>
      </c>
      <c r="M36" s="327">
        <v>46000</v>
      </c>
      <c r="N36" s="3">
        <v>9</v>
      </c>
      <c r="O36" t="s">
        <v>423</v>
      </c>
      <c r="P36" t="s">
        <v>247</v>
      </c>
      <c r="Q36" t="s">
        <v>244</v>
      </c>
    </row>
    <row r="37" spans="2:17">
      <c r="B37" s="327"/>
      <c r="C37" s="3">
        <v>19</v>
      </c>
      <c r="D37" t="s">
        <v>424</v>
      </c>
      <c r="E37" t="s">
        <v>245</v>
      </c>
      <c r="F37" t="s">
        <v>244</v>
      </c>
      <c r="M37" s="327"/>
      <c r="N37" s="3">
        <v>19</v>
      </c>
      <c r="O37" t="s">
        <v>424</v>
      </c>
      <c r="P37" t="s">
        <v>245</v>
      </c>
      <c r="Q37" t="s">
        <v>244</v>
      </c>
    </row>
    <row r="38" spans="2:17">
      <c r="B38" s="327"/>
      <c r="C38" s="3">
        <v>38</v>
      </c>
      <c r="D38" t="s">
        <v>483</v>
      </c>
      <c r="E38" t="s">
        <v>246</v>
      </c>
      <c r="F38" t="s">
        <v>244</v>
      </c>
      <c r="M38" s="327"/>
      <c r="N38" s="3">
        <v>38</v>
      </c>
      <c r="O38" t="s">
        <v>483</v>
      </c>
      <c r="P38" t="s">
        <v>246</v>
      </c>
      <c r="Q38" t="s">
        <v>244</v>
      </c>
    </row>
    <row r="39" spans="2:17">
      <c r="B39" s="327"/>
      <c r="M39" s="327"/>
    </row>
    <row r="40" spans="2:17">
      <c r="B40" s="327">
        <v>46001</v>
      </c>
      <c r="C40" s="3">
        <v>6</v>
      </c>
      <c r="D40" t="s">
        <v>423</v>
      </c>
      <c r="E40" t="s">
        <v>247</v>
      </c>
      <c r="F40" t="s">
        <v>244</v>
      </c>
      <c r="M40" s="327">
        <v>46001</v>
      </c>
      <c r="N40" s="3">
        <v>6</v>
      </c>
      <c r="O40" t="s">
        <v>423</v>
      </c>
      <c r="P40" t="s">
        <v>247</v>
      </c>
      <c r="Q40" t="s">
        <v>244</v>
      </c>
    </row>
    <row r="41" spans="2:17">
      <c r="B41" s="327"/>
      <c r="C41" s="3">
        <v>16</v>
      </c>
      <c r="D41" t="s">
        <v>424</v>
      </c>
      <c r="E41" t="s">
        <v>245</v>
      </c>
      <c r="F41" t="s">
        <v>244</v>
      </c>
      <c r="M41" s="327"/>
      <c r="N41" s="3">
        <v>16</v>
      </c>
      <c r="O41" t="s">
        <v>424</v>
      </c>
      <c r="P41" t="s">
        <v>245</v>
      </c>
      <c r="Q41" t="s">
        <v>244</v>
      </c>
    </row>
    <row r="42" spans="2:17">
      <c r="B42" s="327"/>
      <c r="C42" s="3">
        <v>37</v>
      </c>
      <c r="D42" t="s">
        <v>483</v>
      </c>
      <c r="E42" t="s">
        <v>246</v>
      </c>
      <c r="F42" t="s">
        <v>244</v>
      </c>
      <c r="M42" s="327"/>
      <c r="N42" s="3">
        <v>37</v>
      </c>
      <c r="O42" t="s">
        <v>483</v>
      </c>
      <c r="P42" t="s">
        <v>246</v>
      </c>
      <c r="Q42" t="s">
        <v>244</v>
      </c>
    </row>
    <row r="43" spans="2:17">
      <c r="B43" s="327"/>
      <c r="M43" s="327"/>
    </row>
    <row r="44" spans="2:17">
      <c r="B44" s="327">
        <v>46002</v>
      </c>
      <c r="C44" s="3">
        <v>18</v>
      </c>
      <c r="D44" t="s">
        <v>442</v>
      </c>
      <c r="E44" t="s">
        <v>247</v>
      </c>
      <c r="F44" t="s">
        <v>244</v>
      </c>
      <c r="M44" s="327">
        <v>46002</v>
      </c>
      <c r="N44" s="3">
        <v>18</v>
      </c>
      <c r="O44" t="s">
        <v>442</v>
      </c>
      <c r="P44" t="s">
        <v>247</v>
      </c>
      <c r="Q44" t="s">
        <v>244</v>
      </c>
    </row>
    <row r="45" spans="2:17">
      <c r="B45" s="327"/>
      <c r="C45" s="3">
        <v>8</v>
      </c>
      <c r="D45" t="s">
        <v>407</v>
      </c>
      <c r="E45" t="s">
        <v>245</v>
      </c>
      <c r="F45" t="s">
        <v>244</v>
      </c>
      <c r="M45" s="327"/>
      <c r="N45" s="3">
        <v>8</v>
      </c>
      <c r="O45" t="s">
        <v>407</v>
      </c>
      <c r="P45" t="s">
        <v>245</v>
      </c>
      <c r="Q45" t="s">
        <v>244</v>
      </c>
    </row>
    <row r="46" spans="2:17">
      <c r="B46" s="327"/>
      <c r="C46" s="3">
        <v>40</v>
      </c>
      <c r="D46" t="s">
        <v>498</v>
      </c>
      <c r="E46" t="s">
        <v>246</v>
      </c>
      <c r="F46" t="s">
        <v>244</v>
      </c>
      <c r="M46" s="327"/>
      <c r="N46" s="3">
        <v>40</v>
      </c>
      <c r="O46" t="s">
        <v>498</v>
      </c>
      <c r="P46" t="s">
        <v>246</v>
      </c>
      <c r="Q46" t="s">
        <v>244</v>
      </c>
    </row>
    <row r="47" spans="2:17">
      <c r="B47" s="327"/>
      <c r="M47" s="327"/>
    </row>
    <row r="48" spans="2:17">
      <c r="B48" s="327">
        <v>46003</v>
      </c>
      <c r="C48" s="3">
        <v>30</v>
      </c>
      <c r="D48" t="s">
        <v>436</v>
      </c>
      <c r="E48" t="s">
        <v>247</v>
      </c>
      <c r="F48" t="s">
        <v>244</v>
      </c>
      <c r="M48" s="327">
        <v>46003</v>
      </c>
      <c r="N48" s="3">
        <v>30</v>
      </c>
      <c r="O48" t="s">
        <v>436</v>
      </c>
      <c r="P48" t="s">
        <v>247</v>
      </c>
      <c r="Q48" t="s">
        <v>244</v>
      </c>
    </row>
    <row r="49" spans="2:17">
      <c r="B49" s="327"/>
      <c r="C49" s="3">
        <v>0</v>
      </c>
      <c r="D49" t="s">
        <v>284</v>
      </c>
      <c r="E49" t="s">
        <v>245</v>
      </c>
      <c r="F49" t="s">
        <v>244</v>
      </c>
      <c r="M49" s="327"/>
      <c r="N49" s="3">
        <v>0</v>
      </c>
      <c r="O49" t="s">
        <v>284</v>
      </c>
      <c r="P49" t="s">
        <v>245</v>
      </c>
      <c r="Q49" t="s">
        <v>244</v>
      </c>
    </row>
    <row r="50" spans="2:17">
      <c r="B50" s="327"/>
      <c r="C50" s="3">
        <v>50</v>
      </c>
      <c r="D50" t="s">
        <v>437</v>
      </c>
      <c r="E50" t="s">
        <v>246</v>
      </c>
      <c r="F50" t="s">
        <v>244</v>
      </c>
      <c r="M50" s="327"/>
      <c r="N50" s="3">
        <v>50</v>
      </c>
      <c r="O50" t="s">
        <v>437</v>
      </c>
      <c r="P50" t="s">
        <v>246</v>
      </c>
      <c r="Q50" t="s">
        <v>244</v>
      </c>
    </row>
    <row r="51" spans="2:17">
      <c r="B51" s="327"/>
      <c r="M51" s="327"/>
    </row>
    <row r="52" spans="2:17">
      <c r="B52" s="327">
        <v>46004</v>
      </c>
      <c r="C52" s="3">
        <v>71</v>
      </c>
      <c r="D52" t="s">
        <v>536</v>
      </c>
      <c r="E52" t="s">
        <v>247</v>
      </c>
      <c r="F52" t="s">
        <v>244</v>
      </c>
      <c r="M52" s="327">
        <v>46004</v>
      </c>
      <c r="N52" s="3">
        <v>71</v>
      </c>
      <c r="O52" t="s">
        <v>536</v>
      </c>
      <c r="P52" t="s">
        <v>247</v>
      </c>
      <c r="Q52" t="s">
        <v>244</v>
      </c>
    </row>
    <row r="53" spans="2:17">
      <c r="B53" s="327"/>
      <c r="C53" s="3">
        <v>0</v>
      </c>
      <c r="D53" t="s">
        <v>284</v>
      </c>
      <c r="E53" t="s">
        <v>245</v>
      </c>
      <c r="F53" t="s">
        <v>244</v>
      </c>
      <c r="M53" s="327"/>
      <c r="N53" s="3">
        <v>0</v>
      </c>
      <c r="O53" t="s">
        <v>284</v>
      </c>
      <c r="P53" t="s">
        <v>245</v>
      </c>
      <c r="Q53" t="s">
        <v>244</v>
      </c>
    </row>
    <row r="54" spans="2:17">
      <c r="B54" s="327"/>
      <c r="C54" s="3">
        <v>44</v>
      </c>
      <c r="D54" t="s">
        <v>443</v>
      </c>
      <c r="E54" t="s">
        <v>246</v>
      </c>
      <c r="F54" t="s">
        <v>244</v>
      </c>
      <c r="M54" s="327"/>
      <c r="N54" s="3">
        <v>44</v>
      </c>
      <c r="O54" t="s">
        <v>443</v>
      </c>
      <c r="P54" t="s">
        <v>246</v>
      </c>
      <c r="Q54" t="s">
        <v>244</v>
      </c>
    </row>
    <row r="55" spans="2:17">
      <c r="B55" s="327"/>
      <c r="M55" s="327"/>
    </row>
    <row r="56" spans="2:17">
      <c r="B56" s="327">
        <v>46005</v>
      </c>
      <c r="C56" s="3">
        <v>15</v>
      </c>
      <c r="D56" t="s">
        <v>442</v>
      </c>
      <c r="E56" t="s">
        <v>247</v>
      </c>
      <c r="F56" t="s">
        <v>244</v>
      </c>
      <c r="M56" s="327">
        <v>46005</v>
      </c>
      <c r="N56" s="3">
        <v>15</v>
      </c>
      <c r="O56" t="s">
        <v>442</v>
      </c>
      <c r="P56" t="s">
        <v>247</v>
      </c>
      <c r="Q56" t="s">
        <v>244</v>
      </c>
    </row>
    <row r="57" spans="2:17">
      <c r="B57" s="327"/>
      <c r="C57" s="3">
        <v>3</v>
      </c>
      <c r="D57" t="s">
        <v>532</v>
      </c>
      <c r="E57" t="s">
        <v>245</v>
      </c>
      <c r="F57" t="s">
        <v>244</v>
      </c>
      <c r="M57" s="327"/>
      <c r="N57" s="3">
        <v>3</v>
      </c>
      <c r="O57" t="s">
        <v>532</v>
      </c>
      <c r="P57" t="s">
        <v>245</v>
      </c>
      <c r="Q57" t="s">
        <v>244</v>
      </c>
    </row>
    <row r="58" spans="2:17">
      <c r="B58" s="327"/>
      <c r="C58" s="3">
        <v>43</v>
      </c>
      <c r="D58" t="s">
        <v>498</v>
      </c>
      <c r="E58" t="s">
        <v>246</v>
      </c>
      <c r="F58" t="s">
        <v>244</v>
      </c>
      <c r="M58" s="327"/>
      <c r="N58" s="3">
        <v>43</v>
      </c>
      <c r="O58" t="s">
        <v>498</v>
      </c>
      <c r="P58" t="s">
        <v>246</v>
      </c>
      <c r="Q58" t="s">
        <v>244</v>
      </c>
    </row>
    <row r="59" spans="2:17">
      <c r="B59" s="327"/>
      <c r="M59" s="327"/>
    </row>
    <row r="60" spans="2:17">
      <c r="B60" s="327">
        <v>46006</v>
      </c>
      <c r="C60" s="3">
        <v>9</v>
      </c>
      <c r="D60" t="s">
        <v>423</v>
      </c>
      <c r="E60" t="s">
        <v>247</v>
      </c>
      <c r="F60" t="s">
        <v>244</v>
      </c>
      <c r="M60" s="327">
        <v>46006</v>
      </c>
      <c r="N60" s="3">
        <v>9</v>
      </c>
      <c r="O60" t="s">
        <v>423</v>
      </c>
      <c r="P60" t="s">
        <v>247</v>
      </c>
      <c r="Q60" t="s">
        <v>244</v>
      </c>
    </row>
    <row r="61" spans="2:17">
      <c r="B61" s="327"/>
      <c r="C61" s="3">
        <v>15</v>
      </c>
      <c r="D61" t="s">
        <v>551</v>
      </c>
      <c r="E61" t="s">
        <v>245</v>
      </c>
      <c r="F61" t="s">
        <v>244</v>
      </c>
      <c r="M61" s="327"/>
      <c r="N61" s="3">
        <v>15</v>
      </c>
      <c r="O61" t="s">
        <v>551</v>
      </c>
      <c r="P61" t="s">
        <v>245</v>
      </c>
      <c r="Q61" t="s">
        <v>244</v>
      </c>
    </row>
    <row r="62" spans="2:17">
      <c r="B62" s="327"/>
      <c r="C62" s="3">
        <v>44</v>
      </c>
      <c r="D62" t="s">
        <v>437</v>
      </c>
      <c r="E62" t="s">
        <v>246</v>
      </c>
      <c r="F62" t="s">
        <v>244</v>
      </c>
      <c r="M62" s="327"/>
      <c r="N62" s="3">
        <v>44</v>
      </c>
      <c r="O62" t="s">
        <v>437</v>
      </c>
      <c r="P62" t="s">
        <v>246</v>
      </c>
      <c r="Q62" t="s">
        <v>244</v>
      </c>
    </row>
    <row r="63" spans="2:17">
      <c r="B63" s="327"/>
      <c r="M63" s="327"/>
    </row>
    <row r="64" spans="2:17">
      <c r="B64" s="327">
        <v>46007</v>
      </c>
      <c r="C64" s="3">
        <v>9</v>
      </c>
      <c r="D64" t="s">
        <v>423</v>
      </c>
      <c r="E64" t="s">
        <v>247</v>
      </c>
      <c r="F64" t="s">
        <v>244</v>
      </c>
      <c r="M64" s="327">
        <v>46007</v>
      </c>
      <c r="N64" s="3">
        <v>9</v>
      </c>
      <c r="O64" t="s">
        <v>423</v>
      </c>
      <c r="P64" t="s">
        <v>247</v>
      </c>
      <c r="Q64" t="s">
        <v>244</v>
      </c>
    </row>
    <row r="65" spans="2:17">
      <c r="B65" s="327"/>
      <c r="C65" s="3">
        <v>11</v>
      </c>
      <c r="D65" t="s">
        <v>386</v>
      </c>
      <c r="E65" t="s">
        <v>245</v>
      </c>
      <c r="F65" t="s">
        <v>244</v>
      </c>
      <c r="M65" s="327"/>
      <c r="N65" s="3">
        <v>11</v>
      </c>
      <c r="O65" t="s">
        <v>386</v>
      </c>
      <c r="P65" t="s">
        <v>245</v>
      </c>
      <c r="Q65" t="s">
        <v>244</v>
      </c>
    </row>
    <row r="66" spans="2:17" ht="12.75" customHeight="1">
      <c r="B66" s="327"/>
      <c r="C66" s="3">
        <v>41</v>
      </c>
      <c r="D66" t="s">
        <v>498</v>
      </c>
      <c r="E66" t="s">
        <v>246</v>
      </c>
      <c r="F66" t="s">
        <v>244</v>
      </c>
      <c r="M66" s="327"/>
      <c r="N66" s="3">
        <v>41</v>
      </c>
      <c r="O66" t="s">
        <v>498</v>
      </c>
      <c r="P66" t="s">
        <v>246</v>
      </c>
      <c r="Q66" t="s">
        <v>244</v>
      </c>
    </row>
    <row r="67" spans="2:17" ht="12.75" customHeight="1">
      <c r="B67" s="327"/>
      <c r="C67" s="3">
        <v>116</v>
      </c>
      <c r="D67" t="s">
        <v>562</v>
      </c>
      <c r="E67" t="s">
        <v>484</v>
      </c>
      <c r="F67" t="s">
        <v>249</v>
      </c>
      <c r="M67" s="327"/>
      <c r="N67" s="3">
        <v>116</v>
      </c>
      <c r="O67" t="s">
        <v>562</v>
      </c>
      <c r="P67" t="s">
        <v>484</v>
      </c>
      <c r="Q67" t="s">
        <v>249</v>
      </c>
    </row>
    <row r="68" spans="2:17" ht="12.75" customHeight="1">
      <c r="B68" s="327"/>
      <c r="M68" s="327"/>
    </row>
    <row r="69" spans="2:17" ht="12.75" customHeight="1">
      <c r="B69" s="327">
        <v>46008</v>
      </c>
      <c r="C69" s="3">
        <v>12</v>
      </c>
      <c r="D69" t="s">
        <v>442</v>
      </c>
      <c r="E69" t="s">
        <v>247</v>
      </c>
      <c r="F69" t="s">
        <v>244</v>
      </c>
      <c r="M69" s="327">
        <v>46008</v>
      </c>
      <c r="N69" s="3">
        <v>12</v>
      </c>
      <c r="O69" t="s">
        <v>442</v>
      </c>
      <c r="P69" t="s">
        <v>247</v>
      </c>
      <c r="Q69" t="s">
        <v>244</v>
      </c>
    </row>
    <row r="70" spans="2:17">
      <c r="B70" s="327"/>
      <c r="C70" s="3">
        <v>13</v>
      </c>
      <c r="D70" t="s">
        <v>532</v>
      </c>
      <c r="E70" t="s">
        <v>245</v>
      </c>
      <c r="F70" t="s">
        <v>244</v>
      </c>
      <c r="M70" s="327"/>
      <c r="N70" s="3">
        <v>13</v>
      </c>
      <c r="O70" t="s">
        <v>532</v>
      </c>
      <c r="P70" t="s">
        <v>245</v>
      </c>
      <c r="Q70" t="s">
        <v>244</v>
      </c>
    </row>
    <row r="71" spans="2:17">
      <c r="B71" s="327"/>
      <c r="C71" s="3">
        <v>44</v>
      </c>
      <c r="D71" t="s">
        <v>498</v>
      </c>
      <c r="E71" t="s">
        <v>246</v>
      </c>
      <c r="F71" t="s">
        <v>244</v>
      </c>
      <c r="M71" s="327"/>
      <c r="N71" s="3">
        <v>44</v>
      </c>
      <c r="O71" t="s">
        <v>498</v>
      </c>
      <c r="P71" t="s">
        <v>246</v>
      </c>
      <c r="Q71" t="s">
        <v>244</v>
      </c>
    </row>
    <row r="72" spans="2:17">
      <c r="B72" s="327"/>
      <c r="C72" s="3">
        <v>40</v>
      </c>
      <c r="D72" t="s">
        <v>578</v>
      </c>
      <c r="E72" t="s">
        <v>618</v>
      </c>
      <c r="F72" t="s">
        <v>249</v>
      </c>
      <c r="M72" s="327"/>
      <c r="N72" s="3">
        <v>40</v>
      </c>
      <c r="O72" t="s">
        <v>578</v>
      </c>
      <c r="P72" t="s">
        <v>618</v>
      </c>
      <c r="Q72" t="s">
        <v>249</v>
      </c>
    </row>
    <row r="73" spans="2:17">
      <c r="B73" s="327"/>
      <c r="M73" s="327"/>
    </row>
    <row r="74" spans="2:17">
      <c r="B74" s="327">
        <v>46009</v>
      </c>
      <c r="C74" s="3">
        <v>0</v>
      </c>
      <c r="D74" t="s">
        <v>384</v>
      </c>
      <c r="E74" t="s">
        <v>247</v>
      </c>
      <c r="F74" t="s">
        <v>244</v>
      </c>
      <c r="M74" s="327">
        <v>46009</v>
      </c>
      <c r="N74" s="3">
        <v>0</v>
      </c>
      <c r="O74" t="s">
        <v>384</v>
      </c>
      <c r="P74" t="s">
        <v>247</v>
      </c>
      <c r="Q74" t="s">
        <v>244</v>
      </c>
    </row>
    <row r="75" spans="2:17">
      <c r="B75" s="327"/>
      <c r="C75" s="3">
        <v>33</v>
      </c>
      <c r="D75" t="s">
        <v>590</v>
      </c>
      <c r="E75" t="s">
        <v>245</v>
      </c>
      <c r="F75" t="s">
        <v>244</v>
      </c>
      <c r="M75" s="327"/>
      <c r="N75" s="3">
        <v>33</v>
      </c>
      <c r="O75" t="s">
        <v>590</v>
      </c>
      <c r="P75" t="s">
        <v>245</v>
      </c>
      <c r="Q75" t="s">
        <v>244</v>
      </c>
    </row>
    <row r="76" spans="2:17">
      <c r="B76" s="327"/>
      <c r="C76" s="3">
        <v>46</v>
      </c>
      <c r="D76" t="s">
        <v>428</v>
      </c>
      <c r="E76" t="s">
        <v>246</v>
      </c>
      <c r="F76" t="s">
        <v>244</v>
      </c>
      <c r="M76" s="327"/>
      <c r="N76" s="3">
        <v>46</v>
      </c>
      <c r="O76" t="s">
        <v>428</v>
      </c>
      <c r="P76" t="s">
        <v>246</v>
      </c>
      <c r="Q76" t="s">
        <v>244</v>
      </c>
    </row>
    <row r="77" spans="2:17">
      <c r="B77" s="327"/>
      <c r="M77" s="327"/>
    </row>
    <row r="78" spans="2:17">
      <c r="B78" s="327">
        <v>46010</v>
      </c>
      <c r="C78" s="3">
        <v>21</v>
      </c>
      <c r="D78" t="s">
        <v>442</v>
      </c>
      <c r="E78" t="s">
        <v>247</v>
      </c>
      <c r="F78" t="s">
        <v>244</v>
      </c>
      <c r="M78" s="327">
        <v>46010</v>
      </c>
      <c r="N78" s="3">
        <v>21</v>
      </c>
      <c r="O78" t="s">
        <v>442</v>
      </c>
      <c r="P78" t="s">
        <v>247</v>
      </c>
      <c r="Q78" t="s">
        <v>244</v>
      </c>
    </row>
    <row r="79" spans="2:17">
      <c r="B79" s="327"/>
      <c r="C79" s="3">
        <v>7</v>
      </c>
      <c r="D79" t="s">
        <v>481</v>
      </c>
      <c r="E79" t="s">
        <v>245</v>
      </c>
      <c r="F79" t="s">
        <v>244</v>
      </c>
      <c r="M79" s="327"/>
      <c r="N79" s="3">
        <v>7</v>
      </c>
      <c r="O79" t="s">
        <v>481</v>
      </c>
      <c r="P79" t="s">
        <v>245</v>
      </c>
      <c r="Q79" t="s">
        <v>244</v>
      </c>
    </row>
    <row r="80" spans="2:17">
      <c r="B80" s="327"/>
      <c r="C80" s="3">
        <v>40</v>
      </c>
      <c r="D80" t="s">
        <v>599</v>
      </c>
      <c r="E80" t="s">
        <v>246</v>
      </c>
      <c r="F80" t="s">
        <v>244</v>
      </c>
      <c r="M80" s="327"/>
      <c r="N80" s="3">
        <v>40</v>
      </c>
      <c r="O80" t="s">
        <v>599</v>
      </c>
      <c r="P80" t="s">
        <v>246</v>
      </c>
      <c r="Q80" t="s">
        <v>244</v>
      </c>
    </row>
    <row r="81" spans="2:17">
      <c r="B81" s="327"/>
      <c r="M81" s="327"/>
    </row>
    <row r="82" spans="2:17">
      <c r="B82" s="327">
        <v>46011</v>
      </c>
      <c r="C82" s="3">
        <v>13</v>
      </c>
      <c r="D82" t="s">
        <v>427</v>
      </c>
      <c r="E82" t="s">
        <v>247</v>
      </c>
      <c r="F82" t="s">
        <v>244</v>
      </c>
      <c r="M82" s="327">
        <v>46011</v>
      </c>
      <c r="N82" s="3">
        <v>13</v>
      </c>
      <c r="O82" t="s">
        <v>427</v>
      </c>
      <c r="P82" t="s">
        <v>247</v>
      </c>
      <c r="Q82" t="s">
        <v>244</v>
      </c>
    </row>
    <row r="83" spans="2:17">
      <c r="B83" s="327"/>
      <c r="C83" s="3">
        <v>6</v>
      </c>
      <c r="D83" t="s">
        <v>481</v>
      </c>
      <c r="E83" t="s">
        <v>245</v>
      </c>
      <c r="F83" t="s">
        <v>244</v>
      </c>
      <c r="M83" s="327"/>
      <c r="N83" s="3">
        <v>6</v>
      </c>
      <c r="O83" t="s">
        <v>481</v>
      </c>
      <c r="P83" t="s">
        <v>245</v>
      </c>
      <c r="Q83" t="s">
        <v>244</v>
      </c>
    </row>
    <row r="84" spans="2:17">
      <c r="B84" s="327"/>
      <c r="C84" s="3">
        <v>42</v>
      </c>
      <c r="D84" t="s">
        <v>443</v>
      </c>
      <c r="E84" t="s">
        <v>246</v>
      </c>
      <c r="F84" t="s">
        <v>244</v>
      </c>
      <c r="M84" s="327"/>
      <c r="N84" s="3">
        <v>42</v>
      </c>
      <c r="O84" t="s">
        <v>443</v>
      </c>
      <c r="P84" t="s">
        <v>246</v>
      </c>
      <c r="Q84" t="s">
        <v>244</v>
      </c>
    </row>
    <row r="85" spans="2:17">
      <c r="B85" s="327"/>
      <c r="M85" s="327"/>
    </row>
    <row r="86" spans="2:17">
      <c r="B86" s="327">
        <v>46012</v>
      </c>
      <c r="C86" s="3">
        <v>8</v>
      </c>
      <c r="D86" t="s">
        <v>602</v>
      </c>
      <c r="E86" t="s">
        <v>247</v>
      </c>
      <c r="F86" t="s">
        <v>244</v>
      </c>
      <c r="M86" s="327">
        <v>46012</v>
      </c>
      <c r="N86" s="3">
        <v>8</v>
      </c>
      <c r="O86" t="s">
        <v>602</v>
      </c>
      <c r="P86" t="s">
        <v>247</v>
      </c>
      <c r="Q86" t="s">
        <v>244</v>
      </c>
    </row>
    <row r="87" spans="2:17">
      <c r="B87" s="327"/>
      <c r="C87" s="3">
        <v>10</v>
      </c>
      <c r="D87" t="s">
        <v>603</v>
      </c>
      <c r="E87" t="s">
        <v>245</v>
      </c>
      <c r="F87" t="s">
        <v>244</v>
      </c>
      <c r="M87" s="327"/>
      <c r="N87" s="3">
        <v>10</v>
      </c>
      <c r="O87" t="s">
        <v>603</v>
      </c>
      <c r="P87" t="s">
        <v>245</v>
      </c>
      <c r="Q87" t="s">
        <v>244</v>
      </c>
    </row>
    <row r="88" spans="2:17">
      <c r="B88" s="327"/>
      <c r="C88" s="3">
        <v>38</v>
      </c>
      <c r="D88" t="s">
        <v>437</v>
      </c>
      <c r="E88" t="s">
        <v>246</v>
      </c>
      <c r="F88" t="s">
        <v>244</v>
      </c>
      <c r="M88" s="327"/>
      <c r="N88" s="3">
        <v>38</v>
      </c>
      <c r="O88" t="s">
        <v>437</v>
      </c>
      <c r="P88" t="s">
        <v>246</v>
      </c>
      <c r="Q88" t="s">
        <v>244</v>
      </c>
    </row>
    <row r="89" spans="2:17">
      <c r="B89" s="327"/>
      <c r="M89" s="327"/>
    </row>
    <row r="90" spans="2:17">
      <c r="B90" s="327">
        <v>46013</v>
      </c>
      <c r="C90" s="3">
        <v>9</v>
      </c>
      <c r="D90" t="s">
        <v>423</v>
      </c>
      <c r="E90" t="s">
        <v>247</v>
      </c>
      <c r="F90" t="s">
        <v>244</v>
      </c>
      <c r="M90" s="327">
        <v>46013</v>
      </c>
      <c r="N90" s="3">
        <v>9</v>
      </c>
      <c r="O90" t="s">
        <v>423</v>
      </c>
      <c r="P90" t="s">
        <v>247</v>
      </c>
      <c r="Q90" t="s">
        <v>244</v>
      </c>
    </row>
    <row r="91" spans="2:17">
      <c r="B91" s="327"/>
      <c r="C91" s="3">
        <v>17</v>
      </c>
      <c r="D91" t="s">
        <v>603</v>
      </c>
      <c r="E91" t="s">
        <v>245</v>
      </c>
      <c r="F91" t="s">
        <v>244</v>
      </c>
      <c r="M91" s="327"/>
      <c r="N91" s="3">
        <v>17</v>
      </c>
      <c r="O91" t="s">
        <v>603</v>
      </c>
      <c r="P91" t="s">
        <v>245</v>
      </c>
      <c r="Q91" t="s">
        <v>244</v>
      </c>
    </row>
    <row r="92" spans="2:17">
      <c r="B92" s="327"/>
      <c r="C92" s="3">
        <v>37</v>
      </c>
      <c r="D92" t="s">
        <v>428</v>
      </c>
      <c r="E92" t="s">
        <v>246</v>
      </c>
      <c r="F92" t="s">
        <v>244</v>
      </c>
      <c r="M92" s="327"/>
      <c r="N92" s="3">
        <v>37</v>
      </c>
      <c r="O92" t="s">
        <v>428</v>
      </c>
      <c r="P92" t="s">
        <v>246</v>
      </c>
      <c r="Q92" t="s">
        <v>244</v>
      </c>
    </row>
    <row r="93" spans="2:17">
      <c r="B93" s="327"/>
      <c r="M93" s="327"/>
    </row>
    <row r="94" spans="2:17">
      <c r="B94" s="327">
        <v>46014</v>
      </c>
      <c r="C94" s="3">
        <v>9</v>
      </c>
      <c r="D94" t="s">
        <v>423</v>
      </c>
      <c r="E94" t="s">
        <v>247</v>
      </c>
      <c r="F94" t="s">
        <v>244</v>
      </c>
      <c r="M94" s="327">
        <v>46014</v>
      </c>
      <c r="N94" s="3">
        <v>9</v>
      </c>
      <c r="O94" t="s">
        <v>423</v>
      </c>
      <c r="P94" t="s">
        <v>247</v>
      </c>
      <c r="Q94" t="s">
        <v>244</v>
      </c>
    </row>
    <row r="95" spans="2:17">
      <c r="B95" s="327"/>
      <c r="C95" s="3">
        <v>17</v>
      </c>
      <c r="D95" t="s">
        <v>603</v>
      </c>
      <c r="E95" t="s">
        <v>245</v>
      </c>
      <c r="F95" t="s">
        <v>244</v>
      </c>
      <c r="M95" s="327"/>
      <c r="N95" s="3">
        <v>17</v>
      </c>
      <c r="O95" t="s">
        <v>603</v>
      </c>
      <c r="P95" t="s">
        <v>245</v>
      </c>
      <c r="Q95" t="s">
        <v>244</v>
      </c>
    </row>
    <row r="96" spans="2:17">
      <c r="B96" s="327"/>
      <c r="C96" s="3">
        <v>39</v>
      </c>
      <c r="D96" t="s">
        <v>443</v>
      </c>
      <c r="E96" t="s">
        <v>246</v>
      </c>
      <c r="F96" t="s">
        <v>244</v>
      </c>
      <c r="M96" s="327"/>
      <c r="N96" s="3">
        <v>39</v>
      </c>
      <c r="O96" t="s">
        <v>443</v>
      </c>
      <c r="P96" t="s">
        <v>246</v>
      </c>
      <c r="Q96" t="s">
        <v>244</v>
      </c>
    </row>
    <row r="97" spans="2:17">
      <c r="B97" s="327"/>
      <c r="M97" s="327"/>
    </row>
    <row r="98" spans="2:17">
      <c r="B98" s="327">
        <v>46015</v>
      </c>
      <c r="C98" s="3">
        <v>25</v>
      </c>
      <c r="D98" t="s">
        <v>633</v>
      </c>
      <c r="E98" t="s">
        <v>247</v>
      </c>
      <c r="F98" t="s">
        <v>244</v>
      </c>
      <c r="M98" s="327">
        <v>46015</v>
      </c>
      <c r="N98" s="3">
        <v>25</v>
      </c>
      <c r="O98" t="s">
        <v>633</v>
      </c>
      <c r="P98" t="s">
        <v>247</v>
      </c>
      <c r="Q98" t="s">
        <v>244</v>
      </c>
    </row>
    <row r="99" spans="2:17">
      <c r="B99" s="327"/>
      <c r="C99" s="3">
        <v>8</v>
      </c>
      <c r="D99" t="s">
        <v>407</v>
      </c>
      <c r="E99" t="s">
        <v>245</v>
      </c>
      <c r="F99" t="s">
        <v>244</v>
      </c>
      <c r="M99" s="327"/>
      <c r="N99" s="3">
        <v>8</v>
      </c>
      <c r="O99" t="s">
        <v>407</v>
      </c>
      <c r="P99" t="s">
        <v>245</v>
      </c>
      <c r="Q99" t="s">
        <v>244</v>
      </c>
    </row>
    <row r="100" spans="2:17">
      <c r="B100" s="327"/>
      <c r="C100" s="3">
        <v>32</v>
      </c>
      <c r="D100" t="s">
        <v>443</v>
      </c>
      <c r="E100" t="s">
        <v>246</v>
      </c>
      <c r="F100" t="s">
        <v>244</v>
      </c>
      <c r="M100" s="327"/>
      <c r="N100" s="3">
        <v>32</v>
      </c>
      <c r="O100" t="s">
        <v>443</v>
      </c>
      <c r="P100" t="s">
        <v>246</v>
      </c>
      <c r="Q100" t="s">
        <v>244</v>
      </c>
    </row>
    <row r="101" spans="2:17">
      <c r="B101" s="327"/>
      <c r="M101" s="327"/>
    </row>
    <row r="102" spans="2:17">
      <c r="B102" s="327">
        <v>46016</v>
      </c>
      <c r="C102" s="3">
        <v>9</v>
      </c>
      <c r="D102" t="s">
        <v>423</v>
      </c>
      <c r="E102" t="s">
        <v>247</v>
      </c>
      <c r="F102" t="s">
        <v>244</v>
      </c>
      <c r="M102" s="327">
        <v>46016</v>
      </c>
      <c r="N102" s="3">
        <v>9</v>
      </c>
      <c r="O102" t="s">
        <v>423</v>
      </c>
      <c r="P102" t="s">
        <v>247</v>
      </c>
      <c r="Q102" t="s">
        <v>244</v>
      </c>
    </row>
    <row r="103" spans="2:17">
      <c r="B103" s="327"/>
      <c r="C103" s="3">
        <v>11</v>
      </c>
      <c r="D103" t="s">
        <v>549</v>
      </c>
      <c r="E103" t="s">
        <v>245</v>
      </c>
      <c r="F103" t="s">
        <v>244</v>
      </c>
      <c r="M103" s="327"/>
      <c r="N103" s="3">
        <v>11</v>
      </c>
      <c r="O103" t="s">
        <v>549</v>
      </c>
      <c r="P103" t="s">
        <v>245</v>
      </c>
      <c r="Q103" t="s">
        <v>244</v>
      </c>
    </row>
    <row r="104" spans="2:17">
      <c r="B104" s="327"/>
      <c r="C104" s="3">
        <v>39</v>
      </c>
      <c r="D104" t="s">
        <v>443</v>
      </c>
      <c r="E104" t="s">
        <v>246</v>
      </c>
      <c r="F104" t="s">
        <v>244</v>
      </c>
      <c r="M104" s="327"/>
      <c r="N104" s="3">
        <v>39</v>
      </c>
      <c r="O104" t="s">
        <v>443</v>
      </c>
      <c r="P104" t="s">
        <v>246</v>
      </c>
      <c r="Q104" t="s">
        <v>244</v>
      </c>
    </row>
    <row r="105" spans="2:17">
      <c r="B105" s="327"/>
      <c r="M105" s="327"/>
    </row>
    <row r="106" spans="2:17">
      <c r="B106" s="327">
        <v>46017</v>
      </c>
      <c r="C106" s="3">
        <v>9</v>
      </c>
      <c r="D106" t="s">
        <v>423</v>
      </c>
      <c r="E106" t="s">
        <v>247</v>
      </c>
      <c r="F106" t="s">
        <v>244</v>
      </c>
      <c r="M106" s="327">
        <v>46017</v>
      </c>
      <c r="N106" s="3">
        <v>9</v>
      </c>
      <c r="O106" t="s">
        <v>423</v>
      </c>
      <c r="P106" t="s">
        <v>247</v>
      </c>
      <c r="Q106" t="s">
        <v>244</v>
      </c>
    </row>
    <row r="107" spans="2:17">
      <c r="B107" s="327"/>
      <c r="C107" s="3">
        <v>16</v>
      </c>
      <c r="D107" t="s">
        <v>435</v>
      </c>
      <c r="E107" t="s">
        <v>245</v>
      </c>
      <c r="F107" t="s">
        <v>244</v>
      </c>
      <c r="M107" s="327"/>
      <c r="N107" s="3">
        <v>16</v>
      </c>
      <c r="O107" t="s">
        <v>435</v>
      </c>
      <c r="P107" t="s">
        <v>245</v>
      </c>
      <c r="Q107" t="s">
        <v>244</v>
      </c>
    </row>
    <row r="108" spans="2:17">
      <c r="B108" s="327"/>
      <c r="C108" s="3">
        <v>29</v>
      </c>
      <c r="D108" t="s">
        <v>443</v>
      </c>
      <c r="E108" t="s">
        <v>246</v>
      </c>
      <c r="F108" t="s">
        <v>244</v>
      </c>
      <c r="M108" s="327"/>
      <c r="N108" s="3">
        <v>29</v>
      </c>
      <c r="O108" t="s">
        <v>443</v>
      </c>
      <c r="P108" t="s">
        <v>246</v>
      </c>
      <c r="Q108" t="s">
        <v>244</v>
      </c>
    </row>
    <row r="109" spans="2:17">
      <c r="B109" s="327"/>
      <c r="M109" s="327"/>
    </row>
    <row r="110" spans="2:17">
      <c r="B110" s="327">
        <v>46018</v>
      </c>
      <c r="C110" s="3">
        <v>9</v>
      </c>
      <c r="D110" t="s">
        <v>423</v>
      </c>
      <c r="E110" t="s">
        <v>247</v>
      </c>
      <c r="F110" t="s">
        <v>244</v>
      </c>
      <c r="M110" s="327">
        <v>46018</v>
      </c>
      <c r="N110" s="3">
        <v>9</v>
      </c>
      <c r="O110" t="s">
        <v>423</v>
      </c>
      <c r="P110" t="s">
        <v>247</v>
      </c>
      <c r="Q110" t="s">
        <v>244</v>
      </c>
    </row>
    <row r="111" spans="2:17">
      <c r="B111" s="327"/>
      <c r="C111" s="3">
        <v>8</v>
      </c>
      <c r="D111" t="s">
        <v>407</v>
      </c>
      <c r="E111" t="s">
        <v>245</v>
      </c>
      <c r="F111" t="s">
        <v>244</v>
      </c>
      <c r="M111" s="327"/>
      <c r="N111" s="3">
        <v>8</v>
      </c>
      <c r="O111" t="s">
        <v>407</v>
      </c>
      <c r="P111" t="s">
        <v>245</v>
      </c>
      <c r="Q111" t="s">
        <v>244</v>
      </c>
    </row>
    <row r="112" spans="2:17">
      <c r="B112" s="327"/>
      <c r="C112" s="3">
        <v>42</v>
      </c>
      <c r="D112" t="s">
        <v>443</v>
      </c>
      <c r="E112" t="s">
        <v>246</v>
      </c>
      <c r="F112" t="s">
        <v>244</v>
      </c>
      <c r="M112" s="327"/>
      <c r="N112" s="3">
        <v>42</v>
      </c>
      <c r="O112" t="s">
        <v>443</v>
      </c>
      <c r="P112" t="s">
        <v>246</v>
      </c>
      <c r="Q112" t="s">
        <v>244</v>
      </c>
    </row>
    <row r="113" spans="2:17">
      <c r="B113" s="327"/>
      <c r="M113" s="327"/>
    </row>
    <row r="114" spans="2:17">
      <c r="B114" s="327">
        <v>46019</v>
      </c>
      <c r="C114" s="3">
        <v>12</v>
      </c>
      <c r="D114" t="s">
        <v>427</v>
      </c>
      <c r="E114" t="s">
        <v>247</v>
      </c>
      <c r="F114" t="s">
        <v>244</v>
      </c>
      <c r="M114" s="327">
        <v>46019</v>
      </c>
      <c r="N114" s="3">
        <v>12</v>
      </c>
      <c r="O114" t="s">
        <v>427</v>
      </c>
      <c r="P114" t="s">
        <v>247</v>
      </c>
      <c r="Q114" t="s">
        <v>244</v>
      </c>
    </row>
    <row r="115" spans="2:17">
      <c r="B115" s="327"/>
      <c r="C115" s="3">
        <v>8</v>
      </c>
      <c r="D115" t="s">
        <v>386</v>
      </c>
      <c r="E115" t="s">
        <v>245</v>
      </c>
      <c r="F115" t="s">
        <v>244</v>
      </c>
      <c r="M115" s="327"/>
      <c r="N115" s="3">
        <v>8</v>
      </c>
      <c r="O115" t="s">
        <v>386</v>
      </c>
      <c r="P115" t="s">
        <v>245</v>
      </c>
      <c r="Q115" t="s">
        <v>244</v>
      </c>
    </row>
    <row r="116" spans="2:17">
      <c r="B116" s="327"/>
      <c r="C116" s="3">
        <v>44</v>
      </c>
      <c r="D116" t="s">
        <v>428</v>
      </c>
      <c r="E116" t="s">
        <v>246</v>
      </c>
      <c r="F116" t="s">
        <v>244</v>
      </c>
      <c r="M116" s="327"/>
      <c r="N116" s="3">
        <v>44</v>
      </c>
      <c r="O116" t="s">
        <v>428</v>
      </c>
      <c r="P116" t="s">
        <v>246</v>
      </c>
      <c r="Q116" t="s">
        <v>244</v>
      </c>
    </row>
    <row r="117" spans="2:17">
      <c r="B117" s="327"/>
      <c r="M117" s="327"/>
    </row>
    <row r="118" spans="2:17">
      <c r="B118" s="327">
        <v>46020</v>
      </c>
      <c r="C118" s="3">
        <v>18</v>
      </c>
      <c r="D118" t="s">
        <v>442</v>
      </c>
      <c r="E118" t="s">
        <v>247</v>
      </c>
      <c r="F118" t="s">
        <v>244</v>
      </c>
      <c r="M118" s="327">
        <v>46020</v>
      </c>
      <c r="N118" s="3">
        <v>18</v>
      </c>
      <c r="O118" t="s">
        <v>442</v>
      </c>
      <c r="P118" t="s">
        <v>247</v>
      </c>
      <c r="Q118" t="s">
        <v>244</v>
      </c>
    </row>
    <row r="119" spans="2:17">
      <c r="B119" s="327"/>
      <c r="C119" s="3">
        <v>6</v>
      </c>
      <c r="D119" t="s">
        <v>659</v>
      </c>
      <c r="E119" t="s">
        <v>245</v>
      </c>
      <c r="F119" t="s">
        <v>244</v>
      </c>
      <c r="M119" s="327"/>
      <c r="N119" s="3">
        <v>6</v>
      </c>
      <c r="O119" t="s">
        <v>659</v>
      </c>
      <c r="P119" t="s">
        <v>245</v>
      </c>
      <c r="Q119" t="s">
        <v>244</v>
      </c>
    </row>
    <row r="120" spans="2:17">
      <c r="B120" s="327"/>
      <c r="C120" s="3">
        <v>41</v>
      </c>
      <c r="D120" t="s">
        <v>661</v>
      </c>
      <c r="E120" t="s">
        <v>246</v>
      </c>
      <c r="F120" t="s">
        <v>244</v>
      </c>
      <c r="M120" s="327"/>
      <c r="N120" s="3">
        <v>41</v>
      </c>
      <c r="O120" t="s">
        <v>661</v>
      </c>
      <c r="P120" t="s">
        <v>246</v>
      </c>
      <c r="Q120" t="s">
        <v>244</v>
      </c>
    </row>
    <row r="121" spans="2:17">
      <c r="B121" s="327"/>
      <c r="M121" s="327"/>
    </row>
    <row r="122" spans="2:17">
      <c r="B122" s="327">
        <v>46021</v>
      </c>
      <c r="C122" s="3">
        <v>27</v>
      </c>
      <c r="D122" t="s">
        <v>436</v>
      </c>
      <c r="E122" t="s">
        <v>247</v>
      </c>
      <c r="F122" t="s">
        <v>244</v>
      </c>
      <c r="M122" s="327">
        <v>46021</v>
      </c>
      <c r="N122" s="3">
        <v>27</v>
      </c>
      <c r="O122" t="s">
        <v>436</v>
      </c>
      <c r="P122" t="s">
        <v>247</v>
      </c>
      <c r="Q122" t="s">
        <v>244</v>
      </c>
    </row>
    <row r="123" spans="2:17">
      <c r="B123" s="327"/>
      <c r="C123" s="3">
        <v>0</v>
      </c>
      <c r="D123" t="s">
        <v>284</v>
      </c>
      <c r="E123" t="s">
        <v>245</v>
      </c>
      <c r="F123" t="s">
        <v>244</v>
      </c>
      <c r="M123" s="327"/>
      <c r="N123" s="3">
        <v>0</v>
      </c>
      <c r="O123" t="s">
        <v>284</v>
      </c>
      <c r="P123" t="s">
        <v>245</v>
      </c>
      <c r="Q123" t="s">
        <v>244</v>
      </c>
    </row>
    <row r="124" spans="2:17">
      <c r="B124" s="327"/>
      <c r="C124" s="3">
        <v>45</v>
      </c>
      <c r="D124" t="s">
        <v>667</v>
      </c>
      <c r="E124" t="s">
        <v>246</v>
      </c>
      <c r="F124" t="s">
        <v>244</v>
      </c>
      <c r="M124" s="327"/>
      <c r="N124" s="3">
        <v>45</v>
      </c>
      <c r="O124" t="s">
        <v>667</v>
      </c>
      <c r="P124" t="s">
        <v>246</v>
      </c>
      <c r="Q124" t="s">
        <v>244</v>
      </c>
    </row>
    <row r="125" spans="2:17">
      <c r="B125" s="327"/>
      <c r="M125" s="327"/>
    </row>
    <row r="126" spans="2:17">
      <c r="B126" s="327">
        <v>46387</v>
      </c>
      <c r="C126" s="3">
        <v>15</v>
      </c>
      <c r="D126" t="s">
        <v>442</v>
      </c>
      <c r="E126" t="s">
        <v>247</v>
      </c>
      <c r="F126" t="s">
        <v>244</v>
      </c>
      <c r="M126" s="327">
        <v>46387</v>
      </c>
      <c r="N126" s="3">
        <v>15</v>
      </c>
      <c r="O126" t="s">
        <v>442</v>
      </c>
      <c r="P126" t="s">
        <v>247</v>
      </c>
      <c r="Q126" t="s">
        <v>244</v>
      </c>
    </row>
    <row r="127" spans="2:17">
      <c r="B127" s="327"/>
      <c r="C127" s="3">
        <v>8</v>
      </c>
      <c r="D127" t="s">
        <v>407</v>
      </c>
      <c r="E127" t="s">
        <v>245</v>
      </c>
      <c r="F127" t="s">
        <v>244</v>
      </c>
      <c r="M127" s="327"/>
      <c r="N127" s="3">
        <v>8</v>
      </c>
      <c r="O127" t="s">
        <v>407</v>
      </c>
      <c r="P127" t="s">
        <v>245</v>
      </c>
      <c r="Q127" t="s">
        <v>244</v>
      </c>
    </row>
    <row r="128" spans="2:17">
      <c r="B128" s="327"/>
      <c r="C128" s="3">
        <v>42</v>
      </c>
      <c r="D128" t="s">
        <v>428</v>
      </c>
      <c r="E128" t="s">
        <v>246</v>
      </c>
      <c r="F128" t="s">
        <v>244</v>
      </c>
      <c r="M128" s="327"/>
      <c r="N128" s="3">
        <v>42</v>
      </c>
      <c r="O128" t="s">
        <v>428</v>
      </c>
      <c r="P128" t="s">
        <v>246</v>
      </c>
      <c r="Q128" t="s">
        <v>244</v>
      </c>
    </row>
    <row r="129" spans="2:18">
      <c r="B129" s="327"/>
      <c r="M129" s="327"/>
    </row>
    <row r="130" spans="2:18">
      <c r="B130" s="327"/>
      <c r="M130" s="327"/>
    </row>
    <row r="131" spans="2:18">
      <c r="B131" s="327"/>
      <c r="M131" s="327"/>
    </row>
    <row r="132" spans="2:18">
      <c r="B132" s="327"/>
      <c r="M132" s="327"/>
    </row>
    <row r="133" spans="2:18">
      <c r="B133" s="327"/>
      <c r="M133" s="327"/>
    </row>
    <row r="134" spans="2:18">
      <c r="B134" s="327"/>
      <c r="M134" s="327"/>
    </row>
    <row r="135" spans="2:18">
      <c r="B135" s="327"/>
      <c r="M135" s="327"/>
    </row>
    <row r="136" spans="2:18">
      <c r="B136" s="327"/>
      <c r="M136" s="327"/>
    </row>
    <row r="137" spans="2:18">
      <c r="B137" s="327"/>
      <c r="M137" s="327"/>
    </row>
    <row r="138" spans="2:18" ht="12.75" customHeight="1">
      <c r="B138" s="327"/>
      <c r="M138" s="327"/>
    </row>
    <row r="139" spans="2:18">
      <c r="B139" s="327"/>
      <c r="M139" s="327"/>
    </row>
    <row r="140" spans="2:18">
      <c r="B140" s="327"/>
      <c r="M140" s="327"/>
    </row>
    <row r="141" spans="2:18">
      <c r="B141" s="327"/>
      <c r="M141" s="327"/>
    </row>
    <row r="142" spans="2:18">
      <c r="B142" s="327"/>
      <c r="M142" s="327"/>
    </row>
    <row r="143" spans="2:18">
      <c r="B143" s="327"/>
      <c r="M143" s="327"/>
    </row>
    <row r="144" spans="2:18">
      <c r="B144" s="327"/>
      <c r="M144" s="327"/>
      <c r="R144" s="511">
        <f>+summary!Q52</f>
        <v>0</v>
      </c>
    </row>
    <row r="145" spans="2:13">
      <c r="B145" s="327"/>
      <c r="G145" s="511">
        <f>+summary!H52</f>
        <v>0</v>
      </c>
      <c r="M145" s="327"/>
    </row>
    <row r="146" spans="2:13">
      <c r="B146" s="327"/>
      <c r="M146" s="327"/>
    </row>
    <row r="147" spans="2:13">
      <c r="B147" s="327"/>
      <c r="M147" s="327"/>
    </row>
    <row r="148" spans="2:13">
      <c r="B148" s="327"/>
      <c r="M148" s="327"/>
    </row>
    <row r="149" spans="2:13">
      <c r="B149" s="327"/>
      <c r="M149" s="327"/>
    </row>
    <row r="150" spans="2:13">
      <c r="B150" s="327"/>
      <c r="M150" s="327"/>
    </row>
    <row r="151" spans="2:13">
      <c r="B151" s="327"/>
      <c r="M151" s="327"/>
    </row>
    <row r="152" spans="2:13">
      <c r="B152" s="327"/>
      <c r="M152" s="327"/>
    </row>
    <row r="153" spans="2:13">
      <c r="B153" s="327"/>
      <c r="M153" s="327"/>
    </row>
    <row r="154" spans="2:13">
      <c r="B154" s="327"/>
      <c r="M154" s="327"/>
    </row>
    <row r="155" spans="2:13">
      <c r="B155" s="327"/>
      <c r="M155" s="327"/>
    </row>
  </sheetData>
  <autoFilter ref="B1:F121"/>
  <conditionalFormatting sqref="G1:G7 R1:R7 R9:R76 R144 G9:G68 G70:G115 G117:G1048576">
    <cfRule type="cellIs" dxfId="7" priority="2" operator="greaterThan">
      <formula>0</formula>
    </cfRule>
  </conditionalFormatting>
  <conditionalFormatting sqref="R78:R104 R106:R143 R145:R1048576">
    <cfRule type="cellIs" dxfId="6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S42"/>
  <sheetViews>
    <sheetView tabSelected="1" topLeftCell="H28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51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51" customWidth="1"/>
    <col min="13" max="17" width="13.5703125" customWidth="1"/>
  </cols>
  <sheetData>
    <row r="1" spans="1:19" ht="15">
      <c r="A1" s="420" t="s">
        <v>267</v>
      </c>
      <c r="E1" s="451"/>
      <c r="F1" s="1"/>
      <c r="J1" s="420" t="s">
        <v>373</v>
      </c>
      <c r="N1" s="451"/>
      <c r="O1" s="1"/>
    </row>
    <row r="2" spans="1:19" ht="30">
      <c r="A2" s="724" t="s">
        <v>228</v>
      </c>
      <c r="B2" s="724" t="s">
        <v>229</v>
      </c>
      <c r="C2" s="725" t="s">
        <v>230</v>
      </c>
      <c r="D2" s="452" t="s">
        <v>231</v>
      </c>
      <c r="E2" s="550" t="s">
        <v>232</v>
      </c>
      <c r="F2" s="454" t="s">
        <v>233</v>
      </c>
      <c r="G2" s="550" t="s">
        <v>234</v>
      </c>
      <c r="H2" s="550" t="s">
        <v>235</v>
      </c>
      <c r="J2" s="724" t="s">
        <v>228</v>
      </c>
      <c r="K2" s="724" t="s">
        <v>229</v>
      </c>
      <c r="L2" s="723" t="s">
        <v>230</v>
      </c>
      <c r="M2" s="452" t="s">
        <v>231</v>
      </c>
      <c r="N2" s="550" t="s">
        <v>232</v>
      </c>
      <c r="O2" s="454" t="s">
        <v>233</v>
      </c>
      <c r="P2" s="550" t="s">
        <v>234</v>
      </c>
      <c r="Q2" s="550" t="s">
        <v>235</v>
      </c>
    </row>
    <row r="3" spans="1:19" ht="15">
      <c r="A3" s="724"/>
      <c r="B3" s="724"/>
      <c r="C3" s="726"/>
      <c r="D3" s="452" t="s">
        <v>715</v>
      </c>
      <c r="E3" s="452" t="str">
        <f>+D3</f>
        <v>DESEMBER</v>
      </c>
      <c r="F3" s="452" t="str">
        <f>+E3</f>
        <v>DESEMBER</v>
      </c>
      <c r="G3" s="452" t="str">
        <f>+F3</f>
        <v>DESEMBER</v>
      </c>
      <c r="H3" s="452" t="str">
        <f>+G3</f>
        <v>DESEMBER</v>
      </c>
      <c r="J3" s="724"/>
      <c r="K3" s="724"/>
      <c r="L3" s="723"/>
      <c r="M3" s="452" t="str">
        <f>+H3</f>
        <v>DESEMBER</v>
      </c>
      <c r="N3" s="452" t="str">
        <f>+M3</f>
        <v>DESEMBER</v>
      </c>
      <c r="O3" s="452" t="str">
        <f>+N3</f>
        <v>DESEMBER</v>
      </c>
      <c r="P3" s="452" t="str">
        <f>+O3</f>
        <v>DESEMBER</v>
      </c>
      <c r="Q3" s="452" t="str">
        <f>+P3</f>
        <v>DESEMBER</v>
      </c>
    </row>
    <row r="4" spans="1:19" ht="15">
      <c r="A4" s="727" t="s">
        <v>236</v>
      </c>
      <c r="B4" s="549" t="s">
        <v>301</v>
      </c>
      <c r="C4" s="552"/>
      <c r="D4" s="6">
        <f>SUMIFS(Sheet1!$C$2:$C$180,Sheet1!$F$2:$F$180,B4,Sheet1!$E$2:$E$180,C4)</f>
        <v>0</v>
      </c>
      <c r="E4" s="6">
        <f>D4/Sheet1!$I$9*Sheet1!$I$10</f>
        <v>0</v>
      </c>
      <c r="F4" s="469">
        <f>D4/Sheet1!$I$9*Sheet1!$I$11</f>
        <v>0</v>
      </c>
      <c r="G4" s="548">
        <f>F4</f>
        <v>0</v>
      </c>
      <c r="H4" s="728">
        <f>SUM(G4:G11)</f>
        <v>0</v>
      </c>
      <c r="J4" s="727" t="s">
        <v>236</v>
      </c>
      <c r="K4" s="549" t="s">
        <v>301</v>
      </c>
      <c r="L4" s="552"/>
      <c r="M4" s="6">
        <f>SUMIFS(Sheet1!$N$2:$N$180,Sheet1!$Q$2:$Q$180,K4,Sheet1!$P$2:$P$180,L4)</f>
        <v>0</v>
      </c>
      <c r="N4" s="6">
        <f>M4/Sheet1!$T$9*Sheet1!$T$10</f>
        <v>0</v>
      </c>
      <c r="O4" s="469">
        <f>M4/Sheet1!$T$9*Sheet1!$T$11</f>
        <v>0</v>
      </c>
      <c r="P4" s="548">
        <f>O4</f>
        <v>0</v>
      </c>
      <c r="Q4" s="728">
        <f>SUM(P4:P11)</f>
        <v>0</v>
      </c>
    </row>
    <row r="5" spans="1:19" ht="15">
      <c r="A5" s="727"/>
      <c r="B5" s="549" t="s">
        <v>237</v>
      </c>
      <c r="C5" s="552"/>
      <c r="D5" s="6">
        <f>SUMIFS(Sheet1!$C$2:$C$180,Sheet1!$F$2:$F$180,B5,Sheet1!$E$2:$E$180,C5)</f>
        <v>0</v>
      </c>
      <c r="E5" s="6">
        <f>D5/Sheet1!$I$9*Sheet1!$I$10</f>
        <v>0</v>
      </c>
      <c r="F5" s="469">
        <f>D5/Sheet1!$I$9*Sheet1!$I$11</f>
        <v>0</v>
      </c>
      <c r="G5" s="553">
        <f t="shared" ref="G5:G14" si="0">F5</f>
        <v>0</v>
      </c>
      <c r="H5" s="727"/>
      <c r="J5" s="727"/>
      <c r="K5" s="549" t="s">
        <v>237</v>
      </c>
      <c r="L5" s="552"/>
      <c r="M5" s="6">
        <f>SUMIFS(Sheet1!$N$2:$N$180,Sheet1!$Q$2:$Q$180,K5,Sheet1!$P$2:$P$180,L5)</f>
        <v>0</v>
      </c>
      <c r="N5" s="6">
        <f>M5/Sheet1!$T$9*Sheet1!$T$10</f>
        <v>0</v>
      </c>
      <c r="O5" s="469">
        <f>M5/Sheet1!$T$9*Sheet1!$T$11</f>
        <v>0</v>
      </c>
      <c r="P5" s="553">
        <f t="shared" ref="P5:P14" si="1">O5</f>
        <v>0</v>
      </c>
      <c r="Q5" s="727"/>
    </row>
    <row r="6" spans="1:19" ht="15">
      <c r="A6" s="727"/>
      <c r="B6" s="729" t="s">
        <v>308</v>
      </c>
      <c r="C6" s="552"/>
      <c r="D6" s="6">
        <f>SUMIFS(Sheet1!$C$2:$C$180,Sheet1!$F$2:$F$180,B6,Sheet1!$E$2:$E$180,C6)</f>
        <v>0</v>
      </c>
      <c r="E6" s="6">
        <f>D6/Sheet1!$I$9*Sheet1!$I$10</f>
        <v>0</v>
      </c>
      <c r="F6" s="469">
        <f>D6/Sheet1!$I$9*Sheet1!$I$11</f>
        <v>0</v>
      </c>
      <c r="G6" s="553">
        <f t="shared" si="0"/>
        <v>0</v>
      </c>
      <c r="H6" s="727"/>
      <c r="J6" s="727"/>
      <c r="K6" s="729" t="s">
        <v>308</v>
      </c>
      <c r="L6" s="552"/>
      <c r="M6" s="6">
        <f>SUMIFS(Sheet1!$N$2:$N$180,Sheet1!$Q$2:$Q$180,K6,Sheet1!$P$2:$P$180,L6)</f>
        <v>0</v>
      </c>
      <c r="N6" s="6">
        <f>M6/Sheet1!$T$9*Sheet1!$T$10</f>
        <v>0</v>
      </c>
      <c r="O6" s="469">
        <f>M6/Sheet1!$T$9*Sheet1!$T$11</f>
        <v>0</v>
      </c>
      <c r="P6" s="553">
        <f t="shared" si="1"/>
        <v>0</v>
      </c>
      <c r="Q6" s="727"/>
    </row>
    <row r="7" spans="1:19" ht="15">
      <c r="A7" s="727"/>
      <c r="B7" s="730"/>
      <c r="C7" s="552"/>
      <c r="D7" s="6">
        <f>SUMIFS(Sheet1!$C$2:$C$180,Sheet1!$F$2:$F$180,B6,Sheet1!$E$2:$E$180,C7)</f>
        <v>0</v>
      </c>
      <c r="E7" s="6">
        <f>D7/Sheet1!$I$9*Sheet1!$I$10</f>
        <v>0</v>
      </c>
      <c r="F7" s="469">
        <f>D7/Sheet1!$I$9*Sheet1!$I$11</f>
        <v>0</v>
      </c>
      <c r="G7" s="553">
        <f t="shared" si="0"/>
        <v>0</v>
      </c>
      <c r="H7" s="727"/>
      <c r="J7" s="727"/>
      <c r="K7" s="730"/>
      <c r="L7" s="552"/>
      <c r="M7" s="6">
        <f>SUMIFS(Sheet1!$N$2:$N$180,Sheet1!$Q$2:$Q$180,K6,Sheet1!$P$2:$P$180,L7)</f>
        <v>0</v>
      </c>
      <c r="N7" s="6">
        <f>M7/Sheet1!$T$9*Sheet1!$T$10</f>
        <v>0</v>
      </c>
      <c r="O7" s="469">
        <f>M7/Sheet1!$T$9*Sheet1!$T$11</f>
        <v>0</v>
      </c>
      <c r="P7" s="553">
        <f t="shared" si="1"/>
        <v>0</v>
      </c>
      <c r="Q7" s="727"/>
    </row>
    <row r="8" spans="1:19">
      <c r="A8" s="727"/>
      <c r="B8" s="729" t="s">
        <v>307</v>
      </c>
      <c r="C8" s="552"/>
      <c r="D8" s="6">
        <f>SUMIFS(Sheet1!$C$2:$C$180,Sheet1!$F$2:$F$180,B8,Sheet1!$E$2:$E$180,C8)</f>
        <v>0</v>
      </c>
      <c r="E8" s="6">
        <f>D8/Sheet1!$I$9*Sheet1!$I$10</f>
        <v>0</v>
      </c>
      <c r="F8" s="469">
        <f>D8/Sheet1!$I$9*Sheet1!$I$11</f>
        <v>0</v>
      </c>
      <c r="G8" s="554">
        <f t="shared" si="0"/>
        <v>0</v>
      </c>
      <c r="H8" s="727"/>
      <c r="J8" s="727"/>
      <c r="K8" s="729" t="s">
        <v>307</v>
      </c>
      <c r="L8" s="552"/>
      <c r="M8" s="6">
        <f>SUMIFS(Sheet1!$N$2:$N$180,Sheet1!$Q$2:$Q$180,K8,Sheet1!$P$2:$P$180,L8)</f>
        <v>0</v>
      </c>
      <c r="N8" s="6">
        <f>M8/Sheet1!$T$9*Sheet1!$T$10</f>
        <v>0</v>
      </c>
      <c r="O8" s="469">
        <f>M8/Sheet1!$T$9*Sheet1!$T$11</f>
        <v>0</v>
      </c>
      <c r="P8" s="554">
        <f t="shared" si="1"/>
        <v>0</v>
      </c>
      <c r="Q8" s="727"/>
    </row>
    <row r="9" spans="1:19">
      <c r="A9" s="727"/>
      <c r="B9" s="730"/>
      <c r="C9" s="552"/>
      <c r="D9" s="6">
        <f>SUMIFS(Sheet1!$C$2:$C$180,Sheet1!$F$2:$F$180,B8,Sheet1!$E$2:$E$180,C9)</f>
        <v>0</v>
      </c>
      <c r="E9" s="6">
        <f>D9/Sheet1!$I$9*Sheet1!$I$10</f>
        <v>0</v>
      </c>
      <c r="F9" s="469">
        <f>D9/Sheet1!$I$9*Sheet1!$I$11</f>
        <v>0</v>
      </c>
      <c r="G9" s="554">
        <f t="shared" si="0"/>
        <v>0</v>
      </c>
      <c r="H9" s="727"/>
      <c r="J9" s="727"/>
      <c r="K9" s="730"/>
      <c r="L9" s="552"/>
      <c r="M9" s="6">
        <f>SUMIFS(Sheet1!$N$2:$N$180,Sheet1!$Q$2:$Q$180,K8,Sheet1!$P$2:$P$180,L9)</f>
        <v>0</v>
      </c>
      <c r="N9" s="6">
        <f>M9/Sheet1!$T$9*Sheet1!$T$10</f>
        <v>0</v>
      </c>
      <c r="O9" s="469">
        <f>M9/Sheet1!$T$9*Sheet1!$T$11</f>
        <v>0</v>
      </c>
      <c r="P9" s="554">
        <f t="shared" si="1"/>
        <v>0</v>
      </c>
      <c r="Q9" s="727"/>
    </row>
    <row r="10" spans="1:19" ht="15" customHeight="1">
      <c r="A10" s="727"/>
      <c r="B10" s="729" t="s">
        <v>374</v>
      </c>
      <c r="C10" s="552"/>
      <c r="D10" s="6">
        <f>SUMIFS(Sheet1!$C$2:$C$180,Sheet1!$F$2:$F$180,B10,Sheet1!$E$2:$E$180,C10)</f>
        <v>0</v>
      </c>
      <c r="E10" s="6">
        <f>D10/Sheet1!$I$9*Sheet1!$I$10</f>
        <v>0</v>
      </c>
      <c r="F10" s="469">
        <f>D10/Sheet1!$I$9*Sheet1!$I$11</f>
        <v>0</v>
      </c>
      <c r="G10" s="554">
        <f t="shared" si="0"/>
        <v>0</v>
      </c>
      <c r="H10" s="727"/>
      <c r="J10" s="727"/>
      <c r="K10" s="729" t="s">
        <v>374</v>
      </c>
      <c r="L10" s="552"/>
      <c r="M10" s="6">
        <f>SUMIFS(Sheet1!$N$2:$N$180,Sheet1!$Q$2:$Q$180,K10,Sheet1!$P$2:$P$180,L10)</f>
        <v>0</v>
      </c>
      <c r="N10" s="6">
        <f>M10/Sheet1!$T$9*Sheet1!$T$10</f>
        <v>0</v>
      </c>
      <c r="O10" s="469">
        <f>M10/Sheet1!$T$9*Sheet1!$T$11</f>
        <v>0</v>
      </c>
      <c r="P10" s="554">
        <f t="shared" si="1"/>
        <v>0</v>
      </c>
      <c r="Q10" s="727"/>
    </row>
    <row r="11" spans="1:19" ht="15" customHeight="1">
      <c r="A11" s="727"/>
      <c r="B11" s="730"/>
      <c r="C11" s="552"/>
      <c r="D11" s="6">
        <f>SUMIFS(Sheet1!$C$2:$C$180,Sheet1!$F$2:$F$180,B10,Sheet1!$E$2:$E$180,C11)</f>
        <v>0</v>
      </c>
      <c r="E11" s="6">
        <f>D11/Sheet1!$I$9*Sheet1!$I$10</f>
        <v>0</v>
      </c>
      <c r="F11" s="469">
        <f>D11/Sheet1!$I$9*Sheet1!$I$11</f>
        <v>0</v>
      </c>
      <c r="G11" s="554">
        <f t="shared" si="0"/>
        <v>0</v>
      </c>
      <c r="H11" s="727"/>
      <c r="J11" s="727"/>
      <c r="K11" s="730"/>
      <c r="L11" s="552"/>
      <c r="M11" s="6">
        <f>SUMIFS(Sheet1!$N$2:$N$180,Sheet1!$Q$2:$Q$180,K10,Sheet1!$P$2:$P$180,L11)</f>
        <v>0</v>
      </c>
      <c r="N11" s="6">
        <f>M11/Sheet1!$T$9*Sheet1!$T$10</f>
        <v>0</v>
      </c>
      <c r="O11" s="469">
        <f>M11/Sheet1!$T$9*Sheet1!$T$11</f>
        <v>0</v>
      </c>
      <c r="P11" s="554">
        <f t="shared" si="1"/>
        <v>0</v>
      </c>
      <c r="Q11" s="727"/>
    </row>
    <row r="12" spans="1:19" ht="15">
      <c r="A12" s="727" t="s">
        <v>10</v>
      </c>
      <c r="B12" s="549" t="s">
        <v>148</v>
      </c>
      <c r="C12" s="552" t="s">
        <v>148</v>
      </c>
      <c r="D12" s="6"/>
      <c r="E12" s="6">
        <f>+Sheet1!I2</f>
        <v>4.7749999999999995</v>
      </c>
      <c r="F12" s="469">
        <f>E12/Sheet1!$I$8</f>
        <v>3.5672560225705578E-3</v>
      </c>
      <c r="G12" s="553">
        <f t="shared" si="0"/>
        <v>3.5672560225705578E-3</v>
      </c>
      <c r="H12" s="731">
        <f>SUM(G12:G13)</f>
        <v>3.6945599051171354E-2</v>
      </c>
      <c r="J12" s="727" t="s">
        <v>10</v>
      </c>
      <c r="K12" s="549" t="s">
        <v>148</v>
      </c>
      <c r="L12" s="552" t="s">
        <v>148</v>
      </c>
      <c r="M12" s="6"/>
      <c r="N12" s="6">
        <f>+Sheet1!T2</f>
        <v>4.7749999999999995</v>
      </c>
      <c r="O12" s="469">
        <f>+Sheet1!U2</f>
        <v>3.5672560225705578E-3</v>
      </c>
      <c r="P12" s="553">
        <f t="shared" si="1"/>
        <v>3.5672560225705578E-3</v>
      </c>
      <c r="Q12" s="731">
        <f>SUM(P12:P13)</f>
        <v>3.6945599051171354E-2</v>
      </c>
    </row>
    <row r="13" spans="1:19" ht="15">
      <c r="A13" s="727"/>
      <c r="B13" s="549" t="s">
        <v>238</v>
      </c>
      <c r="C13" s="552" t="s">
        <v>239</v>
      </c>
      <c r="D13" s="6"/>
      <c r="E13" s="6">
        <f>+Sheet1!I3</f>
        <v>44.679043767292804</v>
      </c>
      <c r="F13" s="469">
        <f>E13/Sheet1!$I$8</f>
        <v>3.33783430286008E-2</v>
      </c>
      <c r="G13" s="553">
        <f t="shared" si="0"/>
        <v>3.33783430286008E-2</v>
      </c>
      <c r="H13" s="732"/>
      <c r="J13" s="727"/>
      <c r="K13" s="549" t="s">
        <v>238</v>
      </c>
      <c r="L13" s="552" t="s">
        <v>239</v>
      </c>
      <c r="M13" s="6"/>
      <c r="N13" s="6">
        <f>+Sheet1!T3</f>
        <v>44.679043767292804</v>
      </c>
      <c r="O13" s="469">
        <f>+Sheet1!U3</f>
        <v>3.33783430286008E-2</v>
      </c>
      <c r="P13" s="553">
        <f t="shared" si="1"/>
        <v>3.33783430286008E-2</v>
      </c>
      <c r="Q13" s="732"/>
    </row>
    <row r="14" spans="1:19" ht="15">
      <c r="A14" s="733" t="s">
        <v>12</v>
      </c>
      <c r="B14" s="549" t="s">
        <v>240</v>
      </c>
      <c r="C14" s="552" t="s">
        <v>240</v>
      </c>
      <c r="D14" s="6"/>
      <c r="E14" s="6">
        <f>+Sheet1!I4</f>
        <v>-0.77895666632450811</v>
      </c>
      <c r="F14" s="469">
        <f>E14/Sheet1!$I$8</f>
        <v>-5.8193463021310706E-4</v>
      </c>
      <c r="G14" s="553">
        <f t="shared" si="0"/>
        <v>-5.8193463021310706E-4</v>
      </c>
      <c r="H14" s="735">
        <f>SUM(G14:G23)</f>
        <v>5.8612525583262E-2</v>
      </c>
      <c r="J14" s="733" t="s">
        <v>12</v>
      </c>
      <c r="K14" s="549" t="s">
        <v>240</v>
      </c>
      <c r="L14" s="552" t="s">
        <v>240</v>
      </c>
      <c r="M14" s="6"/>
      <c r="N14" s="6">
        <f>+Sheet1!T4</f>
        <v>0.76225933367549747</v>
      </c>
      <c r="O14" s="469">
        <f>+Sheet1!U4</f>
        <v>5.6946056519676215E-4</v>
      </c>
      <c r="P14" s="553">
        <f t="shared" si="1"/>
        <v>5.6946056519676215E-4</v>
      </c>
      <c r="Q14" s="735">
        <f>SUM(P14:P23)</f>
        <v>5.8612525583261993E-2</v>
      </c>
    </row>
    <row r="15" spans="1:19" ht="15">
      <c r="A15" s="734"/>
      <c r="B15" s="549" t="s">
        <v>241</v>
      </c>
      <c r="C15" s="552" t="s">
        <v>241</v>
      </c>
      <c r="D15" s="6"/>
      <c r="E15" s="6">
        <f>+Sheet1!I5</f>
        <v>16.380938978346077</v>
      </c>
      <c r="F15" s="469">
        <f>E15/Sheet1!$I$8</f>
        <v>1.2237697010652535E-2</v>
      </c>
      <c r="G15" s="553">
        <f>F15</f>
        <v>1.2237697010652535E-2</v>
      </c>
      <c r="H15" s="735"/>
      <c r="J15" s="734"/>
      <c r="K15" s="549" t="s">
        <v>241</v>
      </c>
      <c r="L15" s="552" t="s">
        <v>241</v>
      </c>
      <c r="M15" s="6"/>
      <c r="N15" s="6">
        <f>+Sheet1!T5</f>
        <v>14.839722978346071</v>
      </c>
      <c r="O15" s="469">
        <f>+Sheet1!U5</f>
        <v>1.1086301815242665E-2</v>
      </c>
      <c r="P15" s="553">
        <f>O15</f>
        <v>1.1086301815242665E-2</v>
      </c>
      <c r="Q15" s="735"/>
      <c r="R15" s="511"/>
      <c r="S15" s="511"/>
    </row>
    <row r="16" spans="1:19">
      <c r="A16" s="734"/>
      <c r="B16" s="736" t="s">
        <v>242</v>
      </c>
      <c r="C16" s="552"/>
      <c r="D16" s="6">
        <f>SUMIFS(Sheet1!$C$2:$C$180,Sheet1!$F$2:$F$180,B16,Sheet1!$E$2:$E$180,C16)</f>
        <v>0</v>
      </c>
      <c r="E16" s="6">
        <f>D16/Sheet1!$I$9*Sheet1!$I$10</f>
        <v>0</v>
      </c>
      <c r="F16" s="469">
        <f>D16/Sheet1!$I$9*Sheet1!$I$11</f>
        <v>0</v>
      </c>
      <c r="G16" s="737">
        <f>SUM(F16:F17)</f>
        <v>0</v>
      </c>
      <c r="H16" s="735"/>
      <c r="J16" s="734"/>
      <c r="K16" s="736" t="s">
        <v>242</v>
      </c>
      <c r="L16" s="552"/>
      <c r="M16" s="6">
        <f>SUMIFS(Sheet1!$N$2:$N$180,Sheet1!$Q$2:$Q$180,K16,Sheet1!$P$2:$P$180,L16)</f>
        <v>0</v>
      </c>
      <c r="N16" s="6">
        <f>M16/Sheet1!$T$9*Sheet1!$T$10</f>
        <v>0</v>
      </c>
      <c r="O16" s="469">
        <f>M16/Sheet1!$T$9*Sheet1!$T$11</f>
        <v>0</v>
      </c>
      <c r="P16" s="737">
        <f>SUM(O16:O17)</f>
        <v>0</v>
      </c>
      <c r="Q16" s="735"/>
      <c r="S16" s="511"/>
    </row>
    <row r="17" spans="1:18">
      <c r="A17" s="734"/>
      <c r="B17" s="736"/>
      <c r="C17" s="552"/>
      <c r="D17" s="6">
        <f>SUMIFS(Sheet1!$C$2:$C$180,Sheet1!$F$2:$F$180,B16,Sheet1!$E$2:$E$180,C17)</f>
        <v>0</v>
      </c>
      <c r="E17" s="6">
        <f>D17/Sheet1!$I$9*Sheet1!$I$10</f>
        <v>0</v>
      </c>
      <c r="F17" s="469">
        <f>D17/Sheet1!$I$9*Sheet1!$I$11</f>
        <v>0</v>
      </c>
      <c r="G17" s="737"/>
      <c r="H17" s="735"/>
      <c r="J17" s="734"/>
      <c r="K17" s="736"/>
      <c r="L17" s="552"/>
      <c r="M17" s="6">
        <f>SUMIFS(Sheet1!$N$2:$N$180,Sheet1!$Q$2:$Q$180,K16,Sheet1!$P$2:$P$180,L17)</f>
        <v>0</v>
      </c>
      <c r="N17" s="6">
        <f>M17/Sheet1!$T$9*Sheet1!$T$10</f>
        <v>0</v>
      </c>
      <c r="O17" s="469">
        <f>M17/Sheet1!$T$9*Sheet1!$T$11</f>
        <v>0</v>
      </c>
      <c r="P17" s="737"/>
      <c r="Q17" s="735"/>
    </row>
    <row r="18" spans="1:18" ht="15">
      <c r="A18" s="734"/>
      <c r="B18" s="549" t="s">
        <v>243</v>
      </c>
      <c r="C18" s="552" t="s">
        <v>220</v>
      </c>
      <c r="D18" s="6">
        <f>SUMIFS(Sheet1!$C$2:$C$180,Sheet1!$F$2:$F$180,B18,Sheet1!$E$2:$E$180,C18)</f>
        <v>0</v>
      </c>
      <c r="E18" s="6">
        <f>D18/Sheet1!$I$9*Sheet1!$I$10</f>
        <v>0</v>
      </c>
      <c r="F18" s="469">
        <f>D18/Sheet1!$I$9*Sheet1!$I$11</f>
        <v>0</v>
      </c>
      <c r="G18" s="553">
        <f>F18</f>
        <v>0</v>
      </c>
      <c r="H18" s="735"/>
      <c r="J18" s="734"/>
      <c r="K18" s="549" t="s">
        <v>243</v>
      </c>
      <c r="L18" s="552" t="s">
        <v>220</v>
      </c>
      <c r="M18" s="6">
        <f>SUMIFS(Sheet1!$N$2:$N$180,Sheet1!$Q$2:$Q$180,K18,Sheet1!$P$2:$P$180,L18)</f>
        <v>0</v>
      </c>
      <c r="N18" s="6">
        <f>M18/Sheet1!$T$9*Sheet1!$T$10</f>
        <v>0</v>
      </c>
      <c r="O18" s="469">
        <f>M18/Sheet1!$T$9*Sheet1!$T$11</f>
        <v>0</v>
      </c>
      <c r="P18" s="553">
        <f>O18</f>
        <v>0</v>
      </c>
      <c r="Q18" s="735"/>
    </row>
    <row r="19" spans="1:18">
      <c r="A19" s="734"/>
      <c r="B19" s="729" t="s">
        <v>244</v>
      </c>
      <c r="C19" s="552" t="s">
        <v>245</v>
      </c>
      <c r="D19" s="6">
        <f>SUMIFS(Sheet1!$C$2:$C$180,Sheet1!$F$2:$F$180,B19,Sheet1!$E$2:$E$180,C19)</f>
        <v>299</v>
      </c>
      <c r="E19" s="6">
        <f>D19/Sheet1!$I$9*Sheet1!$I$10</f>
        <v>9.0223395440565213</v>
      </c>
      <c r="F19" s="469">
        <f>D19/Sheet1!$I$9*Sheet1!$I$11</f>
        <v>6.7403131049658905E-3</v>
      </c>
      <c r="G19" s="739">
        <f>SUM(F19:F23)</f>
        <v>4.695676320282257E-2</v>
      </c>
      <c r="H19" s="735"/>
      <c r="J19" s="734"/>
      <c r="K19" s="729" t="s">
        <v>244</v>
      </c>
      <c r="L19" s="552" t="s">
        <v>245</v>
      </c>
      <c r="M19" s="6">
        <f>SUMIFS(Sheet1!$N$2:$N$180,Sheet1!$Q$2:$Q$180,$K$19,Sheet1!$P$2:$P$180,L19)</f>
        <v>299</v>
      </c>
      <c r="N19" s="6">
        <f>M19/Sheet1!$T$9*Sheet1!$T$10</f>
        <v>9.0223395440565213</v>
      </c>
      <c r="O19" s="469">
        <f>M19/Sheet1!$T$9*Sheet1!$T$11</f>
        <v>6.7403131049658905E-3</v>
      </c>
      <c r="P19" s="739">
        <f>SUM(O19:O23)</f>
        <v>4.695676320282257E-2</v>
      </c>
      <c r="Q19" s="735"/>
    </row>
    <row r="20" spans="1:18">
      <c r="A20" s="734"/>
      <c r="B20" s="738"/>
      <c r="C20" s="552" t="s">
        <v>246</v>
      </c>
      <c r="D20" s="6">
        <f>SUMIFS(Sheet1!$C$2:$C$180,Sheet1!$F$2:$F$180,B19,Sheet1!$E$2:$E$180,C20)</f>
        <v>1278</v>
      </c>
      <c r="E20" s="6">
        <f>D20/Sheet1!$I$9*Sheet1!$I$10</f>
        <v>38.563712164897098</v>
      </c>
      <c r="F20" s="469">
        <f>D20/Sheet1!$I$9*Sheet1!$I$11</f>
        <v>2.8809766381760561E-2</v>
      </c>
      <c r="G20" s="740"/>
      <c r="H20" s="735"/>
      <c r="J20" s="734"/>
      <c r="K20" s="738"/>
      <c r="L20" s="552" t="s">
        <v>246</v>
      </c>
      <c r="M20" s="6">
        <f>SUMIFS(Sheet1!$N$2:$N$180,Sheet1!$Q$2:$Q$180,$K$19,Sheet1!$P$2:$P$180,L20)</f>
        <v>1278</v>
      </c>
      <c r="N20" s="6">
        <f>M20/Sheet1!$T$9*Sheet1!$T$10</f>
        <v>38.563712164897098</v>
      </c>
      <c r="O20" s="469">
        <f>M20/Sheet1!$T$9*Sheet1!$T$11</f>
        <v>2.8809766381760561E-2</v>
      </c>
      <c r="P20" s="740"/>
      <c r="Q20" s="735"/>
    </row>
    <row r="21" spans="1:18">
      <c r="A21" s="734"/>
      <c r="B21" s="738"/>
      <c r="C21" s="552" t="s">
        <v>247</v>
      </c>
      <c r="D21" s="6">
        <f>SUMIFS(Sheet1!$C$2:$C$180,Sheet1!$F$2:$F$180,B19,Sheet1!$E$2:$E$180,C21)</f>
        <v>506</v>
      </c>
      <c r="E21" s="6">
        <f>D21/Sheet1!$I$9*Sheet1!$I$10</f>
        <v>15.268574613018727</v>
      </c>
      <c r="F21" s="469">
        <f>D21/Sheet1!$I$9*Sheet1!$I$11</f>
        <v>1.1406683716096122E-2</v>
      </c>
      <c r="G21" s="740"/>
      <c r="H21" s="735"/>
      <c r="J21" s="734"/>
      <c r="K21" s="738"/>
      <c r="L21" s="552" t="s">
        <v>247</v>
      </c>
      <c r="M21" s="6">
        <f>SUMIFS(Sheet1!$N$2:$N$180,Sheet1!$Q$2:$Q$180,$K$19,Sheet1!$P$2:$P$180,L21)</f>
        <v>506</v>
      </c>
      <c r="N21" s="6">
        <f>M21/Sheet1!$T$9*Sheet1!$T$10</f>
        <v>15.268574613018727</v>
      </c>
      <c r="O21" s="469">
        <f>M21/Sheet1!$T$9*Sheet1!$T$11</f>
        <v>1.1406683716096122E-2</v>
      </c>
      <c r="P21" s="740"/>
      <c r="Q21" s="735"/>
    </row>
    <row r="22" spans="1:18">
      <c r="A22" s="734"/>
      <c r="B22" s="738"/>
      <c r="C22" s="552" t="s">
        <v>13</v>
      </c>
      <c r="D22" s="6">
        <f>SUMIFS(Sheet1!$C$2:$C$180,Sheet1!$F$2:$F$180,B19,Sheet1!$E$2:$E$180,C22)</f>
        <v>0</v>
      </c>
      <c r="E22" s="6">
        <f>D22/Sheet1!$I$9*Sheet1!$I$10</f>
        <v>0</v>
      </c>
      <c r="F22" s="469">
        <f>D22/Sheet1!$I$9*Sheet1!$I$11</f>
        <v>0</v>
      </c>
      <c r="G22" s="740"/>
      <c r="H22" s="735"/>
      <c r="J22" s="734"/>
      <c r="K22" s="738"/>
      <c r="L22" s="552" t="s">
        <v>13</v>
      </c>
      <c r="M22" s="6">
        <f>SUMIFS(Sheet1!$N$2:$N$180,Sheet1!$Q$2:$Q$180,$K$19,Sheet1!$P$2:$P$180,L22)</f>
        <v>0</v>
      </c>
      <c r="N22" s="6">
        <f>M22/Sheet1!$T$9*Sheet1!$T$10</f>
        <v>0</v>
      </c>
      <c r="O22" s="469">
        <f>M22/Sheet1!$T$9*Sheet1!$T$11</f>
        <v>0</v>
      </c>
      <c r="P22" s="740"/>
      <c r="Q22" s="735"/>
    </row>
    <row r="23" spans="1:18">
      <c r="A23" s="734"/>
      <c r="B23" s="730"/>
      <c r="C23" s="552"/>
      <c r="D23" s="6">
        <f>SUMIFS(Sheet1!$C$2:$C$180,Sheet1!$F$2:$F$180,B19,Sheet1!$E$2:$E$180,C23)</f>
        <v>0</v>
      </c>
      <c r="E23" s="6">
        <f>D23/Sheet1!$I$9*Sheet1!$I$10</f>
        <v>0</v>
      </c>
      <c r="F23" s="469">
        <f>D23/Sheet1!$I$9*Sheet1!$I$11</f>
        <v>0</v>
      </c>
      <c r="G23" s="741"/>
      <c r="H23" s="735"/>
      <c r="J23" s="734"/>
      <c r="K23" s="730"/>
      <c r="L23" s="552"/>
      <c r="M23" s="6">
        <f>SUMIFS(Sheet1!$N$2:$N$180,Sheet1!$Q$2:$Q$180,$K$19,Sheet1!$P$2:$P$180,L23)</f>
        <v>0</v>
      </c>
      <c r="N23" s="6">
        <f>M23/Sheet1!$T$9*Sheet1!$T$10</f>
        <v>0</v>
      </c>
      <c r="O23" s="469">
        <f>M23/Sheet1!$T$9*Sheet1!$T$11</f>
        <v>0</v>
      </c>
      <c r="P23" s="741"/>
      <c r="Q23" s="735"/>
    </row>
    <row r="24" spans="1:18" ht="12.75" customHeight="1">
      <c r="A24" s="727" t="s">
        <v>248</v>
      </c>
      <c r="B24" s="736" t="s">
        <v>249</v>
      </c>
      <c r="C24" s="555" t="s">
        <v>484</v>
      </c>
      <c r="D24" s="6">
        <f>SUMIFS(Sheet1!$C$2:$C$180,Sheet1!$F$2:$F$180,B24,Sheet1!$E$2:$E$180,C24)</f>
        <v>200</v>
      </c>
      <c r="E24" s="6">
        <f>D24/Sheet1!$I$9*Sheet1!$I$10</f>
        <v>6.0350097284659006</v>
      </c>
      <c r="F24" s="469">
        <f>D24/Sheet1!$I$9*Sheet1!$I$11</f>
        <v>4.5085706387731714E-3</v>
      </c>
      <c r="G24" s="737">
        <f>SUM(F24:F30)</f>
        <v>5.4102847665278061E-3</v>
      </c>
      <c r="H24" s="735">
        <f>SUM(G24:G37)</f>
        <v>1.6253397152777283E-2</v>
      </c>
      <c r="J24" s="727" t="s">
        <v>248</v>
      </c>
      <c r="K24" s="736" t="s">
        <v>249</v>
      </c>
      <c r="L24" s="555" t="s">
        <v>484</v>
      </c>
      <c r="M24" s="6">
        <f>SUMIFS(Sheet1!$N$2:$N$180,Sheet1!$Q$2:$Q$180,$K$24,Sheet1!$P$2:$P$180,L24)</f>
        <v>200</v>
      </c>
      <c r="N24" s="6">
        <f>M24/Sheet1!$T$9*Sheet1!$T$10</f>
        <v>6.0350097284659006</v>
      </c>
      <c r="O24" s="469">
        <f>M24/Sheet1!$T$9*Sheet1!$T$11</f>
        <v>4.5085706387731714E-3</v>
      </c>
      <c r="P24" s="737">
        <f>SUM(O24:O30)</f>
        <v>5.4102847665278061E-3</v>
      </c>
      <c r="Q24" s="735">
        <f>SUM(P24:P37)</f>
        <v>1.6253397152777283E-2</v>
      </c>
    </row>
    <row r="25" spans="1:18" ht="12.75" customHeight="1">
      <c r="A25" s="727"/>
      <c r="B25" s="736"/>
      <c r="C25" s="555" t="s">
        <v>618</v>
      </c>
      <c r="D25" s="6">
        <f>SUMIFS(Sheet1!$C$2:$C$180,Sheet1!$F$2:$F$180,B24,Sheet1!$E$2:$E$180,C25)</f>
        <v>40</v>
      </c>
      <c r="E25" s="6">
        <f>D25/Sheet1!$I$9*Sheet1!$I$10</f>
        <v>1.20700194569318</v>
      </c>
      <c r="F25" s="469">
        <f>D25/Sheet1!$I$9*Sheet1!$I$11</f>
        <v>9.017141277546342E-4</v>
      </c>
      <c r="G25" s="737"/>
      <c r="H25" s="735"/>
      <c r="J25" s="727"/>
      <c r="K25" s="736"/>
      <c r="L25" s="555" t="s">
        <v>618</v>
      </c>
      <c r="M25" s="6">
        <f>SUMIFS(Sheet1!$N$2:$N$180,Sheet1!$Q$2:$Q$180,$K$24,Sheet1!$P$2:$P$180,L25)</f>
        <v>40</v>
      </c>
      <c r="N25" s="6">
        <f>M25/Sheet1!$T$9*Sheet1!$T$10</f>
        <v>1.20700194569318</v>
      </c>
      <c r="O25" s="469">
        <f>M25/Sheet1!$T$9*Sheet1!$T$11</f>
        <v>9.017141277546342E-4</v>
      </c>
      <c r="P25" s="737"/>
      <c r="Q25" s="735"/>
    </row>
    <row r="26" spans="1:18" ht="12.75" customHeight="1">
      <c r="A26" s="727"/>
      <c r="B26" s="736"/>
      <c r="C26" s="533"/>
      <c r="D26" s="6">
        <f>SUMIFS(Sheet1!$C$2:$C$180,Sheet1!$F$2:$F$180,B24,Sheet1!$E$2:$E$180,C26)</f>
        <v>0</v>
      </c>
      <c r="E26" s="6">
        <f>D26/Sheet1!$I$9*Sheet1!$I$10</f>
        <v>0</v>
      </c>
      <c r="F26" s="469">
        <f>D26/Sheet1!$I$9*Sheet1!$I$11</f>
        <v>0</v>
      </c>
      <c r="G26" s="737"/>
      <c r="H26" s="735"/>
      <c r="J26" s="727"/>
      <c r="K26" s="736"/>
      <c r="L26" s="533"/>
      <c r="M26" s="6">
        <f>SUMIFS(Sheet1!$N$2:$N$180,Sheet1!$Q$2:$Q$180,$K$24,Sheet1!$P$2:$P$180,L26)</f>
        <v>0</v>
      </c>
      <c r="N26" s="6">
        <f>M26/Sheet1!$T$9*Sheet1!$T$10</f>
        <v>0</v>
      </c>
      <c r="O26" s="469">
        <f>M26/Sheet1!$T$9*Sheet1!$T$11</f>
        <v>0</v>
      </c>
      <c r="P26" s="737"/>
      <c r="Q26" s="735"/>
      <c r="R26" s="511"/>
    </row>
    <row r="27" spans="1:18" ht="12.75" customHeight="1">
      <c r="A27" s="727"/>
      <c r="B27" s="736"/>
      <c r="D27" s="6">
        <f>SUMIFS(Sheet1!$C$2:$C$180,Sheet1!$F$2:$F$180,B24,Sheet1!$E$2:$E$180,C27)</f>
        <v>0</v>
      </c>
      <c r="E27" s="6">
        <f>D27/Sheet1!$I$9*Sheet1!$I$10</f>
        <v>0</v>
      </c>
      <c r="F27" s="469">
        <f>D27/Sheet1!$I$9*Sheet1!$I$11</f>
        <v>0</v>
      </c>
      <c r="G27" s="737"/>
      <c r="H27" s="735"/>
      <c r="J27" s="727"/>
      <c r="K27" s="736"/>
      <c r="M27" s="6">
        <f>SUMIFS(Sheet1!$N$2:$N$180,Sheet1!$Q$2:$Q$180,$K$24,Sheet1!$P$2:$P$180,L27)</f>
        <v>0</v>
      </c>
      <c r="N27" s="6">
        <f>M27/Sheet1!$T$9*Sheet1!$T$10</f>
        <v>0</v>
      </c>
      <c r="O27" s="469">
        <f>M27/Sheet1!$T$9*Sheet1!$T$11</f>
        <v>0</v>
      </c>
      <c r="P27" s="737"/>
      <c r="Q27" s="735"/>
    </row>
    <row r="28" spans="1:18" ht="12.75" customHeight="1">
      <c r="A28" s="727"/>
      <c r="B28" s="736"/>
      <c r="C28" s="552"/>
      <c r="D28" s="6">
        <f>SUMIFS(Sheet1!$C$2:$C$180,Sheet1!$F$2:$F$180,B24,Sheet1!$E$2:$E$180,C28)</f>
        <v>0</v>
      </c>
      <c r="E28" s="6">
        <f>D28/Sheet1!$I$9*Sheet1!$I$10</f>
        <v>0</v>
      </c>
      <c r="F28" s="469">
        <f>D28/Sheet1!$I$9*Sheet1!$I$11</f>
        <v>0</v>
      </c>
      <c r="G28" s="737"/>
      <c r="H28" s="735"/>
      <c r="J28" s="727"/>
      <c r="K28" s="736"/>
      <c r="L28" s="552"/>
      <c r="M28" s="6">
        <f>SUMIFS(Sheet1!$N$2:$N$180,Sheet1!$Q$2:$Q$180,$K$24,Sheet1!$P$2:$P$180,L28)</f>
        <v>0</v>
      </c>
      <c r="N28" s="6">
        <f>M28/Sheet1!$T$9*Sheet1!$T$10</f>
        <v>0</v>
      </c>
      <c r="O28" s="469">
        <f>M28/Sheet1!$T$9*Sheet1!$T$11</f>
        <v>0</v>
      </c>
      <c r="P28" s="737"/>
      <c r="Q28" s="735"/>
    </row>
    <row r="29" spans="1:18" ht="12.75" customHeight="1">
      <c r="A29" s="727"/>
      <c r="B29" s="736"/>
      <c r="C29" s="552"/>
      <c r="D29" s="6">
        <f>SUMIFS(Sheet1!$C$2:$C$180,Sheet1!$F$2:$F$180,B24,Sheet1!$E$2:$E$180,C29)</f>
        <v>0</v>
      </c>
      <c r="E29" s="6">
        <f>D29/Sheet1!$I$9*Sheet1!$I$10</f>
        <v>0</v>
      </c>
      <c r="F29" s="469">
        <f>D29/Sheet1!$I$9*Sheet1!$I$11</f>
        <v>0</v>
      </c>
      <c r="G29" s="737"/>
      <c r="H29" s="735"/>
      <c r="J29" s="727"/>
      <c r="K29" s="736"/>
      <c r="L29" s="552"/>
      <c r="M29" s="6">
        <f>SUMIFS(Sheet1!$N$2:$N$180,Sheet1!$Q$2:$Q$180,$K$24,Sheet1!$P$2:$P$180,L29)</f>
        <v>0</v>
      </c>
      <c r="N29" s="6">
        <f>M29/Sheet1!$T$9*Sheet1!$T$10</f>
        <v>0</v>
      </c>
      <c r="O29" s="469">
        <f>M29/Sheet1!$T$9*Sheet1!$T$11</f>
        <v>0</v>
      </c>
      <c r="P29" s="737"/>
      <c r="Q29" s="735"/>
    </row>
    <row r="30" spans="1:18" ht="12.75" customHeight="1">
      <c r="A30" s="727"/>
      <c r="B30" s="736"/>
      <c r="C30" s="552"/>
      <c r="D30" s="6">
        <f>SUMIFS(Sheet1!$C$2:$C$180,Sheet1!$F$2:$F$180,B24,Sheet1!$E$2:$E$180,C30)</f>
        <v>0</v>
      </c>
      <c r="E30" s="6">
        <f>D30/Sheet1!$I$9*Sheet1!$I$10</f>
        <v>0</v>
      </c>
      <c r="F30" s="469">
        <f>D30/Sheet1!$I$9*Sheet1!$I$11</f>
        <v>0</v>
      </c>
      <c r="G30" s="737"/>
      <c r="H30" s="735"/>
      <c r="J30" s="727"/>
      <c r="K30" s="736"/>
      <c r="L30" s="552"/>
      <c r="M30" s="6">
        <f>SUMIFS(Sheet1!$N$2:$N$180,Sheet1!$Q$2:$Q$180,$K$24,Sheet1!$P$2:$P$180,L30)</f>
        <v>0</v>
      </c>
      <c r="N30" s="6">
        <f>M30/Sheet1!$T$9*Sheet1!$T$10</f>
        <v>0</v>
      </c>
      <c r="O30" s="469">
        <f>M30/Sheet1!$T$9*Sheet1!$T$11</f>
        <v>0</v>
      </c>
      <c r="P30" s="737"/>
      <c r="Q30" s="735"/>
    </row>
    <row r="31" spans="1:18" ht="12.75" customHeight="1">
      <c r="A31" s="727"/>
      <c r="B31" s="729" t="s">
        <v>250</v>
      </c>
      <c r="C31" s="551" t="s">
        <v>485</v>
      </c>
      <c r="D31" s="6">
        <f>SUMIFS(Sheet1!$C$2:$C$180,Sheet1!$F$2:$F$180,B31,Sheet1!$E$2:$E$180,C31)</f>
        <v>481</v>
      </c>
      <c r="E31" s="6">
        <f>D31/Sheet1!$I$9*Sheet1!$I$10</f>
        <v>14.51419839696049</v>
      </c>
      <c r="F31" s="469">
        <f>D31/Sheet1!$I$9*Sheet1!$I$11</f>
        <v>1.0843112386249477E-2</v>
      </c>
      <c r="G31" s="739">
        <f>SUM(F31:F32)</f>
        <v>1.0843112386249477E-2</v>
      </c>
      <c r="H31" s="735"/>
      <c r="J31" s="727"/>
      <c r="K31" s="729" t="s">
        <v>250</v>
      </c>
      <c r="L31" s="551" t="s">
        <v>485</v>
      </c>
      <c r="M31" s="6">
        <f>SUMIFS(Sheet1!$N$2:$N$180,Sheet1!$Q$2:$Q$180,$K$31,Sheet1!$P$2:$P$180,L31)</f>
        <v>481</v>
      </c>
      <c r="N31" s="6">
        <f>M31/Sheet1!$T$9*Sheet1!$T$10</f>
        <v>14.51419839696049</v>
      </c>
      <c r="O31" s="469">
        <f>M31/Sheet1!$T$9*Sheet1!$T$11</f>
        <v>1.0843112386249477E-2</v>
      </c>
      <c r="P31" s="739">
        <f>SUM(O31:O32)</f>
        <v>1.0843112386249477E-2</v>
      </c>
      <c r="Q31" s="735"/>
    </row>
    <row r="32" spans="1:18" ht="12.75" customHeight="1">
      <c r="A32" s="727"/>
      <c r="B32" s="730"/>
      <c r="C32" s="552"/>
      <c r="D32" s="6">
        <f>SUMIFS(Sheet1!$C$2:$C$180,Sheet1!$F$2:$F$180,B31,Sheet1!$E$2:$E$180,C32)</f>
        <v>0</v>
      </c>
      <c r="E32" s="6">
        <f>D32/Sheet1!$I$9*Sheet1!$I$10</f>
        <v>0</v>
      </c>
      <c r="F32" s="469">
        <f>D32/Sheet1!$I$9*Sheet1!$I$11</f>
        <v>0</v>
      </c>
      <c r="G32" s="741"/>
      <c r="H32" s="735"/>
      <c r="J32" s="727"/>
      <c r="K32" s="730"/>
      <c r="L32" s="552"/>
      <c r="M32" s="6">
        <f>SUMIFS(Sheet1!$N$2:$N$180,Sheet1!$Q$2:$Q$180,$K$31,Sheet1!$P$2:$P$180,L32)</f>
        <v>0</v>
      </c>
      <c r="N32" s="6">
        <f>M32/Sheet1!$T$9*Sheet1!$T$10</f>
        <v>0</v>
      </c>
      <c r="O32" s="469">
        <f>M32/Sheet1!$T$9*Sheet1!$T$11</f>
        <v>0</v>
      </c>
      <c r="P32" s="741"/>
      <c r="Q32" s="735"/>
    </row>
    <row r="33" spans="1:17" ht="12.75" customHeight="1">
      <c r="A33" s="727"/>
      <c r="B33" s="736" t="s">
        <v>251</v>
      </c>
      <c r="C33" s="552"/>
      <c r="D33" s="6">
        <f>SUMIFS(Sheet1!$C$2:$C$180,Sheet1!$F$2:$F$180,B33,Sheet1!$E$2:$E$180,C33)</f>
        <v>0</v>
      </c>
      <c r="E33" s="6">
        <f>D33/Sheet1!$I$9*Sheet1!$I$10</f>
        <v>0</v>
      </c>
      <c r="F33" s="469">
        <f>D33/Sheet1!$I$9*Sheet1!$I$11</f>
        <v>0</v>
      </c>
      <c r="G33" s="737">
        <f>SUM(F33:F35)</f>
        <v>0</v>
      </c>
      <c r="H33" s="735"/>
      <c r="J33" s="727"/>
      <c r="K33" s="736" t="s">
        <v>251</v>
      </c>
      <c r="L33" s="552"/>
      <c r="M33" s="6">
        <f>SUMIFS(Sheet1!$N$2:$N$180,Sheet1!$Q$2:$Q$180,$K$33,Sheet1!$P$2:$P$180,L33)</f>
        <v>0</v>
      </c>
      <c r="N33" s="6">
        <f>M33/Sheet1!$T$9*Sheet1!$T$10</f>
        <v>0</v>
      </c>
      <c r="O33" s="469">
        <f>M33/Sheet1!$T$9*Sheet1!$T$11</f>
        <v>0</v>
      </c>
      <c r="P33" s="737">
        <f>SUM(O33:O35)</f>
        <v>0</v>
      </c>
      <c r="Q33" s="735"/>
    </row>
    <row r="34" spans="1:17" ht="12.75" customHeight="1">
      <c r="A34" s="727"/>
      <c r="B34" s="736"/>
      <c r="C34" s="552"/>
      <c r="D34" s="6">
        <f>SUMIFS(Sheet1!$C$2:$C$180,Sheet1!$F$2:$F$180,B33,Sheet1!$E$2:$E$180,C34)</f>
        <v>0</v>
      </c>
      <c r="E34" s="6">
        <f>D34/Sheet1!$I$9*Sheet1!$I$10</f>
        <v>0</v>
      </c>
      <c r="F34" s="469">
        <f>D34/Sheet1!$I$9*Sheet1!$I$11</f>
        <v>0</v>
      </c>
      <c r="G34" s="737"/>
      <c r="H34" s="735"/>
      <c r="J34" s="727"/>
      <c r="K34" s="736"/>
      <c r="L34" s="552"/>
      <c r="M34" s="6">
        <f>SUMIFS(Sheet1!$N$2:$N$180,Sheet1!$Q$2:$Q$180,$K$33,Sheet1!$P$2:$P$180,L34)</f>
        <v>0</v>
      </c>
      <c r="N34" s="6">
        <f>M34/Sheet1!$T$9*Sheet1!$T$10</f>
        <v>0</v>
      </c>
      <c r="O34" s="469">
        <f>M34/Sheet1!$T$9*Sheet1!$T$11</f>
        <v>0</v>
      </c>
      <c r="P34" s="737"/>
      <c r="Q34" s="735"/>
    </row>
    <row r="35" spans="1:17" ht="12.75" customHeight="1">
      <c r="A35" s="727"/>
      <c r="B35" s="736"/>
      <c r="C35" s="552"/>
      <c r="D35" s="6">
        <f>SUMIFS(Sheet1!$C$2:$C$180,Sheet1!$F$2:$F$180,B33,Sheet1!$E$2:$E$180,C35)</f>
        <v>0</v>
      </c>
      <c r="E35" s="6">
        <f>D35/Sheet1!$I$9*Sheet1!$I$10</f>
        <v>0</v>
      </c>
      <c r="F35" s="469">
        <f>D35/Sheet1!$I$9*Sheet1!$I$11</f>
        <v>0</v>
      </c>
      <c r="G35" s="737"/>
      <c r="H35" s="735"/>
      <c r="J35" s="727"/>
      <c r="K35" s="736"/>
      <c r="L35" s="552"/>
      <c r="M35" s="6">
        <f>SUMIFS(Sheet1!$N$2:$N$180,Sheet1!$Q$2:$Q$180,$K$33,Sheet1!$P$2:$P$180,L35)</f>
        <v>0</v>
      </c>
      <c r="N35" s="6">
        <f>M35/Sheet1!$T$9*Sheet1!$T$10</f>
        <v>0</v>
      </c>
      <c r="O35" s="469">
        <f>M35/Sheet1!$T$9*Sheet1!$T$11</f>
        <v>0</v>
      </c>
      <c r="P35" s="737"/>
      <c r="Q35" s="735"/>
    </row>
    <row r="36" spans="1:17" ht="12.75" customHeight="1">
      <c r="A36" s="727"/>
      <c r="B36" s="729" t="s">
        <v>252</v>
      </c>
      <c r="C36" s="552"/>
      <c r="D36" s="6">
        <f>SUMIFS(Sheet1!$C$2:$C$180,Sheet1!$F$2:$F$180,B36,Sheet1!$E$2:$E$180,C36)</f>
        <v>0</v>
      </c>
      <c r="E36" s="6">
        <f>D36/Sheet1!$I$9*Sheet1!$I$10</f>
        <v>0</v>
      </c>
      <c r="F36" s="469">
        <f>D36/Sheet1!$I$9*Sheet1!$I$11</f>
        <v>0</v>
      </c>
      <c r="G36" s="739">
        <f>SUM(F36:F37)</f>
        <v>0</v>
      </c>
      <c r="H36" s="735"/>
      <c r="J36" s="727"/>
      <c r="K36" s="729" t="s">
        <v>252</v>
      </c>
      <c r="L36" s="552"/>
      <c r="M36" s="6">
        <f>SUMIFS(Sheet1!$N$2:$N$180,Sheet1!$Q$2:$Q$180,$K$36,Sheet1!$P$2:$P$180,L36)</f>
        <v>0</v>
      </c>
      <c r="N36" s="6">
        <f>M36/Sheet1!$T$9*Sheet1!$T$10</f>
        <v>0</v>
      </c>
      <c r="O36" s="469">
        <f>M36/Sheet1!$T$9*Sheet1!$T$11</f>
        <v>0</v>
      </c>
      <c r="P36" s="739">
        <f>SUM(O36:O37)</f>
        <v>0</v>
      </c>
      <c r="Q36" s="735"/>
    </row>
    <row r="37" spans="1:17" ht="12.75" customHeight="1">
      <c r="A37" s="727"/>
      <c r="B37" s="730"/>
      <c r="C37" s="552"/>
      <c r="D37" s="6">
        <f>SUMIFS(Sheet1!$C$2:$C$180,Sheet1!$F$2:$F$180,B36,Sheet1!$E$2:$E$180,C37)</f>
        <v>0</v>
      </c>
      <c r="E37" s="6">
        <f>D37/Sheet1!$I$9*Sheet1!$I$10</f>
        <v>0</v>
      </c>
      <c r="F37" s="469">
        <f>D37/Sheet1!$I$9*Sheet1!$I$11</f>
        <v>0</v>
      </c>
      <c r="G37" s="741"/>
      <c r="H37" s="735"/>
      <c r="J37" s="727"/>
      <c r="K37" s="730"/>
      <c r="L37" s="552"/>
      <c r="M37" s="6">
        <f>SUMIFS(Sheet1!$N$2:$N$180,Sheet1!$Q$2:$Q$180,$K$36,Sheet1!$P$2:$P$180,L37)</f>
        <v>0</v>
      </c>
      <c r="N37" s="6">
        <f>M37/Sheet1!$T$9*Sheet1!$T$10</f>
        <v>0</v>
      </c>
      <c r="O37" s="469">
        <f>M37/Sheet1!$T$9*Sheet1!$T$11</f>
        <v>0</v>
      </c>
      <c r="P37" s="741"/>
      <c r="Q37" s="735"/>
    </row>
    <row r="38" spans="1:17" ht="12.75" customHeight="1">
      <c r="A38" s="727" t="s">
        <v>391</v>
      </c>
      <c r="B38" s="729" t="s">
        <v>253</v>
      </c>
      <c r="C38"/>
      <c r="D38" s="6">
        <f>SUMIFS(Sheet1!$C$2:$C$180,Sheet1!$F$2:$F$180,B38,Sheet1!$E$2:$E$180,C38)</f>
        <v>0</v>
      </c>
      <c r="E38" s="6">
        <f>D38/Sheet1!$I$9*Sheet1!$I$10</f>
        <v>0</v>
      </c>
      <c r="F38" s="469">
        <f>D38/Sheet1!$I$9*Sheet1!$I$11</f>
        <v>0</v>
      </c>
      <c r="G38" s="739">
        <f>SUM(F38:F39)</f>
        <v>0</v>
      </c>
      <c r="H38" s="743">
        <f>SUM(G38:G39)</f>
        <v>0</v>
      </c>
      <c r="J38" s="727" t="s">
        <v>391</v>
      </c>
      <c r="K38" s="729" t="s">
        <v>253</v>
      </c>
      <c r="L38"/>
      <c r="M38" s="6">
        <f>SUMIFS(Sheet1!$N$2:$N$180,Sheet1!$Q$2:$Q$180,K38,Sheet1!$P$2:$P$180,L38)</f>
        <v>0</v>
      </c>
      <c r="N38" s="6">
        <f>M38/Sheet1!$T$9*Sheet1!$T$10</f>
        <v>0</v>
      </c>
      <c r="O38" s="469">
        <f>M38/Sheet1!$T$9*Sheet1!$T$11</f>
        <v>0</v>
      </c>
      <c r="P38" s="739">
        <f>SUM(O38:O39)</f>
        <v>0</v>
      </c>
      <c r="Q38" s="743">
        <f>SUM(P38:P39)</f>
        <v>0</v>
      </c>
    </row>
    <row r="39" spans="1:17" ht="12.75" customHeight="1">
      <c r="A39" s="727"/>
      <c r="B39" s="730"/>
      <c r="C39" s="555"/>
      <c r="D39" s="6">
        <f>SUMIFS(Sheet1!$C$2:$C$180,Sheet1!$F$2:$F$180,B38,Sheet1!$E$2:$E$180,C39)</f>
        <v>0</v>
      </c>
      <c r="E39" s="6">
        <f>D39/Sheet1!$I$9*Sheet1!$I$10</f>
        <v>0</v>
      </c>
      <c r="F39" s="469">
        <f>D39/Sheet1!$I$9*Sheet1!$I$11</f>
        <v>0</v>
      </c>
      <c r="G39" s="741"/>
      <c r="H39" s="744"/>
      <c r="J39" s="727"/>
      <c r="K39" s="730"/>
      <c r="L39" s="555"/>
      <c r="M39" s="6">
        <f>SUMIFS(Sheet1!$N$2:$N$180,Sheet1!$Q$2:$Q$180,K38,Sheet1!$P$2:$P$180,L39)</f>
        <v>0</v>
      </c>
      <c r="N39" s="6">
        <f>M39/Sheet1!$T$9*Sheet1!$T$10</f>
        <v>0</v>
      </c>
      <c r="O39" s="469">
        <f>M39/Sheet1!$T$9*Sheet1!$T$11</f>
        <v>0</v>
      </c>
      <c r="P39" s="741"/>
      <c r="Q39" s="744"/>
    </row>
    <row r="40" spans="1:17" ht="15">
      <c r="A40" s="556"/>
      <c r="B40" s="742" t="s">
        <v>2</v>
      </c>
      <c r="C40" s="742"/>
      <c r="D40" s="305">
        <f>SUM(D4:D39)</f>
        <v>2804</v>
      </c>
      <c r="E40" s="305">
        <f>SUM(E4:E39)</f>
        <v>149.66686247240628</v>
      </c>
      <c r="F40" s="455">
        <f>SUM(F4:F39)</f>
        <v>0.11181152178721065</v>
      </c>
      <c r="G40" s="455">
        <f>SUM(G4:G39)</f>
        <v>0.11181152178721063</v>
      </c>
      <c r="H40" s="455">
        <f>SUM(H4:H39)</f>
        <v>0.11181152178721064</v>
      </c>
      <c r="J40" s="556"/>
      <c r="K40" s="742" t="s">
        <v>2</v>
      </c>
      <c r="L40" s="742"/>
      <c r="M40" s="305">
        <f>SUM(M4:M39)</f>
        <v>2804</v>
      </c>
      <c r="N40" s="305">
        <f>SUM(N4:N39)</f>
        <v>149.66686247240628</v>
      </c>
      <c r="O40" s="455">
        <f>SUM(O4:O39)</f>
        <v>0.11181152178721065</v>
      </c>
      <c r="P40" s="455">
        <f>SUM(P4:P39)</f>
        <v>0.11181152178721064</v>
      </c>
      <c r="Q40" s="455">
        <f>SUM(Q4:Q39)</f>
        <v>0.11181152178721063</v>
      </c>
    </row>
    <row r="41" spans="1:17" ht="15">
      <c r="A41" s="556"/>
      <c r="B41" s="742" t="s">
        <v>1</v>
      </c>
      <c r="C41" s="742"/>
      <c r="D41" s="742"/>
      <c r="E41" s="742"/>
      <c r="F41" s="557">
        <f>+Efficiency1!X135</f>
        <v>0.88818847821278901</v>
      </c>
      <c r="G41" s="557">
        <f>+F41</f>
        <v>0.88818847821278901</v>
      </c>
      <c r="H41" s="557">
        <f>+G41</f>
        <v>0.88818847821278901</v>
      </c>
      <c r="J41" s="556"/>
      <c r="K41" s="742" t="s">
        <v>1</v>
      </c>
      <c r="L41" s="742"/>
      <c r="M41" s="742"/>
      <c r="N41" s="742"/>
      <c r="O41" s="557">
        <f>+Efficiency2!X135</f>
        <v>0.88818847821278901</v>
      </c>
      <c r="P41" s="557">
        <f>+O41</f>
        <v>0.88818847821278901</v>
      </c>
      <c r="Q41" s="557">
        <f>+P41</f>
        <v>0.88818847821278901</v>
      </c>
    </row>
    <row r="42" spans="1:17" ht="15">
      <c r="A42" s="556"/>
      <c r="B42" s="742" t="s">
        <v>57</v>
      </c>
      <c r="C42" s="742"/>
      <c r="D42" s="742"/>
      <c r="E42" s="742"/>
      <c r="F42" s="471">
        <f>SUM(F40:F41)</f>
        <v>0.99999999999999967</v>
      </c>
      <c r="G42" s="471">
        <f>SUM(G40:G41)</f>
        <v>0.99999999999999967</v>
      </c>
      <c r="H42" s="548">
        <f>SUM(H40:H41)</f>
        <v>0.99999999999999967</v>
      </c>
      <c r="J42" s="556"/>
      <c r="K42" s="742" t="s">
        <v>57</v>
      </c>
      <c r="L42" s="742"/>
      <c r="M42" s="742"/>
      <c r="N42" s="742"/>
      <c r="O42" s="471">
        <f>SUM(O40:O41)</f>
        <v>0.99999999999999967</v>
      </c>
      <c r="P42" s="471">
        <f>SUM(P40:P41)</f>
        <v>0.99999999999999967</v>
      </c>
      <c r="Q42" s="548">
        <f>SUM(Q40:Q41)</f>
        <v>0.99999999999999967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D61"/>
  <sheetViews>
    <sheetView topLeftCell="A16" zoomScale="80" zoomScaleNormal="80" workbookViewId="0">
      <selection activeCell="K40" sqref="K40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0" ht="15.75">
      <c r="A1" s="147"/>
    </row>
    <row r="2" spans="1:30" ht="15.75">
      <c r="A2" s="147" t="s">
        <v>183</v>
      </c>
    </row>
    <row r="3" spans="1:30" ht="15">
      <c r="A3" s="149"/>
    </row>
    <row r="4" spans="1:30" ht="20.25">
      <c r="A4" s="150" t="s">
        <v>3</v>
      </c>
      <c r="B4" s="151"/>
      <c r="F4" s="152" t="s">
        <v>29</v>
      </c>
      <c r="G4" s="153">
        <v>31</v>
      </c>
      <c r="H4" s="153" t="str">
        <f>+'1'!H4</f>
        <v>.12.25</v>
      </c>
    </row>
    <row r="5" spans="1:30" ht="13.5" thickBot="1">
      <c r="C5" s="154"/>
      <c r="D5" s="154"/>
    </row>
    <row r="6" spans="1:30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1" t="s">
        <v>190</v>
      </c>
      <c r="P6" s="421" t="s">
        <v>190</v>
      </c>
      <c r="Q6" s="421" t="s">
        <v>191</v>
      </c>
      <c r="R6" s="421" t="s">
        <v>192</v>
      </c>
      <c r="S6" s="421" t="s">
        <v>193</v>
      </c>
      <c r="T6" s="421" t="s">
        <v>188</v>
      </c>
      <c r="U6" s="422" t="s">
        <v>194</v>
      </c>
      <c r="V6" s="421" t="s">
        <v>195</v>
      </c>
      <c r="W6" s="421" t="s">
        <v>189</v>
      </c>
      <c r="Y6" s="148" t="s">
        <v>457</v>
      </c>
      <c r="Z6" s="148">
        <v>1180</v>
      </c>
      <c r="AA6" s="148">
        <f>+Z6-(Z6*0.24)</f>
        <v>896.8</v>
      </c>
      <c r="AB6" s="148">
        <v>480</v>
      </c>
      <c r="AC6" s="148">
        <f>+Z6*AB6</f>
        <v>566400</v>
      </c>
      <c r="AD6" s="148">
        <f>+AA6*AB6</f>
        <v>430464</v>
      </c>
    </row>
    <row r="7" spans="1:30" ht="13.5" customHeight="1" thickBot="1">
      <c r="A7" s="745" t="s">
        <v>389</v>
      </c>
      <c r="B7" s="214" t="s">
        <v>470</v>
      </c>
      <c r="C7" s="215">
        <v>12790</v>
      </c>
      <c r="D7" s="216">
        <v>260</v>
      </c>
      <c r="E7" s="217"/>
      <c r="F7" s="227"/>
      <c r="G7" s="228" t="s">
        <v>12</v>
      </c>
      <c r="H7" s="229" t="s">
        <v>384</v>
      </c>
      <c r="I7" s="748" t="s">
        <v>666</v>
      </c>
      <c r="J7" s="213" t="str">
        <f>+'30'!J7</f>
        <v>F 14 VP OW</v>
      </c>
      <c r="K7" s="237"/>
      <c r="L7" s="241"/>
      <c r="M7" s="116">
        <f>+L7+'30'!M7+K7</f>
        <v>190720</v>
      </c>
      <c r="N7" s="423">
        <v>14.5</v>
      </c>
      <c r="O7" s="198">
        <v>1200</v>
      </c>
      <c r="P7" s="198">
        <v>1120</v>
      </c>
      <c r="Q7" s="198">
        <v>896</v>
      </c>
      <c r="R7" s="424">
        <f>1-(Q7/P7)</f>
        <v>0.19999999999999996</v>
      </c>
      <c r="S7" s="425">
        <v>45</v>
      </c>
      <c r="T7" s="426">
        <v>256.5</v>
      </c>
      <c r="U7" s="427">
        <f>(O7*(1-R7)*N7*T7*S7)/100000000</f>
        <v>1.606716</v>
      </c>
      <c r="V7" s="428">
        <f>+C14/1000</f>
        <v>12.79</v>
      </c>
      <c r="W7" s="429">
        <f>SUM(V7:V9)/SUM(U7:U9)</f>
        <v>0.61233357596871751</v>
      </c>
    </row>
    <row r="8" spans="1:30" ht="13.5" thickBot="1">
      <c r="A8" s="746"/>
      <c r="B8" s="214"/>
      <c r="C8" s="215"/>
      <c r="D8" s="216"/>
      <c r="E8" s="218"/>
      <c r="F8" s="230">
        <v>8</v>
      </c>
      <c r="G8" s="231" t="s">
        <v>12</v>
      </c>
      <c r="H8" s="229" t="s">
        <v>407</v>
      </c>
      <c r="I8" s="749"/>
      <c r="J8" s="213" t="str">
        <f>+'30'!J8</f>
        <v>F 15 VP OW</v>
      </c>
      <c r="K8" s="238"/>
      <c r="L8" s="238"/>
      <c r="M8" s="116">
        <f>+L8+'30'!M8+K8</f>
        <v>95546</v>
      </c>
      <c r="N8" s="423">
        <v>18</v>
      </c>
      <c r="O8" s="198">
        <v>1200</v>
      </c>
      <c r="P8" s="198">
        <v>930</v>
      </c>
      <c r="Q8" s="198">
        <v>744</v>
      </c>
      <c r="R8" s="424">
        <f>1-(Q8/P8)</f>
        <v>0.19999999999999996</v>
      </c>
      <c r="S8" s="425">
        <f>480-S7</f>
        <v>435</v>
      </c>
      <c r="T8" s="426">
        <v>256.5</v>
      </c>
      <c r="U8" s="427">
        <f>(O8*(1-R8)*N8*T8*S8)/100000000</f>
        <v>19.280591999999999</v>
      </c>
      <c r="V8" s="428"/>
      <c r="W8" s="430"/>
    </row>
    <row r="9" spans="1:30" ht="13.5" thickBot="1">
      <c r="A9" s="746"/>
      <c r="B9" s="214"/>
      <c r="C9" s="215"/>
      <c r="D9" s="216"/>
      <c r="E9" s="219"/>
      <c r="F9" s="227">
        <v>11</v>
      </c>
      <c r="G9" s="231" t="s">
        <v>12</v>
      </c>
      <c r="H9" s="232" t="s">
        <v>434</v>
      </c>
      <c r="I9" s="749"/>
      <c r="J9" s="213" t="str">
        <f>+'30'!J9</f>
        <v>T 12 VP OW</v>
      </c>
      <c r="K9" s="238"/>
      <c r="L9" s="238"/>
      <c r="M9" s="116">
        <f>+L9+'30'!M9+K9</f>
        <v>50578</v>
      </c>
      <c r="N9" s="431"/>
    </row>
    <row r="10" spans="1:30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712</v>
      </c>
      <c r="I10" s="749"/>
      <c r="J10" s="213" t="str">
        <f>+'30'!J10</f>
        <v>T 13 VP OW</v>
      </c>
      <c r="K10" s="238">
        <f>+C34</f>
        <v>40226</v>
      </c>
      <c r="L10" s="238"/>
      <c r="M10" s="116">
        <f>+L10+'30'!M10+K10</f>
        <v>435132</v>
      </c>
      <c r="N10" s="431"/>
    </row>
    <row r="11" spans="1:30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+'30'!J11</f>
        <v>T 15 VP OW</v>
      </c>
      <c r="K11" s="238"/>
      <c r="L11" s="238"/>
      <c r="M11" s="116">
        <f>+L11+'30'!M11+K11</f>
        <v>79299</v>
      </c>
      <c r="N11" s="431"/>
    </row>
    <row r="12" spans="1:30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+'30'!J12</f>
        <v>F 12 VP OW</v>
      </c>
      <c r="K12" s="238"/>
      <c r="L12" s="238"/>
      <c r="M12" s="116">
        <f>+L12+'30'!M12+K12</f>
        <v>119753</v>
      </c>
      <c r="N12" s="431"/>
    </row>
    <row r="13" spans="1:30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+'30'!J13</f>
        <v>F 13 VP OW</v>
      </c>
      <c r="K13" s="238"/>
      <c r="L13" s="238"/>
      <c r="M13" s="116">
        <f>+L13+'30'!M13+K13</f>
        <v>32376</v>
      </c>
      <c r="N13" s="432"/>
      <c r="O13" s="433"/>
      <c r="P13" s="433"/>
      <c r="Q13" s="433"/>
      <c r="R13" s="433"/>
      <c r="S13" s="433"/>
      <c r="T13" s="433"/>
      <c r="U13" s="433"/>
      <c r="V13" s="433"/>
      <c r="W13" s="433"/>
    </row>
    <row r="14" spans="1:30" ht="13.5" thickBot="1">
      <c r="A14" s="747"/>
      <c r="B14" s="164" t="s">
        <v>2</v>
      </c>
      <c r="C14" s="98">
        <f>SUM(C7:C13)</f>
        <v>12790</v>
      </c>
      <c r="D14" s="110">
        <f>SUM(D7:D13)</f>
        <v>260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 t="str">
        <f>+'30'!J14</f>
        <v>F 11,5 VP OW</v>
      </c>
      <c r="K14" s="238"/>
      <c r="L14" s="238"/>
      <c r="M14" s="116">
        <f>+L14+'30'!M14+K14</f>
        <v>53445</v>
      </c>
      <c r="AB14" s="175">
        <f>SUM(AB6:AB11)</f>
        <v>480</v>
      </c>
      <c r="AC14" s="175">
        <f>SUM(AC6:AC11)</f>
        <v>566400</v>
      </c>
      <c r="AD14" s="175">
        <f>SUM(AD6:AD11)</f>
        <v>430464</v>
      </c>
    </row>
    <row r="15" spans="1:30" ht="13.5" customHeight="1" thickBot="1">
      <c r="A15" s="745" t="s">
        <v>387</v>
      </c>
      <c r="B15" s="164"/>
      <c r="C15" s="112">
        <f>C14/($C$23+$D$23+$E$23)</f>
        <v>0.94023377196206714</v>
      </c>
      <c r="D15" s="113">
        <f>D14/($C$23+$D$23+$E$23)</f>
        <v>1.9113430860839522E-2</v>
      </c>
      <c r="E15" s="114">
        <f>E14/($C$23+$D$23+$E$23)</f>
        <v>0</v>
      </c>
      <c r="F15" s="227">
        <v>6</v>
      </c>
      <c r="G15" s="228" t="s">
        <v>12</v>
      </c>
      <c r="H15" s="229" t="s">
        <v>423</v>
      </c>
      <c r="I15" s="748" t="s">
        <v>714</v>
      </c>
      <c r="J15" s="213" t="str">
        <f>+'30'!J15</f>
        <v>T 14 VP OW</v>
      </c>
      <c r="K15" s="238"/>
      <c r="L15" s="238"/>
      <c r="M15" s="116">
        <f>+L15+'30'!M15+K15</f>
        <v>56807</v>
      </c>
      <c r="N15" s="423">
        <v>18</v>
      </c>
      <c r="O15" s="198">
        <v>1200</v>
      </c>
      <c r="P15" s="198">
        <v>850</v>
      </c>
      <c r="Q15" s="198">
        <v>680</v>
      </c>
      <c r="R15" s="424">
        <f>1-(Q15/P15)</f>
        <v>0.19999999999999996</v>
      </c>
      <c r="S15" s="425">
        <v>480</v>
      </c>
      <c r="T15" s="426">
        <v>256.5</v>
      </c>
      <c r="U15" s="427">
        <f>(O15*(1-R15)*N15*T15*S15)/100000000</f>
        <v>21.275136</v>
      </c>
      <c r="V15" s="428">
        <f>+C23/1000</f>
        <v>13.603</v>
      </c>
      <c r="W15" s="429">
        <f>SUM(V15:V17)/SUM(U15:U17)</f>
        <v>0.6393848669169494</v>
      </c>
      <c r="AB15" s="148">
        <f>480-AB14</f>
        <v>0</v>
      </c>
      <c r="AC15" s="175">
        <f>+AC14/AB14</f>
        <v>1180</v>
      </c>
      <c r="AD15" s="175">
        <f>+AD14/AB14</f>
        <v>896.8</v>
      </c>
    </row>
    <row r="16" spans="1:30" ht="13.5" thickBot="1">
      <c r="A16" s="751"/>
      <c r="B16" s="214" t="s">
        <v>470</v>
      </c>
      <c r="C16" s="221">
        <v>13603</v>
      </c>
      <c r="D16" s="222"/>
      <c r="E16" s="223"/>
      <c r="F16" s="227"/>
      <c r="G16" s="231" t="s">
        <v>12</v>
      </c>
      <c r="H16" s="229" t="s">
        <v>284</v>
      </c>
      <c r="I16" s="749"/>
      <c r="J16" s="213" t="str">
        <f>+'30'!J16</f>
        <v>T 12,5 VP OW</v>
      </c>
      <c r="K16" s="228"/>
      <c r="L16" s="228"/>
      <c r="M16" s="116">
        <f>+L16+'30'!M16+K16</f>
        <v>75241</v>
      </c>
      <c r="N16" s="434"/>
      <c r="O16" s="198"/>
      <c r="P16" s="198"/>
      <c r="Q16" s="435"/>
      <c r="R16" s="424"/>
      <c r="S16" s="198"/>
      <c r="T16" s="426"/>
      <c r="U16" s="427"/>
      <c r="V16" s="428"/>
      <c r="W16" s="430"/>
    </row>
    <row r="17" spans="1:30" ht="13.5" thickBot="1">
      <c r="A17" s="751"/>
      <c r="B17" s="214"/>
      <c r="C17" s="215"/>
      <c r="D17" s="216"/>
      <c r="E17" s="224"/>
      <c r="F17" s="227">
        <v>16</v>
      </c>
      <c r="G17" s="231" t="s">
        <v>12</v>
      </c>
      <c r="H17" s="232" t="s">
        <v>406</v>
      </c>
      <c r="I17" s="749"/>
      <c r="J17" s="213">
        <f>+'30'!J17</f>
        <v>0</v>
      </c>
      <c r="K17" s="228"/>
      <c r="L17" s="228"/>
      <c r="M17" s="116">
        <f>+L17+'30'!M17+K17</f>
        <v>0</v>
      </c>
      <c r="N17" s="431"/>
      <c r="O17" s="198"/>
      <c r="R17" s="424"/>
      <c r="T17" s="426"/>
      <c r="U17" s="427"/>
      <c r="Y17" s="148" t="s">
        <v>457</v>
      </c>
      <c r="Z17" s="148">
        <v>1180</v>
      </c>
      <c r="AA17" s="148">
        <f>+Z17-(Z17*0.24)</f>
        <v>896.8</v>
      </c>
      <c r="AB17" s="148">
        <f>60+42</f>
        <v>102</v>
      </c>
      <c r="AC17" s="148">
        <f>+Z17*AB17</f>
        <v>120360</v>
      </c>
      <c r="AD17" s="148">
        <f>+AA17*AB17</f>
        <v>91473.599999999991</v>
      </c>
    </row>
    <row r="18" spans="1:30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710</v>
      </c>
      <c r="I18" s="749"/>
      <c r="J18" s="213">
        <f>+'30'!J18</f>
        <v>0</v>
      </c>
      <c r="K18" s="238"/>
      <c r="L18" s="238"/>
      <c r="M18" s="116">
        <f>+L18+'30'!M18+K18</f>
        <v>0</v>
      </c>
      <c r="N18" s="431"/>
      <c r="Z18" s="148">
        <v>1100</v>
      </c>
      <c r="AA18" s="148">
        <f>+Z18-(Z18*0.24)</f>
        <v>836</v>
      </c>
      <c r="AB18" s="148">
        <f>60-42+60+55</f>
        <v>133</v>
      </c>
      <c r="AC18" s="148">
        <f>+Z18*AB18</f>
        <v>146300</v>
      </c>
      <c r="AD18" s="148">
        <f>+AA18*AB18</f>
        <v>111188</v>
      </c>
    </row>
    <row r="19" spans="1:30" ht="64.5" thickBot="1">
      <c r="A19" s="751"/>
      <c r="B19" s="214"/>
      <c r="C19" s="215"/>
      <c r="D19" s="216"/>
      <c r="E19" s="224"/>
      <c r="F19" s="234"/>
      <c r="G19" s="231"/>
      <c r="H19" s="232" t="s">
        <v>711</v>
      </c>
      <c r="I19" s="749"/>
      <c r="J19" s="213">
        <f>+'30'!J19</f>
        <v>0</v>
      </c>
      <c r="K19" s="238"/>
      <c r="L19" s="238"/>
      <c r="M19" s="116">
        <f>+L19+'30'!M19+K19</f>
        <v>0</v>
      </c>
      <c r="N19" s="431"/>
      <c r="Z19" s="148">
        <v>1180</v>
      </c>
      <c r="AA19" s="148">
        <f>+Z19-(Z19*0.24)</f>
        <v>896.8</v>
      </c>
      <c r="AB19" s="148">
        <f>60-55+240</f>
        <v>245</v>
      </c>
      <c r="AC19" s="148">
        <f>+Z19*AB19</f>
        <v>289100</v>
      </c>
      <c r="AD19" s="148">
        <f>+AA19*AB19</f>
        <v>219716</v>
      </c>
    </row>
    <row r="20" spans="1:30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+'30'!J20</f>
        <v>0</v>
      </c>
      <c r="K20" s="239"/>
      <c r="L20" s="239"/>
      <c r="M20" s="116">
        <f>+L20+'30'!M20+K20</f>
        <v>0</v>
      </c>
      <c r="N20" s="431"/>
    </row>
    <row r="21" spans="1:30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+'30'!J21</f>
        <v>0</v>
      </c>
      <c r="K21" s="238"/>
      <c r="L21" s="238"/>
      <c r="M21" s="116">
        <f>+L21+'30'!M21+K21</f>
        <v>0</v>
      </c>
      <c r="N21" s="432"/>
      <c r="O21" s="433"/>
      <c r="P21" s="433"/>
      <c r="Q21" s="433"/>
      <c r="R21" s="433"/>
      <c r="S21" s="433"/>
      <c r="T21" s="433"/>
      <c r="U21" s="433"/>
      <c r="V21" s="433"/>
      <c r="W21" s="433"/>
    </row>
    <row r="22" spans="1:30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+'30'!J22</f>
        <v>0</v>
      </c>
      <c r="K22" s="238"/>
      <c r="L22" s="238"/>
      <c r="M22" s="116">
        <f>+L22+'30'!M22+K22</f>
        <v>0</v>
      </c>
    </row>
    <row r="23" spans="1:30" ht="13.5" thickBot="1">
      <c r="A23" s="752"/>
      <c r="B23" s="167" t="s">
        <v>2</v>
      </c>
      <c r="C23" s="99">
        <f>SUM(C16:C22)</f>
        <v>13603</v>
      </c>
      <c r="D23" s="110">
        <f>SUM(D16:D22)</f>
        <v>0</v>
      </c>
      <c r="E23" s="111">
        <f>SUM(E18:E22)</f>
        <v>0</v>
      </c>
      <c r="F23" s="115">
        <f>SUM(F15:F22)</f>
        <v>22</v>
      </c>
      <c r="G23" s="158"/>
      <c r="H23" s="165"/>
      <c r="I23" s="168"/>
      <c r="J23" s="213">
        <f>+'30'!J23</f>
        <v>0</v>
      </c>
      <c r="K23" s="238"/>
      <c r="L23" s="238"/>
      <c r="M23" s="116">
        <f>+L23+'30'!M23+K23</f>
        <v>0</v>
      </c>
      <c r="N23" s="436"/>
      <c r="O23" s="437"/>
      <c r="P23" s="437"/>
      <c r="Q23" s="437"/>
      <c r="R23" s="437"/>
      <c r="S23" s="437"/>
      <c r="T23" s="437"/>
      <c r="U23" s="437"/>
      <c r="V23" s="437"/>
      <c r="W23" s="437"/>
    </row>
    <row r="24" spans="1:30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35">
        <v>9</v>
      </c>
      <c r="G24" s="228" t="s">
        <v>12</v>
      </c>
      <c r="H24" s="229" t="s">
        <v>423</v>
      </c>
      <c r="I24" s="748" t="s">
        <v>666</v>
      </c>
      <c r="J24" s="213">
        <f>+'30'!J24</f>
        <v>0</v>
      </c>
      <c r="K24" s="238"/>
      <c r="L24" s="238"/>
      <c r="M24" s="116">
        <f>+L24+'30'!M24+K24</f>
        <v>0</v>
      </c>
      <c r="N24" s="423">
        <v>18</v>
      </c>
      <c r="O24" s="198">
        <v>1200</v>
      </c>
      <c r="P24" s="198">
        <v>770</v>
      </c>
      <c r="Q24" s="198">
        <v>616</v>
      </c>
      <c r="R24" s="424">
        <f>1-(Q24/P24)</f>
        <v>0.19999999999999996</v>
      </c>
      <c r="S24" s="425">
        <v>480</v>
      </c>
      <c r="T24" s="426">
        <v>256.5</v>
      </c>
      <c r="U24" s="427">
        <f>(O24*(1-R24)*N24*T24*S24)/100000000</f>
        <v>21.275136</v>
      </c>
      <c r="V24" s="428">
        <f>+C32/1000</f>
        <v>13.833</v>
      </c>
      <c r="W24" s="429">
        <f>SUM(V24:V25)/SUM(U24:U25)</f>
        <v>0.65019560862031622</v>
      </c>
    </row>
    <row r="25" spans="1:30" ht="13.5" thickBot="1">
      <c r="A25" s="751"/>
      <c r="B25" s="214" t="s">
        <v>470</v>
      </c>
      <c r="C25" s="225">
        <v>13833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+'30'!J25</f>
        <v>0</v>
      </c>
      <c r="K25" s="238"/>
      <c r="L25" s="238"/>
      <c r="M25" s="116">
        <f>+L25+'30'!M25+K25</f>
        <v>0</v>
      </c>
      <c r="N25" s="423"/>
      <c r="O25" s="198"/>
      <c r="P25" s="198"/>
      <c r="Q25" s="198"/>
      <c r="R25" s="424"/>
      <c r="S25" s="425"/>
      <c r="T25" s="426"/>
      <c r="U25" s="427"/>
      <c r="V25" s="428"/>
      <c r="W25" s="429"/>
      <c r="AB25" s="175">
        <f>SUM(AB17:AB22)</f>
        <v>480</v>
      </c>
      <c r="AC25" s="175">
        <f>SUM(AC17:AC22)</f>
        <v>555760</v>
      </c>
      <c r="AD25" s="175">
        <f>SUM(AD17:AD22)</f>
        <v>422377.6</v>
      </c>
    </row>
    <row r="26" spans="1:30" ht="13.5" thickBot="1">
      <c r="A26" s="751"/>
      <c r="B26" s="214"/>
      <c r="C26" s="225"/>
      <c r="D26" s="216"/>
      <c r="E26" s="226"/>
      <c r="F26" s="230">
        <f>24-9</f>
        <v>15</v>
      </c>
      <c r="G26" s="231" t="s">
        <v>12</v>
      </c>
      <c r="H26" s="232" t="s">
        <v>598</v>
      </c>
      <c r="I26" s="749"/>
      <c r="J26" s="213">
        <f>+'30'!J26</f>
        <v>0</v>
      </c>
      <c r="K26" s="238"/>
      <c r="L26" s="238"/>
      <c r="M26" s="116">
        <f>+L26+'30'!M26+K26</f>
        <v>0</v>
      </c>
      <c r="AB26" s="148">
        <f>480-AB25</f>
        <v>0</v>
      </c>
      <c r="AC26" s="175">
        <f>+AC25/AB25</f>
        <v>1157.8333333333333</v>
      </c>
      <c r="AD26" s="175">
        <f>+AD25/AB25</f>
        <v>879.95333333333326</v>
      </c>
    </row>
    <row r="27" spans="1:30" ht="26.25" thickBot="1">
      <c r="A27" s="751"/>
      <c r="B27" s="214"/>
      <c r="C27" s="215"/>
      <c r="D27" s="216"/>
      <c r="E27" s="224"/>
      <c r="F27" s="230"/>
      <c r="G27" s="236" t="s">
        <v>13</v>
      </c>
      <c r="H27" s="232" t="s">
        <v>664</v>
      </c>
      <c r="I27" s="749"/>
      <c r="J27" s="213">
        <f>+'30'!J27</f>
        <v>0</v>
      </c>
      <c r="K27" s="238"/>
      <c r="L27" s="238"/>
      <c r="M27" s="116">
        <f>+L27+'30'!M27+K27</f>
        <v>0</v>
      </c>
      <c r="Y27" s="148" t="s">
        <v>457</v>
      </c>
      <c r="Z27" s="148">
        <v>1180</v>
      </c>
      <c r="AA27" s="148">
        <f>+Z27-(Z27*0.24)</f>
        <v>896.8</v>
      </c>
      <c r="AB27" s="148">
        <v>480</v>
      </c>
      <c r="AC27" s="148">
        <f>+Z27*AB27</f>
        <v>566400</v>
      </c>
      <c r="AD27" s="148">
        <f>+AA27*AB27</f>
        <v>430464</v>
      </c>
    </row>
    <row r="28" spans="1:30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+'30'!J28</f>
        <v>0</v>
      </c>
      <c r="K28" s="238"/>
      <c r="L28" s="238"/>
      <c r="M28" s="116">
        <f>+L28+'30'!M28+K28</f>
        <v>0</v>
      </c>
    </row>
    <row r="29" spans="1:30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+'30'!J29</f>
        <v>0</v>
      </c>
      <c r="K29" s="238"/>
      <c r="L29" s="238"/>
      <c r="M29" s="116">
        <f>+L29+'30'!M29+K29</f>
        <v>0</v>
      </c>
    </row>
    <row r="30" spans="1:30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+'30'!J30</f>
        <v>0</v>
      </c>
      <c r="K30" s="238"/>
      <c r="L30" s="238"/>
      <c r="M30" s="116">
        <f>+L30+'30'!M30+K30</f>
        <v>0</v>
      </c>
      <c r="N30" s="154"/>
    </row>
    <row r="31" spans="1:30" ht="13.5" thickBot="1">
      <c r="A31" s="751"/>
      <c r="B31" s="214"/>
      <c r="C31" s="225"/>
      <c r="D31" s="216"/>
      <c r="E31" s="224"/>
      <c r="F31" s="235"/>
      <c r="G31" s="236"/>
      <c r="H31" s="233"/>
      <c r="I31" s="750"/>
      <c r="J31" s="213">
        <f>+'30'!J31</f>
        <v>0</v>
      </c>
      <c r="K31" s="238"/>
      <c r="L31" s="238"/>
      <c r="M31" s="116">
        <f>+L31+'30'!M31+K31</f>
        <v>0</v>
      </c>
    </row>
    <row r="32" spans="1:30" ht="13.5" thickBot="1">
      <c r="A32" s="752"/>
      <c r="B32" s="164" t="s">
        <v>2</v>
      </c>
      <c r="C32" s="98">
        <f>SUM(C25:C31)</f>
        <v>13833</v>
      </c>
      <c r="D32" s="99">
        <f>SUM(D25:D31)</f>
        <v>0</v>
      </c>
      <c r="E32" s="100">
        <f>SUM(E25:E31)</f>
        <v>0</v>
      </c>
      <c r="F32" s="101">
        <f>SUM(F24:F31)</f>
        <v>24</v>
      </c>
      <c r="G32" s="170"/>
      <c r="H32" s="171"/>
      <c r="I32" s="168"/>
      <c r="J32" s="213">
        <f>+'30'!J32</f>
        <v>0</v>
      </c>
      <c r="K32" s="240"/>
      <c r="L32" s="242"/>
      <c r="M32" s="116">
        <f>+L32+'30'!M32+K32</f>
        <v>0</v>
      </c>
    </row>
    <row r="33" spans="1:30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30" ht="13.5" thickBot="1">
      <c r="A34" s="753" t="s">
        <v>57</v>
      </c>
      <c r="B34" s="754"/>
      <c r="C34" s="106">
        <f>C14+C23+C32</f>
        <v>40226</v>
      </c>
      <c r="D34" s="106">
        <f>D14+D23+D32</f>
        <v>260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40226</v>
      </c>
      <c r="L34" s="211">
        <f>SUM(L7:L32)</f>
        <v>0</v>
      </c>
      <c r="M34" s="119">
        <f>SUM(M7:M32)</f>
        <v>1188897</v>
      </c>
      <c r="N34" s="154"/>
    </row>
    <row r="35" spans="1:30" ht="13.5" thickBot="1">
      <c r="A35" s="178"/>
      <c r="B35" s="179"/>
      <c r="C35" s="103">
        <f>C34/($C$34+$D$34+$E$34)</f>
        <v>0.9935780269722867</v>
      </c>
      <c r="D35" s="103">
        <f>D34/($C$34+$D$34+$E$34)</f>
        <v>6.421973027713284E-3</v>
      </c>
      <c r="E35" s="108">
        <f>E34/($C$34+$D$34+$E$34)</f>
        <v>0</v>
      </c>
      <c r="K35" s="154"/>
      <c r="AB35" s="175">
        <f>SUM(AB27:AB32)</f>
        <v>480</v>
      </c>
      <c r="AC35" s="175">
        <f>SUM(AC27:AC32)</f>
        <v>566400</v>
      </c>
      <c r="AD35" s="175">
        <f>SUM(AD27:AD32)</f>
        <v>430464</v>
      </c>
    </row>
    <row r="36" spans="1:30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AB36" s="148">
        <f>480-AB35</f>
        <v>0</v>
      </c>
      <c r="AC36" s="175">
        <f>+AC35/AB35</f>
        <v>1180</v>
      </c>
      <c r="AD36" s="175">
        <f>+AD35/AB35</f>
        <v>896.8</v>
      </c>
    </row>
    <row r="37" spans="1:30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45.711345472000005</v>
      </c>
      <c r="J37" s="124">
        <f>+I37+'30'!J37</f>
        <v>1378.6318333186668</v>
      </c>
      <c r="K37" s="125" t="s">
        <v>63</v>
      </c>
    </row>
    <row r="38" spans="1:30" ht="17.45" customHeight="1">
      <c r="A38" s="757" t="s">
        <v>12</v>
      </c>
      <c r="B38" s="758"/>
      <c r="C38" s="163">
        <f>SUMIF($G$7:$G$31,"Process",$F$7:$F$31)</f>
        <v>65</v>
      </c>
      <c r="D38" s="117">
        <f>+C38+'30'!D38</f>
        <v>2083</v>
      </c>
      <c r="E38" s="142">
        <f t="shared" ref="E38:E51" si="0">D38/60</f>
        <v>34.716666666666669</v>
      </c>
      <c r="F38" s="321">
        <v>1180</v>
      </c>
      <c r="G38" s="321">
        <v>896.8</v>
      </c>
      <c r="H38" s="186" t="s">
        <v>64</v>
      </c>
      <c r="I38" s="244">
        <f>13.255+13.802+14.405</f>
        <v>41.462000000000003</v>
      </c>
      <c r="J38" s="126">
        <f>+I38+'30'!J38</f>
        <v>1233.3839999999998</v>
      </c>
      <c r="K38" s="127" t="s">
        <v>63</v>
      </c>
    </row>
    <row r="39" spans="1:30" ht="17.45" customHeight="1">
      <c r="A39" s="759" t="s">
        <v>13</v>
      </c>
      <c r="B39" s="760"/>
      <c r="C39" s="163">
        <f>SUMIF($G$7:$G$31,"Cleaning",$F$7:$F$31)</f>
        <v>0</v>
      </c>
      <c r="D39" s="117">
        <f>+C39+'30'!D39</f>
        <v>0</v>
      </c>
      <c r="E39" s="142">
        <f t="shared" si="0"/>
        <v>0</v>
      </c>
      <c r="F39" s="321">
        <v>1157.8333333333333</v>
      </c>
      <c r="G39" s="321">
        <v>879.95333333333326</v>
      </c>
      <c r="H39" s="186" t="s">
        <v>65</v>
      </c>
      <c r="I39" s="141"/>
      <c r="J39" s="128">
        <f>J37/G4</f>
        <v>44.471994623182802</v>
      </c>
      <c r="K39" s="129" t="s">
        <v>63</v>
      </c>
    </row>
    <row r="40" spans="1:30" ht="17.45" customHeight="1">
      <c r="A40" s="759" t="s">
        <v>66</v>
      </c>
      <c r="B40" s="760"/>
      <c r="C40" s="163">
        <f>SUMIF($G$7:$G$31,"Mechanical",$F$7:$F$31)</f>
        <v>0</v>
      </c>
      <c r="D40" s="117">
        <f>+C40+'30'!D40</f>
        <v>481</v>
      </c>
      <c r="E40" s="142">
        <f t="shared" si="0"/>
        <v>8.0166666666666675</v>
      </c>
      <c r="F40" s="321">
        <v>1180</v>
      </c>
      <c r="G40" s="321">
        <v>896.8</v>
      </c>
      <c r="H40" s="186" t="s">
        <v>67</v>
      </c>
      <c r="I40" s="117">
        <f>(K34+L34)/1000</f>
        <v>40.225999999999999</v>
      </c>
      <c r="J40" s="130">
        <f>+I40+'30'!J40</f>
        <v>1188.8969999999999</v>
      </c>
      <c r="K40" s="129" t="s">
        <v>63</v>
      </c>
    </row>
    <row r="41" spans="1:30" ht="17.45" customHeight="1">
      <c r="A41" s="759" t="s">
        <v>68</v>
      </c>
      <c r="B41" s="760"/>
      <c r="C41" s="163">
        <f>SUMIF($G$7:$G$31,"Electrical",$F$7:$F$31)</f>
        <v>0</v>
      </c>
      <c r="D41" s="117">
        <f>+C41+'30'!D41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38.351516129032255</v>
      </c>
      <c r="K41" s="129" t="s">
        <v>63</v>
      </c>
    </row>
    <row r="42" spans="1:30" ht="17.45" customHeight="1">
      <c r="A42" s="759" t="s">
        <v>16</v>
      </c>
      <c r="B42" s="760"/>
      <c r="C42" s="163">
        <f>SUMIF($G$7:$G$31,"Instrument",$F$7:$F$31)</f>
        <v>0</v>
      </c>
      <c r="D42" s="117">
        <f>+C42+'30'!D42</f>
        <v>0</v>
      </c>
      <c r="E42" s="142">
        <f t="shared" si="0"/>
        <v>0</v>
      </c>
      <c r="F42" s="321">
        <f>+(480*F38+480*F39+480*F40)/1440</f>
        <v>1172.6111111111111</v>
      </c>
      <c r="G42" s="321">
        <f>+(480*G38+480*G39+480*G40)/1440</f>
        <v>891.18444444444447</v>
      </c>
      <c r="H42" s="186" t="s">
        <v>70</v>
      </c>
      <c r="I42" s="245" t="s">
        <v>713</v>
      </c>
      <c r="J42" s="131"/>
      <c r="K42" s="129" t="s">
        <v>71</v>
      </c>
    </row>
    <row r="43" spans="1:30" ht="17.45" customHeight="1">
      <c r="A43" s="759" t="s">
        <v>72</v>
      </c>
      <c r="B43" s="760"/>
      <c r="C43" s="163">
        <f>SUMIF($G$7:$G$31,"Water",$F$7:$F$31)</f>
        <v>0</v>
      </c>
      <c r="D43" s="117">
        <f>+C43+'30'!D43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+Report1!Z39</f>
        <v>50.5</v>
      </c>
      <c r="J43" s="132">
        <f>+I43+'30'!J43</f>
        <v>1587.7</v>
      </c>
      <c r="K43" s="129" t="s">
        <v>63</v>
      </c>
      <c r="L43" s="188"/>
    </row>
    <row r="44" spans="1:30" ht="17.45" customHeight="1">
      <c r="A44" s="759" t="s">
        <v>17</v>
      </c>
      <c r="B44" s="760"/>
      <c r="C44" s="163">
        <f>SUMIF($G$7:$G$31,"PLN",$F$7:$F$31)</f>
        <v>0</v>
      </c>
      <c r="D44" s="117">
        <f>+C44+'30'!D44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1.217982731175534</v>
      </c>
      <c r="J44" s="133">
        <f>J43/J38</f>
        <v>1.2872714418218498</v>
      </c>
      <c r="K44" s="129" t="s">
        <v>63</v>
      </c>
    </row>
    <row r="45" spans="1:30" ht="17.45" customHeight="1">
      <c r="A45" s="759" t="s">
        <v>18</v>
      </c>
      <c r="B45" s="760"/>
      <c r="C45" s="163">
        <f>SUMIF($G$7:$G$31,"Boiler",$F$7:$F$31)</f>
        <v>0</v>
      </c>
      <c r="D45" s="117">
        <f>+C45+'30'!D45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1.2554069507283847</v>
      </c>
      <c r="J45" s="133">
        <f>J43/J40</f>
        <v>1.3354394871885455</v>
      </c>
      <c r="K45" s="129" t="s">
        <v>63</v>
      </c>
    </row>
    <row r="46" spans="1:30" ht="17.45" customHeight="1">
      <c r="A46" s="759" t="s">
        <v>76</v>
      </c>
      <c r="B46" s="760"/>
      <c r="C46" s="163">
        <f>SUMIF($G$7:$G$31,"Gas",$F$7:$F$31)</f>
        <v>0</v>
      </c>
      <c r="D46" s="117">
        <f>+C46+'30'!D46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+SUMIF(Listrik!P38,"&gt;0")</f>
        <v>39258.71999999891</v>
      </c>
      <c r="J46" s="134">
        <f>+I46+'30'!J46</f>
        <v>1176462.0999999989</v>
      </c>
      <c r="K46" s="129" t="s">
        <v>78</v>
      </c>
    </row>
    <row r="47" spans="1:30" ht="17.45" customHeight="1">
      <c r="A47" s="759" t="s">
        <v>79</v>
      </c>
      <c r="B47" s="760"/>
      <c r="C47" s="163">
        <f>SUMIF($G$7:$G$31,"Gas",$F$7:$F$31)</f>
        <v>0</v>
      </c>
      <c r="D47" s="117">
        <f>+C47+'30'!D47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946.86025758523238</v>
      </c>
      <c r="J47" s="134">
        <f>J46/J38</f>
        <v>953.84900404091434</v>
      </c>
      <c r="K47" s="129" t="s">
        <v>24</v>
      </c>
    </row>
    <row r="48" spans="1:30" ht="17.45" customHeight="1">
      <c r="A48" s="759" t="s">
        <v>14</v>
      </c>
      <c r="B48" s="760"/>
      <c r="C48" s="163">
        <f>SUMIF($G$7:$G$31,"Start Up",$F$7:$F$31)</f>
        <v>0</v>
      </c>
      <c r="D48" s="117">
        <f>+C48+'30'!D48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975.9538606870907</v>
      </c>
      <c r="J48" s="134">
        <f>J46/J40</f>
        <v>989.54080967484902</v>
      </c>
      <c r="K48" s="129" t="s">
        <v>24</v>
      </c>
    </row>
    <row r="49" spans="1:23" ht="17.45" customHeight="1">
      <c r="A49" s="759" t="s">
        <v>20</v>
      </c>
      <c r="B49" s="760"/>
      <c r="C49" s="163">
        <f>SUMIF($G$7:$G$31,"Others",$F$7:$F$31)</f>
        <v>0</v>
      </c>
      <c r="D49" s="117">
        <f>+C49+'30'!D49</f>
        <v>0</v>
      </c>
      <c r="E49" s="142">
        <f t="shared" si="0"/>
        <v>0</v>
      </c>
      <c r="F49" s="184"/>
      <c r="H49" s="187" t="s">
        <v>269</v>
      </c>
      <c r="I49" s="117">
        <f>+Report1!T39</f>
        <v>5268.2338691918076</v>
      </c>
      <c r="J49" s="134">
        <f>+I49+'30'!J49</f>
        <v>150448.88612111413</v>
      </c>
      <c r="K49" s="129" t="s">
        <v>82</v>
      </c>
    </row>
    <row r="50" spans="1:23" ht="17.45" customHeight="1">
      <c r="A50" s="759" t="s">
        <v>19</v>
      </c>
      <c r="B50" s="760"/>
      <c r="C50" s="163">
        <f>SUMIF($G$7:$G$31,"Steam",$F$7:$F$31)</f>
        <v>0</v>
      </c>
      <c r="D50" s="117">
        <f>+C50+'30'!D50</f>
        <v>0</v>
      </c>
      <c r="E50" s="142">
        <f t="shared" si="0"/>
        <v>0</v>
      </c>
      <c r="F50" s="184"/>
      <c r="H50" s="187" t="s">
        <v>83</v>
      </c>
      <c r="I50" s="139">
        <f>I49/I38</f>
        <v>127.06174012811266</v>
      </c>
      <c r="J50" s="132">
        <f>J49/J38</f>
        <v>121.98057224766509</v>
      </c>
      <c r="K50" s="129" t="s">
        <v>82</v>
      </c>
    </row>
    <row r="51" spans="1:23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+C51+'30'!D51</f>
        <v>0</v>
      </c>
      <c r="E51" s="142">
        <f t="shared" si="0"/>
        <v>0</v>
      </c>
      <c r="F51" s="184"/>
      <c r="H51" s="189" t="s">
        <v>85</v>
      </c>
      <c r="I51" s="140">
        <f>I49/I40</f>
        <v>130.96588945437796</v>
      </c>
      <c r="J51" s="135">
        <f>J49/J40</f>
        <v>126.54492872058231</v>
      </c>
      <c r="K51" s="136" t="s">
        <v>82</v>
      </c>
    </row>
    <row r="52" spans="1:23" ht="13.5" thickBot="1">
      <c r="A52" s="757" t="s">
        <v>28</v>
      </c>
      <c r="B52" s="758"/>
      <c r="C52" s="143">
        <f>SUM(C38:C51)</f>
        <v>65</v>
      </c>
      <c r="D52" s="143">
        <f>SUM(D38:D51)</f>
        <v>2804</v>
      </c>
      <c r="E52" s="144">
        <f>SUM(E38:E51)</f>
        <v>46.733333333333334</v>
      </c>
      <c r="F52" s="184"/>
      <c r="H52" s="190"/>
      <c r="I52" s="191"/>
      <c r="J52" s="137"/>
      <c r="K52" s="138"/>
    </row>
    <row r="53" spans="1:23" ht="13.5" thickBot="1">
      <c r="A53" s="763"/>
      <c r="B53" s="764"/>
      <c r="C53" s="145">
        <f>C52/(24*60)</f>
        <v>4.5138888888888888E-2</v>
      </c>
      <c r="D53" s="145">
        <f>D52/(24*60*G4)</f>
        <v>6.2813620071684589E-2</v>
      </c>
      <c r="E53" s="146">
        <f>E52/(G4*24)</f>
        <v>6.2813620071684589E-2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+D34+'30'!J56</f>
        <v>4775</v>
      </c>
      <c r="K56" s="200">
        <f>J56/(J40+J56/1000)/1000</f>
        <v>4.000261378335087E-3</v>
      </c>
    </row>
    <row r="57" spans="1:23">
      <c r="A57" s="175"/>
      <c r="I57" s="198" t="s">
        <v>88</v>
      </c>
      <c r="J57" s="199">
        <f>+E34+'30'!J57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AC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7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29" ht="15.75">
      <c r="A1" s="147"/>
    </row>
    <row r="2" spans="1:29" ht="15.75">
      <c r="A2" s="147" t="s">
        <v>183</v>
      </c>
    </row>
    <row r="3" spans="1:29" ht="15">
      <c r="A3" s="149"/>
    </row>
    <row r="4" spans="1:29" ht="20.25">
      <c r="A4" s="150" t="s">
        <v>3</v>
      </c>
      <c r="B4" s="151"/>
      <c r="F4" s="152" t="s">
        <v>29</v>
      </c>
      <c r="G4" s="153">
        <v>30</v>
      </c>
      <c r="H4" s="153" t="str">
        <f>+'1'!H4</f>
        <v>.12.25</v>
      </c>
    </row>
    <row r="5" spans="1:29" ht="13.5" thickBot="1">
      <c r="C5" s="154"/>
      <c r="D5" s="154"/>
    </row>
    <row r="6" spans="1:2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1" t="s">
        <v>190</v>
      </c>
      <c r="P6" s="421" t="s">
        <v>190</v>
      </c>
      <c r="Q6" s="421" t="s">
        <v>191</v>
      </c>
      <c r="R6" s="421" t="s">
        <v>192</v>
      </c>
      <c r="S6" s="421" t="s">
        <v>193</v>
      </c>
      <c r="T6" s="421" t="s">
        <v>188</v>
      </c>
      <c r="U6" s="422" t="s">
        <v>194</v>
      </c>
      <c r="V6" s="421" t="s">
        <v>195</v>
      </c>
      <c r="W6" s="421" t="s">
        <v>189</v>
      </c>
      <c r="X6" s="148" t="s">
        <v>457</v>
      </c>
      <c r="Y6" s="148">
        <v>1180</v>
      </c>
      <c r="Z6" s="148">
        <f>+Y6-(Y6*0.24)</f>
        <v>896.8</v>
      </c>
      <c r="AA6" s="148">
        <v>480</v>
      </c>
      <c r="AB6" s="148">
        <f>+Y6*AA6</f>
        <v>566400</v>
      </c>
      <c r="AC6" s="148">
        <f>+Z6*AA6</f>
        <v>430464</v>
      </c>
    </row>
    <row r="7" spans="1:29" ht="13.5" customHeight="1" thickBot="1">
      <c r="A7" s="745" t="s">
        <v>388</v>
      </c>
      <c r="B7" s="214" t="s">
        <v>470</v>
      </c>
      <c r="C7" s="215">
        <v>12548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666</v>
      </c>
      <c r="J7" s="213" t="str">
        <f>+'29'!J7</f>
        <v>F 14 VP OW</v>
      </c>
      <c r="K7" s="237"/>
      <c r="L7" s="241"/>
      <c r="M7" s="116">
        <f>+K7+'29'!M7+L7</f>
        <v>190720</v>
      </c>
      <c r="N7" s="423">
        <v>14.5</v>
      </c>
      <c r="O7" s="198">
        <v>1200</v>
      </c>
      <c r="P7" s="198">
        <v>1120</v>
      </c>
      <c r="Q7" s="198">
        <v>896</v>
      </c>
      <c r="R7" s="424">
        <f>1-(Q7/P7)</f>
        <v>0.19999999999999996</v>
      </c>
      <c r="S7" s="425">
        <v>45</v>
      </c>
      <c r="T7" s="426">
        <v>256.5</v>
      </c>
      <c r="U7" s="427">
        <f>(O7*(1-R7)*N7*T7*S7)/100000000</f>
        <v>1.606716</v>
      </c>
      <c r="V7" s="428">
        <f>+C14/1000</f>
        <v>13.311999999999999</v>
      </c>
      <c r="W7" s="429">
        <f>SUM(V7:V9)/SUM(U7:U9)</f>
        <v>0.63732482903014598</v>
      </c>
      <c r="Y7" s="148">
        <v>1180</v>
      </c>
      <c r="Z7" s="148">
        <f>+Y7-(Y7*0.24)</f>
        <v>896.8</v>
      </c>
      <c r="AA7" s="148">
        <v>480</v>
      </c>
      <c r="AB7" s="148">
        <f>+Y7*AA7</f>
        <v>566400</v>
      </c>
      <c r="AC7" s="148">
        <f>+Z7*AA7</f>
        <v>430464</v>
      </c>
    </row>
    <row r="8" spans="1:29" ht="13.5" thickBot="1">
      <c r="A8" s="746"/>
      <c r="B8" s="214" t="s">
        <v>654</v>
      </c>
      <c r="C8" s="215">
        <v>764</v>
      </c>
      <c r="D8" s="216"/>
      <c r="E8" s="218"/>
      <c r="F8" s="230"/>
      <c r="G8" s="231" t="s">
        <v>12</v>
      </c>
      <c r="H8" s="229" t="s">
        <v>284</v>
      </c>
      <c r="I8" s="749"/>
      <c r="J8" s="213" t="str">
        <f>+'29'!J8</f>
        <v>F 15 VP OW</v>
      </c>
      <c r="K8" s="238"/>
      <c r="L8" s="238"/>
      <c r="M8" s="116">
        <f>+K8+'29'!M8+L8</f>
        <v>95546</v>
      </c>
      <c r="N8" s="423">
        <v>18</v>
      </c>
      <c r="O8" s="198">
        <v>1200</v>
      </c>
      <c r="P8" s="198">
        <v>930</v>
      </c>
      <c r="Q8" s="198">
        <v>744</v>
      </c>
      <c r="R8" s="424">
        <f>1-(Q8/P8)</f>
        <v>0.19999999999999996</v>
      </c>
      <c r="S8" s="425">
        <f>480-S7</f>
        <v>435</v>
      </c>
      <c r="T8" s="426">
        <v>256.5</v>
      </c>
      <c r="U8" s="427">
        <f>(O8*(1-R8)*N8*T8*S8)/100000000</f>
        <v>19.280591999999999</v>
      </c>
      <c r="V8" s="428"/>
      <c r="W8" s="430"/>
      <c r="Y8" s="148">
        <v>1180</v>
      </c>
      <c r="Z8" s="148">
        <f>+Y8-(Y8*0.24)</f>
        <v>896.8</v>
      </c>
      <c r="AA8" s="148">
        <v>480</v>
      </c>
      <c r="AB8" s="148">
        <f>+Y8*AA8</f>
        <v>566400</v>
      </c>
      <c r="AC8" s="148">
        <f>+Z8*AA8</f>
        <v>430464</v>
      </c>
    </row>
    <row r="9" spans="1:29" ht="13.5" thickBot="1">
      <c r="A9" s="746"/>
      <c r="B9" s="214"/>
      <c r="C9" s="215"/>
      <c r="D9" s="216"/>
      <c r="E9" s="219"/>
      <c r="F9" s="227">
        <f>23-9</f>
        <v>14</v>
      </c>
      <c r="G9" s="231" t="s">
        <v>12</v>
      </c>
      <c r="H9" s="232" t="s">
        <v>598</v>
      </c>
      <c r="I9" s="749"/>
      <c r="J9" s="213" t="str">
        <f>+'29'!J9</f>
        <v>T 12 VP OW</v>
      </c>
      <c r="K9" s="238"/>
      <c r="L9" s="238"/>
      <c r="M9" s="116">
        <f>+K9+'29'!M9+L9</f>
        <v>50578</v>
      </c>
      <c r="N9" s="431"/>
    </row>
    <row r="10" spans="1:2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663</v>
      </c>
      <c r="I10" s="749"/>
      <c r="J10" s="213" t="str">
        <f>+'29'!J10</f>
        <v>T 13 VP OW</v>
      </c>
      <c r="K10" s="238">
        <f>+C7+C16+C25</f>
        <v>38385</v>
      </c>
      <c r="L10" s="238"/>
      <c r="M10" s="116">
        <f>+K10+'29'!M10+L10</f>
        <v>394906</v>
      </c>
      <c r="N10" s="431"/>
    </row>
    <row r="11" spans="1:29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+'29'!J11</f>
        <v>T 15 VP OW</v>
      </c>
      <c r="K11" s="238"/>
      <c r="L11" s="238"/>
      <c r="M11" s="116">
        <f>+K11+'29'!M11+L11</f>
        <v>79299</v>
      </c>
      <c r="N11" s="431"/>
    </row>
    <row r="12" spans="1:2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+'29'!J12</f>
        <v>F 12 VP OW</v>
      </c>
      <c r="K12" s="238"/>
      <c r="L12" s="238"/>
      <c r="M12" s="116">
        <f>+K12+'29'!M12+L12</f>
        <v>119753</v>
      </c>
      <c r="N12" s="431"/>
    </row>
    <row r="13" spans="1:2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+'29'!J13</f>
        <v>F 13 VP OW</v>
      </c>
      <c r="K13" s="238"/>
      <c r="L13" s="238"/>
      <c r="M13" s="116">
        <f>+K13+'29'!M13+L13</f>
        <v>32376</v>
      </c>
      <c r="N13" s="432"/>
      <c r="O13" s="433"/>
      <c r="P13" s="433"/>
      <c r="Q13" s="433"/>
      <c r="R13" s="433"/>
      <c r="S13" s="433"/>
      <c r="T13" s="433"/>
      <c r="U13" s="433"/>
      <c r="V13" s="433"/>
      <c r="W13" s="433"/>
    </row>
    <row r="14" spans="1:29" ht="13.5" thickBot="1">
      <c r="A14" s="747"/>
      <c r="B14" s="164" t="s">
        <v>2</v>
      </c>
      <c r="C14" s="98">
        <f>SUM(C7:C13)</f>
        <v>13312</v>
      </c>
      <c r="D14" s="110">
        <f>SUM(D7:D13)</f>
        <v>0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 t="str">
        <f>+'29'!J14</f>
        <v>F 11,5 VP OW</v>
      </c>
      <c r="K14" s="238"/>
      <c r="L14" s="238"/>
      <c r="M14" s="116">
        <f>+K14+'29'!M14+L14</f>
        <v>53445</v>
      </c>
      <c r="AA14" s="175">
        <f>SUM(AA6:AA11)</f>
        <v>1440</v>
      </c>
      <c r="AB14" s="175">
        <f>SUM(AB6:AB11)</f>
        <v>1699200</v>
      </c>
      <c r="AC14" s="175">
        <f>SUM(AC6:AC11)</f>
        <v>1291392</v>
      </c>
    </row>
    <row r="15" spans="1:29" ht="13.5" customHeight="1" thickBot="1">
      <c r="A15" s="745" t="s">
        <v>387</v>
      </c>
      <c r="B15" s="164"/>
      <c r="C15" s="112">
        <f>C14/($C$23+$D$23+$E$23)</f>
        <v>0.99663098001048145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666</v>
      </c>
      <c r="J15" s="213" t="str">
        <f>+'29'!J15</f>
        <v>T 14 VP OW</v>
      </c>
      <c r="K15" s="238"/>
      <c r="L15" s="238"/>
      <c r="M15" s="116">
        <f>+K15+'29'!M15+L15</f>
        <v>56807</v>
      </c>
      <c r="N15" s="423">
        <v>18</v>
      </c>
      <c r="O15" s="198">
        <v>1200</v>
      </c>
      <c r="P15" s="198">
        <v>850</v>
      </c>
      <c r="Q15" s="198">
        <v>680</v>
      </c>
      <c r="R15" s="424">
        <f>1-(Q15/P15)</f>
        <v>0.19999999999999996</v>
      </c>
      <c r="S15" s="425">
        <v>480</v>
      </c>
      <c r="T15" s="426">
        <v>256.5</v>
      </c>
      <c r="U15" s="427">
        <f>(O15*(1-R15)*N15*T15*S15)/100000000</f>
        <v>21.275136</v>
      </c>
      <c r="V15" s="428">
        <f>+C23/1000</f>
        <v>13.356999999999999</v>
      </c>
      <c r="W15" s="429">
        <f>SUM(V15:V17)/SUM(U15:U17)</f>
        <v>0.62782207361682663</v>
      </c>
      <c r="AA15" s="148">
        <f>480-AA14</f>
        <v>-960</v>
      </c>
      <c r="AB15" s="175">
        <f>+AB14/AA14</f>
        <v>1180</v>
      </c>
      <c r="AC15" s="175">
        <f>+AC14/AA14</f>
        <v>896.8</v>
      </c>
    </row>
    <row r="16" spans="1:29" ht="13.5" thickBot="1">
      <c r="A16" s="751"/>
      <c r="B16" s="220" t="s">
        <v>470</v>
      </c>
      <c r="C16" s="221">
        <v>13357</v>
      </c>
      <c r="D16" s="222"/>
      <c r="E16" s="223"/>
      <c r="F16" s="227"/>
      <c r="G16" s="231" t="s">
        <v>12</v>
      </c>
      <c r="H16" s="229" t="s">
        <v>284</v>
      </c>
      <c r="I16" s="749"/>
      <c r="J16" s="213" t="str">
        <f>+'29'!J16</f>
        <v>T 12,5 VP OW</v>
      </c>
      <c r="K16" s="228">
        <f>+C8</f>
        <v>764</v>
      </c>
      <c r="L16" s="228"/>
      <c r="M16" s="116">
        <f>+K16+'29'!M16+L16</f>
        <v>75241</v>
      </c>
      <c r="N16" s="434"/>
      <c r="O16" s="198"/>
      <c r="P16" s="198"/>
      <c r="Q16" s="435"/>
      <c r="R16" s="424"/>
      <c r="S16" s="198"/>
      <c r="T16" s="426"/>
      <c r="U16" s="427"/>
      <c r="V16" s="428"/>
      <c r="W16" s="430"/>
    </row>
    <row r="17" spans="1:23" ht="13.5" thickBot="1">
      <c r="A17" s="751"/>
      <c r="B17" s="214"/>
      <c r="C17" s="215"/>
      <c r="D17" s="216"/>
      <c r="E17" s="224"/>
      <c r="F17" s="227">
        <v>11</v>
      </c>
      <c r="G17" s="231" t="s">
        <v>12</v>
      </c>
      <c r="H17" s="232" t="s">
        <v>406</v>
      </c>
      <c r="I17" s="749"/>
      <c r="J17" s="213">
        <f>+'29'!J17</f>
        <v>0</v>
      </c>
      <c r="K17" s="228"/>
      <c r="L17" s="228"/>
      <c r="M17" s="116">
        <f>+K17+'29'!M17+L17</f>
        <v>0</v>
      </c>
      <c r="N17" s="431"/>
      <c r="O17" s="198"/>
      <c r="R17" s="424"/>
      <c r="T17" s="426"/>
      <c r="U17" s="427"/>
    </row>
    <row r="18" spans="1:23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665</v>
      </c>
      <c r="I18" s="749"/>
      <c r="J18" s="213">
        <f>+'29'!J18</f>
        <v>0</v>
      </c>
      <c r="K18" s="238"/>
      <c r="L18" s="238"/>
      <c r="M18" s="116">
        <f>+K18+'29'!M18+L18</f>
        <v>0</v>
      </c>
      <c r="N18" s="431"/>
    </row>
    <row r="19" spans="1:2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+'29'!J19</f>
        <v>0</v>
      </c>
      <c r="K19" s="238"/>
      <c r="L19" s="238"/>
      <c r="M19" s="116">
        <f>+K19+'29'!M19+L19</f>
        <v>0</v>
      </c>
      <c r="N19" s="431"/>
    </row>
    <row r="20" spans="1:2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+'29'!J20</f>
        <v>0</v>
      </c>
      <c r="K20" s="239"/>
      <c r="L20" s="239"/>
      <c r="M20" s="116">
        <f>+K20+'29'!M20+L20</f>
        <v>0</v>
      </c>
      <c r="N20" s="431"/>
    </row>
    <row r="21" spans="1:2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+'29'!J21</f>
        <v>0</v>
      </c>
      <c r="K21" s="238"/>
      <c r="L21" s="238"/>
      <c r="M21" s="116">
        <f>+K21+'29'!M21+L21</f>
        <v>0</v>
      </c>
      <c r="N21" s="432"/>
      <c r="O21" s="433"/>
      <c r="P21" s="433"/>
      <c r="Q21" s="433"/>
      <c r="R21" s="433"/>
      <c r="S21" s="433"/>
      <c r="T21" s="433"/>
      <c r="U21" s="433"/>
      <c r="V21" s="433"/>
      <c r="W21" s="433"/>
    </row>
    <row r="22" spans="1:2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+'29'!J22</f>
        <v>0</v>
      </c>
      <c r="K22" s="238"/>
      <c r="L22" s="238"/>
      <c r="M22" s="116">
        <f>+K22+'29'!M22+L22</f>
        <v>0</v>
      </c>
    </row>
    <row r="23" spans="1:23" ht="13.5" thickBot="1">
      <c r="A23" s="752"/>
      <c r="B23" s="167" t="s">
        <v>2</v>
      </c>
      <c r="C23" s="99">
        <f>SUM(C16:C22)</f>
        <v>13357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+'29'!J23</f>
        <v>0</v>
      </c>
      <c r="K23" s="238"/>
      <c r="L23" s="238"/>
      <c r="M23" s="116">
        <f>+K23+'29'!M23+L23</f>
        <v>0</v>
      </c>
      <c r="N23" s="436"/>
      <c r="O23" s="437"/>
      <c r="P23" s="437"/>
      <c r="Q23" s="437"/>
      <c r="R23" s="437"/>
      <c r="S23" s="437"/>
      <c r="T23" s="437"/>
      <c r="U23" s="437"/>
      <c r="V23" s="437"/>
      <c r="W23" s="437"/>
    </row>
    <row r="24" spans="1:23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35">
        <v>9</v>
      </c>
      <c r="G24" s="228" t="s">
        <v>12</v>
      </c>
      <c r="H24" s="229" t="s">
        <v>423</v>
      </c>
      <c r="I24" s="748" t="s">
        <v>666</v>
      </c>
      <c r="J24" s="213">
        <f>+'29'!J24</f>
        <v>0</v>
      </c>
      <c r="K24" s="238"/>
      <c r="L24" s="238"/>
      <c r="M24" s="116">
        <f>+K24+'29'!M24+L24</f>
        <v>0</v>
      </c>
      <c r="N24" s="423">
        <v>18</v>
      </c>
      <c r="O24" s="198">
        <v>1200</v>
      </c>
      <c r="P24" s="198">
        <v>770</v>
      </c>
      <c r="Q24" s="198">
        <v>616</v>
      </c>
      <c r="R24" s="424">
        <f>1-(Q24/P24)</f>
        <v>0.19999999999999996</v>
      </c>
      <c r="S24" s="425">
        <v>480</v>
      </c>
      <c r="T24" s="426">
        <v>256.5</v>
      </c>
      <c r="U24" s="427">
        <f>(O24*(1-R24)*N24*T24*S24)/100000000</f>
        <v>21.275136</v>
      </c>
      <c r="V24" s="428">
        <f>+C32/1000</f>
        <v>12.48</v>
      </c>
      <c r="W24" s="429">
        <f>SUM(V24:V25)/SUM(U24:U25)</f>
        <v>0.58660024546964118</v>
      </c>
    </row>
    <row r="25" spans="1:23" ht="13.5" thickBot="1">
      <c r="A25" s="751"/>
      <c r="B25" s="214" t="s">
        <v>470</v>
      </c>
      <c r="C25" s="225">
        <v>12480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+'29'!J25</f>
        <v>0</v>
      </c>
      <c r="K25" s="238"/>
      <c r="L25" s="238"/>
      <c r="M25" s="116">
        <f>+K25+'29'!M25+L25</f>
        <v>0</v>
      </c>
      <c r="N25" s="423"/>
      <c r="O25" s="198"/>
      <c r="P25" s="198"/>
      <c r="Q25" s="198"/>
      <c r="R25" s="424"/>
      <c r="S25" s="425"/>
      <c r="T25" s="426"/>
      <c r="U25" s="427"/>
      <c r="V25" s="428"/>
      <c r="W25" s="429"/>
    </row>
    <row r="26" spans="1:23" ht="13.5" thickBot="1">
      <c r="A26" s="751"/>
      <c r="B26" s="214"/>
      <c r="C26" s="225"/>
      <c r="D26" s="216"/>
      <c r="E26" s="226"/>
      <c r="F26" s="230">
        <v>20</v>
      </c>
      <c r="G26" s="231" t="s">
        <v>12</v>
      </c>
      <c r="H26" s="232" t="s">
        <v>598</v>
      </c>
      <c r="I26" s="749"/>
      <c r="J26" s="213">
        <f>+'29'!J26</f>
        <v>0</v>
      </c>
      <c r="K26" s="238"/>
      <c r="L26" s="238"/>
      <c r="M26" s="116">
        <f>+K26+'29'!M26+L26</f>
        <v>0</v>
      </c>
    </row>
    <row r="27" spans="1:23" ht="26.25" thickBot="1">
      <c r="A27" s="751"/>
      <c r="B27" s="214"/>
      <c r="C27" s="215"/>
      <c r="D27" s="216"/>
      <c r="E27" s="224"/>
      <c r="F27" s="230"/>
      <c r="G27" s="236" t="s">
        <v>13</v>
      </c>
      <c r="H27" s="232" t="s">
        <v>664</v>
      </c>
      <c r="I27" s="749"/>
      <c r="J27" s="213">
        <f>+'29'!J27</f>
        <v>0</v>
      </c>
      <c r="K27" s="238"/>
      <c r="L27" s="238"/>
      <c r="M27" s="116">
        <f>+K27+'29'!M27+L27</f>
        <v>0</v>
      </c>
    </row>
    <row r="28" spans="1:23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+'29'!J28</f>
        <v>0</v>
      </c>
      <c r="K28" s="238"/>
      <c r="L28" s="238"/>
      <c r="M28" s="116">
        <f>+K28+'29'!M28+L28</f>
        <v>0</v>
      </c>
    </row>
    <row r="29" spans="1:2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+'29'!J29</f>
        <v>0</v>
      </c>
      <c r="K29" s="238"/>
      <c r="L29" s="238"/>
      <c r="M29" s="116">
        <f>+K29+'29'!M29+L29</f>
        <v>0</v>
      </c>
    </row>
    <row r="30" spans="1:2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+'29'!J30</f>
        <v>0</v>
      </c>
      <c r="K30" s="238"/>
      <c r="L30" s="238"/>
      <c r="M30" s="116">
        <f>+K30+'29'!M30+L30</f>
        <v>0</v>
      </c>
      <c r="N30" s="154"/>
    </row>
    <row r="31" spans="1:23" ht="13.5" thickBot="1">
      <c r="A31" s="751"/>
      <c r="B31" s="214"/>
      <c r="C31" s="225"/>
      <c r="D31" s="216"/>
      <c r="E31" s="224"/>
      <c r="F31" s="235"/>
      <c r="G31" s="236"/>
      <c r="H31" s="233"/>
      <c r="I31" s="750"/>
      <c r="J31" s="213">
        <f>+'29'!J31</f>
        <v>0</v>
      </c>
      <c r="K31" s="238"/>
      <c r="L31" s="238"/>
      <c r="M31" s="116">
        <f>+K31+'29'!M31+L31</f>
        <v>0</v>
      </c>
    </row>
    <row r="32" spans="1:23" ht="13.5" thickBot="1">
      <c r="A32" s="752"/>
      <c r="B32" s="164" t="s">
        <v>2</v>
      </c>
      <c r="C32" s="98">
        <f>SUM(C25:C31)</f>
        <v>12480</v>
      </c>
      <c r="D32" s="99">
        <f>SUM(D25:D31)</f>
        <v>0</v>
      </c>
      <c r="E32" s="100">
        <f>SUM(E25:E31)</f>
        <v>0</v>
      </c>
      <c r="F32" s="101">
        <f>SUM(F24:F31)</f>
        <v>29</v>
      </c>
      <c r="G32" s="170"/>
      <c r="H32" s="171"/>
      <c r="I32" s="168"/>
      <c r="J32" s="213">
        <f>+'29'!J32</f>
        <v>0</v>
      </c>
      <c r="K32" s="240"/>
      <c r="L32" s="242"/>
      <c r="M32" s="116">
        <f>+K32+'29'!M32+L32</f>
        <v>0</v>
      </c>
    </row>
    <row r="33" spans="1:14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4" ht="13.5" thickBot="1">
      <c r="A34" s="753" t="s">
        <v>57</v>
      </c>
      <c r="B34" s="754"/>
      <c r="C34" s="106">
        <f>C14+C23+C32</f>
        <v>39149</v>
      </c>
      <c r="D34" s="106">
        <f>D14+D23+D32</f>
        <v>0</v>
      </c>
      <c r="E34" s="106">
        <f>E14+E23+E32</f>
        <v>0</v>
      </c>
      <c r="F34" s="107">
        <f>F14+F23+F32</f>
        <v>72</v>
      </c>
      <c r="H34" s="177"/>
      <c r="I34" s="177"/>
      <c r="J34" s="122" t="s">
        <v>28</v>
      </c>
      <c r="K34" s="123">
        <f>SUM(K7:K32)</f>
        <v>39149</v>
      </c>
      <c r="L34" s="211">
        <f>SUM(L7:L32)</f>
        <v>0</v>
      </c>
      <c r="M34" s="119">
        <f>SUM(M7:M32)</f>
        <v>1148671</v>
      </c>
      <c r="N34" s="154"/>
    </row>
    <row r="35" spans="1:14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4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45.999383040000005</v>
      </c>
      <c r="J37" s="124">
        <f>+I37+'29'!J37</f>
        <v>1332.9204878466669</v>
      </c>
      <c r="K37" s="125" t="s">
        <v>63</v>
      </c>
    </row>
    <row r="38" spans="1:14" ht="17.45" customHeight="1">
      <c r="A38" s="757" t="s">
        <v>12</v>
      </c>
      <c r="B38" s="758"/>
      <c r="C38" s="163">
        <f>SUMIF($G$7:$G$31,"Process",$F$7:$F$31)</f>
        <v>72</v>
      </c>
      <c r="D38" s="117">
        <f>+C38+'29'!D38</f>
        <v>2018</v>
      </c>
      <c r="E38" s="142">
        <f t="shared" ref="E38:E51" si="0">D38/60</f>
        <v>33.633333333333333</v>
      </c>
      <c r="F38" s="321">
        <v>1180</v>
      </c>
      <c r="G38" s="321">
        <v>896.8</v>
      </c>
      <c r="H38" s="186" t="s">
        <v>64</v>
      </c>
      <c r="I38" s="244">
        <f>14.137+13.067+14.617</f>
        <v>41.820999999999998</v>
      </c>
      <c r="J38" s="126">
        <f>+I38+'29'!J38</f>
        <v>1191.9219999999998</v>
      </c>
      <c r="K38" s="127" t="s">
        <v>63</v>
      </c>
    </row>
    <row r="39" spans="1:14" ht="17.45" customHeight="1">
      <c r="A39" s="759" t="s">
        <v>13</v>
      </c>
      <c r="B39" s="760"/>
      <c r="C39" s="163">
        <f>SUMIF($G$7:$G$31,"Cleaning",$F$7:$F$31)</f>
        <v>0</v>
      </c>
      <c r="D39" s="117">
        <f>+C39+'29'!D39</f>
        <v>0</v>
      </c>
      <c r="E39" s="142">
        <f t="shared" si="0"/>
        <v>0</v>
      </c>
      <c r="F39" s="321">
        <v>1180</v>
      </c>
      <c r="G39" s="321">
        <v>896.8</v>
      </c>
      <c r="H39" s="186" t="s">
        <v>65</v>
      </c>
      <c r="I39" s="141"/>
      <c r="J39" s="128">
        <f>J37/G4</f>
        <v>44.430682928222232</v>
      </c>
      <c r="K39" s="129" t="s">
        <v>63</v>
      </c>
    </row>
    <row r="40" spans="1:14" ht="17.45" customHeight="1">
      <c r="A40" s="759" t="s">
        <v>66</v>
      </c>
      <c r="B40" s="760"/>
      <c r="C40" s="163">
        <f>SUMIF($G$7:$G$31,"Mechanical",$F$7:$F$31)</f>
        <v>0</v>
      </c>
      <c r="D40" s="117">
        <f>+C40+'29'!D40</f>
        <v>481</v>
      </c>
      <c r="E40" s="142">
        <f t="shared" si="0"/>
        <v>8.0166666666666675</v>
      </c>
      <c r="F40" s="321">
        <v>1180</v>
      </c>
      <c r="G40" s="321">
        <v>896.8</v>
      </c>
      <c r="H40" s="186" t="s">
        <v>67</v>
      </c>
      <c r="I40" s="117">
        <f>(K34+L34)/1000</f>
        <v>39.149000000000001</v>
      </c>
      <c r="J40" s="130">
        <f>+I40+'29'!J40</f>
        <v>1148.6709999999998</v>
      </c>
      <c r="K40" s="129" t="s">
        <v>63</v>
      </c>
    </row>
    <row r="41" spans="1:14" ht="17.45" customHeight="1">
      <c r="A41" s="759" t="s">
        <v>68</v>
      </c>
      <c r="B41" s="760"/>
      <c r="C41" s="163">
        <f>SUMIF($G$7:$G$31,"Electrical",$F$7:$F$31)</f>
        <v>0</v>
      </c>
      <c r="D41" s="117">
        <f>+C41+'29'!D41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38.289033333333329</v>
      </c>
      <c r="K41" s="129" t="s">
        <v>63</v>
      </c>
    </row>
    <row r="42" spans="1:14" ht="17.45" customHeight="1">
      <c r="A42" s="759" t="s">
        <v>16</v>
      </c>
      <c r="B42" s="760"/>
      <c r="C42" s="163">
        <f>SUMIF($G$7:$G$31,"Instrument",$F$7:$F$31)</f>
        <v>0</v>
      </c>
      <c r="D42" s="117">
        <f>+C42+'29'!D42</f>
        <v>0</v>
      </c>
      <c r="E42" s="142">
        <f t="shared" si="0"/>
        <v>0</v>
      </c>
      <c r="F42" s="321">
        <f>+(F38*480+F39*480+F40*480)/1440</f>
        <v>1180</v>
      </c>
      <c r="G42" s="321">
        <f>+(G38*480+G39*480+G40*480)/1440</f>
        <v>896.8</v>
      </c>
      <c r="H42" s="186" t="s">
        <v>70</v>
      </c>
      <c r="I42" s="245" t="s">
        <v>666</v>
      </c>
      <c r="J42" s="131"/>
      <c r="K42" s="129" t="s">
        <v>71</v>
      </c>
    </row>
    <row r="43" spans="1:14" ht="17.45" customHeight="1">
      <c r="A43" s="759" t="s">
        <v>72</v>
      </c>
      <c r="B43" s="760"/>
      <c r="C43" s="163">
        <f>SUMIF($G$7:$G$31,"Water",$F$7:$F$31)</f>
        <v>0</v>
      </c>
      <c r="D43" s="117">
        <f>+C43+'29'!D43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+Report1!Z38</f>
        <v>51.4</v>
      </c>
      <c r="J43" s="132">
        <f>+I43+'29'!J43</f>
        <v>1537.2</v>
      </c>
      <c r="K43" s="129" t="s">
        <v>63</v>
      </c>
      <c r="L43" s="188"/>
    </row>
    <row r="44" spans="1:14" ht="17.45" customHeight="1">
      <c r="A44" s="759" t="s">
        <v>17</v>
      </c>
      <c r="B44" s="760"/>
      <c r="C44" s="163">
        <f>SUMIF($G$7:$G$31,"PLN",$F$7:$F$31)</f>
        <v>0</v>
      </c>
      <c r="D44" s="117">
        <f>+C44+'29'!D44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1.2290476076612229</v>
      </c>
      <c r="J44" s="133">
        <f>J43/J38</f>
        <v>1.2896817073600457</v>
      </c>
      <c r="K44" s="129" t="s">
        <v>63</v>
      </c>
    </row>
    <row r="45" spans="1:14" ht="17.45" customHeight="1">
      <c r="A45" s="759" t="s">
        <v>18</v>
      </c>
      <c r="B45" s="760"/>
      <c r="C45" s="163">
        <f>SUMIF($G$7:$G$31,"Boiler",$F$7:$F$31)</f>
        <v>0</v>
      </c>
      <c r="D45" s="117">
        <f>+C45+'29'!D45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1.3129326419576488</v>
      </c>
      <c r="J45" s="133">
        <f>J43/J40</f>
        <v>1.3382421946754122</v>
      </c>
      <c r="K45" s="129" t="s">
        <v>63</v>
      </c>
    </row>
    <row r="46" spans="1:14" ht="17.45" customHeight="1">
      <c r="A46" s="759" t="s">
        <v>76</v>
      </c>
      <c r="B46" s="760"/>
      <c r="C46" s="163">
        <f>SUMIF($G$7:$G$31,"Gas",$F$7:$F$31)</f>
        <v>0</v>
      </c>
      <c r="D46" s="117">
        <f>+C46+'29'!D46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+SUMIF(Listrik!P37,"&gt;0")</f>
        <v>37989.000000001091</v>
      </c>
      <c r="J46" s="134">
        <f>+I46+'29'!J46</f>
        <v>1137203.3800000001</v>
      </c>
      <c r="K46" s="129" t="s">
        <v>78</v>
      </c>
    </row>
    <row r="47" spans="1:14" ht="17.45" customHeight="1">
      <c r="A47" s="759" t="s">
        <v>79</v>
      </c>
      <c r="B47" s="760"/>
      <c r="C47" s="163">
        <f>SUMIF($G$7:$G$31,"Gas",$F$7:$F$31)</f>
        <v>0</v>
      </c>
      <c r="D47" s="117">
        <f>+C47+'29'!D47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908.37139236271469</v>
      </c>
      <c r="J47" s="134">
        <f>J46/J38</f>
        <v>954.09211341010598</v>
      </c>
      <c r="K47" s="129" t="s">
        <v>24</v>
      </c>
    </row>
    <row r="48" spans="1:14" ht="17.45" customHeight="1">
      <c r="A48" s="759" t="s">
        <v>14</v>
      </c>
      <c r="B48" s="760"/>
      <c r="C48" s="163">
        <f>SUMIF($G$7:$G$31,"Start Up",$F$7:$F$31)</f>
        <v>0</v>
      </c>
      <c r="D48" s="117">
        <f>+C48+'29'!D48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970.36961352783192</v>
      </c>
      <c r="J48" s="134">
        <f>J46/J40</f>
        <v>990.0166192060218</v>
      </c>
      <c r="K48" s="129" t="s">
        <v>24</v>
      </c>
    </row>
    <row r="49" spans="1:23" ht="17.45" customHeight="1">
      <c r="A49" s="759" t="s">
        <v>20</v>
      </c>
      <c r="B49" s="760"/>
      <c r="C49" s="163">
        <f>SUMIF($G$7:$G$31,"Others",$F$7:$F$31)</f>
        <v>0</v>
      </c>
      <c r="D49" s="117">
        <f>+C49+'29'!D49</f>
        <v>0</v>
      </c>
      <c r="E49" s="142">
        <f t="shared" si="0"/>
        <v>0</v>
      </c>
      <c r="F49" s="184"/>
      <c r="H49" s="187" t="s">
        <v>269</v>
      </c>
      <c r="I49" s="117">
        <f>+Report1!T38</f>
        <v>5381.6546503577192</v>
      </c>
      <c r="J49" s="134">
        <f>+I49+'29'!J49</f>
        <v>145180.65225192232</v>
      </c>
      <c r="K49" s="129" t="s">
        <v>82</v>
      </c>
    </row>
    <row r="50" spans="1:23" ht="17.45" customHeight="1">
      <c r="A50" s="759" t="s">
        <v>19</v>
      </c>
      <c r="B50" s="760"/>
      <c r="C50" s="163">
        <f>SUMIF($G$7:$G$31,"Steam",$F$7:$F$31)</f>
        <v>0</v>
      </c>
      <c r="D50" s="117">
        <f>+C50+'29'!D50</f>
        <v>0</v>
      </c>
      <c r="E50" s="142">
        <f t="shared" si="0"/>
        <v>0</v>
      </c>
      <c r="F50" s="184"/>
      <c r="H50" s="187" t="s">
        <v>83</v>
      </c>
      <c r="I50" s="139">
        <f>I49/I38</f>
        <v>128.68306951908656</v>
      </c>
      <c r="J50" s="132">
        <f>J49/J38</f>
        <v>121.80381958880056</v>
      </c>
      <c r="K50" s="129" t="s">
        <v>82</v>
      </c>
    </row>
    <row r="51" spans="1:23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+C51+'29'!D51</f>
        <v>0</v>
      </c>
      <c r="E51" s="142">
        <f t="shared" si="0"/>
        <v>0</v>
      </c>
      <c r="F51" s="184"/>
      <c r="H51" s="189" t="s">
        <v>85</v>
      </c>
      <c r="I51" s="140">
        <f>I49/I40</f>
        <v>137.46595443964645</v>
      </c>
      <c r="J51" s="135">
        <f>J49/J40</f>
        <v>126.39010844003404</v>
      </c>
      <c r="K51" s="136" t="s">
        <v>82</v>
      </c>
    </row>
    <row r="52" spans="1:23" ht="13.5" thickBot="1">
      <c r="A52" s="757" t="s">
        <v>28</v>
      </c>
      <c r="B52" s="758"/>
      <c r="C52" s="143">
        <f>SUM(C38:C51)</f>
        <v>72</v>
      </c>
      <c r="D52" s="143">
        <f>SUM(D38:D51)</f>
        <v>2739</v>
      </c>
      <c r="E52" s="144">
        <f>SUM(E38:E51)</f>
        <v>45.65</v>
      </c>
      <c r="F52" s="184"/>
      <c r="H52" s="190"/>
      <c r="I52" s="191"/>
      <c r="J52" s="137"/>
      <c r="K52" s="138"/>
    </row>
    <row r="53" spans="1:23" ht="13.5" thickBot="1">
      <c r="A53" s="763"/>
      <c r="B53" s="764"/>
      <c r="C53" s="145">
        <f>C52/(24*60)</f>
        <v>0.05</v>
      </c>
      <c r="D53" s="145">
        <f>D52/(24*60*G4)</f>
        <v>6.340277777777778E-2</v>
      </c>
      <c r="E53" s="146">
        <f>E52/(G4*24)</f>
        <v>6.340277777777778E-2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+D34+'29'!J56</f>
        <v>4515</v>
      </c>
      <c r="K56" s="200">
        <f>J56/(J40+J56/1000)/1000</f>
        <v>3.9152400393345048E-3</v>
      </c>
    </row>
    <row r="57" spans="1:23">
      <c r="A57" s="175"/>
      <c r="I57" s="198" t="s">
        <v>88</v>
      </c>
      <c r="J57" s="199">
        <f>+E34+'29'!J57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I61"/>
  <sheetViews>
    <sheetView topLeftCell="F1" zoomScale="80" zoomScaleNormal="80" workbookViewId="0">
      <selection activeCell="I32" sqref="I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29" ht="15.75">
      <c r="A1" s="147"/>
    </row>
    <row r="2" spans="1:29" ht="15.75">
      <c r="A2" s="147" t="s">
        <v>183</v>
      </c>
    </row>
    <row r="3" spans="1:29" ht="15">
      <c r="A3" s="149"/>
    </row>
    <row r="4" spans="1:29" ht="20.25">
      <c r="A4" s="150" t="s">
        <v>3</v>
      </c>
      <c r="B4" s="151"/>
      <c r="F4" s="152" t="s">
        <v>29</v>
      </c>
      <c r="G4" s="153">
        <v>29</v>
      </c>
      <c r="H4" s="153" t="str">
        <f>+'1'!H4</f>
        <v>.12.25</v>
      </c>
    </row>
    <row r="5" spans="1:29" ht="13.5" thickBot="1">
      <c r="C5" s="154"/>
      <c r="D5" s="154"/>
    </row>
    <row r="6" spans="1:2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1" t="s">
        <v>190</v>
      </c>
      <c r="P6" s="421" t="s">
        <v>190</v>
      </c>
      <c r="Q6" s="421" t="s">
        <v>191</v>
      </c>
      <c r="R6" s="421" t="s">
        <v>192</v>
      </c>
      <c r="S6" s="421" t="s">
        <v>193</v>
      </c>
      <c r="T6" s="421" t="s">
        <v>188</v>
      </c>
      <c r="U6" s="422" t="s">
        <v>194</v>
      </c>
      <c r="V6" s="421" t="s">
        <v>195</v>
      </c>
      <c r="W6" s="421" t="s">
        <v>189</v>
      </c>
      <c r="X6" s="148" t="s">
        <v>649</v>
      </c>
      <c r="Y6" s="148">
        <v>1190</v>
      </c>
      <c r="Z6" s="148">
        <f>+Y6-(Y6*0.22)</f>
        <v>928.2</v>
      </c>
      <c r="AA6" s="148">
        <v>480</v>
      </c>
      <c r="AB6" s="148">
        <f>+Y6*AA6</f>
        <v>571200</v>
      </c>
      <c r="AC6" s="148">
        <f>+Z6*AA6</f>
        <v>445536</v>
      </c>
    </row>
    <row r="7" spans="1:29" ht="13.5" customHeight="1" thickBot="1">
      <c r="A7" s="745" t="s">
        <v>388</v>
      </c>
      <c r="B7" s="214" t="s">
        <v>654</v>
      </c>
      <c r="C7" s="215">
        <v>13405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650</v>
      </c>
      <c r="J7" s="213" t="str">
        <f>+'28'!J7</f>
        <v>F 14 VP OW</v>
      </c>
      <c r="K7" s="237"/>
      <c r="L7" s="241"/>
      <c r="M7" s="116">
        <f>+K7+'28'!M7+L7</f>
        <v>190720</v>
      </c>
      <c r="N7" s="423">
        <v>14.5</v>
      </c>
      <c r="O7" s="198">
        <v>1200</v>
      </c>
      <c r="P7" s="198">
        <v>1120</v>
      </c>
      <c r="Q7" s="198">
        <v>896</v>
      </c>
      <c r="R7" s="424">
        <f>1-(Q7/P7)</f>
        <v>0.19999999999999996</v>
      </c>
      <c r="S7" s="425">
        <v>45</v>
      </c>
      <c r="T7" s="426">
        <v>256.5</v>
      </c>
      <c r="U7" s="427">
        <f>(O7*(1-R7)*N7*T7*S7)/100000000</f>
        <v>1.606716</v>
      </c>
      <c r="V7" s="428">
        <f>+C14/1000</f>
        <v>13.404999999999999</v>
      </c>
      <c r="W7" s="429">
        <f>SUM(V7:V9)/SUM(U7:U9)</f>
        <v>0.64177729365603275</v>
      </c>
      <c r="Y7" s="148">
        <v>1190</v>
      </c>
      <c r="Z7" s="148">
        <f>+Y7-(Y7*0.22)</f>
        <v>928.2</v>
      </c>
      <c r="AA7" s="148">
        <v>480</v>
      </c>
      <c r="AB7" s="148">
        <f>+Y7*AA7</f>
        <v>571200</v>
      </c>
      <c r="AC7" s="148">
        <f>+Z7*AA7</f>
        <v>445536</v>
      </c>
    </row>
    <row r="8" spans="1:2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+'28'!J8</f>
        <v>F 15 VP OW</v>
      </c>
      <c r="K8" s="238"/>
      <c r="L8" s="238"/>
      <c r="M8" s="116">
        <f>+K8+'28'!M8+L8</f>
        <v>95546</v>
      </c>
      <c r="N8" s="423">
        <v>18</v>
      </c>
      <c r="O8" s="198">
        <v>1200</v>
      </c>
      <c r="P8" s="198">
        <v>930</v>
      </c>
      <c r="Q8" s="198">
        <v>744</v>
      </c>
      <c r="R8" s="424">
        <f>1-(Q8/P8)</f>
        <v>0.19999999999999996</v>
      </c>
      <c r="S8" s="425">
        <f>480-S7</f>
        <v>435</v>
      </c>
      <c r="T8" s="426">
        <v>256.5</v>
      </c>
      <c r="U8" s="427">
        <f>(O8*(1-R8)*N8*T8*S8)/100000000</f>
        <v>19.280591999999999</v>
      </c>
      <c r="V8" s="428"/>
      <c r="W8" s="430"/>
      <c r="Y8" s="148">
        <v>1190</v>
      </c>
      <c r="Z8" s="148">
        <f>+Y8-(Y8*0.22)</f>
        <v>928.2</v>
      </c>
      <c r="AA8" s="148">
        <f>60*6+27</f>
        <v>387</v>
      </c>
      <c r="AB8" s="148">
        <f>+Y8*AA8</f>
        <v>460530</v>
      </c>
      <c r="AC8" s="148">
        <f>+Z8*AA8</f>
        <v>359213.4</v>
      </c>
    </row>
    <row r="9" spans="1:29" ht="13.5" thickBot="1">
      <c r="A9" s="746"/>
      <c r="B9" s="214"/>
      <c r="C9" s="215"/>
      <c r="D9" s="216"/>
      <c r="E9" s="219"/>
      <c r="F9" s="227">
        <v>11</v>
      </c>
      <c r="G9" s="231" t="s">
        <v>12</v>
      </c>
      <c r="H9" s="232" t="s">
        <v>385</v>
      </c>
      <c r="I9" s="749"/>
      <c r="J9" s="213" t="str">
        <f>+'28'!J9</f>
        <v>T 12 VP OW</v>
      </c>
      <c r="K9" s="238"/>
      <c r="L9" s="238"/>
      <c r="M9" s="116">
        <f>+K9+'28'!M9+L9</f>
        <v>50578</v>
      </c>
      <c r="N9" s="431"/>
      <c r="X9" s="148" t="s">
        <v>457</v>
      </c>
      <c r="Y9" s="148">
        <v>1190</v>
      </c>
      <c r="Z9" s="148">
        <f>+Y9-(Y9*0.24)</f>
        <v>904.40000000000009</v>
      </c>
      <c r="AA9" s="148">
        <f>60-27+60</f>
        <v>93</v>
      </c>
      <c r="AB9" s="148">
        <f>+Y9*AA9</f>
        <v>110670</v>
      </c>
      <c r="AC9" s="148">
        <f>+Z9*AA9</f>
        <v>84109.200000000012</v>
      </c>
    </row>
    <row r="10" spans="1:2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655</v>
      </c>
      <c r="I10" s="749"/>
      <c r="J10" s="213" t="str">
        <f>+'28'!J10</f>
        <v>T 13 VP OW</v>
      </c>
      <c r="K10" s="238"/>
      <c r="L10" s="238"/>
      <c r="M10" s="116">
        <f>+K10+'28'!M10+L10</f>
        <v>356521</v>
      </c>
      <c r="N10" s="431"/>
    </row>
    <row r="11" spans="1:29" ht="13.5" thickBot="1">
      <c r="A11" s="746"/>
      <c r="B11" s="214"/>
      <c r="C11" s="215"/>
      <c r="D11" s="216"/>
      <c r="E11" s="218"/>
      <c r="F11" s="227"/>
      <c r="G11" s="231"/>
      <c r="H11" s="232" t="s">
        <v>656</v>
      </c>
      <c r="I11" s="749"/>
      <c r="J11" s="213" t="str">
        <f>+'28'!J11</f>
        <v>T 15 VP OW</v>
      </c>
      <c r="K11" s="238"/>
      <c r="L11" s="238"/>
      <c r="M11" s="116">
        <f>+K11+'28'!M11+L11</f>
        <v>79299</v>
      </c>
      <c r="N11" s="431"/>
    </row>
    <row r="12" spans="1:2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+'28'!J12</f>
        <v>F 12 VP OW</v>
      </c>
      <c r="K12" s="238"/>
      <c r="L12" s="238"/>
      <c r="M12" s="116">
        <f>+K12+'28'!M12+L12</f>
        <v>119753</v>
      </c>
      <c r="N12" s="431"/>
    </row>
    <row r="13" spans="1:2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+'28'!J13</f>
        <v>F 13 VP OW</v>
      </c>
      <c r="K13" s="238"/>
      <c r="L13" s="238"/>
      <c r="M13" s="116">
        <f>+K13+'28'!M13+L13</f>
        <v>32376</v>
      </c>
      <c r="N13" s="432"/>
      <c r="O13" s="433"/>
      <c r="P13" s="433"/>
      <c r="Q13" s="433"/>
      <c r="R13" s="433"/>
      <c r="S13" s="433"/>
      <c r="T13" s="433"/>
      <c r="U13" s="433"/>
      <c r="V13" s="433"/>
      <c r="W13" s="433"/>
    </row>
    <row r="14" spans="1:29" ht="13.5" thickBot="1">
      <c r="A14" s="747"/>
      <c r="B14" s="164" t="s">
        <v>2</v>
      </c>
      <c r="C14" s="98">
        <f>SUM(C7:C13)</f>
        <v>13405</v>
      </c>
      <c r="D14" s="110">
        <f>SUM(D7:D13)</f>
        <v>0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 t="str">
        <f>+'28'!J14</f>
        <v>F 11,5 VP OW</v>
      </c>
      <c r="K14" s="238"/>
      <c r="L14" s="238"/>
      <c r="M14" s="116">
        <f>+K14+'28'!M14+L14</f>
        <v>53445</v>
      </c>
      <c r="AA14" s="175">
        <f>SUM(AA6:AA11)</f>
        <v>1440</v>
      </c>
      <c r="AB14" s="175">
        <f>SUM(AB6:AB11)</f>
        <v>1713600</v>
      </c>
      <c r="AC14" s="175">
        <f>SUM(AC6:AC11)</f>
        <v>1334394.5999999999</v>
      </c>
    </row>
    <row r="15" spans="1:29" ht="13.5" customHeight="1" thickBot="1">
      <c r="A15" s="745" t="s">
        <v>387</v>
      </c>
      <c r="B15" s="164"/>
      <c r="C15" s="112">
        <f>C14/($C$23+$D$23+$E$23)</f>
        <v>0.90409388278141234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650</v>
      </c>
      <c r="J15" s="213" t="str">
        <f>+'28'!J15</f>
        <v>T 14 VP OW</v>
      </c>
      <c r="K15" s="238"/>
      <c r="L15" s="238"/>
      <c r="M15" s="116">
        <f>+K15+'28'!M15+L15</f>
        <v>56807</v>
      </c>
      <c r="N15" s="423">
        <v>18</v>
      </c>
      <c r="O15" s="198">
        <v>1200</v>
      </c>
      <c r="P15" s="198">
        <v>850</v>
      </c>
      <c r="Q15" s="198">
        <v>680</v>
      </c>
      <c r="R15" s="424">
        <f>1-(Q15/P15)</f>
        <v>0.19999999999999996</v>
      </c>
      <c r="S15" s="425">
        <v>480</v>
      </c>
      <c r="T15" s="426">
        <v>256.5</v>
      </c>
      <c r="U15" s="427">
        <f>(O15*(1-R15)*N15*T15*S15)/100000000</f>
        <v>21.275136</v>
      </c>
      <c r="V15" s="428">
        <f>+C23/1000</f>
        <v>14.827</v>
      </c>
      <c r="W15" s="429">
        <f>SUM(V15:V17)/SUM(U15:U17)</f>
        <v>0.69691681406877959</v>
      </c>
      <c r="AA15" s="148">
        <f>480-AA14</f>
        <v>-960</v>
      </c>
      <c r="AB15" s="175">
        <f>+AB14/AA14</f>
        <v>1190</v>
      </c>
      <c r="AC15" s="175">
        <f>+AC14/AA14</f>
        <v>926.66291666666655</v>
      </c>
    </row>
    <row r="16" spans="1:29" ht="13.5" thickBot="1">
      <c r="A16" s="751"/>
      <c r="B16" s="214" t="s">
        <v>654</v>
      </c>
      <c r="C16" s="221">
        <v>14827</v>
      </c>
      <c r="D16" s="222"/>
      <c r="E16" s="223"/>
      <c r="F16" s="230">
        <v>6</v>
      </c>
      <c r="G16" s="231" t="s">
        <v>12</v>
      </c>
      <c r="H16" s="229" t="s">
        <v>659</v>
      </c>
      <c r="I16" s="749"/>
      <c r="J16" s="213" t="str">
        <f>+'28'!J16</f>
        <v>T 12,5 VP OW</v>
      </c>
      <c r="K16" s="228">
        <f>+C34</f>
        <v>40776</v>
      </c>
      <c r="L16" s="228"/>
      <c r="M16" s="116">
        <f>+K16+'28'!M16+L16</f>
        <v>74477</v>
      </c>
      <c r="N16" s="434"/>
      <c r="O16" s="198"/>
      <c r="P16" s="198"/>
      <c r="Q16" s="435"/>
      <c r="R16" s="424"/>
      <c r="S16" s="198"/>
      <c r="T16" s="426"/>
      <c r="U16" s="427"/>
      <c r="V16" s="428"/>
      <c r="W16" s="430"/>
    </row>
    <row r="17" spans="1:35" ht="13.5" thickBot="1">
      <c r="A17" s="751"/>
      <c r="B17" s="214"/>
      <c r="C17" s="215"/>
      <c r="D17" s="216"/>
      <c r="E17" s="224"/>
      <c r="F17" s="227">
        <v>13</v>
      </c>
      <c r="G17" s="231" t="s">
        <v>12</v>
      </c>
      <c r="H17" s="232" t="s">
        <v>406</v>
      </c>
      <c r="I17" s="749"/>
      <c r="J17" s="213">
        <f>+'28'!J17</f>
        <v>0</v>
      </c>
      <c r="K17" s="228"/>
      <c r="L17" s="228"/>
      <c r="M17" s="116">
        <f>+K17+'28'!M17+L17</f>
        <v>0</v>
      </c>
      <c r="N17" s="431"/>
      <c r="O17" s="198"/>
      <c r="R17" s="424"/>
      <c r="T17" s="426"/>
      <c r="U17" s="427"/>
    </row>
    <row r="18" spans="1:35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657</v>
      </c>
      <c r="I18" s="749"/>
      <c r="J18" s="213">
        <f>+'28'!J18</f>
        <v>0</v>
      </c>
      <c r="K18" s="238"/>
      <c r="L18" s="238"/>
      <c r="M18" s="116">
        <f>+K18+'28'!M18+L18</f>
        <v>0</v>
      </c>
      <c r="N18" s="431"/>
    </row>
    <row r="19" spans="1:35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+'28'!J19</f>
        <v>0</v>
      </c>
      <c r="K19" s="238"/>
      <c r="L19" s="238"/>
      <c r="M19" s="116">
        <f>+K19+'28'!M19+L19</f>
        <v>0</v>
      </c>
      <c r="N19" s="431"/>
    </row>
    <row r="20" spans="1:35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+'28'!J20</f>
        <v>0</v>
      </c>
      <c r="K20" s="239"/>
      <c r="L20" s="239"/>
      <c r="M20" s="116">
        <f>+K20+'28'!M20+L20</f>
        <v>0</v>
      </c>
      <c r="N20" s="431"/>
    </row>
    <row r="21" spans="1:35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+'28'!J21</f>
        <v>0</v>
      </c>
      <c r="K21" s="238"/>
      <c r="L21" s="238"/>
      <c r="M21" s="116">
        <f>+K21+'28'!M21+L21</f>
        <v>0</v>
      </c>
      <c r="N21" s="432"/>
      <c r="O21" s="433"/>
      <c r="P21" s="433"/>
      <c r="Q21" s="433"/>
      <c r="R21" s="433"/>
      <c r="S21" s="433"/>
      <c r="T21" s="433"/>
      <c r="U21" s="433"/>
      <c r="V21" s="433"/>
      <c r="W21" s="433"/>
      <c r="AE21" s="148">
        <v>1190</v>
      </c>
      <c r="AF21" s="148">
        <v>928.2</v>
      </c>
      <c r="AG21" s="148">
        <v>387</v>
      </c>
      <c r="AH21" s="148">
        <f>+AE21*AG21</f>
        <v>460530</v>
      </c>
      <c r="AI21" s="148">
        <f>+AF21*AG21</f>
        <v>359213.4</v>
      </c>
    </row>
    <row r="22" spans="1:35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+'28'!J22</f>
        <v>0</v>
      </c>
      <c r="K22" s="238"/>
      <c r="L22" s="238"/>
      <c r="M22" s="116">
        <f>+K22+'28'!M22+L22</f>
        <v>0</v>
      </c>
      <c r="AD22" s="148" t="s">
        <v>457</v>
      </c>
      <c r="AE22" s="148">
        <v>1190</v>
      </c>
      <c r="AF22" s="148">
        <v>904.40000000000009</v>
      </c>
      <c r="AG22" s="148">
        <v>93</v>
      </c>
      <c r="AH22" s="148">
        <f>+AE22*AG22</f>
        <v>110670</v>
      </c>
      <c r="AI22" s="148">
        <f>+AF22*AG22</f>
        <v>84109.200000000012</v>
      </c>
    </row>
    <row r="23" spans="1:35" ht="13.5" thickBot="1">
      <c r="A23" s="752"/>
      <c r="B23" s="167" t="s">
        <v>2</v>
      </c>
      <c r="C23" s="99">
        <f>SUM(C16:C22)</f>
        <v>14827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+'28'!J23</f>
        <v>0</v>
      </c>
      <c r="K23" s="238"/>
      <c r="L23" s="238"/>
      <c r="M23" s="116">
        <f>+K23+'28'!M23+L23</f>
        <v>0</v>
      </c>
      <c r="N23" s="436"/>
      <c r="O23" s="437"/>
      <c r="P23" s="437"/>
      <c r="Q23" s="437"/>
      <c r="R23" s="437"/>
      <c r="S23" s="437"/>
      <c r="T23" s="437"/>
      <c r="U23" s="437"/>
      <c r="V23" s="437"/>
      <c r="W23" s="437"/>
    </row>
    <row r="24" spans="1:35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709</v>
      </c>
      <c r="J24" s="213">
        <f>+'28'!J24</f>
        <v>0</v>
      </c>
      <c r="K24" s="238"/>
      <c r="L24" s="238"/>
      <c r="M24" s="116">
        <f>+K24+'28'!M24+L24</f>
        <v>0</v>
      </c>
      <c r="N24" s="423">
        <v>18</v>
      </c>
      <c r="O24" s="198">
        <v>1200</v>
      </c>
      <c r="P24" s="198">
        <v>770</v>
      </c>
      <c r="Q24" s="198">
        <v>616</v>
      </c>
      <c r="R24" s="424">
        <f>1-(Q24/P24)</f>
        <v>0.19999999999999996</v>
      </c>
      <c r="S24" s="425">
        <v>480</v>
      </c>
      <c r="T24" s="426">
        <v>256.5</v>
      </c>
      <c r="U24" s="427">
        <f>(O24*(1-R24)*N24*T24*S24)/100000000</f>
        <v>21.275136</v>
      </c>
      <c r="V24" s="428">
        <f>+C32/1000</f>
        <v>12.544</v>
      </c>
      <c r="W24" s="429">
        <f>SUM(V24:V25)/SUM(U24:U25)</f>
        <v>0.58960845185666499</v>
      </c>
    </row>
    <row r="25" spans="1:35" ht="13.5" customHeight="1" thickBot="1">
      <c r="A25" s="751"/>
      <c r="B25" s="214" t="s">
        <v>654</v>
      </c>
      <c r="C25" s="225">
        <v>12544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+'28'!J25</f>
        <v>0</v>
      </c>
      <c r="K25" s="238"/>
      <c r="L25" s="238"/>
      <c r="M25" s="116">
        <f>+K25+'28'!M25+L25</f>
        <v>0</v>
      </c>
      <c r="N25" s="423"/>
      <c r="O25" s="198"/>
      <c r="P25" s="198"/>
      <c r="Q25" s="198"/>
      <c r="R25" s="424"/>
      <c r="S25" s="425"/>
      <c r="T25" s="426"/>
      <c r="U25" s="427"/>
      <c r="V25" s="428"/>
      <c r="W25" s="429"/>
    </row>
    <row r="26" spans="1:35" ht="13.5" customHeight="1" thickBot="1">
      <c r="A26" s="751"/>
      <c r="B26" s="214"/>
      <c r="C26" s="225"/>
      <c r="D26" s="216"/>
      <c r="E26" s="226"/>
      <c r="F26" s="227">
        <f>26-9</f>
        <v>17</v>
      </c>
      <c r="G26" s="231" t="s">
        <v>12</v>
      </c>
      <c r="H26" s="232" t="s">
        <v>598</v>
      </c>
      <c r="I26" s="749"/>
      <c r="J26" s="213">
        <f>+'28'!J26</f>
        <v>0</v>
      </c>
      <c r="K26" s="238"/>
      <c r="L26" s="238"/>
      <c r="M26" s="116">
        <f>+K26+'28'!M26+L26</f>
        <v>0</v>
      </c>
    </row>
    <row r="27" spans="1:35" ht="25.5" customHeight="1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641</v>
      </c>
      <c r="I27" s="749"/>
      <c r="J27" s="213">
        <f>+'28'!J27</f>
        <v>0</v>
      </c>
      <c r="K27" s="238"/>
      <c r="L27" s="238"/>
      <c r="M27" s="116">
        <f>+K27+'28'!M27+L27</f>
        <v>0</v>
      </c>
    </row>
    <row r="28" spans="1:35" ht="13.5" customHeight="1" thickBot="1">
      <c r="A28" s="751"/>
      <c r="B28" s="214"/>
      <c r="C28" s="215"/>
      <c r="D28" s="216"/>
      <c r="E28" s="224"/>
      <c r="F28" s="230"/>
      <c r="G28" s="231"/>
      <c r="H28" s="232" t="s">
        <v>658</v>
      </c>
      <c r="I28" s="749"/>
      <c r="J28" s="213">
        <f>+'28'!J28</f>
        <v>0</v>
      </c>
      <c r="K28" s="238"/>
      <c r="L28" s="238"/>
      <c r="M28" s="116">
        <f>+K28+'28'!M28+L28</f>
        <v>0</v>
      </c>
    </row>
    <row r="29" spans="1:35" ht="13.5" customHeight="1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+'28'!J29</f>
        <v>0</v>
      </c>
      <c r="K29" s="238"/>
      <c r="L29" s="238"/>
      <c r="M29" s="116">
        <f>+K29+'28'!M29+L29</f>
        <v>0</v>
      </c>
      <c r="AG29" s="175">
        <f>SUM(AG21:AG26)</f>
        <v>480</v>
      </c>
      <c r="AH29" s="175">
        <f>SUM(AH21:AH26)</f>
        <v>571200</v>
      </c>
      <c r="AI29" s="175">
        <f>SUM(AI21:AI26)</f>
        <v>443322.60000000003</v>
      </c>
    </row>
    <row r="30" spans="1:35" ht="13.5" customHeight="1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+'28'!J30</f>
        <v>0</v>
      </c>
      <c r="K30" s="238"/>
      <c r="L30" s="238"/>
      <c r="M30" s="116">
        <f>+K30+'28'!M30+L30</f>
        <v>0</v>
      </c>
      <c r="N30" s="154"/>
      <c r="AG30" s="148">
        <f>480-AG29</f>
        <v>0</v>
      </c>
      <c r="AH30" s="175">
        <f>+AH29/AG29</f>
        <v>1190</v>
      </c>
      <c r="AI30" s="175">
        <f>+AI29/AG29</f>
        <v>923.58875000000012</v>
      </c>
    </row>
    <row r="31" spans="1:35" ht="13.5" customHeight="1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+'28'!J31</f>
        <v>0</v>
      </c>
      <c r="K31" s="238"/>
      <c r="L31" s="238"/>
      <c r="M31" s="116">
        <f>+K31+'28'!M31+L31</f>
        <v>0</v>
      </c>
    </row>
    <row r="32" spans="1:35" ht="13.5" customHeight="1" thickBot="1">
      <c r="A32" s="752"/>
      <c r="B32" s="164" t="s">
        <v>2</v>
      </c>
      <c r="C32" s="98">
        <f>SUM(C25:C31)</f>
        <v>12544</v>
      </c>
      <c r="D32" s="99">
        <f>SUM(D25:D31)</f>
        <v>0</v>
      </c>
      <c r="E32" s="100">
        <f>SUM(E25:E31)</f>
        <v>0</v>
      </c>
      <c r="F32" s="101">
        <f>SUM(F24:F31)</f>
        <v>26</v>
      </c>
      <c r="G32" s="170"/>
      <c r="H32" s="171"/>
      <c r="I32" s="168"/>
      <c r="J32" s="213">
        <f>+'28'!J32</f>
        <v>0</v>
      </c>
      <c r="K32" s="240"/>
      <c r="L32" s="242"/>
      <c r="M32" s="116">
        <f>+K32+'28'!M32+L32</f>
        <v>0</v>
      </c>
      <c r="X32" s="148" t="s">
        <v>649</v>
      </c>
      <c r="Y32" s="148">
        <v>1190</v>
      </c>
      <c r="Z32" s="148">
        <v>928.2</v>
      </c>
      <c r="AA32" s="148">
        <f>480+480+387</f>
        <v>1347</v>
      </c>
    </row>
    <row r="33" spans="1:27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X33" s="148" t="s">
        <v>457</v>
      </c>
      <c r="Y33" s="148">
        <v>1190</v>
      </c>
      <c r="Z33" s="148">
        <v>904.40000000000009</v>
      </c>
      <c r="AA33" s="148">
        <v>93</v>
      </c>
    </row>
    <row r="34" spans="1:27" ht="13.5" thickBot="1">
      <c r="A34" s="753" t="s">
        <v>57</v>
      </c>
      <c r="B34" s="754"/>
      <c r="C34" s="106">
        <f>C14+C23+C32</f>
        <v>40776</v>
      </c>
      <c r="D34" s="106">
        <f>D14+D23+D32</f>
        <v>0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40776</v>
      </c>
      <c r="L34" s="211">
        <f>SUM(L7:L32)</f>
        <v>0</v>
      </c>
      <c r="M34" s="119">
        <f>SUM(M7:M32)</f>
        <v>1109522</v>
      </c>
      <c r="N34" s="154"/>
      <c r="AA34" s="148">
        <f>+AA32+AA33</f>
        <v>1440</v>
      </c>
    </row>
    <row r="35" spans="1:27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27" ht="13.5" thickBot="1">
      <c r="A36" s="177"/>
      <c r="B36" s="177"/>
      <c r="C36" s="154"/>
      <c r="D36" s="154"/>
      <c r="E36" s="154"/>
      <c r="G36" s="154"/>
      <c r="H36" s="180" t="s">
        <v>0</v>
      </c>
      <c r="I36" s="161" t="s">
        <v>37</v>
      </c>
      <c r="J36" s="161" t="s">
        <v>38</v>
      </c>
      <c r="K36" s="181"/>
      <c r="M36" s="148">
        <v>1109522</v>
      </c>
    </row>
    <row r="37" spans="1:27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(12.5*1347+93*13)/1440*G42*2.74*1440/1000000</f>
        <v>45.821081172212509</v>
      </c>
      <c r="J37" s="124">
        <f>+I37+'28'!J37</f>
        <v>1286.9211048066668</v>
      </c>
      <c r="K37" s="125" t="s">
        <v>63</v>
      </c>
      <c r="M37" s="588">
        <f>+M36-M34</f>
        <v>0</v>
      </c>
    </row>
    <row r="38" spans="1:27" ht="17.45" customHeight="1">
      <c r="A38" s="757" t="s">
        <v>12</v>
      </c>
      <c r="B38" s="758"/>
      <c r="C38" s="163">
        <f>SUMIF($G$7:$G$31,"Process",$F$7:$F$31)</f>
        <v>65</v>
      </c>
      <c r="D38" s="117">
        <f>+C38+'28'!D38</f>
        <v>1946</v>
      </c>
      <c r="E38" s="142">
        <f t="shared" ref="E38:E51" si="0">D38/60</f>
        <v>32.43333333333333</v>
      </c>
      <c r="F38" s="321">
        <v>1190</v>
      </c>
      <c r="G38" s="321">
        <v>928.2</v>
      </c>
      <c r="H38" s="186" t="s">
        <v>64</v>
      </c>
      <c r="I38" s="244">
        <f>14.069+13.653+13.458</f>
        <v>41.18</v>
      </c>
      <c r="J38" s="126">
        <f>+I38+'28'!J38</f>
        <v>1150.1009999999999</v>
      </c>
      <c r="K38" s="127" t="s">
        <v>63</v>
      </c>
    </row>
    <row r="39" spans="1:27" ht="17.45" customHeight="1">
      <c r="A39" s="759" t="s">
        <v>13</v>
      </c>
      <c r="B39" s="760"/>
      <c r="C39" s="163">
        <f>SUMIF($G$7:$G$31,"Cleaning",$F$7:$F$31)</f>
        <v>0</v>
      </c>
      <c r="D39" s="117">
        <f>+C39+'28'!D39</f>
        <v>0</v>
      </c>
      <c r="E39" s="142">
        <f t="shared" si="0"/>
        <v>0</v>
      </c>
      <c r="F39" s="321">
        <v>1190</v>
      </c>
      <c r="G39" s="321">
        <v>928.2</v>
      </c>
      <c r="H39" s="186" t="s">
        <v>65</v>
      </c>
      <c r="I39" s="141"/>
      <c r="J39" s="128">
        <f>J37/G4</f>
        <v>44.376589820919541</v>
      </c>
      <c r="K39" s="129" t="s">
        <v>63</v>
      </c>
    </row>
    <row r="40" spans="1:27" ht="17.45" customHeight="1">
      <c r="A40" s="759" t="s">
        <v>66</v>
      </c>
      <c r="B40" s="760"/>
      <c r="C40" s="163">
        <f>SUMIF($G$7:$G$31,"Mechanical",$F$7:$F$31)</f>
        <v>0</v>
      </c>
      <c r="D40" s="117">
        <f>+C40+'28'!D40</f>
        <v>481</v>
      </c>
      <c r="E40" s="142">
        <f t="shared" si="0"/>
        <v>8.0166666666666675</v>
      </c>
      <c r="F40" s="321">
        <v>1190</v>
      </c>
      <c r="G40" s="321">
        <v>923.58875000000012</v>
      </c>
      <c r="H40" s="186" t="s">
        <v>67</v>
      </c>
      <c r="I40" s="117">
        <f>(K34+L34)/1000</f>
        <v>40.776000000000003</v>
      </c>
      <c r="J40" s="130">
        <f>+I40+'28'!J40</f>
        <v>1109.5219999999999</v>
      </c>
      <c r="K40" s="129" t="s">
        <v>63</v>
      </c>
    </row>
    <row r="41" spans="1:27" ht="17.45" customHeight="1">
      <c r="A41" s="759" t="s">
        <v>68</v>
      </c>
      <c r="B41" s="760"/>
      <c r="C41" s="163">
        <f>SUMIF($G$7:$G$31,"Electrical",$F$7:$F$31)</f>
        <v>0</v>
      </c>
      <c r="D41" s="117">
        <f>+C41+'28'!D41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38.259379310344826</v>
      </c>
      <c r="K41" s="129" t="s">
        <v>63</v>
      </c>
    </row>
    <row r="42" spans="1:27" ht="17.45" customHeight="1">
      <c r="A42" s="759" t="s">
        <v>16</v>
      </c>
      <c r="B42" s="760"/>
      <c r="C42" s="163">
        <f>SUMIF($G$7:$G$31,"Instrument",$F$7:$F$31)</f>
        <v>0</v>
      </c>
      <c r="D42" s="117">
        <f>+C42+'28'!D42</f>
        <v>0</v>
      </c>
      <c r="E42" s="142">
        <f t="shared" si="0"/>
        <v>0</v>
      </c>
      <c r="F42" s="321">
        <f>+(480*F38+480*F39+480*F40)/1440</f>
        <v>1190</v>
      </c>
      <c r="G42" s="321">
        <f>+(480*G38+480*G39+480*G40)/1440</f>
        <v>926.66291666666677</v>
      </c>
      <c r="H42" s="186" t="s">
        <v>70</v>
      </c>
      <c r="I42" s="245" t="s">
        <v>650</v>
      </c>
      <c r="J42" s="131"/>
      <c r="K42" s="129" t="s">
        <v>71</v>
      </c>
    </row>
    <row r="43" spans="1:27" ht="17.45" customHeight="1">
      <c r="A43" s="759" t="s">
        <v>72</v>
      </c>
      <c r="B43" s="760"/>
      <c r="C43" s="163">
        <f>SUMIF($G$7:$G$31,"Water",$F$7:$F$31)</f>
        <v>0</v>
      </c>
      <c r="D43" s="117">
        <f>+C43+'28'!D43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+Report1!Z37</f>
        <v>52.9</v>
      </c>
      <c r="J43" s="132">
        <f>+I43+'28'!J43</f>
        <v>1485.8</v>
      </c>
      <c r="K43" s="129" t="s">
        <v>63</v>
      </c>
      <c r="L43" s="188"/>
    </row>
    <row r="44" spans="1:27" ht="17.45" customHeight="1">
      <c r="A44" s="759" t="s">
        <v>17</v>
      </c>
      <c r="B44" s="760"/>
      <c r="C44" s="163">
        <f>SUMIF($G$7:$G$31,"PLN",$F$7:$F$31)</f>
        <v>0</v>
      </c>
      <c r="D44" s="117">
        <f>+C44+'28'!D44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1.2846041767848471</v>
      </c>
      <c r="J44" s="133">
        <f>J43/J38</f>
        <v>1.2918865386605178</v>
      </c>
      <c r="K44" s="129" t="s">
        <v>63</v>
      </c>
    </row>
    <row r="45" spans="1:27" ht="17.45" customHeight="1">
      <c r="A45" s="759" t="s">
        <v>18</v>
      </c>
      <c r="B45" s="760"/>
      <c r="C45" s="163">
        <f>SUMIF($G$7:$G$31,"Boiler",$F$7:$F$31)</f>
        <v>0</v>
      </c>
      <c r="D45" s="117">
        <f>+C45+'28'!D45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1.2973317637826172</v>
      </c>
      <c r="J45" s="133">
        <f>J43/J40</f>
        <v>1.3391352312076732</v>
      </c>
      <c r="K45" s="129" t="s">
        <v>63</v>
      </c>
    </row>
    <row r="46" spans="1:27" ht="17.45" customHeight="1">
      <c r="A46" s="759" t="s">
        <v>76</v>
      </c>
      <c r="B46" s="760"/>
      <c r="C46" s="163">
        <f>SUMIF($G$7:$G$31,"Gas",$F$7:$F$31)</f>
        <v>0</v>
      </c>
      <c r="D46" s="117">
        <f>+C46+'28'!D46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+SUMIF(Listrik!P36,"&gt;0")</f>
        <v>39330.999999999636</v>
      </c>
      <c r="J46" s="134">
        <f>+I46+'28'!J46</f>
        <v>1099214.379999999</v>
      </c>
      <c r="K46" s="129" t="s">
        <v>78</v>
      </c>
    </row>
    <row r="47" spans="1:27" ht="17.45" customHeight="1">
      <c r="A47" s="759" t="s">
        <v>79</v>
      </c>
      <c r="B47" s="760"/>
      <c r="C47" s="163">
        <f>SUMIF($G$7:$G$31,"Gas",$F$7:$F$31)</f>
        <v>0</v>
      </c>
      <c r="D47" s="117">
        <f>+C47+'28'!D47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955.09956289460024</v>
      </c>
      <c r="J47" s="134">
        <f>J46/J38</f>
        <v>955.75465111324922</v>
      </c>
      <c r="K47" s="129" t="s">
        <v>24</v>
      </c>
    </row>
    <row r="48" spans="1:27" ht="17.45" customHeight="1">
      <c r="A48" s="759" t="s">
        <v>14</v>
      </c>
      <c r="B48" s="760"/>
      <c r="C48" s="163">
        <f>SUMIF($G$7:$G$31,"Start Up",$F$7:$F$31)</f>
        <v>0</v>
      </c>
      <c r="D48" s="117">
        <f>+C48+'28'!D48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964.56248773787604</v>
      </c>
      <c r="J48" s="134">
        <f>J46/J40</f>
        <v>990.70985523495619</v>
      </c>
      <c r="K48" s="129" t="s">
        <v>24</v>
      </c>
    </row>
    <row r="49" spans="1:23" ht="17.45" customHeight="1">
      <c r="A49" s="765" t="s">
        <v>20</v>
      </c>
      <c r="B49" s="760"/>
      <c r="C49" s="163">
        <f>SUMIF($G$7:$G$31,"Others",$F$7:$F$31)</f>
        <v>0</v>
      </c>
      <c r="D49" s="117">
        <f>+C49+'28'!D49</f>
        <v>0</v>
      </c>
      <c r="E49" s="142">
        <f t="shared" si="0"/>
        <v>0</v>
      </c>
      <c r="F49" s="184"/>
      <c r="H49" s="187" t="s">
        <v>269</v>
      </c>
      <c r="I49" s="117">
        <f>+Report1!T37</f>
        <v>5312.0585409883624</v>
      </c>
      <c r="J49" s="589">
        <f>+I49+'28'!J49</f>
        <v>139798.9976015646</v>
      </c>
      <c r="K49" s="129" t="s">
        <v>82</v>
      </c>
    </row>
    <row r="50" spans="1:23" ht="17.45" customHeight="1">
      <c r="A50" s="759" t="s">
        <v>19</v>
      </c>
      <c r="B50" s="760"/>
      <c r="C50" s="163">
        <f>SUMIF($G$7:$G$31,"Steam",$F$7:$F$31)</f>
        <v>0</v>
      </c>
      <c r="D50" s="117">
        <f>+C50+'28'!D50</f>
        <v>0</v>
      </c>
      <c r="E50" s="142">
        <f t="shared" si="0"/>
        <v>0</v>
      </c>
      <c r="F50" s="184"/>
      <c r="H50" s="187" t="s">
        <v>83</v>
      </c>
      <c r="I50" s="139">
        <f>I49/I38</f>
        <v>128.99607918864407</v>
      </c>
      <c r="J50" s="132">
        <f>J49/J38</f>
        <v>121.55367015728585</v>
      </c>
      <c r="K50" s="129" t="s">
        <v>82</v>
      </c>
    </row>
    <row r="51" spans="1:23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+C51+'28'!D51</f>
        <v>0</v>
      </c>
      <c r="E51" s="142">
        <f t="shared" si="0"/>
        <v>0</v>
      </c>
      <c r="F51" s="184"/>
      <c r="H51" s="189" t="s">
        <v>85</v>
      </c>
      <c r="I51" s="140">
        <f>I49/I40</f>
        <v>130.27414510958315</v>
      </c>
      <c r="J51" s="135">
        <f>J49/J40</f>
        <v>125.99930204319031</v>
      </c>
      <c r="K51" s="136" t="s">
        <v>82</v>
      </c>
    </row>
    <row r="52" spans="1:23" ht="13.5" thickBot="1">
      <c r="A52" s="757" t="s">
        <v>28</v>
      </c>
      <c r="B52" s="758"/>
      <c r="C52" s="143">
        <f>SUM(C38:C51)</f>
        <v>65</v>
      </c>
      <c r="D52" s="143">
        <f>SUM(D38:D51)</f>
        <v>2667</v>
      </c>
      <c r="E52" s="144">
        <f>SUM(E38:E51)</f>
        <v>44.449999999999996</v>
      </c>
      <c r="F52" s="184"/>
      <c r="H52" s="190"/>
      <c r="I52" s="191"/>
      <c r="J52" s="137"/>
      <c r="K52" s="138"/>
    </row>
    <row r="53" spans="1:23" ht="13.5" thickBot="1">
      <c r="A53" s="763"/>
      <c r="B53" s="764"/>
      <c r="C53" s="145">
        <f>C52/(24*60)</f>
        <v>4.5138888888888888E-2</v>
      </c>
      <c r="D53" s="145">
        <f>D52/(24*60*G4)</f>
        <v>6.3864942528735633E-2</v>
      </c>
      <c r="E53" s="146">
        <f>E52/(G4*24)</f>
        <v>6.3864942528735633E-2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+D34+'28'!J56</f>
        <v>4515</v>
      </c>
      <c r="K56" s="200">
        <f>J56/(J40+J56/1000)/1000</f>
        <v>4.0528276888469588E-3</v>
      </c>
    </row>
    <row r="57" spans="1:23">
      <c r="A57" s="175"/>
      <c r="I57" s="198" t="s">
        <v>88</v>
      </c>
      <c r="J57" s="199">
        <f>+E34+'28'!J57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  <c r="J58" s="148">
        <v>4515</v>
      </c>
    </row>
    <row r="59" spans="1:23">
      <c r="A59" s="204"/>
      <c r="B59" s="175"/>
      <c r="C59" s="175"/>
      <c r="D59" s="175"/>
      <c r="E59" s="175"/>
      <c r="F59" s="188"/>
      <c r="G59" s="175"/>
      <c r="H59" s="203"/>
      <c r="J59" s="588">
        <f>+J58-J56</f>
        <v>0</v>
      </c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AJ61"/>
  <sheetViews>
    <sheetView topLeftCell="F19" zoomScale="80" zoomScaleNormal="80" workbookViewId="0">
      <selection activeCell="X27" sqref="X27:AC3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6" ht="15.75">
      <c r="A1" s="147"/>
    </row>
    <row r="2" spans="1:36" ht="15.75">
      <c r="A2" s="147" t="s">
        <v>183</v>
      </c>
    </row>
    <row r="3" spans="1:36" ht="15">
      <c r="A3" s="149"/>
    </row>
    <row r="4" spans="1:36" ht="20.25">
      <c r="A4" s="150" t="s">
        <v>3</v>
      </c>
      <c r="B4" s="151"/>
      <c r="F4" s="152" t="s">
        <v>29</v>
      </c>
      <c r="G4" s="153">
        <v>28</v>
      </c>
      <c r="H4" s="153" t="str">
        <f>+'1'!H4</f>
        <v>.12.25</v>
      </c>
    </row>
    <row r="5" spans="1:36" ht="13.5" thickBot="1">
      <c r="C5" s="154"/>
      <c r="D5" s="154"/>
    </row>
    <row r="6" spans="1:3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1" t="s">
        <v>190</v>
      </c>
      <c r="P6" s="421" t="s">
        <v>190</v>
      </c>
      <c r="Q6" s="421" t="s">
        <v>191</v>
      </c>
      <c r="R6" s="421" t="s">
        <v>192</v>
      </c>
      <c r="S6" s="421" t="s">
        <v>193</v>
      </c>
      <c r="T6" s="421" t="s">
        <v>188</v>
      </c>
      <c r="U6" s="422" t="s">
        <v>194</v>
      </c>
      <c r="V6" s="421" t="s">
        <v>195</v>
      </c>
      <c r="W6" s="421" t="s">
        <v>189</v>
      </c>
      <c r="X6" s="148" t="s">
        <v>457</v>
      </c>
      <c r="Y6" s="148">
        <v>1190</v>
      </c>
      <c r="Z6" s="148">
        <f>+Y6-(Y6*0.23)</f>
        <v>916.3</v>
      </c>
      <c r="AA6" s="148">
        <f>60*3+10</f>
        <v>190</v>
      </c>
      <c r="AB6" s="148">
        <f>+Y6*AA6</f>
        <v>226100</v>
      </c>
      <c r="AC6" s="148">
        <f>+Z6*AA6</f>
        <v>174097</v>
      </c>
      <c r="AE6" s="148" t="s">
        <v>649</v>
      </c>
      <c r="AF6" s="148">
        <v>1190</v>
      </c>
      <c r="AG6" s="148">
        <v>916.3</v>
      </c>
      <c r="AH6" s="148">
        <v>290</v>
      </c>
      <c r="AI6" s="148">
        <f>+AF6*AH6</f>
        <v>345100</v>
      </c>
      <c r="AJ6" s="148">
        <f>+AG6*AH6</f>
        <v>265727</v>
      </c>
    </row>
    <row r="7" spans="1:36" ht="13.5" customHeight="1" thickBot="1">
      <c r="A7" s="745" t="s">
        <v>388</v>
      </c>
      <c r="B7" s="214" t="s">
        <v>470</v>
      </c>
      <c r="C7" s="215">
        <v>5513</v>
      </c>
      <c r="D7" s="216">
        <v>578</v>
      </c>
      <c r="E7" s="217"/>
      <c r="F7" s="227">
        <v>6</v>
      </c>
      <c r="G7" s="228" t="s">
        <v>12</v>
      </c>
      <c r="H7" s="229" t="s">
        <v>425</v>
      </c>
      <c r="I7" s="748" t="s">
        <v>637</v>
      </c>
      <c r="J7" s="213" t="str">
        <f>+'27'!J7</f>
        <v>F 14 VP OW</v>
      </c>
      <c r="K7" s="237"/>
      <c r="L7" s="241"/>
      <c r="M7" s="116">
        <f>+K7+'27'!M7+L7</f>
        <v>190720</v>
      </c>
      <c r="N7" s="423">
        <v>14.5</v>
      </c>
      <c r="O7" s="198">
        <v>1200</v>
      </c>
      <c r="P7" s="198">
        <v>1120</v>
      </c>
      <c r="Q7" s="198">
        <v>896</v>
      </c>
      <c r="R7" s="424">
        <f>1-(Q7/P7)</f>
        <v>0.19999999999999996</v>
      </c>
      <c r="S7" s="425">
        <v>45</v>
      </c>
      <c r="T7" s="426">
        <v>256.5</v>
      </c>
      <c r="U7" s="427">
        <f>(O7*(1-R7)*N7*T7*S7)/100000000</f>
        <v>1.606716</v>
      </c>
      <c r="V7" s="428">
        <f>+C14/1000</f>
        <v>13.122999999999999</v>
      </c>
      <c r="W7" s="429">
        <f>SUM(V7:V9)/SUM(U7:U9)</f>
        <v>0.62827627188721502</v>
      </c>
      <c r="X7" s="148" t="s">
        <v>649</v>
      </c>
      <c r="Y7" s="148">
        <v>1190</v>
      </c>
      <c r="Z7" s="148">
        <f>+Y7-(Y7*0.23)</f>
        <v>916.3</v>
      </c>
      <c r="AA7" s="148">
        <f>480-AA6</f>
        <v>290</v>
      </c>
      <c r="AB7" s="148">
        <f>+Y7*AA7</f>
        <v>345100</v>
      </c>
      <c r="AC7" s="148">
        <f>+Z7*AA7</f>
        <v>265727</v>
      </c>
      <c r="AE7" s="148" t="s">
        <v>649</v>
      </c>
      <c r="AF7" s="148">
        <v>1190</v>
      </c>
      <c r="AG7" s="148">
        <v>916.3</v>
      </c>
      <c r="AH7" s="148">
        <v>480</v>
      </c>
      <c r="AI7" s="148">
        <f>+AF7*AH7</f>
        <v>571200</v>
      </c>
      <c r="AJ7" s="148">
        <f>+AG7*AH7</f>
        <v>439824</v>
      </c>
    </row>
    <row r="8" spans="1:36" ht="13.5" thickBot="1">
      <c r="A8" s="746"/>
      <c r="B8" s="214" t="s">
        <v>654</v>
      </c>
      <c r="C8" s="215">
        <v>7610</v>
      </c>
      <c r="D8" s="216"/>
      <c r="E8" s="218"/>
      <c r="F8" s="230"/>
      <c r="G8" s="231" t="s">
        <v>12</v>
      </c>
      <c r="H8" s="229" t="s">
        <v>284</v>
      </c>
      <c r="I8" s="749"/>
      <c r="J8" s="213" t="str">
        <f>+'27'!J8</f>
        <v>F 15 VP OW</v>
      </c>
      <c r="K8" s="238"/>
      <c r="L8" s="238"/>
      <c r="M8" s="116">
        <f>+K8+'27'!M8+L8</f>
        <v>95546</v>
      </c>
      <c r="N8" s="423">
        <v>18</v>
      </c>
      <c r="O8" s="198">
        <v>1200</v>
      </c>
      <c r="P8" s="198">
        <v>930</v>
      </c>
      <c r="Q8" s="198">
        <v>744</v>
      </c>
      <c r="R8" s="424">
        <f>1-(Q8/P8)</f>
        <v>0.19999999999999996</v>
      </c>
      <c r="S8" s="425">
        <f>480-S7</f>
        <v>435</v>
      </c>
      <c r="T8" s="426">
        <v>256.5</v>
      </c>
      <c r="U8" s="427">
        <f>(O8*(1-R8)*N8*T8*S8)/100000000</f>
        <v>19.280591999999999</v>
      </c>
      <c r="V8" s="428"/>
      <c r="W8" s="430"/>
      <c r="AE8" s="148" t="s">
        <v>649</v>
      </c>
      <c r="AF8" s="148">
        <v>1190</v>
      </c>
      <c r="AG8" s="148">
        <v>928.2</v>
      </c>
      <c r="AH8" s="148">
        <v>480</v>
      </c>
      <c r="AI8" s="148">
        <f>+AF8*AH8</f>
        <v>571200</v>
      </c>
      <c r="AJ8" s="148">
        <f>+AG8*AH8</f>
        <v>445536</v>
      </c>
    </row>
    <row r="9" spans="1:36" ht="13.5" thickBot="1">
      <c r="A9" s="746"/>
      <c r="B9" s="214"/>
      <c r="C9" s="215"/>
      <c r="D9" s="216"/>
      <c r="E9" s="219"/>
      <c r="F9" s="227">
        <f>23-6</f>
        <v>17</v>
      </c>
      <c r="G9" s="231" t="s">
        <v>12</v>
      </c>
      <c r="H9" s="232" t="s">
        <v>385</v>
      </c>
      <c r="I9" s="749"/>
      <c r="J9" s="213" t="str">
        <f>+'27'!J9</f>
        <v>T 12 VP OW</v>
      </c>
      <c r="K9" s="238"/>
      <c r="L9" s="238"/>
      <c r="M9" s="116">
        <f>+K9+'27'!M9+L9</f>
        <v>50578</v>
      </c>
      <c r="N9" s="431"/>
    </row>
    <row r="10" spans="1:36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643</v>
      </c>
      <c r="I10" s="749"/>
      <c r="J10" s="213" t="str">
        <f>+'27'!J10</f>
        <v>T 13 VP OW</v>
      </c>
      <c r="K10" s="238">
        <f>+C7</f>
        <v>5513</v>
      </c>
      <c r="L10" s="238"/>
      <c r="M10" s="116">
        <f>+K10+'27'!M10+L10</f>
        <v>356521</v>
      </c>
      <c r="N10" s="431"/>
    </row>
    <row r="11" spans="1:36" ht="13.5" thickBot="1">
      <c r="A11" s="746"/>
      <c r="B11" s="214"/>
      <c r="C11" s="215"/>
      <c r="D11" s="216"/>
      <c r="E11" s="218"/>
      <c r="F11" s="227"/>
      <c r="G11" s="231"/>
      <c r="H11" s="232" t="s">
        <v>644</v>
      </c>
      <c r="I11" s="749"/>
      <c r="J11" s="213" t="str">
        <f>+'27'!J11</f>
        <v>T 15 VP OW</v>
      </c>
      <c r="K11" s="238"/>
      <c r="L11" s="238"/>
      <c r="M11" s="116">
        <f>+K11+'27'!M11+L11</f>
        <v>79299</v>
      </c>
      <c r="N11" s="431"/>
    </row>
    <row r="12" spans="1:3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+'27'!J12</f>
        <v>F 12 VP OW</v>
      </c>
      <c r="K12" s="238"/>
      <c r="L12" s="238"/>
      <c r="M12" s="116">
        <f>+K12+'27'!M12+L12</f>
        <v>119753</v>
      </c>
      <c r="N12" s="431"/>
    </row>
    <row r="13" spans="1:3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+'27'!J13</f>
        <v>F 13 VP OW</v>
      </c>
      <c r="K13" s="238"/>
      <c r="L13" s="238"/>
      <c r="M13" s="116">
        <f>+K13+'27'!M13+L13</f>
        <v>32376</v>
      </c>
      <c r="N13" s="432"/>
      <c r="O13" s="433"/>
      <c r="P13" s="433"/>
      <c r="Q13" s="433"/>
      <c r="R13" s="433"/>
      <c r="S13" s="433"/>
      <c r="T13" s="433"/>
      <c r="U13" s="433"/>
      <c r="V13" s="433"/>
      <c r="W13" s="433"/>
    </row>
    <row r="14" spans="1:36" ht="13.5" thickBot="1">
      <c r="A14" s="747"/>
      <c r="B14" s="164" t="s">
        <v>2</v>
      </c>
      <c r="C14" s="98">
        <f>SUM(C7:C13)</f>
        <v>13123</v>
      </c>
      <c r="D14" s="110">
        <f>SUM(D7:D13)</f>
        <v>578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 t="str">
        <f>+'27'!J14</f>
        <v>F 11,5 VP OW</v>
      </c>
      <c r="K14" s="238"/>
      <c r="L14" s="238"/>
      <c r="M14" s="116">
        <f>+K14+'27'!M14+L14</f>
        <v>53445</v>
      </c>
      <c r="AA14" s="175">
        <f>SUM(AA6:AA11)</f>
        <v>480</v>
      </c>
      <c r="AB14" s="175">
        <f>SUM(AB6:AB11)</f>
        <v>571200</v>
      </c>
      <c r="AC14" s="175">
        <f>SUM(AC6:AC11)</f>
        <v>439824</v>
      </c>
      <c r="AH14" s="175">
        <f>SUM(AH6:AH11)</f>
        <v>1250</v>
      </c>
      <c r="AI14" s="175">
        <f>SUM(AI6:AI11)</f>
        <v>1487500</v>
      </c>
      <c r="AJ14" s="175">
        <f>SUM(AJ6:AJ11)</f>
        <v>1151087</v>
      </c>
    </row>
    <row r="15" spans="1:36" ht="13.5" customHeight="1" thickBot="1">
      <c r="A15" s="745" t="s">
        <v>389</v>
      </c>
      <c r="B15" s="164"/>
      <c r="C15" s="112">
        <f>C14/($C$23+$D$23+$E$23)</f>
        <v>1.0425007944073721</v>
      </c>
      <c r="D15" s="113">
        <f>D14/($C$23+$D$23+$E$23)</f>
        <v>4.5916746107403879E-2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637</v>
      </c>
      <c r="J15" s="213" t="str">
        <f>+'27'!J15</f>
        <v>T 14 VP OW</v>
      </c>
      <c r="K15" s="238"/>
      <c r="L15" s="238"/>
      <c r="M15" s="116">
        <f>+K15+'27'!M15+L15</f>
        <v>56807</v>
      </c>
      <c r="N15" s="423">
        <v>18</v>
      </c>
      <c r="O15" s="198">
        <v>1200</v>
      </c>
      <c r="P15" s="198">
        <v>850</v>
      </c>
      <c r="Q15" s="198">
        <v>680</v>
      </c>
      <c r="R15" s="424">
        <f>1-(Q15/P15)</f>
        <v>0.19999999999999996</v>
      </c>
      <c r="S15" s="425">
        <v>480</v>
      </c>
      <c r="T15" s="426">
        <v>256.5</v>
      </c>
      <c r="U15" s="427">
        <f>(O15*(1-R15)*N15*T15*S15)/100000000</f>
        <v>21.275136</v>
      </c>
      <c r="V15" s="428">
        <f>+C23/1000</f>
        <v>12.587999999999999</v>
      </c>
      <c r="W15" s="429">
        <f>SUM(V15:V17)/SUM(U15:U17)</f>
        <v>0.59167659374774384</v>
      </c>
      <c r="AA15" s="148">
        <f>480-AA14</f>
        <v>0</v>
      </c>
      <c r="AB15" s="175">
        <f>+AB14/AA14</f>
        <v>1190</v>
      </c>
      <c r="AC15" s="175">
        <f>+AC14/AA14</f>
        <v>916.3</v>
      </c>
      <c r="AH15" s="148">
        <f>480-AH14</f>
        <v>-770</v>
      </c>
      <c r="AI15" s="175">
        <f>+AI14/AH14</f>
        <v>1190</v>
      </c>
      <c r="AJ15" s="175">
        <f>+AJ14/AH14</f>
        <v>920.86959999999999</v>
      </c>
    </row>
    <row r="16" spans="1:36" ht="13.5" thickBot="1">
      <c r="A16" s="751"/>
      <c r="B16" s="214" t="s">
        <v>654</v>
      </c>
      <c r="C16" s="221">
        <v>12588</v>
      </c>
      <c r="D16" s="222"/>
      <c r="E16" s="223"/>
      <c r="F16" s="230">
        <v>8</v>
      </c>
      <c r="G16" s="231" t="s">
        <v>12</v>
      </c>
      <c r="H16" s="229" t="s">
        <v>386</v>
      </c>
      <c r="I16" s="749"/>
      <c r="J16" s="213" t="s">
        <v>654</v>
      </c>
      <c r="K16" s="228">
        <f>+C8+C16+C25</f>
        <v>33701</v>
      </c>
      <c r="L16" s="228"/>
      <c r="M16" s="116">
        <f>+K16+'27'!M16+L16</f>
        <v>33701</v>
      </c>
      <c r="N16" s="434"/>
      <c r="O16" s="198"/>
      <c r="P16" s="198"/>
      <c r="Q16" s="435"/>
      <c r="R16" s="424"/>
      <c r="S16" s="198"/>
      <c r="T16" s="426"/>
      <c r="U16" s="427"/>
      <c r="V16" s="428"/>
      <c r="W16" s="430"/>
    </row>
    <row r="17" spans="1:29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434</v>
      </c>
      <c r="I17" s="749"/>
      <c r="J17" s="213">
        <f>+'27'!J17</f>
        <v>0</v>
      </c>
      <c r="K17" s="228"/>
      <c r="L17" s="228"/>
      <c r="M17" s="116">
        <f>+K17+'27'!M17+L17</f>
        <v>0</v>
      </c>
      <c r="N17" s="431"/>
      <c r="O17" s="198"/>
      <c r="R17" s="424"/>
      <c r="T17" s="426"/>
      <c r="U17" s="427"/>
      <c r="X17" s="148" t="s">
        <v>649</v>
      </c>
      <c r="Y17" s="148">
        <v>1190</v>
      </c>
      <c r="Z17" s="148">
        <f>+Y17-(Y17*0.23)</f>
        <v>916.3</v>
      </c>
      <c r="AA17" s="148">
        <v>480</v>
      </c>
      <c r="AB17" s="148">
        <f>+Y17*AA17</f>
        <v>571200</v>
      </c>
      <c r="AC17" s="148">
        <f>+Z17*AA17</f>
        <v>439824</v>
      </c>
    </row>
    <row r="18" spans="1:2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642</v>
      </c>
      <c r="I18" s="749"/>
      <c r="J18" s="213">
        <f>+'27'!J18</f>
        <v>0</v>
      </c>
      <c r="K18" s="238"/>
      <c r="L18" s="238"/>
      <c r="M18" s="116">
        <f>+K18+'27'!M18+L18</f>
        <v>0</v>
      </c>
      <c r="N18" s="431"/>
      <c r="AA18" s="148">
        <f>480-AA17</f>
        <v>0</v>
      </c>
      <c r="AB18" s="148">
        <f>+Y18*AA18</f>
        <v>0</v>
      </c>
      <c r="AC18" s="148">
        <f>+Z18*AA18</f>
        <v>0</v>
      </c>
    </row>
    <row r="19" spans="1:2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+'27'!J19</f>
        <v>0</v>
      </c>
      <c r="K19" s="238"/>
      <c r="L19" s="238"/>
      <c r="M19" s="116">
        <f>+K19+'27'!M19+L19</f>
        <v>0</v>
      </c>
      <c r="N19" s="431"/>
    </row>
    <row r="20" spans="1:2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+'27'!J20</f>
        <v>0</v>
      </c>
      <c r="K20" s="239"/>
      <c r="L20" s="239"/>
      <c r="M20" s="116">
        <f>+K20+'27'!M20+L20</f>
        <v>0</v>
      </c>
      <c r="N20" s="431"/>
    </row>
    <row r="21" spans="1:2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+'27'!J21</f>
        <v>0</v>
      </c>
      <c r="K21" s="238"/>
      <c r="L21" s="238"/>
      <c r="M21" s="116">
        <f>+K21+'27'!M21+L21</f>
        <v>0</v>
      </c>
      <c r="N21" s="432"/>
      <c r="O21" s="433"/>
      <c r="P21" s="433"/>
      <c r="Q21" s="433"/>
      <c r="R21" s="433"/>
      <c r="S21" s="433"/>
      <c r="T21" s="433"/>
      <c r="U21" s="433"/>
      <c r="V21" s="433"/>
      <c r="W21" s="433"/>
    </row>
    <row r="22" spans="1:2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+'27'!J22</f>
        <v>0</v>
      </c>
      <c r="K22" s="238"/>
      <c r="L22" s="238"/>
      <c r="M22" s="116">
        <f>+K22+'27'!M22+L22</f>
        <v>0</v>
      </c>
    </row>
    <row r="23" spans="1:29" ht="13.5" thickBot="1">
      <c r="A23" s="752"/>
      <c r="B23" s="167" t="s">
        <v>2</v>
      </c>
      <c r="C23" s="99">
        <f>SUM(C16:C22)</f>
        <v>12588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+'27'!J23</f>
        <v>0</v>
      </c>
      <c r="K23" s="238"/>
      <c r="L23" s="238"/>
      <c r="M23" s="116">
        <f>+K23+'27'!M23+L23</f>
        <v>0</v>
      </c>
      <c r="N23" s="436"/>
      <c r="O23" s="437"/>
      <c r="P23" s="437"/>
      <c r="Q23" s="437"/>
      <c r="R23" s="437"/>
      <c r="S23" s="437"/>
      <c r="T23" s="437"/>
      <c r="U23" s="437"/>
      <c r="V23" s="437"/>
      <c r="W23" s="437"/>
    </row>
    <row r="24" spans="1:29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423</v>
      </c>
      <c r="I24" s="748" t="s">
        <v>650</v>
      </c>
      <c r="J24" s="213">
        <f>+'27'!J24</f>
        <v>0</v>
      </c>
      <c r="K24" s="238"/>
      <c r="L24" s="238"/>
      <c r="M24" s="116">
        <f>+K24+'27'!M24+L24</f>
        <v>0</v>
      </c>
      <c r="N24" s="423">
        <v>18</v>
      </c>
      <c r="O24" s="198">
        <v>1200</v>
      </c>
      <c r="P24" s="198">
        <v>770</v>
      </c>
      <c r="Q24" s="198">
        <v>616</v>
      </c>
      <c r="R24" s="424">
        <f>1-(Q24/P24)</f>
        <v>0.19999999999999996</v>
      </c>
      <c r="S24" s="425">
        <v>480</v>
      </c>
      <c r="T24" s="426">
        <v>256.5</v>
      </c>
      <c r="U24" s="427">
        <f>(O24*(1-R24)*N24*T24*S24)/100000000</f>
        <v>21.275136</v>
      </c>
      <c r="V24" s="428">
        <f>+C32/1000</f>
        <v>13.503</v>
      </c>
      <c r="W24" s="429">
        <f>SUM(V24:V25)/SUM(U24:U25)</f>
        <v>0.63468454443722477</v>
      </c>
    </row>
    <row r="25" spans="1:29" ht="13.5" customHeight="1" thickBot="1">
      <c r="A25" s="751"/>
      <c r="B25" s="214" t="s">
        <v>654</v>
      </c>
      <c r="C25" s="225">
        <v>13503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+'27'!J25</f>
        <v>0</v>
      </c>
      <c r="K25" s="238"/>
      <c r="L25" s="238"/>
      <c r="M25" s="116">
        <f>+K25+'27'!M25+L25</f>
        <v>0</v>
      </c>
      <c r="N25" s="423"/>
      <c r="O25" s="198"/>
      <c r="P25" s="198"/>
      <c r="Q25" s="198"/>
      <c r="R25" s="424"/>
      <c r="S25" s="425"/>
      <c r="T25" s="426"/>
      <c r="U25" s="427"/>
      <c r="V25" s="428"/>
      <c r="W25" s="429"/>
      <c r="AA25" s="175">
        <f>SUM(AA17:AA22)</f>
        <v>480</v>
      </c>
      <c r="AB25" s="175">
        <f>SUM(AB17:AB22)</f>
        <v>571200</v>
      </c>
      <c r="AC25" s="175">
        <f>SUM(AC17:AC22)</f>
        <v>439824</v>
      </c>
    </row>
    <row r="26" spans="1:29" ht="13.5" customHeight="1" thickBot="1">
      <c r="A26" s="751"/>
      <c r="B26" s="214"/>
      <c r="C26" s="225"/>
      <c r="D26" s="216"/>
      <c r="E26" s="226"/>
      <c r="F26" s="227">
        <f>23-6</f>
        <v>17</v>
      </c>
      <c r="G26" s="231" t="s">
        <v>12</v>
      </c>
      <c r="H26" s="232" t="s">
        <v>385</v>
      </c>
      <c r="I26" s="749"/>
      <c r="J26" s="213">
        <f>+'27'!J26</f>
        <v>0</v>
      </c>
      <c r="K26" s="238"/>
      <c r="L26" s="238"/>
      <c r="M26" s="116">
        <f>+K26+'27'!M26+L26</f>
        <v>0</v>
      </c>
      <c r="AA26" s="148">
        <f>480-AA25</f>
        <v>0</v>
      </c>
      <c r="AB26" s="175">
        <f>+AB25/AA25</f>
        <v>1190</v>
      </c>
      <c r="AC26" s="175">
        <f>+AC25/AA25</f>
        <v>916.3</v>
      </c>
    </row>
    <row r="27" spans="1:29" ht="29.25" customHeight="1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641</v>
      </c>
      <c r="I27" s="749"/>
      <c r="J27" s="213">
        <f>+'27'!J27</f>
        <v>0</v>
      </c>
      <c r="K27" s="238"/>
      <c r="L27" s="238"/>
      <c r="M27" s="116">
        <f>+K27+'27'!M27+L27</f>
        <v>0</v>
      </c>
      <c r="X27" s="148" t="s">
        <v>649</v>
      </c>
      <c r="Y27" s="148">
        <v>1190</v>
      </c>
      <c r="Z27" s="148">
        <f>+Y27-(Y27*0.22)</f>
        <v>928.2</v>
      </c>
      <c r="AA27" s="148">
        <v>480</v>
      </c>
      <c r="AB27" s="148">
        <f>+Y27*AA27</f>
        <v>571200</v>
      </c>
      <c r="AC27" s="148">
        <f>+Z27*AA27</f>
        <v>445536</v>
      </c>
    </row>
    <row r="28" spans="1:29" ht="13.5" customHeight="1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+'27'!J28</f>
        <v>0</v>
      </c>
      <c r="K28" s="238"/>
      <c r="L28" s="238"/>
      <c r="M28" s="116">
        <f>+K28+'27'!M28+L28</f>
        <v>0</v>
      </c>
      <c r="AA28" s="148">
        <f>480-AA27</f>
        <v>0</v>
      </c>
      <c r="AB28" s="148">
        <f>+Y28*AA28</f>
        <v>0</v>
      </c>
      <c r="AC28" s="148">
        <f>+Z28*AA28</f>
        <v>0</v>
      </c>
    </row>
    <row r="29" spans="1:29" ht="13.5" customHeight="1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+'27'!J29</f>
        <v>0</v>
      </c>
      <c r="K29" s="238"/>
      <c r="L29" s="238"/>
      <c r="M29" s="116">
        <f>+K29+'27'!M29+L29</f>
        <v>0</v>
      </c>
    </row>
    <row r="30" spans="1:29" ht="13.5" customHeight="1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+'27'!J30</f>
        <v>0</v>
      </c>
      <c r="K30" s="238"/>
      <c r="L30" s="238"/>
      <c r="M30" s="116">
        <f>+K30+'27'!M30+L30</f>
        <v>0</v>
      </c>
      <c r="N30" s="154"/>
    </row>
    <row r="31" spans="1:29" ht="13.5" customHeight="1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+'27'!J31</f>
        <v>0</v>
      </c>
      <c r="K31" s="238"/>
      <c r="L31" s="238"/>
      <c r="M31" s="116">
        <f>+K31+'27'!M31+L31</f>
        <v>0</v>
      </c>
    </row>
    <row r="32" spans="1:29" ht="13.5" customHeight="1" thickBot="1">
      <c r="A32" s="752"/>
      <c r="B32" s="164" t="s">
        <v>2</v>
      </c>
      <c r="C32" s="98">
        <f>SUM(C25:C31)</f>
        <v>13503</v>
      </c>
      <c r="D32" s="99">
        <f>SUM(D25:D31)</f>
        <v>0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13">
        <f>+'27'!J32</f>
        <v>0</v>
      </c>
      <c r="K32" s="240"/>
      <c r="L32" s="242"/>
      <c r="M32" s="116">
        <f>+K32+'27'!M32+L32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3" t="s">
        <v>57</v>
      </c>
      <c r="B34" s="754"/>
      <c r="C34" s="106">
        <f>C14+C23+C32</f>
        <v>39214</v>
      </c>
      <c r="D34" s="106">
        <f>D14+D23+D32</f>
        <v>578</v>
      </c>
      <c r="E34" s="106">
        <f>E14+E23+E32</f>
        <v>0</v>
      </c>
      <c r="F34" s="107">
        <f>F14+F23+F32</f>
        <v>64</v>
      </c>
      <c r="H34" s="177"/>
      <c r="I34" s="177"/>
      <c r="J34" s="122" t="s">
        <v>28</v>
      </c>
      <c r="K34" s="123">
        <f>SUM(K7:K32)</f>
        <v>39214</v>
      </c>
      <c r="L34" s="211">
        <f>SUM(L7:L32)</f>
        <v>0</v>
      </c>
      <c r="M34" s="119">
        <f>SUM(M7:M32)</f>
        <v>1068746</v>
      </c>
      <c r="N34" s="154"/>
    </row>
    <row r="35" spans="1:29" ht="13.5" thickBot="1">
      <c r="A35" s="178"/>
      <c r="B35" s="179"/>
      <c r="C35" s="103">
        <f>C34/($C$34+$D$34+$E$34)</f>
        <v>0.98547446722959386</v>
      </c>
      <c r="D35" s="103">
        <f>D34/($C$34+$D$34+$E$34)</f>
        <v>1.4525532770406111E-2</v>
      </c>
      <c r="E35" s="108">
        <f>E34/($C$34+$D$34+$E$34)</f>
        <v>0</v>
      </c>
      <c r="K35" s="154"/>
      <c r="AA35" s="175">
        <f>SUM(AA27:AA32)</f>
        <v>480</v>
      </c>
      <c r="AB35" s="175">
        <f>SUM(AB27:AB32)</f>
        <v>571200</v>
      </c>
      <c r="AC35" s="175">
        <f>SUM(AC27:AC32)</f>
        <v>445536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AA36" s="148">
        <f>480-AA35</f>
        <v>0</v>
      </c>
      <c r="AB36" s="175">
        <f>+AB35/AA35</f>
        <v>1190</v>
      </c>
      <c r="AC36" s="175">
        <f>+AC35/AA35</f>
        <v>928.2</v>
      </c>
    </row>
    <row r="37" spans="1:2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(13*190+12.5*1250)/1440*G42*2.74*1440/1000000</f>
        <v>45.627097413333331</v>
      </c>
      <c r="J37" s="124">
        <f>+I37+'27'!J37</f>
        <v>1241.1000236344544</v>
      </c>
      <c r="K37" s="125" t="s">
        <v>63</v>
      </c>
    </row>
    <row r="38" spans="1:29" ht="17.45" customHeight="1">
      <c r="A38" s="757" t="s">
        <v>12</v>
      </c>
      <c r="B38" s="758"/>
      <c r="C38" s="163">
        <f>SUMIF($G$7:$G$31,"Process",$F$7:$F$31)</f>
        <v>64</v>
      </c>
      <c r="D38" s="117">
        <f>+C38+'27'!D38</f>
        <v>1881</v>
      </c>
      <c r="E38" s="142">
        <f t="shared" ref="E38:E51" si="0">D38/60</f>
        <v>31.35</v>
      </c>
      <c r="F38" s="321">
        <v>1190</v>
      </c>
      <c r="G38" s="321">
        <v>916.3</v>
      </c>
      <c r="H38" s="186" t="s">
        <v>64</v>
      </c>
      <c r="I38" s="244">
        <f>7.11+7.264+13.971+13.92</f>
        <v>42.265000000000001</v>
      </c>
      <c r="J38" s="126">
        <f>+I38+'27'!J38</f>
        <v>1108.9209999999998</v>
      </c>
      <c r="K38" s="127" t="s">
        <v>63</v>
      </c>
      <c r="X38" s="148" t="s">
        <v>457</v>
      </c>
      <c r="Y38" s="148">
        <v>1190</v>
      </c>
      <c r="Z38" s="148">
        <v>916.3</v>
      </c>
      <c r="AA38" s="148">
        <v>190</v>
      </c>
    </row>
    <row r="39" spans="1:29" ht="17.45" customHeight="1">
      <c r="A39" s="759" t="s">
        <v>13</v>
      </c>
      <c r="B39" s="760"/>
      <c r="C39" s="163">
        <f>SUMIF($G$7:$G$31,"Cleaning",$F$7:$F$31)</f>
        <v>0</v>
      </c>
      <c r="D39" s="117">
        <f>+C39+'27'!D39</f>
        <v>0</v>
      </c>
      <c r="E39" s="142">
        <f t="shared" si="0"/>
        <v>0</v>
      </c>
      <c r="F39" s="321">
        <v>1190</v>
      </c>
      <c r="G39" s="321">
        <v>916.3</v>
      </c>
      <c r="H39" s="186" t="s">
        <v>65</v>
      </c>
      <c r="I39" s="141"/>
      <c r="J39" s="128">
        <f>J37/G4</f>
        <v>44.325000844087654</v>
      </c>
      <c r="K39" s="129" t="s">
        <v>63</v>
      </c>
      <c r="X39" s="148" t="s">
        <v>649</v>
      </c>
      <c r="Y39" s="148">
        <v>1190</v>
      </c>
      <c r="Z39" s="148">
        <v>920.86959999999999</v>
      </c>
      <c r="AA39" s="148">
        <v>1250</v>
      </c>
    </row>
    <row r="40" spans="1:29" ht="17.45" customHeight="1">
      <c r="A40" s="759" t="s">
        <v>66</v>
      </c>
      <c r="B40" s="760"/>
      <c r="C40" s="163">
        <f>SUMIF($G$7:$G$31,"Mechanical",$F$7:$F$31)</f>
        <v>0</v>
      </c>
      <c r="D40" s="117">
        <f>+C40+'27'!D40</f>
        <v>481</v>
      </c>
      <c r="E40" s="142">
        <f t="shared" si="0"/>
        <v>8.0166666666666675</v>
      </c>
      <c r="F40" s="321">
        <v>1190</v>
      </c>
      <c r="G40" s="321">
        <v>928.2</v>
      </c>
      <c r="H40" s="186" t="s">
        <v>67</v>
      </c>
      <c r="I40" s="117">
        <f>(K34+L34)/1000</f>
        <v>39.213999999999999</v>
      </c>
      <c r="J40" s="130">
        <f>+I40+'27'!J40</f>
        <v>1068.7459999999999</v>
      </c>
      <c r="K40" s="129" t="s">
        <v>63</v>
      </c>
      <c r="AA40" s="148">
        <f>+AA38+AA39</f>
        <v>1440</v>
      </c>
    </row>
    <row r="41" spans="1:29" ht="17.45" customHeight="1">
      <c r="A41" s="759" t="s">
        <v>68</v>
      </c>
      <c r="B41" s="760"/>
      <c r="C41" s="163">
        <f>SUMIF($G$7:$G$31,"Electrical",$F$7:$F$31)</f>
        <v>0</v>
      </c>
      <c r="D41" s="117">
        <f>+C41+'27'!D41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38.169499999999992</v>
      </c>
      <c r="K41" s="129" t="s">
        <v>63</v>
      </c>
    </row>
    <row r="42" spans="1:29" ht="17.45" customHeight="1">
      <c r="A42" s="759" t="s">
        <v>16</v>
      </c>
      <c r="B42" s="760"/>
      <c r="C42" s="163">
        <f>SUMIF($G$7:$G$31,"Instrument",$F$7:$F$31)</f>
        <v>0</v>
      </c>
      <c r="D42" s="117">
        <f>+C42+'27'!D42</f>
        <v>0</v>
      </c>
      <c r="E42" s="142">
        <f t="shared" si="0"/>
        <v>0</v>
      </c>
      <c r="F42" s="321">
        <f>+(F38*480+F39*480+F40*480)/1440</f>
        <v>1190</v>
      </c>
      <c r="G42" s="321">
        <f>+(G38*480+G39*480+G40*480)/1440</f>
        <v>920.26666666666665</v>
      </c>
      <c r="H42" s="186" t="s">
        <v>70</v>
      </c>
      <c r="I42" s="245" t="s">
        <v>651</v>
      </c>
      <c r="J42" s="131"/>
      <c r="K42" s="129" t="s">
        <v>71</v>
      </c>
    </row>
    <row r="43" spans="1:29" ht="17.45" customHeight="1">
      <c r="A43" s="759" t="s">
        <v>72</v>
      </c>
      <c r="B43" s="760"/>
      <c r="C43" s="163">
        <f>SUMIF($G$7:$G$31,"Water",$F$7:$F$31)</f>
        <v>0</v>
      </c>
      <c r="D43" s="117">
        <f>+C43+'27'!D43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+Report1!Z36</f>
        <v>52.7</v>
      </c>
      <c r="J43" s="132">
        <f>+I43+'27'!J43</f>
        <v>1432.8999999999999</v>
      </c>
      <c r="K43" s="129" t="s">
        <v>63</v>
      </c>
      <c r="L43" s="188"/>
    </row>
    <row r="44" spans="1:29" ht="17.45" customHeight="1">
      <c r="A44" s="759" t="s">
        <v>17</v>
      </c>
      <c r="B44" s="760"/>
      <c r="C44" s="163">
        <f>SUMIF($G$7:$G$31,"PLN",$F$7:$F$31)</f>
        <v>0</v>
      </c>
      <c r="D44" s="117">
        <f>+C44+'27'!D44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1.2468945936353957</v>
      </c>
      <c r="J44" s="133">
        <f>J43/J38</f>
        <v>1.2921569706047591</v>
      </c>
      <c r="K44" s="129" t="s">
        <v>63</v>
      </c>
    </row>
    <row r="45" spans="1:29" ht="17.45" customHeight="1">
      <c r="A45" s="759" t="s">
        <v>18</v>
      </c>
      <c r="B45" s="760"/>
      <c r="C45" s="163">
        <f>SUMIF($G$7:$G$31,"Boiler",$F$7:$F$31)</f>
        <v>0</v>
      </c>
      <c r="D45" s="117">
        <f>+C45+'27'!D45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1.3439077880348855</v>
      </c>
      <c r="J45" s="133">
        <f>J43/J40</f>
        <v>1.3407301641362868</v>
      </c>
      <c r="K45" s="129" t="s">
        <v>63</v>
      </c>
    </row>
    <row r="46" spans="1:29" ht="17.45" customHeight="1">
      <c r="A46" s="759" t="s">
        <v>76</v>
      </c>
      <c r="B46" s="760"/>
      <c r="C46" s="163">
        <f>SUMIF($G$7:$G$31,"Gas",$F$7:$F$31)</f>
        <v>0</v>
      </c>
      <c r="D46" s="117">
        <f>+C46+'27'!D46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+SUMIF(Listrik!P35,"&gt;0")</f>
        <v>39469.659999999276</v>
      </c>
      <c r="J46" s="134">
        <f>+I46+'27'!J46</f>
        <v>1059883.3799999994</v>
      </c>
      <c r="K46" s="129" t="s">
        <v>78</v>
      </c>
    </row>
    <row r="47" spans="1:29" ht="17.45" customHeight="1">
      <c r="A47" s="759" t="s">
        <v>79</v>
      </c>
      <c r="B47" s="760"/>
      <c r="C47" s="163">
        <f>SUMIF($G$7:$G$31,"Gas",$F$7:$F$31)</f>
        <v>0</v>
      </c>
      <c r="D47" s="117">
        <f>+C47+'27'!D47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933.86158760201761</v>
      </c>
      <c r="J47" s="134">
        <f>J46/J38</f>
        <v>955.77897794342391</v>
      </c>
      <c r="K47" s="129" t="s">
        <v>24</v>
      </c>
    </row>
    <row r="48" spans="1:29" ht="17.45" customHeight="1">
      <c r="A48" s="759" t="s">
        <v>14</v>
      </c>
      <c r="B48" s="760"/>
      <c r="C48" s="163">
        <f>SUMIF($G$7:$G$31,"Start Up",$F$7:$F$31)</f>
        <v>0</v>
      </c>
      <c r="D48" s="117">
        <f>+C48+'27'!D48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1006.5196103432263</v>
      </c>
      <c r="J48" s="134">
        <f>J46/J40</f>
        <v>991.70745902206841</v>
      </c>
      <c r="K48" s="129" t="s">
        <v>24</v>
      </c>
    </row>
    <row r="49" spans="1:23" ht="17.45" customHeight="1">
      <c r="A49" s="759" t="s">
        <v>20</v>
      </c>
      <c r="B49" s="760"/>
      <c r="C49" s="163">
        <f>SUMIF($G$7:$G$31,"Others",$F$7:$F$31)</f>
        <v>0</v>
      </c>
      <c r="D49" s="117">
        <f>+C49+'27'!D49</f>
        <v>0</v>
      </c>
      <c r="E49" s="142">
        <f t="shared" si="0"/>
        <v>0</v>
      </c>
      <c r="F49" s="184"/>
      <c r="H49" s="187" t="s">
        <v>269</v>
      </c>
      <c r="I49" s="117">
        <f>+Report1!T36</f>
        <v>5627.5976351285717</v>
      </c>
      <c r="J49" s="134">
        <f>+I49+'27'!J49</f>
        <v>134486.93906057623</v>
      </c>
      <c r="K49" s="129" t="s">
        <v>82</v>
      </c>
    </row>
    <row r="50" spans="1:23" ht="17.45" customHeight="1">
      <c r="A50" s="759" t="s">
        <v>19</v>
      </c>
      <c r="B50" s="760"/>
      <c r="C50" s="163">
        <f>SUMIF($G$7:$G$31,"Steam",$F$7:$F$31)</f>
        <v>0</v>
      </c>
      <c r="D50" s="117">
        <f>+C50+'27'!D50</f>
        <v>0</v>
      </c>
      <c r="E50" s="142">
        <f t="shared" si="0"/>
        <v>0</v>
      </c>
      <c r="F50" s="184"/>
      <c r="H50" s="187" t="s">
        <v>83</v>
      </c>
      <c r="I50" s="139">
        <f>I49/I38</f>
        <v>133.15030486522113</v>
      </c>
      <c r="J50" s="132">
        <f>J49/J38</f>
        <v>121.27729483035874</v>
      </c>
      <c r="K50" s="129" t="s">
        <v>82</v>
      </c>
    </row>
    <row r="51" spans="1:23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+C51+'27'!D51</f>
        <v>0</v>
      </c>
      <c r="E51" s="142">
        <f t="shared" si="0"/>
        <v>0</v>
      </c>
      <c r="F51" s="184"/>
      <c r="H51" s="189" t="s">
        <v>85</v>
      </c>
      <c r="I51" s="140">
        <f>I49/I40</f>
        <v>143.50991062193532</v>
      </c>
      <c r="J51" s="135">
        <f>J49/J40</f>
        <v>125.83620342024788</v>
      </c>
      <c r="K51" s="136" t="s">
        <v>82</v>
      </c>
    </row>
    <row r="52" spans="1:23" ht="13.5" thickBot="1">
      <c r="A52" s="757" t="s">
        <v>28</v>
      </c>
      <c r="B52" s="758"/>
      <c r="C52" s="143">
        <f>SUM(C38:C51)</f>
        <v>64</v>
      </c>
      <c r="D52" s="143">
        <f>SUM(D38:D51)</f>
        <v>2602</v>
      </c>
      <c r="E52" s="144">
        <f>SUM(E38:E51)</f>
        <v>43.366666666666667</v>
      </c>
      <c r="F52" s="184"/>
      <c r="H52" s="190"/>
      <c r="I52" s="191"/>
      <c r="J52" s="137"/>
      <c r="K52" s="138"/>
    </row>
    <row r="53" spans="1:23" ht="13.5" thickBot="1">
      <c r="A53" s="763"/>
      <c r="B53" s="764"/>
      <c r="C53" s="145">
        <f>C52/(24*60)</f>
        <v>4.4444444444444446E-2</v>
      </c>
      <c r="D53" s="145">
        <f>D52/(24*60*G4)</f>
        <v>6.4533730158730165E-2</v>
      </c>
      <c r="E53" s="146">
        <f>E52/(G4*24)</f>
        <v>6.4533730158730165E-2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+D34+'27'!J56</f>
        <v>4515</v>
      </c>
      <c r="K56" s="200">
        <f>J56/(J40+J56/1000)/1000</f>
        <v>4.206805241222778E-3</v>
      </c>
    </row>
    <row r="57" spans="1:23">
      <c r="A57" s="175"/>
      <c r="I57" s="198" t="s">
        <v>88</v>
      </c>
      <c r="J57" s="199">
        <f>+E34+'27'!J57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61"/>
  <sheetViews>
    <sheetView topLeftCell="A22" zoomScale="80" zoomScaleNormal="80" workbookViewId="0">
      <selection activeCell="I37" sqref="I37"/>
    </sheetView>
  </sheetViews>
  <sheetFormatPr defaultColWidth="9.140625" defaultRowHeight="12.75"/>
  <cols>
    <col min="1" max="1" width="8" style="148" customWidth="1"/>
    <col min="2" max="2" width="10.7109375" style="148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28515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27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1190</v>
      </c>
      <c r="P6" s="148">
        <f>+O6-(O6*0.23)</f>
        <v>916.3</v>
      </c>
      <c r="Q6" s="148">
        <v>480</v>
      </c>
      <c r="R6" s="148">
        <f>+O6*Q6</f>
        <v>571200</v>
      </c>
      <c r="S6" s="148">
        <f>+P6*Q6</f>
        <v>439824</v>
      </c>
    </row>
    <row r="7" spans="1:19" ht="13.5" customHeight="1" thickBot="1">
      <c r="A7" s="745" t="s">
        <v>388</v>
      </c>
      <c r="B7" s="214" t="s">
        <v>470</v>
      </c>
      <c r="C7" s="215">
        <v>15230</v>
      </c>
      <c r="D7" s="216"/>
      <c r="E7" s="217"/>
      <c r="F7" s="227"/>
      <c r="G7" s="228" t="s">
        <v>12</v>
      </c>
      <c r="H7" s="229" t="s">
        <v>384</v>
      </c>
      <c r="I7" s="748" t="s">
        <v>637</v>
      </c>
      <c r="J7" s="213" t="str">
        <f>+'26'!J7</f>
        <v>F 14 VP OW</v>
      </c>
      <c r="K7" s="237"/>
      <c r="L7" s="241"/>
      <c r="M7" s="116">
        <f>+K7+'26'!M7+L7</f>
        <v>190720</v>
      </c>
      <c r="R7" s="148">
        <f>+O7*Q7</f>
        <v>0</v>
      </c>
      <c r="S7" s="148">
        <f>+P7*Q7</f>
        <v>0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+'26'!J8</f>
        <v>F 15 VP OW</v>
      </c>
      <c r="K8" s="238"/>
      <c r="L8" s="238"/>
      <c r="M8" s="116">
        <f>+K8+'26'!M8+L8</f>
        <v>95546</v>
      </c>
    </row>
    <row r="9" spans="1:19" ht="13.5" thickBot="1">
      <c r="A9" s="746"/>
      <c r="B9" s="214"/>
      <c r="C9" s="215"/>
      <c r="D9" s="216"/>
      <c r="E9" s="219"/>
      <c r="F9" s="227">
        <v>18</v>
      </c>
      <c r="G9" s="231" t="s">
        <v>12</v>
      </c>
      <c r="H9" s="232" t="s">
        <v>406</v>
      </c>
      <c r="I9" s="749"/>
      <c r="J9" s="213" t="str">
        <f>+'26'!J9</f>
        <v>T 12 VP OW</v>
      </c>
      <c r="K9" s="238"/>
      <c r="L9" s="238"/>
      <c r="M9" s="116">
        <f>+K9+'26'!M9+L9</f>
        <v>50578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646</v>
      </c>
      <c r="I10" s="749"/>
      <c r="J10" s="213" t="str">
        <f>+'26'!J10</f>
        <v>T 13 VP OW</v>
      </c>
      <c r="K10" s="238">
        <f>+C34</f>
        <v>42837</v>
      </c>
      <c r="L10" s="238"/>
      <c r="M10" s="116">
        <f>+K10+'26'!M10+L10</f>
        <v>351008</v>
      </c>
    </row>
    <row r="11" spans="1:19" ht="90" thickBot="1">
      <c r="A11" s="746"/>
      <c r="B11" s="214"/>
      <c r="C11" s="215"/>
      <c r="D11" s="216"/>
      <c r="E11" s="218"/>
      <c r="F11" s="227"/>
      <c r="G11" s="231"/>
      <c r="H11" s="232" t="s">
        <v>647</v>
      </c>
      <c r="I11" s="749"/>
      <c r="J11" s="213" t="str">
        <f>+'26'!J11</f>
        <v>T 15 VP OW</v>
      </c>
      <c r="K11" s="238"/>
      <c r="L11" s="238"/>
      <c r="M11" s="116">
        <f>+K11+'26'!M11+L11</f>
        <v>79299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+'26'!J12</f>
        <v>F 12 VP OW</v>
      </c>
      <c r="K12" s="238"/>
      <c r="L12" s="238"/>
      <c r="M12" s="116">
        <f>+K12+'26'!M12+L12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+'26'!J13</f>
        <v>F 13 VP OW</v>
      </c>
      <c r="K13" s="238"/>
      <c r="L13" s="238"/>
      <c r="M13" s="116">
        <f>+K13+'26'!M13+L13</f>
        <v>32376</v>
      </c>
    </row>
    <row r="14" spans="1:19" ht="13.5" thickBot="1">
      <c r="A14" s="747"/>
      <c r="B14" s="164" t="s">
        <v>2</v>
      </c>
      <c r="C14" s="98">
        <f>SUM(C7:C13)</f>
        <v>15230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 t="str">
        <f>+'26'!J14</f>
        <v>F 11,5 VP OW</v>
      </c>
      <c r="K14" s="238"/>
      <c r="L14" s="238"/>
      <c r="M14" s="116">
        <f>+K14+'26'!M14+L14</f>
        <v>53445</v>
      </c>
      <c r="Q14" s="175">
        <f>SUM(Q6:Q11)</f>
        <v>480</v>
      </c>
      <c r="R14" s="175">
        <f>SUM(R6:R11)</f>
        <v>571200</v>
      </c>
      <c r="S14" s="175">
        <f>SUM(S6:S11)</f>
        <v>439824</v>
      </c>
    </row>
    <row r="15" spans="1:19" ht="13.5" customHeight="1" thickBot="1">
      <c r="A15" s="745" t="s">
        <v>389</v>
      </c>
      <c r="B15" s="164"/>
      <c r="C15" s="112">
        <f>C14/($C$23+$D$23+$E$23)</f>
        <v>1.056978277465473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630</v>
      </c>
      <c r="J15" s="213" t="str">
        <f>+'26'!J15</f>
        <v>T 14 VP OW</v>
      </c>
      <c r="K15" s="238"/>
      <c r="L15" s="238"/>
      <c r="M15" s="116">
        <f>+K15+'26'!M15+L15</f>
        <v>56807</v>
      </c>
      <c r="Q15" s="148">
        <f>480-Q14</f>
        <v>0</v>
      </c>
      <c r="R15" s="175">
        <f>+R14/Q14</f>
        <v>1190</v>
      </c>
      <c r="S15" s="175">
        <f>+S14/Q14</f>
        <v>916.3</v>
      </c>
    </row>
    <row r="16" spans="1:19" ht="13.5" thickBot="1">
      <c r="A16" s="751"/>
      <c r="B16" s="214" t="s">
        <v>470</v>
      </c>
      <c r="C16" s="221">
        <v>13831</v>
      </c>
      <c r="D16" s="222">
        <v>578</v>
      </c>
      <c r="E16" s="223"/>
      <c r="F16" s="230">
        <v>8</v>
      </c>
      <c r="G16" s="231" t="s">
        <v>12</v>
      </c>
      <c r="H16" s="229" t="s">
        <v>407</v>
      </c>
      <c r="I16" s="749"/>
      <c r="J16" s="213">
        <f>+'26'!J16</f>
        <v>0</v>
      </c>
      <c r="K16" s="228"/>
      <c r="L16" s="228"/>
      <c r="M16" s="116">
        <f>+K16+'26'!M16+L16</f>
        <v>0</v>
      </c>
    </row>
    <row r="17" spans="1:19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+'26'!J17</f>
        <v>0</v>
      </c>
      <c r="K17" s="228"/>
      <c r="L17" s="228"/>
      <c r="M17" s="116">
        <f>+K17+'26'!M17+L17</f>
        <v>0</v>
      </c>
      <c r="N17" s="148" t="s">
        <v>457</v>
      </c>
      <c r="O17" s="148">
        <v>1170</v>
      </c>
      <c r="P17" s="148">
        <f>+O17-(O17*0.23)</f>
        <v>900.9</v>
      </c>
      <c r="Q17" s="148">
        <v>480</v>
      </c>
      <c r="R17" s="148">
        <f>+O17*Q17</f>
        <v>561600</v>
      </c>
      <c r="S17" s="148">
        <f>+P17*Q17</f>
        <v>432432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619</v>
      </c>
      <c r="I18" s="749"/>
      <c r="J18" s="213">
        <f>+'26'!J18</f>
        <v>0</v>
      </c>
      <c r="K18" s="238"/>
      <c r="L18" s="238"/>
      <c r="M18" s="116">
        <f>+K18+'26'!M18+L18</f>
        <v>0</v>
      </c>
      <c r="O18" s="148">
        <v>1190</v>
      </c>
      <c r="P18" s="148">
        <f>+O18-(O18*0.23)</f>
        <v>916.3</v>
      </c>
      <c r="Q18" s="148">
        <v>480</v>
      </c>
      <c r="R18" s="148">
        <f>+O18*Q18</f>
        <v>571200</v>
      </c>
      <c r="S18" s="148">
        <f>+P18*Q18</f>
        <v>439824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+'26'!J19</f>
        <v>0</v>
      </c>
      <c r="K19" s="238"/>
      <c r="L19" s="238"/>
      <c r="M19" s="116">
        <f>+K19+'26'!M19+L19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+'26'!J20</f>
        <v>0</v>
      </c>
      <c r="K20" s="239"/>
      <c r="L20" s="239"/>
      <c r="M20" s="116">
        <f>+K20+'26'!M20+L20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+'26'!J21</f>
        <v>0</v>
      </c>
      <c r="K21" s="238"/>
      <c r="L21" s="238"/>
      <c r="M21" s="116">
        <f>+K21+'26'!M21+L21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+'26'!J22</f>
        <v>0</v>
      </c>
      <c r="K22" s="238"/>
      <c r="L22" s="238"/>
      <c r="M22" s="116">
        <f>+K22+'26'!M22+L22</f>
        <v>0</v>
      </c>
    </row>
    <row r="23" spans="1:19" ht="13.5" thickBot="1">
      <c r="A23" s="752"/>
      <c r="B23" s="167" t="s">
        <v>2</v>
      </c>
      <c r="C23" s="99">
        <f>SUM(C16:C22)</f>
        <v>13831</v>
      </c>
      <c r="D23" s="110">
        <f>SUM(D16:D22)</f>
        <v>578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+'26'!J23</f>
        <v>0</v>
      </c>
      <c r="K23" s="238"/>
      <c r="L23" s="238"/>
      <c r="M23" s="116">
        <f>+K23+'26'!M23+L23</f>
        <v>0</v>
      </c>
    </row>
    <row r="24" spans="1:19" ht="13.5" customHeight="1" thickBot="1">
      <c r="A24" s="745" t="s">
        <v>438</v>
      </c>
      <c r="B24" s="169"/>
      <c r="C24" s="112">
        <f>C23/($C$23+$D$23+$E$23)</f>
        <v>0.95988618224720657</v>
      </c>
      <c r="D24" s="113">
        <f>D23/($C$23+$D$23+$E$23)</f>
        <v>4.0113817752793393E-2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637</v>
      </c>
      <c r="J24" s="213">
        <f>+'26'!J24</f>
        <v>0</v>
      </c>
      <c r="K24" s="238"/>
      <c r="L24" s="238"/>
      <c r="M24" s="116">
        <f>+K24+'26'!M24+L24</f>
        <v>0</v>
      </c>
    </row>
    <row r="25" spans="1:19" ht="13.5" thickBot="1">
      <c r="A25" s="751"/>
      <c r="B25" s="214" t="s">
        <v>470</v>
      </c>
      <c r="C25" s="225">
        <v>13776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+'26'!J25</f>
        <v>0</v>
      </c>
      <c r="K25" s="238"/>
      <c r="L25" s="238"/>
      <c r="M25" s="116">
        <f>+K25+'26'!M25+L25</f>
        <v>0</v>
      </c>
      <c r="Q25" s="175">
        <f>SUM(Q17:Q22)</f>
        <v>960</v>
      </c>
      <c r="R25" s="175">
        <f>SUM(R17:R22)</f>
        <v>1132800</v>
      </c>
      <c r="S25" s="175">
        <f>SUM(S17:S22)</f>
        <v>872256</v>
      </c>
    </row>
    <row r="26" spans="1:19" ht="13.5" thickBot="1">
      <c r="A26" s="751"/>
      <c r="B26" s="214"/>
      <c r="C26" s="225"/>
      <c r="D26" s="216"/>
      <c r="E26" s="226"/>
      <c r="F26" s="227">
        <f>23-9</f>
        <v>14</v>
      </c>
      <c r="G26" s="231" t="s">
        <v>12</v>
      </c>
      <c r="H26" s="232" t="s">
        <v>406</v>
      </c>
      <c r="I26" s="749"/>
      <c r="J26" s="213">
        <f>+'26'!J26</f>
        <v>0</v>
      </c>
      <c r="K26" s="238"/>
      <c r="L26" s="238"/>
      <c r="M26" s="116">
        <f>+K26+'26'!M26+L26</f>
        <v>0</v>
      </c>
      <c r="Q26" s="148">
        <f>480-Q25</f>
        <v>-480</v>
      </c>
      <c r="R26" s="175">
        <f>+R25/Q25</f>
        <v>1180</v>
      </c>
      <c r="S26" s="175">
        <f>+S25/Q25</f>
        <v>908.6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645</v>
      </c>
      <c r="I27" s="749"/>
      <c r="J27" s="213">
        <f>+'26'!J27</f>
        <v>0</v>
      </c>
      <c r="K27" s="238"/>
      <c r="L27" s="238"/>
      <c r="M27" s="116">
        <f>+K27+'26'!M27+L27</f>
        <v>0</v>
      </c>
    </row>
    <row r="28" spans="1:19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+'26'!J28</f>
        <v>0</v>
      </c>
      <c r="K28" s="238"/>
      <c r="L28" s="238"/>
      <c r="M28" s="116">
        <f>+K28+'26'!M28+L28</f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+'26'!J29</f>
        <v>0</v>
      </c>
      <c r="K29" s="238"/>
      <c r="L29" s="238"/>
      <c r="M29" s="116">
        <f>+K29+'26'!M29+L29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+'26'!J30</f>
        <v>0</v>
      </c>
      <c r="K30" s="238"/>
      <c r="L30" s="238"/>
      <c r="M30" s="116">
        <f>+K30+'26'!M30+L30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+'26'!J31</f>
        <v>0</v>
      </c>
      <c r="K31" s="238"/>
      <c r="L31" s="238"/>
      <c r="M31" s="116">
        <f>+K31+'26'!M31+L31</f>
        <v>0</v>
      </c>
    </row>
    <row r="32" spans="1:19" ht="13.5" thickBot="1">
      <c r="A32" s="752"/>
      <c r="B32" s="164" t="s">
        <v>2</v>
      </c>
      <c r="C32" s="98">
        <f>SUM(C25:C31)</f>
        <v>13776</v>
      </c>
      <c r="D32" s="99">
        <f>SUM(D25:D31)</f>
        <v>0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13">
        <f>+'26'!J32</f>
        <v>0</v>
      </c>
      <c r="K32" s="240"/>
      <c r="L32" s="242"/>
      <c r="M32" s="116">
        <f>+K32+'26'!M32+L32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42837</v>
      </c>
      <c r="D34" s="106">
        <f>D14+D23+D32</f>
        <v>578</v>
      </c>
      <c r="E34" s="106">
        <f>E14+E23+E32</f>
        <v>0</v>
      </c>
      <c r="F34" s="107">
        <f>F14+F23+F32</f>
        <v>59</v>
      </c>
      <c r="H34" s="177"/>
      <c r="I34" s="177"/>
      <c r="J34" s="122" t="s">
        <v>28</v>
      </c>
      <c r="K34" s="123">
        <f>SUM(K7:K32)</f>
        <v>42837</v>
      </c>
      <c r="L34" s="211">
        <f>SUM(L7:L32)</f>
        <v>0</v>
      </c>
      <c r="M34" s="119">
        <f>SUM(M7:M32)</f>
        <v>1029532</v>
      </c>
    </row>
    <row r="35" spans="1:13" ht="13.5" thickBot="1">
      <c r="A35" s="178"/>
      <c r="B35" s="179"/>
      <c r="C35" s="103">
        <f>C34/($C$34+$D$34+$E$34)</f>
        <v>0.98668662904526083</v>
      </c>
      <c r="D35" s="103">
        <f>D34/($C$34+$D$34+$E$34)</f>
        <v>1.3313370954739145E-2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8"/>
      <c r="G37" s="323"/>
      <c r="H37" s="185" t="s">
        <v>62</v>
      </c>
      <c r="I37" s="243">
        <f>(13*1440)/1440*G42*2.74*1440/1000000</f>
        <v>46.736289599999999</v>
      </c>
      <c r="J37" s="124">
        <f>+I37+'26'!J37</f>
        <v>1195.472926221121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59</v>
      </c>
      <c r="D38" s="117">
        <f>+C38+'26'!D38</f>
        <v>1817</v>
      </c>
      <c r="E38" s="142">
        <f t="shared" ref="E38:E51" si="0">D38/60</f>
        <v>30.283333333333335</v>
      </c>
      <c r="F38" s="321">
        <v>1190</v>
      </c>
      <c r="G38" s="321">
        <v>916.3</v>
      </c>
      <c r="H38" s="186" t="s">
        <v>64</v>
      </c>
      <c r="I38" s="244">
        <f>13.45+14.158+13.185</f>
        <v>40.792999999999999</v>
      </c>
      <c r="J38" s="126">
        <f>+I38+'26'!J38</f>
        <v>1066.6559999999997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+C39+'26'!D39</f>
        <v>0</v>
      </c>
      <c r="E39" s="142">
        <f t="shared" si="0"/>
        <v>0</v>
      </c>
      <c r="F39" s="321">
        <v>1170</v>
      </c>
      <c r="G39" s="321">
        <v>900.9</v>
      </c>
      <c r="H39" s="186" t="s">
        <v>65</v>
      </c>
      <c r="I39" s="141"/>
      <c r="J39" s="128">
        <f>J37/G4</f>
        <v>44.276775045226707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+C40+'26'!D40</f>
        <v>481</v>
      </c>
      <c r="E40" s="142">
        <f t="shared" si="0"/>
        <v>8.0166666666666675</v>
      </c>
      <c r="F40" s="321">
        <v>1190</v>
      </c>
      <c r="G40" s="321">
        <v>916.3</v>
      </c>
      <c r="H40" s="186" t="s">
        <v>67</v>
      </c>
      <c r="I40" s="117">
        <f>(K34+L34)/1000</f>
        <v>42.837000000000003</v>
      </c>
      <c r="J40" s="130">
        <f>+I40+'26'!J40</f>
        <v>1029.5319999999999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+C41+'26'!D41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38.130814814814812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+C42+'26'!D42</f>
        <v>0</v>
      </c>
      <c r="E42" s="142">
        <f t="shared" si="0"/>
        <v>0</v>
      </c>
      <c r="F42" s="321">
        <f>+(480*F38+480*F39+480*F40)/1440</f>
        <v>1183.3333333333333</v>
      </c>
      <c r="G42" s="321">
        <f>+(480*G38+480*G39+480*G40)/1440</f>
        <v>911.16666666666663</v>
      </c>
      <c r="H42" s="186" t="s">
        <v>70</v>
      </c>
      <c r="I42" s="245" t="s">
        <v>648</v>
      </c>
      <c r="J42" s="131"/>
      <c r="K42" s="129" t="s">
        <v>71</v>
      </c>
    </row>
    <row r="43" spans="1:13" ht="17.45" customHeight="1">
      <c r="A43" s="759" t="s">
        <v>72</v>
      </c>
      <c r="B43" s="760"/>
      <c r="C43" s="163">
        <f>SUMIF($G$7:$G$31,"Water",$F$7:$F$31)</f>
        <v>0</v>
      </c>
      <c r="D43" s="117">
        <f>+C43+'26'!D43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+Report1!Z35</f>
        <v>52.7</v>
      </c>
      <c r="J43" s="132">
        <f>+I43+'26'!J43</f>
        <v>1380.1999999999998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+C44+'26'!D44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1.2918883141715491</v>
      </c>
      <c r="J44" s="133">
        <f>J43/J38</f>
        <v>1.2939504395043953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+C45+'26'!D45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1.2302448817610943</v>
      </c>
      <c r="J45" s="133">
        <f>J43/J40</f>
        <v>1.3406091311391972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+C46+'26'!D46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+SUMIF(Listrik!P34,"&gt;0")</f>
        <v>40855.06</v>
      </c>
      <c r="J46" s="134">
        <f>+I46+'26'!J46</f>
        <v>1020413.7200000002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+C47+'26'!D47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1001.521339445493</v>
      </c>
      <c r="J47" s="134">
        <f>J46/J38</f>
        <v>956.64742897429016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+C48+'26'!D48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953.73298783761686</v>
      </c>
      <c r="J48" s="134">
        <f>J46/J40</f>
        <v>991.14327675099003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+C49+'26'!D49</f>
        <v>0</v>
      </c>
      <c r="E49" s="142">
        <f t="shared" si="0"/>
        <v>0</v>
      </c>
      <c r="F49" s="184"/>
      <c r="H49" s="187" t="s">
        <v>269</v>
      </c>
      <c r="I49" s="117">
        <f>+Report1!T35</f>
        <v>5256.4293522085836</v>
      </c>
      <c r="J49" s="134">
        <f>+I49+'26'!J49</f>
        <v>128859.34142544765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+C50+'26'!D50</f>
        <v>0</v>
      </c>
      <c r="E50" s="142">
        <f t="shared" si="0"/>
        <v>0</v>
      </c>
      <c r="F50" s="184"/>
      <c r="H50" s="187" t="s">
        <v>83</v>
      </c>
      <c r="I50" s="139">
        <f>I49/I38</f>
        <v>128.85616042479307</v>
      </c>
      <c r="J50" s="132">
        <f>J49/J38</f>
        <v>120.80684065476375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+C51+'26'!D51</f>
        <v>0</v>
      </c>
      <c r="E51" s="142">
        <f t="shared" si="0"/>
        <v>0</v>
      </c>
      <c r="F51" s="184"/>
      <c r="H51" s="189" t="s">
        <v>85</v>
      </c>
      <c r="I51" s="140">
        <f>I49/I40</f>
        <v>122.70769083289173</v>
      </c>
      <c r="J51" s="135">
        <f>J49/J40</f>
        <v>125.16302691460552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59</v>
      </c>
      <c r="D52" s="143">
        <f>SUM(D38:D51)</f>
        <v>2538</v>
      </c>
      <c r="E52" s="144">
        <f>SUM(E38:E51)</f>
        <v>42.300000000000004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4.0972222222222222E-2</v>
      </c>
      <c r="D53" s="145">
        <f>D52/(24*60*G4)</f>
        <v>6.5277777777777782E-2</v>
      </c>
      <c r="E53" s="146">
        <f>E52/(G4*24)</f>
        <v>6.5277777777777782E-2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+D34+'26'!J56</f>
        <v>3937</v>
      </c>
      <c r="K56" s="200">
        <f>J56/(J40+J56/1000)/1000</f>
        <v>3.809499849535884E-3</v>
      </c>
    </row>
    <row r="57" spans="1:11">
      <c r="A57" s="175"/>
      <c r="I57" s="198" t="s">
        <v>88</v>
      </c>
      <c r="J57" s="199">
        <f>+E34+'26'!J57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S61"/>
  <sheetViews>
    <sheetView topLeftCell="A22" zoomScale="80" zoomScaleNormal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7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26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1170</v>
      </c>
      <c r="P6" s="148">
        <f>+O6-(O6*0.23)</f>
        <v>900.9</v>
      </c>
      <c r="Q6" s="148">
        <f>480-Q7</f>
        <v>430</v>
      </c>
      <c r="R6" s="148">
        <f>+O6*Q6</f>
        <v>503100</v>
      </c>
      <c r="S6" s="148">
        <f>+P6*Q6</f>
        <v>387387</v>
      </c>
    </row>
    <row r="7" spans="1:19" ht="13.5" customHeight="1" thickBot="1">
      <c r="A7" s="745" t="s">
        <v>388</v>
      </c>
      <c r="B7" s="214" t="s">
        <v>470</v>
      </c>
      <c r="C7" s="215">
        <v>13447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638</v>
      </c>
      <c r="J7" s="213" t="str">
        <f>+'25'!J7</f>
        <v>F 14 VP OW</v>
      </c>
      <c r="K7" s="237"/>
      <c r="L7" s="241"/>
      <c r="M7" s="116">
        <f>+K7+'25'!M7+L7</f>
        <v>190720</v>
      </c>
      <c r="O7" s="148">
        <f>+O6+20</f>
        <v>1190</v>
      </c>
      <c r="P7" s="148">
        <f>+O7-(O7*0.23)</f>
        <v>916.3</v>
      </c>
      <c r="Q7" s="148">
        <f>60-10</f>
        <v>50</v>
      </c>
      <c r="R7" s="148">
        <f>+O7*Q7</f>
        <v>59500</v>
      </c>
      <c r="S7" s="148">
        <f>+P7*Q7</f>
        <v>45815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+'25'!J8</f>
        <v>F 15 VP OW</v>
      </c>
      <c r="K8" s="238"/>
      <c r="L8" s="238"/>
      <c r="M8" s="116">
        <f>+K8+'25'!M8+L8</f>
        <v>95546</v>
      </c>
    </row>
    <row r="9" spans="1:19" ht="13.5" thickBot="1">
      <c r="A9" s="746"/>
      <c r="B9" s="214"/>
      <c r="C9" s="215"/>
      <c r="D9" s="216"/>
      <c r="E9" s="219"/>
      <c r="F9" s="227">
        <v>9</v>
      </c>
      <c r="G9" s="231" t="s">
        <v>12</v>
      </c>
      <c r="H9" s="232" t="s">
        <v>406</v>
      </c>
      <c r="I9" s="749"/>
      <c r="J9" s="213" t="str">
        <f>+'25'!J9</f>
        <v>T 12 VP OW</v>
      </c>
      <c r="K9" s="238"/>
      <c r="L9" s="238"/>
      <c r="M9" s="116">
        <f>+K9+'25'!M9+L9</f>
        <v>50578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635</v>
      </c>
      <c r="I10" s="749"/>
      <c r="J10" s="213" t="str">
        <f>+'25'!J10</f>
        <v>T 13 VP OW</v>
      </c>
      <c r="K10" s="238">
        <f>+C34</f>
        <v>38848</v>
      </c>
      <c r="L10" s="238"/>
      <c r="M10" s="116">
        <f>+K10+'25'!M10+L10</f>
        <v>308171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 t="s">
        <v>636</v>
      </c>
      <c r="I11" s="749"/>
      <c r="J11" s="213" t="str">
        <f>+'25'!J11</f>
        <v>T 15 VP OW</v>
      </c>
      <c r="K11" s="238"/>
      <c r="L11" s="238"/>
      <c r="M11" s="116">
        <f>+K11+'25'!M11+L11</f>
        <v>79299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+'25'!J12</f>
        <v>F 12 VP OW</v>
      </c>
      <c r="K12" s="238"/>
      <c r="L12" s="238"/>
      <c r="M12" s="116">
        <f>+K12+'25'!M12+L12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+'25'!J13</f>
        <v>F 13 VP OW</v>
      </c>
      <c r="K13" s="238"/>
      <c r="L13" s="238"/>
      <c r="M13" s="116">
        <f>+K13+'25'!M13+L13</f>
        <v>32376</v>
      </c>
    </row>
    <row r="14" spans="1:19" ht="13.5" thickBot="1">
      <c r="A14" s="747"/>
      <c r="B14" s="164" t="s">
        <v>2</v>
      </c>
      <c r="C14" s="98">
        <f>SUM(C7:C13)</f>
        <v>13447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 t="str">
        <f>+'25'!J14</f>
        <v>F 11,5 VP OW</v>
      </c>
      <c r="K14" s="238"/>
      <c r="L14" s="238"/>
      <c r="M14" s="116">
        <f>+K14+'25'!M14+L14</f>
        <v>53445</v>
      </c>
      <c r="Q14" s="175">
        <f>SUM(Q6:Q11)</f>
        <v>480</v>
      </c>
      <c r="R14" s="175">
        <f>SUM(R6:R11)</f>
        <v>562600</v>
      </c>
      <c r="S14" s="175">
        <f>SUM(S6:S11)</f>
        <v>433202</v>
      </c>
    </row>
    <row r="15" spans="1:19" ht="13.5" customHeight="1" thickBot="1">
      <c r="A15" s="745" t="s">
        <v>389</v>
      </c>
      <c r="B15" s="164"/>
      <c r="C15" s="112">
        <f>C14/($C$23+$D$23+$E$23)</f>
        <v>0.98383084577114432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637</v>
      </c>
      <c r="J15" s="213" t="str">
        <f>+'25'!J15</f>
        <v>T 14 VP OW</v>
      </c>
      <c r="K15" s="238"/>
      <c r="L15" s="238"/>
      <c r="M15" s="116">
        <f>+K15+'25'!M15+L15</f>
        <v>56807</v>
      </c>
      <c r="Q15" s="148">
        <f>480-Q14</f>
        <v>0</v>
      </c>
      <c r="R15" s="175">
        <f>+R14/Q14</f>
        <v>1172.0833333333333</v>
      </c>
      <c r="S15" s="175">
        <f>+S14/Q14</f>
        <v>902.50416666666672</v>
      </c>
    </row>
    <row r="16" spans="1:19" ht="13.5" thickBot="1">
      <c r="A16" s="751"/>
      <c r="B16" s="214" t="s">
        <v>470</v>
      </c>
      <c r="C16" s="221">
        <v>13668</v>
      </c>
      <c r="D16" s="222"/>
      <c r="E16" s="223"/>
      <c r="F16" s="230">
        <v>8</v>
      </c>
      <c r="G16" s="231" t="s">
        <v>12</v>
      </c>
      <c r="H16" s="229" t="s">
        <v>386</v>
      </c>
      <c r="I16" s="749"/>
      <c r="J16" s="213">
        <f>+'25'!J16</f>
        <v>0</v>
      </c>
      <c r="K16" s="228"/>
      <c r="L16" s="228"/>
      <c r="M16" s="116">
        <f>+K16+'25'!M16+L16</f>
        <v>0</v>
      </c>
    </row>
    <row r="17" spans="1:19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+'25'!J17</f>
        <v>0</v>
      </c>
      <c r="K17" s="228"/>
      <c r="L17" s="228"/>
      <c r="M17" s="116">
        <f>+K17+'25'!M17+L17</f>
        <v>0</v>
      </c>
      <c r="N17" s="148" t="s">
        <v>457</v>
      </c>
      <c r="O17" s="148">
        <v>1190</v>
      </c>
      <c r="P17" s="148">
        <f>+O17-(O17*0.23)</f>
        <v>916.3</v>
      </c>
      <c r="Q17" s="148">
        <v>480</v>
      </c>
      <c r="R17" s="148">
        <f>+O17*Q17</f>
        <v>571200</v>
      </c>
      <c r="S17" s="148">
        <f>+P17*Q17</f>
        <v>439824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634</v>
      </c>
      <c r="I18" s="749"/>
      <c r="J18" s="213">
        <f>+'25'!J18</f>
        <v>0</v>
      </c>
      <c r="K18" s="238"/>
      <c r="L18" s="238"/>
      <c r="M18" s="116">
        <f>+K18+'25'!M18+L18</f>
        <v>0</v>
      </c>
      <c r="R18" s="148">
        <f>+O18*Q18</f>
        <v>0</v>
      </c>
      <c r="S18" s="148">
        <f>+P18*Q18</f>
        <v>0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+'25'!J19</f>
        <v>0</v>
      </c>
      <c r="K19" s="238"/>
      <c r="L19" s="238"/>
      <c r="M19" s="116">
        <f>+K19+'25'!M19+L19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+'25'!J20</f>
        <v>0</v>
      </c>
      <c r="K20" s="239"/>
      <c r="L20" s="239"/>
      <c r="M20" s="116">
        <f>+K20+'25'!M20+L20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+'25'!J21</f>
        <v>0</v>
      </c>
      <c r="K21" s="238"/>
      <c r="L21" s="238"/>
      <c r="M21" s="116">
        <f>+K21+'25'!M21+L21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+'25'!J22</f>
        <v>0</v>
      </c>
      <c r="K22" s="238"/>
      <c r="L22" s="238"/>
      <c r="M22" s="116">
        <f>+K22+'25'!M22+L22</f>
        <v>0</v>
      </c>
    </row>
    <row r="23" spans="1:19" ht="13.5" thickBot="1">
      <c r="A23" s="752"/>
      <c r="B23" s="167" t="s">
        <v>2</v>
      </c>
      <c r="C23" s="99">
        <f>SUM(C16:C22)</f>
        <v>13668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+'25'!J23</f>
        <v>0</v>
      </c>
      <c r="K23" s="238"/>
      <c r="L23" s="238"/>
      <c r="M23" s="116">
        <f>+K23+'25'!M23+L23</f>
        <v>0</v>
      </c>
    </row>
    <row r="24" spans="1:19" ht="13.5" customHeight="1" thickBot="1">
      <c r="A24" s="745" t="s">
        <v>387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630</v>
      </c>
      <c r="J24" s="213">
        <f>+'25'!J24</f>
        <v>0</v>
      </c>
      <c r="K24" s="238"/>
      <c r="L24" s="238"/>
      <c r="M24" s="116">
        <f>+K24+'25'!M24+L24</f>
        <v>0</v>
      </c>
    </row>
    <row r="25" spans="1:19" ht="13.5" thickBot="1">
      <c r="A25" s="751"/>
      <c r="B25" s="214" t="s">
        <v>470</v>
      </c>
      <c r="C25" s="225">
        <v>11733</v>
      </c>
      <c r="D25" s="216"/>
      <c r="E25" s="224"/>
      <c r="F25" s="230">
        <v>8</v>
      </c>
      <c r="G25" s="231" t="s">
        <v>12</v>
      </c>
      <c r="H25" s="229" t="s">
        <v>386</v>
      </c>
      <c r="I25" s="749"/>
      <c r="J25" s="213">
        <f>+'25'!J25</f>
        <v>0</v>
      </c>
      <c r="K25" s="238"/>
      <c r="L25" s="238"/>
      <c r="M25" s="116">
        <f>+K25+'25'!M25+L25</f>
        <v>0</v>
      </c>
      <c r="Q25" s="175">
        <f>SUM(Q17:Q22)</f>
        <v>480</v>
      </c>
      <c r="R25" s="175">
        <f>SUM(R17:R22)</f>
        <v>571200</v>
      </c>
      <c r="S25" s="175">
        <f>SUM(S17:S22)</f>
        <v>439824</v>
      </c>
    </row>
    <row r="26" spans="1:19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406</v>
      </c>
      <c r="I26" s="749"/>
      <c r="J26" s="213">
        <f>+'25'!J26</f>
        <v>0</v>
      </c>
      <c r="K26" s="238"/>
      <c r="L26" s="238"/>
      <c r="M26" s="116">
        <f>+K26+'25'!M26+L26</f>
        <v>0</v>
      </c>
      <c r="Q26" s="148">
        <f>480-Q25</f>
        <v>0</v>
      </c>
      <c r="R26" s="175">
        <f>+R25/Q25</f>
        <v>1190</v>
      </c>
      <c r="S26" s="175">
        <f>+S25/Q25</f>
        <v>916.3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619</v>
      </c>
      <c r="I27" s="749"/>
      <c r="J27" s="213">
        <f>+'25'!J27</f>
        <v>0</v>
      </c>
      <c r="K27" s="238"/>
      <c r="L27" s="238"/>
      <c r="M27" s="116">
        <f>+K27+'25'!M27+L27</f>
        <v>0</v>
      </c>
      <c r="N27" s="148" t="s">
        <v>457</v>
      </c>
      <c r="O27" s="148">
        <v>1170</v>
      </c>
      <c r="P27" s="148">
        <f>+O27-(O27*0.23)</f>
        <v>900.9</v>
      </c>
      <c r="Q27" s="148">
        <v>480</v>
      </c>
      <c r="R27" s="148">
        <f>+O27*Q27</f>
        <v>561600</v>
      </c>
      <c r="S27" s="148">
        <f>+P27*Q27</f>
        <v>432432</v>
      </c>
    </row>
    <row r="28" spans="1:19" ht="13.5" customHeight="1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+'25'!J28</f>
        <v>0</v>
      </c>
      <c r="K28" s="238"/>
      <c r="L28" s="238"/>
      <c r="M28" s="116">
        <f>+K28+'25'!M28+L28</f>
        <v>0</v>
      </c>
      <c r="R28" s="148">
        <f>+O28*Q28</f>
        <v>0</v>
      </c>
      <c r="S28" s="148">
        <f>+P28*Q28</f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+'25'!J29</f>
        <v>0</v>
      </c>
      <c r="K29" s="238"/>
      <c r="L29" s="238"/>
      <c r="M29" s="116">
        <f>+K29+'25'!M29+L29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+'25'!J30</f>
        <v>0</v>
      </c>
      <c r="K30" s="238"/>
      <c r="L30" s="238"/>
      <c r="M30" s="116">
        <f>+K30+'25'!M30+L30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+'25'!J31</f>
        <v>0</v>
      </c>
      <c r="K31" s="238"/>
      <c r="L31" s="238"/>
      <c r="M31" s="116">
        <f>+K31+'25'!M31+L31</f>
        <v>0</v>
      </c>
    </row>
    <row r="32" spans="1:19" ht="13.5" thickBot="1">
      <c r="A32" s="752"/>
      <c r="B32" s="164" t="s">
        <v>2</v>
      </c>
      <c r="C32" s="98">
        <f>SUM(C25:C31)</f>
        <v>11733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+'25'!J32</f>
        <v>0</v>
      </c>
      <c r="K32" s="240"/>
      <c r="L32" s="242"/>
      <c r="M32" s="116">
        <f>+K32+'25'!M32+L32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38848</v>
      </c>
      <c r="D34" s="106">
        <f>D14+D23+D32</f>
        <v>0</v>
      </c>
      <c r="E34" s="106">
        <f>E14+E23+E32</f>
        <v>0</v>
      </c>
      <c r="F34" s="107">
        <f>F14+F23+F32</f>
        <v>54</v>
      </c>
      <c r="H34" s="177"/>
      <c r="I34" s="177"/>
      <c r="J34" s="122" t="s">
        <v>28</v>
      </c>
      <c r="K34" s="123">
        <f>SUM(K7:K32)</f>
        <v>38848</v>
      </c>
      <c r="L34" s="211">
        <f>SUM(L7:L32)</f>
        <v>0</v>
      </c>
      <c r="M34" s="119">
        <f>SUM(M7:M32)</f>
        <v>986695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561600</v>
      </c>
      <c r="S35" s="175">
        <f>SUM(S27:S32)</f>
        <v>432432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1170</v>
      </c>
      <c r="S36" s="175">
        <f>+S35/Q35</f>
        <v>900.9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46.50041396000001</v>
      </c>
      <c r="J37" s="124">
        <f>+I37+'25'!J37</f>
        <v>1148.7366366211211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54</v>
      </c>
      <c r="D38" s="117">
        <f>+C38+'25'!D38</f>
        <v>1758</v>
      </c>
      <c r="E38" s="142">
        <f t="shared" ref="E38:E51" si="0">D38/60</f>
        <v>29.3</v>
      </c>
      <c r="F38" s="321">
        <v>1172.0833333333333</v>
      </c>
      <c r="G38" s="321">
        <v>902.50416666666672</v>
      </c>
      <c r="H38" s="186" t="s">
        <v>64</v>
      </c>
      <c r="I38" s="244">
        <f>13.517+13.982+14.691</f>
        <v>42.19</v>
      </c>
      <c r="J38" s="126">
        <f>+I38+'25'!J38</f>
        <v>1025.8629999999998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+C39+'25'!D39</f>
        <v>0</v>
      </c>
      <c r="E39" s="142">
        <f t="shared" si="0"/>
        <v>0</v>
      </c>
      <c r="F39" s="321">
        <v>1190</v>
      </c>
      <c r="G39" s="321">
        <v>916.3</v>
      </c>
      <c r="H39" s="186" t="s">
        <v>65</v>
      </c>
      <c r="I39" s="141"/>
      <c r="J39" s="128">
        <f>J37/G4</f>
        <v>44.182178331581582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+C40+'25'!D40</f>
        <v>481</v>
      </c>
      <c r="E40" s="142">
        <f t="shared" si="0"/>
        <v>8.0166666666666675</v>
      </c>
      <c r="F40" s="321">
        <v>1170</v>
      </c>
      <c r="G40" s="321">
        <v>900.9</v>
      </c>
      <c r="H40" s="186" t="s">
        <v>67</v>
      </c>
      <c r="I40" s="117">
        <f>(K34+L34)/1000</f>
        <v>38.847999999999999</v>
      </c>
      <c r="J40" s="130">
        <f>+I40+'25'!J40</f>
        <v>986.69499999999994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+C41+'25'!D41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37.949807692307687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+C42+'25'!D42</f>
        <v>0</v>
      </c>
      <c r="E42" s="142">
        <f t="shared" si="0"/>
        <v>0</v>
      </c>
      <c r="F42" s="321">
        <f>+(480*F38+480*F40+480*F39)/1440</f>
        <v>1177.3611111111111</v>
      </c>
      <c r="G42" s="321">
        <f>+(480*G38+480*G40+480*G39)/1440</f>
        <v>906.56805555555559</v>
      </c>
      <c r="H42" s="186" t="s">
        <v>70</v>
      </c>
      <c r="I42" s="245" t="s">
        <v>639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+C43+'25'!D43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+Report1!Z34</f>
        <v>51.1</v>
      </c>
      <c r="J43" s="132">
        <f>+I43+'25'!J43</f>
        <v>1327.4999999999998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+C44+'25'!D44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1.2111874851860631</v>
      </c>
      <c r="J44" s="133">
        <f>J43/J38</f>
        <v>1.2940324390293831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+C45+'25'!D45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1.3153830313014827</v>
      </c>
      <c r="J45" s="133">
        <f>J43/J40</f>
        <v>1.3454005543759722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+C46+'25'!D46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+SUMIF(Listrik!P33,"&gt;0")</f>
        <v>40503.360000000728</v>
      </c>
      <c r="J46" s="134">
        <f>+I46+'25'!J46</f>
        <v>979558.66000000015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+C47+'25'!D47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960.02275420717535</v>
      </c>
      <c r="J47" s="134">
        <f>J46/J38</f>
        <v>954.86303726715971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+C48+'25'!D48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1042.6112026359331</v>
      </c>
      <c r="J48" s="134">
        <f>J46/J40</f>
        <v>992.76743066499796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+C49+'25'!D49</f>
        <v>0</v>
      </c>
      <c r="E49" s="142">
        <f t="shared" si="0"/>
        <v>0</v>
      </c>
      <c r="F49" s="184"/>
      <c r="H49" s="187" t="s">
        <v>269</v>
      </c>
      <c r="I49" s="117">
        <f>+Report1!T34</f>
        <v>5425.6101657998252</v>
      </c>
      <c r="J49" s="134">
        <f>+I49+'25'!J49</f>
        <v>123602.91207323907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+C50+'25'!D50</f>
        <v>0</v>
      </c>
      <c r="E50" s="142">
        <f t="shared" si="0"/>
        <v>0</v>
      </c>
      <c r="F50" s="184"/>
      <c r="H50" s="187" t="s">
        <v>83</v>
      </c>
      <c r="I50" s="139">
        <f>I49/I38</f>
        <v>128.59943507465812</v>
      </c>
      <c r="J50" s="132">
        <f>J49/J38</f>
        <v>120.48676292374235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+C51+'25'!D51</f>
        <v>0</v>
      </c>
      <c r="E51" s="142">
        <f t="shared" si="0"/>
        <v>0</v>
      </c>
      <c r="F51" s="184"/>
      <c r="H51" s="189" t="s">
        <v>85</v>
      </c>
      <c r="I51" s="140">
        <f>I49/I40</f>
        <v>139.66253515753257</v>
      </c>
      <c r="J51" s="135">
        <f>J49/J40</f>
        <v>125.26962442623007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54</v>
      </c>
      <c r="D52" s="143">
        <f>SUM(D38:D51)</f>
        <v>2479</v>
      </c>
      <c r="E52" s="144">
        <f>SUM(E38:E51)</f>
        <v>41.31666666666667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3.7499999999999999E-2</v>
      </c>
      <c r="D53" s="145">
        <f>D52/(24*60*G4)</f>
        <v>6.6212606837606838E-2</v>
      </c>
      <c r="E53" s="146">
        <f>E52/(G4*24)</f>
        <v>6.6212606837606838E-2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+D34+'25'!J56</f>
        <v>3359</v>
      </c>
      <c r="K56" s="200">
        <f>J56/(J40+J56/1000)/1000</f>
        <v>3.3927442341528846E-3</v>
      </c>
    </row>
    <row r="57" spans="1:11">
      <c r="A57" s="175"/>
      <c r="I57" s="198" t="s">
        <v>88</v>
      </c>
      <c r="J57" s="199">
        <f>+E34+'25'!J57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Z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25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614</v>
      </c>
      <c r="O6" s="148">
        <v>1100</v>
      </c>
      <c r="P6" s="148">
        <f>+O6-(O6*0.23)</f>
        <v>847</v>
      </c>
      <c r="Q6" s="148">
        <f>60*6</f>
        <v>360</v>
      </c>
      <c r="R6" s="148">
        <f>+O6*Q6</f>
        <v>396000</v>
      </c>
      <c r="S6" s="148">
        <f>+P6*Q6</f>
        <v>304920</v>
      </c>
    </row>
    <row r="7" spans="1:19" ht="13.5" customHeight="1" thickBot="1">
      <c r="A7" s="745" t="s">
        <v>388</v>
      </c>
      <c r="B7" s="214" t="s">
        <v>617</v>
      </c>
      <c r="C7" s="215">
        <v>13125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629</v>
      </c>
      <c r="J7" s="213" t="str">
        <f>+'24'!J7</f>
        <v>F 14 VP OW</v>
      </c>
      <c r="K7" s="237"/>
      <c r="L7" s="241"/>
      <c r="M7" s="116">
        <f>+K7+'24'!M7+L7</f>
        <v>190720</v>
      </c>
      <c r="N7" s="148" t="s">
        <v>457</v>
      </c>
      <c r="O7" s="148">
        <v>1160</v>
      </c>
      <c r="P7" s="148">
        <f>+O7-(O7*0.23)</f>
        <v>893.2</v>
      </c>
      <c r="Q7" s="148">
        <f>480-Q6</f>
        <v>120</v>
      </c>
      <c r="R7" s="148">
        <f>+O7*Q7</f>
        <v>139200</v>
      </c>
      <c r="S7" s="148">
        <f>+P7*Q7</f>
        <v>107184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+'24'!J8</f>
        <v>F 15 VP OW</v>
      </c>
      <c r="K8" s="238"/>
      <c r="L8" s="238"/>
      <c r="M8" s="116">
        <f>+K8+'24'!M8+L8</f>
        <v>95546</v>
      </c>
    </row>
    <row r="9" spans="1:19" ht="13.5" thickBot="1">
      <c r="A9" s="746"/>
      <c r="B9" s="214"/>
      <c r="C9" s="215"/>
      <c r="D9" s="216"/>
      <c r="E9" s="219"/>
      <c r="F9" s="227">
        <f>21-9</f>
        <v>12</v>
      </c>
      <c r="G9" s="231" t="s">
        <v>12</v>
      </c>
      <c r="H9" s="232" t="s">
        <v>406</v>
      </c>
      <c r="I9" s="749"/>
      <c r="J9" s="213" t="str">
        <f>+'24'!J9</f>
        <v>T 12 VP OW</v>
      </c>
      <c r="K9" s="238"/>
      <c r="L9" s="238"/>
      <c r="M9" s="116">
        <f>+K9+'24'!M9+L9</f>
        <v>50578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627</v>
      </c>
      <c r="I10" s="749"/>
      <c r="J10" s="213" t="str">
        <f>+'24'!J10</f>
        <v>T 13 VP OW</v>
      </c>
      <c r="K10" s="238">
        <f>+C16+C25</f>
        <v>27464</v>
      </c>
      <c r="L10" s="238"/>
      <c r="M10" s="116">
        <f>+K10+'24'!M10+L10</f>
        <v>269323</v>
      </c>
    </row>
    <row r="11" spans="1:19" ht="64.5" thickBot="1">
      <c r="A11" s="746"/>
      <c r="B11" s="214"/>
      <c r="C11" s="215"/>
      <c r="D11" s="216"/>
      <c r="E11" s="218"/>
      <c r="F11" s="227"/>
      <c r="G11" s="231"/>
      <c r="H11" s="232" t="s">
        <v>628</v>
      </c>
      <c r="I11" s="749"/>
      <c r="J11" s="213" t="str">
        <f>+'24'!J11</f>
        <v>T 15 VP OW</v>
      </c>
      <c r="K11" s="238"/>
      <c r="L11" s="238"/>
      <c r="M11" s="116">
        <f>+K11+'24'!M11+L11</f>
        <v>79299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+'24'!J12</f>
        <v>F 12 VP OW</v>
      </c>
      <c r="K12" s="238"/>
      <c r="L12" s="238"/>
      <c r="M12" s="116">
        <f>+K12+'24'!M12+L12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+'24'!J13</f>
        <v>F 13 VP OW</v>
      </c>
      <c r="K13" s="238"/>
      <c r="L13" s="238"/>
      <c r="M13" s="116">
        <f>+K13+'24'!M13+L13</f>
        <v>32376</v>
      </c>
    </row>
    <row r="14" spans="1:19" ht="13.5" thickBot="1">
      <c r="A14" s="747"/>
      <c r="B14" s="164" t="s">
        <v>2</v>
      </c>
      <c r="C14" s="98">
        <f>SUM(C7:C13)</f>
        <v>13125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 t="str">
        <f>+'24'!J14</f>
        <v>F 11,5 VP OW</v>
      </c>
      <c r="K14" s="238"/>
      <c r="L14" s="238"/>
      <c r="M14" s="116">
        <f>+K14+'24'!M14+L14</f>
        <v>53445</v>
      </c>
      <c r="Q14" s="175">
        <f>SUM(Q6:Q11)</f>
        <v>480</v>
      </c>
      <c r="R14" s="175">
        <f>SUM(R6:R11)</f>
        <v>535200</v>
      </c>
      <c r="S14" s="175">
        <f>SUM(S6:S11)</f>
        <v>412104</v>
      </c>
    </row>
    <row r="15" spans="1:19" ht="13.5" customHeight="1" thickBot="1">
      <c r="A15" s="745" t="s">
        <v>389</v>
      </c>
      <c r="B15" s="164"/>
      <c r="C15" s="112">
        <f>C14/($C$23+$D$23+$E$23)</f>
        <v>0.96401028277634959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630</v>
      </c>
      <c r="J15" s="213" t="str">
        <f>+'24'!J15</f>
        <v>T 14 VP OW</v>
      </c>
      <c r="K15" s="238">
        <f>+C7</f>
        <v>13125</v>
      </c>
      <c r="L15" s="238"/>
      <c r="M15" s="116">
        <f>+K15+'24'!M15+L15</f>
        <v>56807</v>
      </c>
      <c r="Q15" s="148">
        <f>480-Q14</f>
        <v>0</v>
      </c>
      <c r="R15" s="175">
        <f>+R14/Q14</f>
        <v>1115</v>
      </c>
      <c r="S15" s="175">
        <f>+S14/Q14</f>
        <v>858.55</v>
      </c>
    </row>
    <row r="16" spans="1:19" ht="13.5" thickBot="1">
      <c r="A16" s="751"/>
      <c r="B16" s="214" t="s">
        <v>470</v>
      </c>
      <c r="C16" s="221">
        <v>13615</v>
      </c>
      <c r="D16" s="222"/>
      <c r="E16" s="223"/>
      <c r="F16" s="230">
        <v>8</v>
      </c>
      <c r="G16" s="231" t="s">
        <v>12</v>
      </c>
      <c r="H16" s="229" t="s">
        <v>386</v>
      </c>
      <c r="I16" s="749"/>
      <c r="J16" s="213">
        <f>+'24'!J16</f>
        <v>0</v>
      </c>
      <c r="K16" s="228"/>
      <c r="L16" s="228"/>
      <c r="M16" s="116">
        <f>+K16+'24'!M16+L16</f>
        <v>0</v>
      </c>
    </row>
    <row r="17" spans="1:26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+'24'!J17</f>
        <v>0</v>
      </c>
      <c r="K17" s="228"/>
      <c r="L17" s="228"/>
      <c r="M17" s="116">
        <f>+K17+'24'!M17+L17</f>
        <v>0</v>
      </c>
      <c r="N17" s="148" t="s">
        <v>457</v>
      </c>
      <c r="O17" s="148">
        <v>1170</v>
      </c>
      <c r="P17" s="148">
        <f>+O17-(O17*0.23)</f>
        <v>900.9</v>
      </c>
      <c r="Q17" s="148">
        <v>480</v>
      </c>
      <c r="R17" s="148">
        <f>+O17*Q17</f>
        <v>561600</v>
      </c>
      <c r="S17" s="148">
        <f>+P17*Q17</f>
        <v>432432</v>
      </c>
      <c r="U17" s="148" t="s">
        <v>457</v>
      </c>
      <c r="V17" s="148">
        <v>1170</v>
      </c>
      <c r="W17" s="148">
        <f>+V17-(V17*0.23)</f>
        <v>900.9</v>
      </c>
      <c r="X17" s="148">
        <v>480</v>
      </c>
      <c r="Y17" s="148">
        <f>+V17*X17</f>
        <v>561600</v>
      </c>
      <c r="Z17" s="148">
        <f>+W17*X17</f>
        <v>432432</v>
      </c>
    </row>
    <row r="18" spans="1:26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620</v>
      </c>
      <c r="I18" s="749"/>
      <c r="J18" s="213">
        <f>+'24'!J18</f>
        <v>0</v>
      </c>
      <c r="K18" s="238"/>
      <c r="L18" s="238"/>
      <c r="M18" s="116">
        <f>+K18+'24'!M18+L18</f>
        <v>0</v>
      </c>
      <c r="N18" s="148" t="s">
        <v>457</v>
      </c>
      <c r="O18" s="148">
        <v>1170</v>
      </c>
      <c r="P18" s="148">
        <f>+O18-(O18*0.23)</f>
        <v>900.9</v>
      </c>
      <c r="Q18" s="148">
        <v>480</v>
      </c>
      <c r="R18" s="148">
        <f>+O18*Q18</f>
        <v>561600</v>
      </c>
      <c r="S18" s="148">
        <f>+P18*Q18</f>
        <v>432432</v>
      </c>
      <c r="U18" s="148" t="s">
        <v>457</v>
      </c>
      <c r="V18" s="148">
        <v>1170</v>
      </c>
      <c r="W18" s="148">
        <f>+V18-(V18*0.23)</f>
        <v>900.9</v>
      </c>
      <c r="X18" s="148">
        <v>480</v>
      </c>
      <c r="Y18" s="148">
        <f>+V18*X18</f>
        <v>561600</v>
      </c>
      <c r="Z18" s="148">
        <f>+W18*X18</f>
        <v>432432</v>
      </c>
    </row>
    <row r="19" spans="1:26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+'24'!J19</f>
        <v>0</v>
      </c>
      <c r="K19" s="238"/>
      <c r="L19" s="238"/>
      <c r="M19" s="116">
        <f>+K19+'24'!M19+L19</f>
        <v>0</v>
      </c>
      <c r="U19" s="148" t="s">
        <v>457</v>
      </c>
      <c r="V19" s="148">
        <v>1160</v>
      </c>
      <c r="W19" s="148">
        <v>893.2</v>
      </c>
      <c r="X19" s="148">
        <v>120</v>
      </c>
      <c r="Y19" s="148">
        <f>+V19*X19</f>
        <v>139200</v>
      </c>
      <c r="Z19" s="148">
        <f>+W19*X19</f>
        <v>107184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+'24'!J20</f>
        <v>0</v>
      </c>
      <c r="K20" s="239"/>
      <c r="L20" s="239"/>
      <c r="M20" s="116">
        <f>+K20+'24'!M20+L20</f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+'24'!J21</f>
        <v>0</v>
      </c>
      <c r="K21" s="238"/>
      <c r="L21" s="238"/>
      <c r="M21" s="116">
        <f>+K21+'24'!M21+L21</f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+'24'!J22</f>
        <v>0</v>
      </c>
      <c r="K22" s="238"/>
      <c r="L22" s="238"/>
      <c r="M22" s="116">
        <f>+K22+'24'!M22+L22</f>
        <v>0</v>
      </c>
    </row>
    <row r="23" spans="1:26" ht="13.5" thickBot="1">
      <c r="A23" s="752"/>
      <c r="B23" s="167" t="s">
        <v>2</v>
      </c>
      <c r="C23" s="99">
        <f>SUM(C16:C22)</f>
        <v>13615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+'24'!J23</f>
        <v>0</v>
      </c>
      <c r="K23" s="238"/>
      <c r="L23" s="238"/>
      <c r="M23" s="116">
        <f>+K23+'24'!M23+L23</f>
        <v>0</v>
      </c>
    </row>
    <row r="24" spans="1:26" ht="13.5" customHeight="1" thickBot="1">
      <c r="A24" s="745" t="s">
        <v>387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630</v>
      </c>
      <c r="J24" s="213">
        <f>+'24'!J24</f>
        <v>0</v>
      </c>
      <c r="K24" s="238"/>
      <c r="L24" s="238"/>
      <c r="M24" s="116">
        <f>+K24+'24'!M24+L24</f>
        <v>0</v>
      </c>
    </row>
    <row r="25" spans="1:26" ht="13.5" thickBot="1">
      <c r="A25" s="751"/>
      <c r="B25" s="214" t="s">
        <v>470</v>
      </c>
      <c r="C25" s="225">
        <v>13849</v>
      </c>
      <c r="D25" s="216"/>
      <c r="E25" s="224"/>
      <c r="F25" s="230">
        <v>3</v>
      </c>
      <c r="G25" s="231" t="s">
        <v>12</v>
      </c>
      <c r="H25" s="229" t="s">
        <v>532</v>
      </c>
      <c r="I25" s="749"/>
      <c r="J25" s="213">
        <f>+'24'!J25</f>
        <v>0</v>
      </c>
      <c r="K25" s="238"/>
      <c r="L25" s="238"/>
      <c r="M25" s="116">
        <f>+K25+'24'!M25+L25</f>
        <v>0</v>
      </c>
      <c r="Q25" s="175">
        <f>SUM(Q17:Q22)</f>
        <v>960</v>
      </c>
      <c r="R25" s="175">
        <f>SUM(R17:R22)</f>
        <v>1123200</v>
      </c>
      <c r="S25" s="175">
        <f>SUM(S17:S22)</f>
        <v>864864</v>
      </c>
      <c r="X25" s="175">
        <f>SUM(X17:X22)</f>
        <v>1080</v>
      </c>
      <c r="Y25" s="175">
        <f>SUM(Y17:Y22)</f>
        <v>1262400</v>
      </c>
      <c r="Z25" s="175">
        <f>SUM(Z17:Z22)</f>
        <v>972048</v>
      </c>
    </row>
    <row r="26" spans="1:26" ht="13.5" thickBot="1">
      <c r="A26" s="751"/>
      <c r="B26" s="214"/>
      <c r="C26" s="225"/>
      <c r="D26" s="216"/>
      <c r="E26" s="226"/>
      <c r="F26" s="227">
        <v>17</v>
      </c>
      <c r="G26" s="231" t="s">
        <v>12</v>
      </c>
      <c r="H26" s="232" t="s">
        <v>406</v>
      </c>
      <c r="I26" s="749"/>
      <c r="J26" s="213">
        <f>+'24'!J26</f>
        <v>0</v>
      </c>
      <c r="K26" s="238"/>
      <c r="L26" s="238"/>
      <c r="M26" s="116">
        <f>+K26+'24'!M26+L26</f>
        <v>0</v>
      </c>
      <c r="Q26" s="148">
        <f>480-Q25</f>
        <v>-480</v>
      </c>
      <c r="R26" s="175">
        <f>+R25/Q25</f>
        <v>1170</v>
      </c>
      <c r="S26" s="175">
        <f>+S25/Q25</f>
        <v>900.9</v>
      </c>
      <c r="X26" s="148">
        <f>480-X25</f>
        <v>-600</v>
      </c>
      <c r="Y26" s="175">
        <f>+Y25/X25</f>
        <v>1168.8888888888889</v>
      </c>
      <c r="Z26" s="175">
        <f>+Z25/X25</f>
        <v>900.04444444444448</v>
      </c>
    </row>
    <row r="27" spans="1:26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619</v>
      </c>
      <c r="I27" s="749"/>
      <c r="J27" s="213">
        <f>+'24'!J27</f>
        <v>0</v>
      </c>
      <c r="K27" s="238"/>
      <c r="L27" s="238"/>
      <c r="M27" s="116">
        <f>+K27+'24'!M27+L27</f>
        <v>0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+'24'!J28</f>
        <v>0</v>
      </c>
      <c r="K28" s="238"/>
      <c r="L28" s="238"/>
      <c r="M28" s="116">
        <f>+K28+'24'!M28+L28</f>
        <v>0</v>
      </c>
      <c r="N28" s="148" t="s">
        <v>614</v>
      </c>
      <c r="O28" s="148">
        <v>1100</v>
      </c>
      <c r="P28" s="148">
        <v>847</v>
      </c>
      <c r="Q28" s="148">
        <v>360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+'24'!J29</f>
        <v>0</v>
      </c>
      <c r="K29" s="238"/>
      <c r="L29" s="238"/>
      <c r="M29" s="116">
        <f>+K29+'24'!M29+L29</f>
        <v>0</v>
      </c>
      <c r="N29" s="148" t="s">
        <v>457</v>
      </c>
      <c r="O29" s="148">
        <v>1168.8888888888889</v>
      </c>
      <c r="P29" s="148">
        <v>900.04444444444448</v>
      </c>
      <c r="Q29" s="148">
        <v>1080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+'24'!J30</f>
        <v>0</v>
      </c>
      <c r="K30" s="238"/>
      <c r="L30" s="238"/>
      <c r="M30" s="116">
        <f>+K30+'24'!M30+L30</f>
        <v>0</v>
      </c>
      <c r="Q30" s="148">
        <f>+Q28+Q29</f>
        <v>1440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+'24'!J31</f>
        <v>0</v>
      </c>
      <c r="K31" s="238"/>
      <c r="L31" s="238"/>
      <c r="M31" s="116">
        <f>+K31+'24'!M31+L31</f>
        <v>0</v>
      </c>
    </row>
    <row r="32" spans="1:26" ht="13.5" thickBot="1">
      <c r="A32" s="752"/>
      <c r="B32" s="164" t="s">
        <v>2</v>
      </c>
      <c r="C32" s="98">
        <f>SUM(C25:C31)</f>
        <v>13849</v>
      </c>
      <c r="D32" s="99">
        <f>SUM(D25:D31)</f>
        <v>0</v>
      </c>
      <c r="E32" s="100">
        <f>SUM(E25:E31)</f>
        <v>0</v>
      </c>
      <c r="F32" s="101">
        <f>SUM(F24:F31)</f>
        <v>20</v>
      </c>
      <c r="G32" s="170"/>
      <c r="H32" s="171"/>
      <c r="I32" s="168"/>
      <c r="J32" s="213">
        <f>+'24'!J32</f>
        <v>0</v>
      </c>
      <c r="K32" s="240"/>
      <c r="L32" s="242"/>
      <c r="M32" s="116">
        <f>+K32+'24'!M32+L32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40589</v>
      </c>
      <c r="D34" s="106">
        <f>D14+D23+D32</f>
        <v>0</v>
      </c>
      <c r="E34" s="106">
        <f>E14+E23+E32</f>
        <v>0</v>
      </c>
      <c r="F34" s="107">
        <f>F14+F23+F32</f>
        <v>59</v>
      </c>
      <c r="H34" s="177"/>
      <c r="I34" s="177"/>
      <c r="J34" s="122" t="s">
        <v>28</v>
      </c>
      <c r="K34" s="123">
        <f>SUM(K7:K32)</f>
        <v>40589</v>
      </c>
      <c r="L34" s="211">
        <f>SUM(L7:L32)</f>
        <v>0</v>
      </c>
      <c r="M34" s="119">
        <f>SUM(M7:M32)</f>
        <v>947847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(14*360+13*1080)/1440*G42*2.74*1440/1000000</f>
        <v>46.36032324</v>
      </c>
      <c r="J37" s="124">
        <f>+I37+'24'!J37</f>
        <v>1102.236222661121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59</v>
      </c>
      <c r="D38" s="117">
        <f>+C38+'24'!D38</f>
        <v>1704</v>
      </c>
      <c r="E38" s="142">
        <f t="shared" ref="E38:E51" si="0">D38/60</f>
        <v>28.4</v>
      </c>
      <c r="F38" s="321">
        <v>1115</v>
      </c>
      <c r="G38" s="321">
        <v>858.55</v>
      </c>
      <c r="H38" s="186" t="s">
        <v>64</v>
      </c>
      <c r="I38" s="244">
        <f>10.416+3.337+13.718+14.05</f>
        <v>41.521000000000001</v>
      </c>
      <c r="J38" s="126">
        <f>+I38+'24'!J38</f>
        <v>983.67299999999977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+C39+'24'!D39</f>
        <v>0</v>
      </c>
      <c r="E39" s="142">
        <f t="shared" si="0"/>
        <v>0</v>
      </c>
      <c r="F39" s="321">
        <v>1170</v>
      </c>
      <c r="G39" s="321">
        <v>900.9</v>
      </c>
      <c r="H39" s="186" t="s">
        <v>65</v>
      </c>
      <c r="I39" s="141"/>
      <c r="J39" s="128">
        <f>J37/G4</f>
        <v>44.089448906444844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+C40+'24'!D40</f>
        <v>481</v>
      </c>
      <c r="E40" s="142">
        <f t="shared" si="0"/>
        <v>8.0166666666666675</v>
      </c>
      <c r="F40" s="321">
        <v>1170</v>
      </c>
      <c r="G40" s="321">
        <v>900.9</v>
      </c>
      <c r="H40" s="186" t="s">
        <v>67</v>
      </c>
      <c r="I40" s="117">
        <f>(K34+L34)/1000</f>
        <v>40.588999999999999</v>
      </c>
      <c r="J40" s="130">
        <f>+I40+'24'!J40</f>
        <v>947.84699999999998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+C41+'24'!D41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37.913879999999999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+C42+'24'!D42</f>
        <v>0</v>
      </c>
      <c r="E42" s="142">
        <f t="shared" si="0"/>
        <v>0</v>
      </c>
      <c r="F42" s="321">
        <f>+(480*F38+480*F39+480*F40)/1440</f>
        <v>1151.6666666666667</v>
      </c>
      <c r="G42" s="321">
        <f>+(480*G38+480*G39+480*G40)/1440</f>
        <v>886.7833333333333</v>
      </c>
      <c r="H42" s="186" t="s">
        <v>70</v>
      </c>
      <c r="I42" s="245" t="s">
        <v>631</v>
      </c>
      <c r="J42" s="131"/>
      <c r="K42" s="129" t="s">
        <v>71</v>
      </c>
    </row>
    <row r="43" spans="1:13" ht="17.45" customHeight="1">
      <c r="A43" s="759" t="s">
        <v>72</v>
      </c>
      <c r="B43" s="760"/>
      <c r="C43" s="163">
        <f>SUMIF($G$7:$G$31,"Water",$F$7:$F$31)</f>
        <v>0</v>
      </c>
      <c r="D43" s="117">
        <f>+C43+'24'!D43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+Report1!Z33</f>
        <v>52.3</v>
      </c>
      <c r="J43" s="132">
        <f>+I43+'24'!J43</f>
        <v>1276.3999999999999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+C44+'24'!D44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1.2596035740950362</v>
      </c>
      <c r="J44" s="133">
        <f>J43/J38</f>
        <v>1.2975856814205535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+C45+'24'!D45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1.2885264480524279</v>
      </c>
      <c r="J45" s="133">
        <f>J43/J40</f>
        <v>1.3466308380993979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+C46+'24'!D46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+SUMIF(Listrik!P32,"&gt;0")</f>
        <v>38475.859999999273</v>
      </c>
      <c r="J46" s="134">
        <f>+I46+'24'!J46</f>
        <v>939055.29999999946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+C47+'24'!D47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926.6602442137538</v>
      </c>
      <c r="J47" s="134">
        <f>J46/J38</f>
        <v>954.64173561742541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+C48+'24'!D48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947.93811131092843</v>
      </c>
      <c r="J48" s="134">
        <f>J46/J40</f>
        <v>990.72455786640614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+C49+'24'!D49</f>
        <v>0</v>
      </c>
      <c r="E49" s="142">
        <f t="shared" si="0"/>
        <v>0</v>
      </c>
      <c r="F49" s="184"/>
      <c r="H49" s="187" t="s">
        <v>269</v>
      </c>
      <c r="I49" s="117">
        <f>+Report1!T33</f>
        <v>5087.3924316086877</v>
      </c>
      <c r="J49" s="134">
        <f>+I49+'24'!J49</f>
        <v>118177.30190743925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+C50+'24'!D50</f>
        <v>0</v>
      </c>
      <c r="E50" s="142">
        <f t="shared" si="0"/>
        <v>0</v>
      </c>
      <c r="F50" s="184"/>
      <c r="H50" s="187" t="s">
        <v>83</v>
      </c>
      <c r="I50" s="139">
        <f>I49/I38</f>
        <v>122.52576844509255</v>
      </c>
      <c r="J50" s="132">
        <f>J49/J38</f>
        <v>120.13880822940071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+C51+'24'!D51</f>
        <v>0</v>
      </c>
      <c r="E51" s="142">
        <f t="shared" si="0"/>
        <v>0</v>
      </c>
      <c r="F51" s="184"/>
      <c r="H51" s="189" t="s">
        <v>85</v>
      </c>
      <c r="I51" s="140">
        <f>I49/I40</f>
        <v>125.33919119980014</v>
      </c>
      <c r="J51" s="135">
        <f>J49/J40</f>
        <v>124.67972352862778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59</v>
      </c>
      <c r="D52" s="143">
        <f>SUM(D38:D51)</f>
        <v>2425</v>
      </c>
      <c r="E52" s="144">
        <f>SUM(E38:E51)</f>
        <v>40.416666666666664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4.0972222222222222E-2</v>
      </c>
      <c r="D53" s="145">
        <f>D52/(24*60*G4)</f>
        <v>6.7361111111111108E-2</v>
      </c>
      <c r="E53" s="146">
        <f>E52/(G4*24)</f>
        <v>6.7361111111111108E-2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+D34+'24'!J56</f>
        <v>3359</v>
      </c>
      <c r="K56" s="200">
        <f>J56/(J40+J56/1000)/1000</f>
        <v>3.5313065729190101E-3</v>
      </c>
    </row>
    <row r="57" spans="1:11">
      <c r="A57" s="175"/>
      <c r="I57" s="198" t="s">
        <v>88</v>
      </c>
      <c r="J57" s="199">
        <f>+E34+'24'!J57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S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57031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24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614</v>
      </c>
      <c r="O6" s="148">
        <v>1070</v>
      </c>
      <c r="P6" s="148">
        <f>+O6-(O6*0.23)</f>
        <v>823.9</v>
      </c>
      <c r="Q6" s="148">
        <f>60*3</f>
        <v>180</v>
      </c>
      <c r="R6" s="148">
        <f>+O6*Q6</f>
        <v>192600</v>
      </c>
      <c r="S6" s="148">
        <f>+P6*Q6</f>
        <v>148302</v>
      </c>
    </row>
    <row r="7" spans="1:19" ht="13.5" customHeight="1" thickBot="1">
      <c r="A7" s="745" t="s">
        <v>438</v>
      </c>
      <c r="B7" s="214" t="s">
        <v>617</v>
      </c>
      <c r="C7" s="215">
        <v>13709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625</v>
      </c>
      <c r="J7" s="213" t="str">
        <f>+'23'!J7</f>
        <v>F 14 VP OW</v>
      </c>
      <c r="K7" s="237"/>
      <c r="L7" s="241"/>
      <c r="M7" s="116">
        <f>+K7+'23'!M7+L7</f>
        <v>190720</v>
      </c>
      <c r="N7" s="148" t="s">
        <v>614</v>
      </c>
      <c r="O7" s="148">
        <v>1100</v>
      </c>
      <c r="P7" s="148">
        <f>+O7-(O7*0.23)</f>
        <v>847</v>
      </c>
      <c r="Q7" s="148">
        <f>480-Q6</f>
        <v>300</v>
      </c>
      <c r="R7" s="148">
        <f>+O7*Q7</f>
        <v>330000</v>
      </c>
      <c r="S7" s="148">
        <f>+P7*Q7</f>
        <v>254100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+'23'!J8</f>
        <v>F 15 VP OW</v>
      </c>
      <c r="K8" s="238"/>
      <c r="L8" s="238"/>
      <c r="M8" s="116">
        <f>+K8+'23'!M8+L8</f>
        <v>95546</v>
      </c>
    </row>
    <row r="9" spans="1:19" ht="13.5" thickBot="1">
      <c r="A9" s="746"/>
      <c r="B9" s="214"/>
      <c r="C9" s="215"/>
      <c r="D9" s="216"/>
      <c r="E9" s="219"/>
      <c r="F9" s="227">
        <f>22-9</f>
        <v>13</v>
      </c>
      <c r="G9" s="231" t="s">
        <v>12</v>
      </c>
      <c r="H9" s="232" t="s">
        <v>406</v>
      </c>
      <c r="I9" s="749"/>
      <c r="J9" s="213" t="str">
        <f>+'23'!J9</f>
        <v>T 12 VP OW</v>
      </c>
      <c r="K9" s="238"/>
      <c r="L9" s="238"/>
      <c r="M9" s="116">
        <f>+K9+'23'!M9+L9</f>
        <v>50578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622</v>
      </c>
      <c r="I10" s="749"/>
      <c r="J10" s="213" t="str">
        <f>+'23'!J10</f>
        <v>T 13 VP OW</v>
      </c>
      <c r="K10" s="238"/>
      <c r="L10" s="238"/>
      <c r="M10" s="116">
        <f>+K10+'23'!M10+L10</f>
        <v>241859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 t="s">
        <v>623</v>
      </c>
      <c r="I11" s="749"/>
      <c r="J11" s="213" t="str">
        <f>+'23'!J11</f>
        <v>T 15 VP OW</v>
      </c>
      <c r="K11" s="238"/>
      <c r="L11" s="238"/>
      <c r="M11" s="116">
        <f>+K11+'23'!M11+L11</f>
        <v>79299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+'23'!J12</f>
        <v>F 12 VP OW</v>
      </c>
      <c r="K12" s="238"/>
      <c r="L12" s="238"/>
      <c r="M12" s="116">
        <f>+K12+'23'!M12+L12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+'23'!J13</f>
        <v>F 13 VP OW</v>
      </c>
      <c r="K13" s="238"/>
      <c r="L13" s="238"/>
      <c r="M13" s="116">
        <f>+K13+'23'!M13+L13</f>
        <v>32376</v>
      </c>
    </row>
    <row r="14" spans="1:19" ht="13.5" thickBot="1">
      <c r="A14" s="747"/>
      <c r="B14" s="164" t="s">
        <v>2</v>
      </c>
      <c r="C14" s="98">
        <f>SUM(C7:C13)</f>
        <v>13709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 t="str">
        <f>+'23'!J14</f>
        <v>F 11,5 VP OW</v>
      </c>
      <c r="K14" s="238"/>
      <c r="L14" s="238"/>
      <c r="M14" s="116">
        <f>+K14+'23'!M14+L14</f>
        <v>53445</v>
      </c>
      <c r="Q14" s="175">
        <f>SUM(Q6:Q11)</f>
        <v>480</v>
      </c>
      <c r="R14" s="175">
        <f>SUM(R6:R11)</f>
        <v>522600</v>
      </c>
      <c r="S14" s="175">
        <f>SUM(S6:S11)</f>
        <v>402402</v>
      </c>
    </row>
    <row r="15" spans="1:19" ht="13.5" customHeight="1" thickBot="1">
      <c r="A15" s="745" t="s">
        <v>389</v>
      </c>
      <c r="B15" s="164"/>
      <c r="C15" s="112">
        <f>C14/($C$23+$D$23+$E$23)</f>
        <v>0.97420409323479251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421</v>
      </c>
      <c r="J15" s="213" t="str">
        <f>+'23'!J15</f>
        <v>T 14 VP OW</v>
      </c>
      <c r="K15" s="238">
        <f>+C34</f>
        <v>40146</v>
      </c>
      <c r="L15" s="238"/>
      <c r="M15" s="116">
        <f>+K15+'23'!M15+L15</f>
        <v>43682</v>
      </c>
      <c r="Q15" s="148">
        <f>480-Q14</f>
        <v>0</v>
      </c>
      <c r="R15" s="175">
        <f>+R14/Q14</f>
        <v>1088.75</v>
      </c>
      <c r="S15" s="175">
        <f>+S14/Q14</f>
        <v>838.33749999999998</v>
      </c>
    </row>
    <row r="16" spans="1:19" ht="13.5" thickBot="1">
      <c r="A16" s="751"/>
      <c r="B16" s="214" t="s">
        <v>617</v>
      </c>
      <c r="C16" s="221">
        <v>13782</v>
      </c>
      <c r="D16" s="222">
        <v>290</v>
      </c>
      <c r="E16" s="223"/>
      <c r="F16" s="230">
        <v>8</v>
      </c>
      <c r="G16" s="231" t="s">
        <v>12</v>
      </c>
      <c r="H16" s="229" t="s">
        <v>407</v>
      </c>
      <c r="I16" s="749"/>
      <c r="J16" s="213">
        <f>+'23'!J16</f>
        <v>0</v>
      </c>
      <c r="K16" s="228"/>
      <c r="L16" s="228"/>
      <c r="M16" s="116">
        <f>+K16+'23'!M16+L16</f>
        <v>0</v>
      </c>
    </row>
    <row r="17" spans="1:19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+'23'!J17</f>
        <v>0</v>
      </c>
      <c r="K17" s="228"/>
      <c r="L17" s="228"/>
      <c r="M17" s="116">
        <f>+K17+'23'!M17+L17</f>
        <v>0</v>
      </c>
      <c r="N17" s="148" t="s">
        <v>614</v>
      </c>
      <c r="O17" s="148">
        <v>1100</v>
      </c>
      <c r="P17" s="148">
        <f>+O17-(O17*0.23)</f>
        <v>847</v>
      </c>
      <c r="Q17" s="148">
        <v>480</v>
      </c>
      <c r="R17" s="148">
        <f>+O17*Q17</f>
        <v>528000</v>
      </c>
      <c r="S17" s="148">
        <f>+P17*Q17</f>
        <v>406560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621</v>
      </c>
      <c r="I18" s="749"/>
      <c r="J18" s="213">
        <f>+'23'!J18</f>
        <v>0</v>
      </c>
      <c r="K18" s="238"/>
      <c r="L18" s="238"/>
      <c r="M18" s="116">
        <f>+K18+'23'!M18+L18</f>
        <v>0</v>
      </c>
      <c r="N18" s="148" t="s">
        <v>614</v>
      </c>
      <c r="O18" s="148">
        <v>1100</v>
      </c>
      <c r="P18" s="148">
        <f>+O18-(O18*0.23)</f>
        <v>847</v>
      </c>
      <c r="Q18" s="148">
        <v>480</v>
      </c>
      <c r="R18" s="148">
        <f>+O18*Q18</f>
        <v>528000</v>
      </c>
      <c r="S18" s="148">
        <f>+P18*Q18</f>
        <v>406560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+'23'!J19</f>
        <v>0</v>
      </c>
      <c r="K19" s="238"/>
      <c r="L19" s="238">
        <v>0</v>
      </c>
      <c r="M19" s="116">
        <f>+K19+'23'!M19+L19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+'23'!J20</f>
        <v>0</v>
      </c>
      <c r="K20" s="239"/>
      <c r="L20" s="239">
        <v>0</v>
      </c>
      <c r="M20" s="116">
        <f>+K20+'23'!M20+L20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+'23'!J21</f>
        <v>0</v>
      </c>
      <c r="K21" s="238"/>
      <c r="L21" s="238">
        <v>0</v>
      </c>
      <c r="M21" s="116">
        <f>+K21+'23'!M21+L21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+'23'!J22</f>
        <v>0</v>
      </c>
      <c r="K22" s="238"/>
      <c r="L22" s="238">
        <v>0</v>
      </c>
      <c r="M22" s="116">
        <f>+K22+'23'!M22+L22</f>
        <v>0</v>
      </c>
    </row>
    <row r="23" spans="1:19" ht="13.5" thickBot="1">
      <c r="A23" s="752"/>
      <c r="B23" s="167" t="s">
        <v>2</v>
      </c>
      <c r="C23" s="99">
        <f>SUM(C16:C22)</f>
        <v>13782</v>
      </c>
      <c r="D23" s="110">
        <f>SUM(D16:D22)</f>
        <v>290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+'23'!J23</f>
        <v>0</v>
      </c>
      <c r="K23" s="238"/>
      <c r="L23" s="238"/>
      <c r="M23" s="116">
        <f>+K23+'23'!M23+L23</f>
        <v>0</v>
      </c>
    </row>
    <row r="24" spans="1:19" ht="13.5" customHeight="1" thickBot="1">
      <c r="A24" s="745" t="s">
        <v>387</v>
      </c>
      <c r="B24" s="169"/>
      <c r="C24" s="112">
        <f>C23/($C$23+$D$23+$E$23)</f>
        <v>0.97939169982944851</v>
      </c>
      <c r="D24" s="113">
        <f>D23/($C$23+$D$23+$E$23)</f>
        <v>2.0608300170551451E-2</v>
      </c>
      <c r="E24" s="114">
        <f>E23/($C$23+$D$23+$E$23)</f>
        <v>0</v>
      </c>
      <c r="F24" s="227">
        <v>16</v>
      </c>
      <c r="G24" s="228" t="s">
        <v>12</v>
      </c>
      <c r="H24" s="229" t="s">
        <v>602</v>
      </c>
      <c r="I24" s="748" t="s">
        <v>421</v>
      </c>
      <c r="J24" s="213">
        <f>+'23'!J24</f>
        <v>0</v>
      </c>
      <c r="K24" s="238"/>
      <c r="L24" s="238"/>
      <c r="M24" s="116">
        <f>+K24+'23'!M24+L24</f>
        <v>0</v>
      </c>
    </row>
    <row r="25" spans="1:19" ht="13.5" thickBot="1">
      <c r="A25" s="751"/>
      <c r="B25" s="214" t="s">
        <v>617</v>
      </c>
      <c r="C25" s="225">
        <v>12655</v>
      </c>
      <c r="D25" s="216">
        <v>274</v>
      </c>
      <c r="E25" s="224"/>
      <c r="F25" s="230"/>
      <c r="G25" s="231" t="s">
        <v>12</v>
      </c>
      <c r="H25" s="229" t="s">
        <v>284</v>
      </c>
      <c r="I25" s="749"/>
      <c r="J25" s="213">
        <f>+'23'!J25</f>
        <v>0</v>
      </c>
      <c r="K25" s="238"/>
      <c r="L25" s="238"/>
      <c r="M25" s="116">
        <f>+K25+'23'!M25+L25</f>
        <v>0</v>
      </c>
      <c r="Q25" s="175">
        <f>SUM(Q17:Q22)</f>
        <v>960</v>
      </c>
      <c r="R25" s="175">
        <f>SUM(R17:R22)</f>
        <v>1056000</v>
      </c>
      <c r="S25" s="175">
        <f>SUM(S17:S22)</f>
        <v>813120</v>
      </c>
    </row>
    <row r="26" spans="1:19" ht="13.5" thickBot="1">
      <c r="A26" s="751"/>
      <c r="B26" s="214"/>
      <c r="C26" s="225"/>
      <c r="D26" s="216"/>
      <c r="E26" s="226"/>
      <c r="F26" s="227">
        <v>9</v>
      </c>
      <c r="G26" s="231" t="s">
        <v>12</v>
      </c>
      <c r="H26" s="232" t="s">
        <v>406</v>
      </c>
      <c r="I26" s="749"/>
      <c r="J26" s="213">
        <f>+'23'!J26</f>
        <v>0</v>
      </c>
      <c r="K26" s="238"/>
      <c r="L26" s="238"/>
      <c r="M26" s="116">
        <f>+K26+'23'!M26+L26</f>
        <v>0</v>
      </c>
      <c r="Q26" s="148">
        <f>480-Q25</f>
        <v>-480</v>
      </c>
      <c r="R26" s="175">
        <f>+R25/Q25</f>
        <v>1100</v>
      </c>
      <c r="S26" s="175">
        <f>+S25/Q25</f>
        <v>847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624</v>
      </c>
      <c r="I27" s="749"/>
      <c r="J27" s="213">
        <f>+'23'!J27</f>
        <v>0</v>
      </c>
      <c r="K27" s="238"/>
      <c r="L27" s="238"/>
      <c r="M27" s="116">
        <f>+K27+'23'!M27+L27</f>
        <v>0</v>
      </c>
    </row>
    <row r="28" spans="1:19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+'23'!J28</f>
        <v>0</v>
      </c>
      <c r="K28" s="238"/>
      <c r="L28" s="238"/>
      <c r="M28" s="116">
        <f>+K28+'23'!M28+L28</f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+'23'!J29</f>
        <v>0</v>
      </c>
      <c r="K29" s="238"/>
      <c r="L29" s="238"/>
      <c r="M29" s="116">
        <f>+K29+'23'!M29+L29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+'23'!J30</f>
        <v>0</v>
      </c>
      <c r="K30" s="238"/>
      <c r="L30" s="238"/>
      <c r="M30" s="116">
        <f>+K30+'23'!M30+L30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+'23'!J31</f>
        <v>0</v>
      </c>
      <c r="K31" s="238"/>
      <c r="L31" s="238"/>
      <c r="M31" s="116">
        <f>+K31+'23'!M31+L31</f>
        <v>0</v>
      </c>
    </row>
    <row r="32" spans="1:19" ht="13.5" thickBot="1">
      <c r="A32" s="752"/>
      <c r="B32" s="164" t="s">
        <v>2</v>
      </c>
      <c r="C32" s="98">
        <f>SUM(C25:C31)</f>
        <v>12655</v>
      </c>
      <c r="D32" s="99">
        <f>SUM(D25:D31)</f>
        <v>274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13">
        <f>+'23'!J32</f>
        <v>0</v>
      </c>
      <c r="K32" s="240"/>
      <c r="L32" s="242"/>
      <c r="M32" s="116">
        <f>+K32+'23'!M32+L32</f>
        <v>0</v>
      </c>
    </row>
    <row r="33" spans="1:13" ht="13.5" thickBot="1">
      <c r="A33" s="172"/>
      <c r="B33" s="173"/>
      <c r="C33" s="102">
        <f>C32/($C$32+$D$32+$E$32)</f>
        <v>0.9788073323536236</v>
      </c>
      <c r="D33" s="103">
        <f>D32/($C$32+$D$32+$E$32)</f>
        <v>2.1192667646376364E-2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40146</v>
      </c>
      <c r="D34" s="106">
        <f>D14+D23+D32</f>
        <v>564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40146</v>
      </c>
      <c r="L34" s="211">
        <f>SUM(L7:L32)</f>
        <v>0</v>
      </c>
      <c r="M34" s="119">
        <f>SUM(M7:M32)</f>
        <v>907258</v>
      </c>
    </row>
    <row r="35" spans="1:13" ht="13.5" thickBot="1">
      <c r="A35" s="178"/>
      <c r="B35" s="179"/>
      <c r="C35" s="103">
        <f>C34/($C$34+$D$34+$E$34)</f>
        <v>0.98614591009579955</v>
      </c>
      <c r="D35" s="103">
        <f>D34/($C$34+$D$34+$E$34)</f>
        <v>1.3854089904200442E-2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(14*1440)/1440*G42*2.74*1440/1000000</f>
        <v>46.627423919999998</v>
      </c>
      <c r="J37" s="124">
        <f>+I37+'23'!J37</f>
        <v>1055.8758994211209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65</v>
      </c>
      <c r="D38" s="117">
        <f>+C38+'23'!D38</f>
        <v>1645</v>
      </c>
      <c r="E38" s="142">
        <f t="shared" ref="E38:E51" si="0">D38/60</f>
        <v>27.416666666666668</v>
      </c>
      <c r="F38" s="321">
        <v>1088.75</v>
      </c>
      <c r="G38" s="321">
        <v>838.33749999999998</v>
      </c>
      <c r="H38" s="186" t="s">
        <v>64</v>
      </c>
      <c r="I38" s="244">
        <f>14.111+13.51+14.078</f>
        <v>41.698999999999998</v>
      </c>
      <c r="J38" s="126">
        <f>+I38+'23'!J38</f>
        <v>942.15199999999982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+C39+'23'!D39</f>
        <v>0</v>
      </c>
      <c r="E39" s="142">
        <f t="shared" si="0"/>
        <v>0</v>
      </c>
      <c r="F39" s="321">
        <v>1100</v>
      </c>
      <c r="G39" s="321">
        <v>847</v>
      </c>
      <c r="H39" s="186" t="s">
        <v>65</v>
      </c>
      <c r="I39" s="141"/>
      <c r="J39" s="128">
        <f>J37/G4</f>
        <v>43.994829142546706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+C40+'23'!D40</f>
        <v>481</v>
      </c>
      <c r="E40" s="142">
        <f t="shared" si="0"/>
        <v>8.0166666666666675</v>
      </c>
      <c r="F40" s="321">
        <v>1100</v>
      </c>
      <c r="G40" s="321">
        <v>847</v>
      </c>
      <c r="H40" s="186" t="s">
        <v>67</v>
      </c>
      <c r="I40" s="117">
        <f>(K34+L34)/1000</f>
        <v>40.146000000000001</v>
      </c>
      <c r="J40" s="130">
        <f>+I40+'23'!J40</f>
        <v>907.25799999999992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+C41+'23'!D41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37.802416666666666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+C42+'23'!D42</f>
        <v>0</v>
      </c>
      <c r="E42" s="142">
        <f t="shared" si="0"/>
        <v>0</v>
      </c>
      <c r="F42" s="321">
        <f>+(480*F38+480*F39+480*F40)/1440</f>
        <v>1096.25</v>
      </c>
      <c r="G42" s="321">
        <f>+(480*G38+480*G39+480*G40)/1440</f>
        <v>844.11249999999995</v>
      </c>
      <c r="H42" s="186" t="s">
        <v>70</v>
      </c>
      <c r="I42" s="245" t="s">
        <v>626</v>
      </c>
      <c r="J42" s="131"/>
      <c r="K42" s="129" t="s">
        <v>71</v>
      </c>
    </row>
    <row r="43" spans="1:13" ht="17.45" customHeight="1">
      <c r="A43" s="759" t="s">
        <v>72</v>
      </c>
      <c r="B43" s="760"/>
      <c r="C43" s="163">
        <f>SUMIF($G$7:$G$31,"Water",$F$7:$F$31)</f>
        <v>0</v>
      </c>
      <c r="D43" s="117">
        <f>+C43+'23'!D43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+Report1!Z32</f>
        <v>50</v>
      </c>
      <c r="J43" s="132">
        <f>+I43+'23'!J43</f>
        <v>1224.0999999999999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+C44+'23'!D44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1.1990695220508885</v>
      </c>
      <c r="J44" s="133">
        <f>J43/J38</f>
        <v>1.2992595674583296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+C45+'23'!D45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1.2454540925621482</v>
      </c>
      <c r="J45" s="133">
        <f>J43/J40</f>
        <v>1.3492303181674894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+C46+'23'!D46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+SUMIF(Listrik!P31,"&gt;0")</f>
        <v>39339.380000000725</v>
      </c>
      <c r="J46" s="134">
        <f>+I46+'23'!J46</f>
        <v>900579.44000000018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+C47+'23'!D47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943.41303148758311</v>
      </c>
      <c r="J47" s="134">
        <f>J46/J38</f>
        <v>955.87489067581487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+C48+'23'!D48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979.90783639716847</v>
      </c>
      <c r="J48" s="134">
        <f>J46/J40</f>
        <v>992.63874223208859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+C49+'23'!D49</f>
        <v>0</v>
      </c>
      <c r="E49" s="142">
        <f t="shared" si="0"/>
        <v>0</v>
      </c>
      <c r="F49" s="184"/>
      <c r="H49" s="187" t="s">
        <v>269</v>
      </c>
      <c r="I49" s="117">
        <f>+Report1!T32</f>
        <v>5296.3108552186723</v>
      </c>
      <c r="J49" s="134">
        <f>+I49+'23'!J49</f>
        <v>113089.90947583056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+C50+'23'!D50</f>
        <v>0</v>
      </c>
      <c r="E50" s="142">
        <f t="shared" si="0"/>
        <v>0</v>
      </c>
      <c r="F50" s="184"/>
      <c r="H50" s="187" t="s">
        <v>83</v>
      </c>
      <c r="I50" s="139">
        <f>I49/I38</f>
        <v>127.01289851599972</v>
      </c>
      <c r="J50" s="132">
        <f>J49/J38</f>
        <v>120.03361397718264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+C51+'23'!D51</f>
        <v>0</v>
      </c>
      <c r="E51" s="142">
        <f t="shared" si="0"/>
        <v>0</v>
      </c>
      <c r="F51" s="184"/>
      <c r="H51" s="189" t="s">
        <v>85</v>
      </c>
      <c r="I51" s="140">
        <f>I49/I40</f>
        <v>131.92624060226854</v>
      </c>
      <c r="J51" s="135">
        <f>J49/J40</f>
        <v>124.65022019737557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65</v>
      </c>
      <c r="D52" s="143">
        <f>SUM(D38:D51)</f>
        <v>2366</v>
      </c>
      <c r="E52" s="144">
        <f>SUM(E38:E51)</f>
        <v>39.433333333333337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4.5138888888888888E-2</v>
      </c>
      <c r="D53" s="145">
        <f>D52/(24*60*G4)</f>
        <v>6.8460648148148145E-2</v>
      </c>
      <c r="E53" s="146">
        <f>E52/(G4*24)</f>
        <v>6.8460648148148159E-2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+D34+'23'!J56</f>
        <v>3359</v>
      </c>
      <c r="K56" s="200">
        <f>J56/(J40+J56/1000)/1000</f>
        <v>3.6887077662727582E-3</v>
      </c>
    </row>
    <row r="57" spans="1:11">
      <c r="A57" s="175"/>
      <c r="I57" s="198" t="s">
        <v>88</v>
      </c>
      <c r="J57" s="199">
        <f>+E34+'23'!J57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S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710937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23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493</v>
      </c>
      <c r="O6" s="148">
        <v>1050</v>
      </c>
      <c r="P6" s="148">
        <f>+O6-(O6*0.23)</f>
        <v>808.5</v>
      </c>
      <c r="Q6" s="148">
        <v>480</v>
      </c>
      <c r="R6" s="148">
        <f>+O6*Q6</f>
        <v>504000</v>
      </c>
      <c r="S6" s="148">
        <f>+P6*Q6</f>
        <v>388080</v>
      </c>
    </row>
    <row r="7" spans="1:19" ht="13.5" customHeight="1" thickBot="1">
      <c r="A7" s="745" t="s">
        <v>438</v>
      </c>
      <c r="B7" s="214" t="s">
        <v>510</v>
      </c>
      <c r="C7" s="215">
        <v>12563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606</v>
      </c>
      <c r="J7" s="213" t="str">
        <f>+'22'!J7</f>
        <v>F 14 VP OW</v>
      </c>
      <c r="K7" s="237"/>
      <c r="L7" s="241"/>
      <c r="M7" s="116">
        <f>+K7+'22'!M7+L7</f>
        <v>190720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+'22'!J8</f>
        <v>F 15 VP OW</v>
      </c>
      <c r="K8" s="238"/>
      <c r="L8" s="238"/>
      <c r="M8" s="116">
        <f>+K8+'22'!M8+L8</f>
        <v>95546</v>
      </c>
    </row>
    <row r="9" spans="1:19" ht="13.5" thickBot="1">
      <c r="A9" s="746"/>
      <c r="B9" s="214"/>
      <c r="C9" s="215"/>
      <c r="D9" s="216"/>
      <c r="E9" s="219"/>
      <c r="F9" s="227">
        <f>24-9</f>
        <v>15</v>
      </c>
      <c r="G9" s="231" t="s">
        <v>12</v>
      </c>
      <c r="H9" s="232" t="s">
        <v>406</v>
      </c>
      <c r="I9" s="749"/>
      <c r="J9" s="213" t="str">
        <f>+'22'!J9</f>
        <v>T 12 VP OW</v>
      </c>
      <c r="K9" s="238"/>
      <c r="L9" s="238"/>
      <c r="M9" s="116">
        <f>+K9+'22'!M9+L9</f>
        <v>50578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610</v>
      </c>
      <c r="I10" s="749"/>
      <c r="J10" s="213" t="str">
        <f>+'22'!J10</f>
        <v>T 13 VP OW</v>
      </c>
      <c r="K10" s="238"/>
      <c r="L10" s="238"/>
      <c r="M10" s="116">
        <f>+K10+'22'!M10+L10</f>
        <v>241859</v>
      </c>
    </row>
    <row r="11" spans="1:19" ht="26.25" thickBot="1">
      <c r="A11" s="746"/>
      <c r="B11" s="214"/>
      <c r="C11" s="215"/>
      <c r="D11" s="216"/>
      <c r="E11" s="218"/>
      <c r="F11" s="227"/>
      <c r="G11" s="231"/>
      <c r="H11" s="232" t="s">
        <v>611</v>
      </c>
      <c r="I11" s="749"/>
      <c r="J11" s="213" t="str">
        <f>+'22'!J11</f>
        <v>T 15 VP OW</v>
      </c>
      <c r="K11" s="238">
        <f>+C7+C16+C25</f>
        <v>37981</v>
      </c>
      <c r="L11" s="238"/>
      <c r="M11" s="116">
        <f>+K11+'22'!M11+L11</f>
        <v>79299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+'22'!J12</f>
        <v>F 12 VP OW</v>
      </c>
      <c r="K12" s="238"/>
      <c r="L12" s="238"/>
      <c r="M12" s="116">
        <f>+K12+'22'!M12+L12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+'22'!J13</f>
        <v>F 13 VP OW</v>
      </c>
      <c r="K13" s="238"/>
      <c r="L13" s="238"/>
      <c r="M13" s="116">
        <f>+K13+'22'!M13+L13</f>
        <v>32376</v>
      </c>
    </row>
    <row r="14" spans="1:19" ht="13.5" thickBot="1">
      <c r="A14" s="747"/>
      <c r="B14" s="164" t="s">
        <v>2</v>
      </c>
      <c r="C14" s="98">
        <f>SUM(C7:C13)</f>
        <v>12563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 t="str">
        <f>+'22'!J14</f>
        <v>F 11,5 VP OW</v>
      </c>
      <c r="K14" s="238"/>
      <c r="L14" s="238"/>
      <c r="M14" s="116">
        <f>+K14+'22'!M14+L14</f>
        <v>53445</v>
      </c>
      <c r="Q14" s="175">
        <f>SUM(Q6:Q11)</f>
        <v>480</v>
      </c>
      <c r="R14" s="175">
        <f>SUM(R6:R11)</f>
        <v>504000</v>
      </c>
      <c r="S14" s="175">
        <f>SUM(S6:S11)</f>
        <v>388080</v>
      </c>
    </row>
    <row r="15" spans="1:19" ht="13.5" customHeight="1" thickBot="1">
      <c r="A15" s="745" t="s">
        <v>389</v>
      </c>
      <c r="B15" s="164"/>
      <c r="C15" s="112">
        <f>C14/($C$23+$D$23+$E$23)</f>
        <v>0.77592489654746466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606</v>
      </c>
      <c r="J15" s="213" t="s">
        <v>617</v>
      </c>
      <c r="K15" s="238">
        <f>+C26</f>
        <v>3536</v>
      </c>
      <c r="L15" s="238"/>
      <c r="M15" s="116">
        <f>+K15+'22'!M15+L15</f>
        <v>3536</v>
      </c>
      <c r="Q15" s="148">
        <f>480-Q14</f>
        <v>0</v>
      </c>
      <c r="R15" s="175">
        <f>+R14/Q14</f>
        <v>1050</v>
      </c>
      <c r="S15" s="175">
        <f>+S14/Q14</f>
        <v>808.5</v>
      </c>
    </row>
    <row r="16" spans="1:19" ht="13.5" thickBot="1">
      <c r="A16" s="751"/>
      <c r="B16" s="214" t="s">
        <v>510</v>
      </c>
      <c r="C16" s="221">
        <v>15931</v>
      </c>
      <c r="D16" s="222">
        <v>260</v>
      </c>
      <c r="E16" s="223"/>
      <c r="F16" s="230">
        <v>8</v>
      </c>
      <c r="G16" s="231" t="s">
        <v>12</v>
      </c>
      <c r="H16" s="229" t="s">
        <v>407</v>
      </c>
      <c r="I16" s="749"/>
      <c r="J16" s="213">
        <f>+'22'!J16</f>
        <v>0</v>
      </c>
      <c r="K16" s="238"/>
      <c r="L16" s="228"/>
      <c r="M16" s="116">
        <f>+K16+'22'!M16+L16</f>
        <v>0</v>
      </c>
    </row>
    <row r="17" spans="1:19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+'22'!J17</f>
        <v>0</v>
      </c>
      <c r="K17" s="238"/>
      <c r="L17" s="228"/>
      <c r="M17" s="116">
        <f>+K17+'22'!M17+L17</f>
        <v>0</v>
      </c>
      <c r="N17" s="148" t="s">
        <v>493</v>
      </c>
      <c r="O17" s="148">
        <v>1050</v>
      </c>
      <c r="P17" s="148">
        <f>+O17-(O17*0.23)</f>
        <v>808.5</v>
      </c>
      <c r="Q17" s="148">
        <v>480</v>
      </c>
      <c r="R17" s="148">
        <f>+O17*Q17</f>
        <v>504000</v>
      </c>
      <c r="S17" s="148">
        <f>+P17*Q17</f>
        <v>388080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613</v>
      </c>
      <c r="I18" s="749"/>
      <c r="J18" s="213">
        <f>+'22'!J18</f>
        <v>0</v>
      </c>
      <c r="K18" s="238"/>
      <c r="L18" s="238"/>
      <c r="M18" s="116">
        <f>+K18+'22'!M18+L18</f>
        <v>0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+'22'!J19</f>
        <v>0</v>
      </c>
      <c r="K19" s="238"/>
      <c r="L19" s="238"/>
      <c r="M19" s="116">
        <f>+K19+'22'!M19+L19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+'22'!J20</f>
        <v>0</v>
      </c>
      <c r="K20" s="239"/>
      <c r="L20" s="239"/>
      <c r="M20" s="116">
        <f>+K20+'22'!M20+L20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+'22'!J21</f>
        <v>0</v>
      </c>
      <c r="K21" s="238"/>
      <c r="L21" s="238"/>
      <c r="M21" s="116">
        <f>+K21+'22'!M21+L21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+'22'!J22</f>
        <v>0</v>
      </c>
      <c r="K22" s="238"/>
      <c r="L22" s="238"/>
      <c r="M22" s="116">
        <f>+K22+'22'!M22+L22</f>
        <v>0</v>
      </c>
    </row>
    <row r="23" spans="1:19" ht="13.5" thickBot="1">
      <c r="A23" s="752"/>
      <c r="B23" s="167" t="s">
        <v>2</v>
      </c>
      <c r="C23" s="99">
        <f>SUM(C16:C22)</f>
        <v>15931</v>
      </c>
      <c r="D23" s="110">
        <f>SUM(D16:D22)</f>
        <v>260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+'22'!J23</f>
        <v>0</v>
      </c>
      <c r="K23" s="238"/>
      <c r="L23" s="238"/>
      <c r="M23" s="116">
        <f>+K23+'22'!M23+L23</f>
        <v>0</v>
      </c>
    </row>
    <row r="24" spans="1:19" ht="13.5" customHeight="1" thickBot="1">
      <c r="A24" s="745" t="s">
        <v>387</v>
      </c>
      <c r="B24" s="169"/>
      <c r="C24" s="112">
        <f>C23/($C$23+$D$23+$E$23)</f>
        <v>0.98394169600395276</v>
      </c>
      <c r="D24" s="113">
        <f>D23/($C$23+$D$23+$E$23)</f>
        <v>1.6058303996047185E-2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615</v>
      </c>
      <c r="J24" s="213">
        <f>+'22'!J24</f>
        <v>0</v>
      </c>
      <c r="K24" s="238"/>
      <c r="L24" s="238"/>
      <c r="M24" s="116">
        <f>+K24+'22'!M24+L24</f>
        <v>0</v>
      </c>
    </row>
    <row r="25" spans="1:19" ht="13.5" thickBot="1">
      <c r="A25" s="751"/>
      <c r="B25" s="214" t="s">
        <v>510</v>
      </c>
      <c r="C25" s="225">
        <v>9487</v>
      </c>
      <c r="D25" s="216"/>
      <c r="E25" s="224"/>
      <c r="F25" s="230">
        <v>9</v>
      </c>
      <c r="G25" s="231" t="s">
        <v>12</v>
      </c>
      <c r="H25" s="229" t="s">
        <v>481</v>
      </c>
      <c r="I25" s="749"/>
      <c r="J25" s="213">
        <f>+'22'!J25</f>
        <v>0</v>
      </c>
      <c r="K25" s="238"/>
      <c r="L25" s="238"/>
      <c r="M25" s="116">
        <f>+K25+'22'!M25+L25</f>
        <v>0</v>
      </c>
      <c r="Q25" s="175">
        <f>SUM(Q17:Q22)</f>
        <v>480</v>
      </c>
      <c r="R25" s="175">
        <f>SUM(R17:R22)</f>
        <v>504000</v>
      </c>
      <c r="S25" s="175">
        <f>SUM(S17:S22)</f>
        <v>388080</v>
      </c>
    </row>
    <row r="26" spans="1:19" ht="13.5" thickBot="1">
      <c r="A26" s="751"/>
      <c r="B26" s="214" t="s">
        <v>617</v>
      </c>
      <c r="C26" s="225">
        <v>3536</v>
      </c>
      <c r="D26" s="216"/>
      <c r="E26" s="226"/>
      <c r="F26" s="227">
        <v>14</v>
      </c>
      <c r="G26" s="231" t="s">
        <v>12</v>
      </c>
      <c r="H26" s="232" t="s">
        <v>406</v>
      </c>
      <c r="I26" s="749"/>
      <c r="J26" s="213">
        <f>+'22'!J26</f>
        <v>0</v>
      </c>
      <c r="K26" s="238"/>
      <c r="L26" s="238"/>
      <c r="M26" s="116">
        <f>+K26+'22'!M26+L26</f>
        <v>0</v>
      </c>
      <c r="Q26" s="148">
        <f>480-Q25</f>
        <v>0</v>
      </c>
      <c r="R26" s="175">
        <f>+R25/Q25</f>
        <v>1050</v>
      </c>
      <c r="S26" s="175">
        <f>+S25/Q25</f>
        <v>808.5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605</v>
      </c>
      <c r="I27" s="749"/>
      <c r="J27" s="213">
        <f>+'22'!J27</f>
        <v>0</v>
      </c>
      <c r="K27" s="238"/>
      <c r="L27" s="238"/>
      <c r="M27" s="116">
        <f>+K27+'22'!M27+L27</f>
        <v>0</v>
      </c>
      <c r="N27" s="148" t="s">
        <v>493</v>
      </c>
      <c r="O27" s="148">
        <v>1050</v>
      </c>
      <c r="P27" s="148">
        <f>+O27-(O27*0.23)</f>
        <v>808.5</v>
      </c>
      <c r="Q27" s="148">
        <f>60*3+55</f>
        <v>235</v>
      </c>
      <c r="R27" s="148">
        <f>+O27*Q27</f>
        <v>246750</v>
      </c>
      <c r="S27" s="148">
        <f>+P27*Q27</f>
        <v>189997.5</v>
      </c>
    </row>
    <row r="28" spans="1:19" ht="13.5" thickBot="1">
      <c r="A28" s="751"/>
      <c r="B28" s="214"/>
      <c r="C28" s="215"/>
      <c r="D28" s="216"/>
      <c r="E28" s="224"/>
      <c r="F28" s="230"/>
      <c r="G28" s="231"/>
      <c r="H28" s="232" t="s">
        <v>612</v>
      </c>
      <c r="I28" s="749"/>
      <c r="J28" s="213">
        <f>+'22'!J28</f>
        <v>0</v>
      </c>
      <c r="K28" s="238"/>
      <c r="L28" s="238"/>
      <c r="M28" s="116">
        <f>+K28+'22'!M28+L28</f>
        <v>0</v>
      </c>
      <c r="N28" s="148" t="s">
        <v>614</v>
      </c>
      <c r="O28" s="148">
        <v>1070</v>
      </c>
      <c r="P28" s="148">
        <f>+O28-(O28*0.23)</f>
        <v>823.9</v>
      </c>
      <c r="Q28" s="148">
        <f>480-Q27</f>
        <v>245</v>
      </c>
      <c r="R28" s="148">
        <f>+O28*Q28</f>
        <v>262150</v>
      </c>
      <c r="S28" s="148">
        <f>+P28*Q28</f>
        <v>201855.5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+'22'!J29</f>
        <v>0</v>
      </c>
      <c r="K29" s="238"/>
      <c r="L29" s="238"/>
      <c r="M29" s="116">
        <f>+K29+'22'!M29+L29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+'22'!J30</f>
        <v>0</v>
      </c>
      <c r="K30" s="238"/>
      <c r="L30" s="238"/>
      <c r="M30" s="116">
        <f>+K30+'22'!M30+L30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+'22'!J31</f>
        <v>0</v>
      </c>
      <c r="K31" s="238"/>
      <c r="L31" s="238"/>
      <c r="M31" s="116">
        <f>+K31+'22'!M31+L31</f>
        <v>0</v>
      </c>
    </row>
    <row r="32" spans="1:19" ht="13.5" thickBot="1">
      <c r="A32" s="752"/>
      <c r="B32" s="164" t="s">
        <v>2</v>
      </c>
      <c r="C32" s="98">
        <f>SUM(C25:C31)</f>
        <v>13023</v>
      </c>
      <c r="D32" s="99">
        <f>SUM(D25:D31)</f>
        <v>0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13">
        <f>+'22'!J32</f>
        <v>0</v>
      </c>
      <c r="K32" s="240"/>
      <c r="L32" s="242"/>
      <c r="M32" s="116">
        <f>+K32+'22'!M32+L32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41517</v>
      </c>
      <c r="D34" s="106">
        <f>D14+D23+D32</f>
        <v>260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41517</v>
      </c>
      <c r="L34" s="211">
        <f>SUM(L7:L32)</f>
        <v>0</v>
      </c>
      <c r="M34" s="119">
        <f>SUM(M7:M32)</f>
        <v>867112</v>
      </c>
    </row>
    <row r="35" spans="1:19" ht="13.5" thickBot="1">
      <c r="A35" s="178"/>
      <c r="B35" s="179"/>
      <c r="C35" s="103">
        <f>C34/($C$34+$D$34+$E$34)</f>
        <v>0.99377647988127438</v>
      </c>
      <c r="D35" s="103">
        <f>D34/($C$34+$D$34+$E$34)</f>
        <v>6.2235201187256142E-3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508900</v>
      </c>
      <c r="S35" s="175">
        <f>SUM(S27:S32)</f>
        <v>391853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1060.2083333333333</v>
      </c>
      <c r="S36" s="175">
        <f>+S35/Q35</f>
        <v>816.36041666666665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(15*1195+14*245)/1440*G42*2.74*1440/1000000</f>
        <v>47.460829350763888</v>
      </c>
      <c r="J37" s="124">
        <f>+I37+'22'!J37</f>
        <v>1009.2484755011209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65</v>
      </c>
      <c r="D38" s="117">
        <f>+C38+'22'!D38</f>
        <v>1580</v>
      </c>
      <c r="E38" s="142">
        <f t="shared" ref="E38:E51" si="0">D38/60</f>
        <v>26.333333333333332</v>
      </c>
      <c r="F38" s="321">
        <v>1050</v>
      </c>
      <c r="G38" s="321">
        <v>808.5</v>
      </c>
      <c r="H38" s="186" t="s">
        <v>64</v>
      </c>
      <c r="I38" s="244">
        <f>13.967+14.277+14.564</f>
        <v>42.808</v>
      </c>
      <c r="J38" s="126">
        <f>+I38+'22'!J38</f>
        <v>900.45299999999986</v>
      </c>
      <c r="K38" s="127" t="s">
        <v>63</v>
      </c>
      <c r="M38" s="148" t="s">
        <v>493</v>
      </c>
      <c r="N38" s="148">
        <v>1050</v>
      </c>
      <c r="O38" s="148">
        <v>808.5</v>
      </c>
      <c r="P38" s="148">
        <f>480+480+235</f>
        <v>1195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+C39+'22'!D39</f>
        <v>0</v>
      </c>
      <c r="E39" s="142">
        <f t="shared" si="0"/>
        <v>0</v>
      </c>
      <c r="F39" s="321">
        <v>1050</v>
      </c>
      <c r="G39" s="321">
        <v>808.5</v>
      </c>
      <c r="H39" s="186" t="s">
        <v>65</v>
      </c>
      <c r="I39" s="141"/>
      <c r="J39" s="128">
        <f>J37/G4</f>
        <v>43.880368500048732</v>
      </c>
      <c r="K39" s="129" t="s">
        <v>63</v>
      </c>
      <c r="M39" s="148" t="s">
        <v>614</v>
      </c>
      <c r="N39" s="148">
        <v>1070</v>
      </c>
      <c r="O39" s="148">
        <v>823.9</v>
      </c>
      <c r="P39" s="148">
        <v>245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+C40+'22'!D40</f>
        <v>481</v>
      </c>
      <c r="E40" s="142">
        <f t="shared" si="0"/>
        <v>8.0166666666666675</v>
      </c>
      <c r="F40" s="321">
        <v>1060.2083333333333</v>
      </c>
      <c r="G40" s="321">
        <v>816.36041666666665</v>
      </c>
      <c r="H40" s="186" t="s">
        <v>67</v>
      </c>
      <c r="I40" s="117">
        <f>(K34+L34)/1000</f>
        <v>41.517000000000003</v>
      </c>
      <c r="J40" s="130">
        <f>+I40+'22'!J40</f>
        <v>867.11199999999997</v>
      </c>
      <c r="K40" s="129" t="s">
        <v>63</v>
      </c>
      <c r="P40" s="148">
        <f>+P38+P39</f>
        <v>1440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+C41+'22'!D41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37.70052173913043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+C42+'22'!D42</f>
        <v>0</v>
      </c>
      <c r="E42" s="142">
        <f t="shared" si="0"/>
        <v>0</v>
      </c>
      <c r="F42" s="321">
        <f>+(480*F38+480*F39+480*F40)/1440</f>
        <v>1053.4027777777778</v>
      </c>
      <c r="G42" s="321">
        <f>+(480*G38+480*G39+480*G40)/1440</f>
        <v>811.12013888888885</v>
      </c>
      <c r="H42" s="186" t="s">
        <v>70</v>
      </c>
      <c r="I42" s="245" t="s">
        <v>616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+C43+'22'!D43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+Report1!Z31</f>
        <v>50.4</v>
      </c>
      <c r="J43" s="132">
        <f>+I43+'22'!J43</f>
        <v>1174.0999999999999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+C44+'22'!D44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1.1773500280321434</v>
      </c>
      <c r="J44" s="133">
        <f>J43/J38</f>
        <v>1.3038992595948928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+C45+'22'!D45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1.2139605462822458</v>
      </c>
      <c r="J45" s="133">
        <f>J43/J40</f>
        <v>1.354035003552021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+C46+'22'!D46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+SUMIF(Listrik!P30,"&gt;0")</f>
        <v>38342.399999999274</v>
      </c>
      <c r="J46" s="134">
        <f>+I46+'22'!J46</f>
        <v>861240.05999999947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+C47+'22'!D47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895.68304989719854</v>
      </c>
      <c r="J47" s="134">
        <f>J46/J38</f>
        <v>956.45198583379658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+C48+'22'!D48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923.53493749546624</v>
      </c>
      <c r="J48" s="134">
        <f>J46/J40</f>
        <v>993.2281642971144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+C49+'22'!D49</f>
        <v>0</v>
      </c>
      <c r="E49" s="142">
        <f t="shared" si="0"/>
        <v>0</v>
      </c>
      <c r="F49" s="184"/>
      <c r="H49" s="187" t="s">
        <v>269</v>
      </c>
      <c r="I49" s="117">
        <f>+Report1!T31</f>
        <v>5141.0223468986724</v>
      </c>
      <c r="J49" s="134">
        <f>+I49+'22'!J49</f>
        <v>107793.59862061188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+C50+'22'!D50</f>
        <v>0</v>
      </c>
      <c r="E50" s="142">
        <f t="shared" si="0"/>
        <v>0</v>
      </c>
      <c r="F50" s="184"/>
      <c r="H50" s="187" t="s">
        <v>83</v>
      </c>
      <c r="I50" s="139">
        <f>I49/I38</f>
        <v>120.09489690942516</v>
      </c>
      <c r="J50" s="132">
        <f>J49/J38</f>
        <v>119.71041089386331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+C51+'22'!D51</f>
        <v>0</v>
      </c>
      <c r="E51" s="142">
        <f t="shared" si="0"/>
        <v>0</v>
      </c>
      <c r="F51" s="184"/>
      <c r="H51" s="189" t="s">
        <v>85</v>
      </c>
      <c r="I51" s="140">
        <f>I49/I40</f>
        <v>123.82933128353859</v>
      </c>
      <c r="J51" s="135">
        <f>J49/J40</f>
        <v>124.31335124022259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65</v>
      </c>
      <c r="D52" s="143">
        <f>SUM(D38:D51)</f>
        <v>2301</v>
      </c>
      <c r="E52" s="144">
        <f>SUM(E38:E51)</f>
        <v>38.35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4.5138888888888888E-2</v>
      </c>
      <c r="D53" s="145">
        <f>D52/(24*60*G4)</f>
        <v>6.9474637681159426E-2</v>
      </c>
      <c r="E53" s="146">
        <f>E52/(G4*24)</f>
        <v>6.9474637681159426E-2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+D34+'22'!J56</f>
        <v>2795</v>
      </c>
      <c r="K56" s="200">
        <f>J56/(J40+J56/1000)/1000</f>
        <v>3.2129871354064287E-3</v>
      </c>
    </row>
    <row r="57" spans="1:11">
      <c r="A57" s="175"/>
      <c r="I57" s="198" t="s">
        <v>88</v>
      </c>
      <c r="J57" s="199">
        <f>+E34+'22'!J57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Z61"/>
  <sheetViews>
    <sheetView topLeftCell="E4" zoomScale="80" zoomScaleNormal="80" workbookViewId="0">
      <selection activeCell="I23" sqref="I23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7109375" style="148" bestFit="1" customWidth="1"/>
    <col min="12" max="12" width="8.28515625" style="148" customWidth="1"/>
    <col min="13" max="13" width="15.28515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22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1150</v>
      </c>
      <c r="P6" s="148">
        <f>+O6-(O6*0.25)</f>
        <v>862.5</v>
      </c>
      <c r="Q6" s="148">
        <v>480</v>
      </c>
      <c r="R6" s="148">
        <f>+O6*Q6</f>
        <v>552000</v>
      </c>
      <c r="S6" s="148">
        <f>+P6*Q6</f>
        <v>414000</v>
      </c>
      <c r="U6" s="148" t="s">
        <v>457</v>
      </c>
      <c r="V6" s="148">
        <v>1150</v>
      </c>
      <c r="W6" s="148">
        <f>+V6-(V6*0.24)</f>
        <v>874</v>
      </c>
      <c r="X6" s="148">
        <v>480</v>
      </c>
      <c r="Y6" s="148">
        <f>+V6*X6</f>
        <v>552000</v>
      </c>
      <c r="Z6" s="148">
        <f>+W6*X6</f>
        <v>419520</v>
      </c>
    </row>
    <row r="7" spans="1:26" ht="13.5" customHeight="1" thickBot="1">
      <c r="A7" s="745" t="s">
        <v>438</v>
      </c>
      <c r="B7" s="214" t="s">
        <v>470</v>
      </c>
      <c r="C7" s="215">
        <v>13042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707</v>
      </c>
      <c r="J7" s="213" t="str">
        <f>+'21'!J7</f>
        <v>F 14 VP OW</v>
      </c>
      <c r="K7" s="237"/>
      <c r="L7" s="241"/>
      <c r="M7" s="116">
        <f>+K7+'21'!M7+L7</f>
        <v>190720</v>
      </c>
      <c r="U7" s="148" t="s">
        <v>457</v>
      </c>
      <c r="V7" s="148">
        <v>1150</v>
      </c>
      <c r="W7" s="148">
        <v>874</v>
      </c>
      <c r="X7" s="148">
        <v>300</v>
      </c>
      <c r="Y7" s="148">
        <f>+V7*X7</f>
        <v>345000</v>
      </c>
      <c r="Z7" s="148">
        <f>+W7*X7</f>
        <v>262200</v>
      </c>
    </row>
    <row r="8" spans="1:26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+'21'!J8</f>
        <v>F 15 VP OW</v>
      </c>
      <c r="K8" s="238"/>
      <c r="L8" s="238"/>
      <c r="M8" s="116">
        <f>+K8+'21'!M8+L8</f>
        <v>95546</v>
      </c>
    </row>
    <row r="9" spans="1:26" ht="13.5" thickBot="1">
      <c r="A9" s="746"/>
      <c r="B9" s="214"/>
      <c r="C9" s="215"/>
      <c r="D9" s="216"/>
      <c r="E9" s="219"/>
      <c r="F9" s="227">
        <f>26-9</f>
        <v>17</v>
      </c>
      <c r="G9" s="231" t="s">
        <v>12</v>
      </c>
      <c r="H9" s="232" t="s">
        <v>406</v>
      </c>
      <c r="I9" s="749"/>
      <c r="J9" s="213" t="str">
        <f>+'21'!J9</f>
        <v>T 12 VP OW</v>
      </c>
      <c r="K9" s="238"/>
      <c r="L9" s="238"/>
      <c r="M9" s="116">
        <f>+K9+'21'!M9+L9</f>
        <v>50578</v>
      </c>
    </row>
    <row r="10" spans="1:26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704</v>
      </c>
      <c r="I10" s="749"/>
      <c r="J10" s="213" t="str">
        <f>+'21'!J10</f>
        <v>T 13 VP OW</v>
      </c>
      <c r="K10" s="238">
        <f>+C7+C16</f>
        <v>24704</v>
      </c>
      <c r="L10" s="238"/>
      <c r="M10" s="116">
        <f>+K10+'21'!M10+L10</f>
        <v>241859</v>
      </c>
    </row>
    <row r="11" spans="1:26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+'21'!J11</f>
        <v>T 15 VP OW</v>
      </c>
      <c r="K11" s="238">
        <f>+C17+C25</f>
        <v>15454</v>
      </c>
      <c r="L11" s="238"/>
      <c r="M11" s="116">
        <f>+K11+'21'!M11+L11</f>
        <v>41318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+'21'!J12</f>
        <v>F 12 VP OW</v>
      </c>
      <c r="K12" s="238"/>
      <c r="L12" s="238"/>
      <c r="M12" s="116">
        <f>+K12+'21'!M12+L12</f>
        <v>119753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+'21'!J13</f>
        <v>F 13 VP OW</v>
      </c>
      <c r="K13" s="238"/>
      <c r="L13" s="238"/>
      <c r="M13" s="116">
        <f>+K13+'21'!M13+L13</f>
        <v>32376</v>
      </c>
    </row>
    <row r="14" spans="1:26" ht="13.5" thickBot="1">
      <c r="A14" s="747"/>
      <c r="B14" s="164" t="s">
        <v>2</v>
      </c>
      <c r="C14" s="98">
        <f>SUM(C7:C13)</f>
        <v>13042</v>
      </c>
      <c r="D14" s="110">
        <f>SUM(D7:D13)</f>
        <v>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 t="str">
        <f>+'21'!J14</f>
        <v>F 11,5 VP OW</v>
      </c>
      <c r="K14" s="238"/>
      <c r="L14" s="238"/>
      <c r="M14" s="116">
        <f>+K14+'21'!M14+L14</f>
        <v>53445</v>
      </c>
      <c r="Q14" s="175">
        <f>SUM(Q6:Q11)</f>
        <v>480</v>
      </c>
      <c r="R14" s="175">
        <f>SUM(R6:R11)</f>
        <v>552000</v>
      </c>
      <c r="S14" s="175">
        <f>SUM(S6:S11)</f>
        <v>414000</v>
      </c>
      <c r="X14" s="175">
        <f>SUM(X6:X11)</f>
        <v>780</v>
      </c>
      <c r="Y14" s="175">
        <f>SUM(Y6:Y11)</f>
        <v>897000</v>
      </c>
      <c r="Z14" s="175">
        <f>SUM(Z6:Z11)</f>
        <v>681720</v>
      </c>
    </row>
    <row r="15" spans="1:26" ht="13.5" customHeight="1" thickBot="1">
      <c r="A15" s="745" t="s">
        <v>388</v>
      </c>
      <c r="B15" s="164"/>
      <c r="C15" s="112">
        <f>C14/($C$23+$D$23+$E$23)</f>
        <v>1.0162069502882967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708</v>
      </c>
      <c r="J15" s="213">
        <f>+'21'!J15</f>
        <v>0</v>
      </c>
      <c r="K15" s="238"/>
      <c r="L15" s="238"/>
      <c r="M15" s="116">
        <f>+K15+'21'!M15+L15</f>
        <v>0</v>
      </c>
      <c r="Q15" s="148">
        <f>480-Q14</f>
        <v>0</v>
      </c>
      <c r="R15" s="175">
        <f>+R14/Q14</f>
        <v>1150</v>
      </c>
      <c r="S15" s="175">
        <f>+S14/Q14</f>
        <v>862.5</v>
      </c>
      <c r="X15" s="148">
        <f>480-X14</f>
        <v>-300</v>
      </c>
      <c r="Y15" s="175">
        <f>+Y14/X14</f>
        <v>1150</v>
      </c>
      <c r="Z15" s="175">
        <f>+Z14/X14</f>
        <v>874</v>
      </c>
    </row>
    <row r="16" spans="1:26" ht="13.5" thickBot="1">
      <c r="A16" s="751"/>
      <c r="B16" s="214" t="s">
        <v>470</v>
      </c>
      <c r="C16" s="221">
        <v>11662</v>
      </c>
      <c r="D16" s="222"/>
      <c r="E16" s="223"/>
      <c r="F16" s="230">
        <v>8</v>
      </c>
      <c r="G16" s="231" t="s">
        <v>12</v>
      </c>
      <c r="H16" s="229" t="s">
        <v>407</v>
      </c>
      <c r="I16" s="749"/>
      <c r="J16" s="213">
        <f>+'21'!J16</f>
        <v>0</v>
      </c>
      <c r="K16" s="228"/>
      <c r="L16" s="228"/>
      <c r="M16" s="116">
        <f>+K16+'21'!M16+L16</f>
        <v>0</v>
      </c>
    </row>
    <row r="17" spans="1:26" ht="13.5" thickBot="1">
      <c r="A17" s="751"/>
      <c r="B17" s="214" t="s">
        <v>510</v>
      </c>
      <c r="C17" s="215">
        <v>1172</v>
      </c>
      <c r="D17" s="216"/>
      <c r="E17" s="224"/>
      <c r="F17" s="227">
        <v>10</v>
      </c>
      <c r="G17" s="231" t="s">
        <v>12</v>
      </c>
      <c r="H17" s="232" t="s">
        <v>598</v>
      </c>
      <c r="I17" s="749"/>
      <c r="J17" s="213">
        <f>+'21'!J17</f>
        <v>0</v>
      </c>
      <c r="K17" s="228"/>
      <c r="L17" s="228"/>
      <c r="M17" s="116">
        <f>+K17+'21'!M17+L17</f>
        <v>0</v>
      </c>
      <c r="N17" s="148" t="s">
        <v>457</v>
      </c>
      <c r="O17" s="148">
        <v>1150</v>
      </c>
      <c r="P17" s="148">
        <f>+O17-(O17*0.25)</f>
        <v>862.5</v>
      </c>
      <c r="Q17" s="148">
        <f>60*5</f>
        <v>300</v>
      </c>
      <c r="R17" s="148">
        <f>+O17*Q17</f>
        <v>345000</v>
      </c>
      <c r="S17" s="148">
        <f>+P17*Q17</f>
        <v>258750</v>
      </c>
    </row>
    <row r="18" spans="1:26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706</v>
      </c>
      <c r="I18" s="749"/>
      <c r="J18" s="213">
        <f>+'21'!J18</f>
        <v>0</v>
      </c>
      <c r="K18" s="238"/>
      <c r="L18" s="238"/>
      <c r="M18" s="116">
        <f>+K18+'21'!M18+L18</f>
        <v>0</v>
      </c>
      <c r="N18" s="148" t="s">
        <v>493</v>
      </c>
      <c r="O18" s="148">
        <v>1050</v>
      </c>
      <c r="P18" s="148">
        <f>+O18-(O18*0.23)</f>
        <v>808.5</v>
      </c>
      <c r="Q18" s="148">
        <v>180</v>
      </c>
      <c r="R18" s="148">
        <f>+O18*Q18</f>
        <v>189000</v>
      </c>
      <c r="S18" s="148">
        <f>+P18*Q18</f>
        <v>145530</v>
      </c>
      <c r="U18" s="148" t="s">
        <v>493</v>
      </c>
      <c r="V18" s="148">
        <v>1050</v>
      </c>
      <c r="W18" s="148">
        <v>808.5</v>
      </c>
      <c r="X18" s="148">
        <v>180</v>
      </c>
      <c r="Y18" s="148">
        <f>+V18*X18</f>
        <v>189000</v>
      </c>
      <c r="Z18" s="148">
        <f>+W18*X18</f>
        <v>145530</v>
      </c>
    </row>
    <row r="19" spans="1:26" ht="13.5" thickBot="1">
      <c r="A19" s="751"/>
      <c r="B19" s="214"/>
      <c r="C19" s="215"/>
      <c r="D19" s="216"/>
      <c r="E19" s="224"/>
      <c r="F19" s="234"/>
      <c r="G19" s="231"/>
      <c r="H19" s="232" t="s">
        <v>604</v>
      </c>
      <c r="I19" s="749"/>
      <c r="J19" s="213">
        <f>+'21'!J19</f>
        <v>0</v>
      </c>
      <c r="K19" s="238"/>
      <c r="L19" s="238"/>
      <c r="M19" s="116">
        <f>+K19+'21'!M19+L19</f>
        <v>0</v>
      </c>
      <c r="U19" s="148" t="s">
        <v>493</v>
      </c>
      <c r="V19" s="148">
        <v>1050</v>
      </c>
      <c r="W19" s="148">
        <v>808.5</v>
      </c>
      <c r="X19" s="148">
        <v>480</v>
      </c>
      <c r="Y19" s="148">
        <f>+V19*X19</f>
        <v>504000</v>
      </c>
      <c r="Z19" s="148">
        <f>+W19*X19</f>
        <v>388080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+'21'!J20</f>
        <v>0</v>
      </c>
      <c r="K20" s="239"/>
      <c r="L20" s="239"/>
      <c r="M20" s="116">
        <f>+K20+'21'!M20+L20</f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+'21'!J21</f>
        <v>0</v>
      </c>
      <c r="K21" s="238"/>
      <c r="L21" s="238"/>
      <c r="M21" s="116">
        <f>+K21+'21'!M21+L21</f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+'21'!J22</f>
        <v>0</v>
      </c>
      <c r="K22" s="238"/>
      <c r="L22" s="238"/>
      <c r="M22" s="116">
        <f>+K22+'21'!M22+L22</f>
        <v>0</v>
      </c>
    </row>
    <row r="23" spans="1:26" ht="13.5" thickBot="1">
      <c r="A23" s="752"/>
      <c r="B23" s="167" t="s">
        <v>2</v>
      </c>
      <c r="C23" s="99">
        <f>SUM(C16:C22)</f>
        <v>12834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+'21'!J23</f>
        <v>0</v>
      </c>
      <c r="K23" s="238"/>
      <c r="L23" s="238"/>
      <c r="M23" s="116">
        <f>+K23+'21'!M23+L23</f>
        <v>0</v>
      </c>
    </row>
    <row r="24" spans="1:26" ht="13.5" customHeight="1" thickBot="1">
      <c r="A24" s="745" t="s">
        <v>387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606</v>
      </c>
      <c r="J24" s="213">
        <f>+'21'!J24</f>
        <v>0</v>
      </c>
      <c r="K24" s="238"/>
      <c r="L24" s="238"/>
      <c r="M24" s="116">
        <f>+K24+'21'!M24+L24</f>
        <v>0</v>
      </c>
    </row>
    <row r="25" spans="1:26" ht="13.5" thickBot="1">
      <c r="A25" s="751"/>
      <c r="B25" s="214" t="s">
        <v>510</v>
      </c>
      <c r="C25" s="225">
        <v>14282</v>
      </c>
      <c r="D25" s="216"/>
      <c r="E25" s="224"/>
      <c r="F25" s="230">
        <v>9</v>
      </c>
      <c r="G25" s="231" t="s">
        <v>12</v>
      </c>
      <c r="H25" s="229" t="s">
        <v>481</v>
      </c>
      <c r="I25" s="749"/>
      <c r="J25" s="213">
        <f>+'21'!J25</f>
        <v>0</v>
      </c>
      <c r="K25" s="238"/>
      <c r="L25" s="238"/>
      <c r="M25" s="116">
        <f>+K25+'21'!M25+L25</f>
        <v>0</v>
      </c>
      <c r="Q25" s="175">
        <f>SUM(Q17:Q22)</f>
        <v>480</v>
      </c>
      <c r="R25" s="175">
        <f>SUM(R17:R22)</f>
        <v>534000</v>
      </c>
      <c r="S25" s="175">
        <f>SUM(S17:S22)</f>
        <v>404280</v>
      </c>
    </row>
    <row r="26" spans="1:26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434</v>
      </c>
      <c r="I26" s="749"/>
      <c r="J26" s="213">
        <f>+'21'!J26</f>
        <v>0</v>
      </c>
      <c r="K26" s="238"/>
      <c r="L26" s="238"/>
      <c r="M26" s="116">
        <f>+K26+'21'!M26+L26</f>
        <v>0</v>
      </c>
      <c r="Q26" s="148">
        <f>480-Q25</f>
        <v>0</v>
      </c>
      <c r="R26" s="175">
        <f>+R25/Q25</f>
        <v>1112.5</v>
      </c>
      <c r="S26" s="175">
        <f>+S25/Q25</f>
        <v>842.25</v>
      </c>
      <c r="X26" s="175">
        <f>SUM(X18:X23)</f>
        <v>660</v>
      </c>
      <c r="Y26" s="175">
        <f>SUM(Y18:Y23)</f>
        <v>693000</v>
      </c>
      <c r="Z26" s="175">
        <f>SUM(Z18:Z23)</f>
        <v>533610</v>
      </c>
    </row>
    <row r="27" spans="1:26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605</v>
      </c>
      <c r="I27" s="749"/>
      <c r="J27" s="213">
        <f>+'21'!J27</f>
        <v>0</v>
      </c>
      <c r="K27" s="238"/>
      <c r="L27" s="238"/>
      <c r="M27" s="116">
        <f>+K27+'21'!M27+L27</f>
        <v>0</v>
      </c>
      <c r="N27" s="148" t="s">
        <v>493</v>
      </c>
      <c r="O27" s="148">
        <v>1050</v>
      </c>
      <c r="P27" s="148">
        <f>+O27-(O27*0.23)</f>
        <v>808.5</v>
      </c>
      <c r="Q27" s="148">
        <v>480</v>
      </c>
      <c r="R27" s="148">
        <f>+O27*Q27</f>
        <v>504000</v>
      </c>
      <c r="S27" s="148">
        <f>+P27*Q27</f>
        <v>388080</v>
      </c>
      <c r="X27" s="148">
        <f>480-X26</f>
        <v>-180</v>
      </c>
      <c r="Y27" s="175">
        <f>+Y26/X26</f>
        <v>1050</v>
      </c>
      <c r="Z27" s="175">
        <f>+Z26/X26</f>
        <v>808.5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+'21'!J28</f>
        <v>0</v>
      </c>
      <c r="K28" s="238"/>
      <c r="L28" s="238"/>
      <c r="M28" s="116">
        <f>+K28+'21'!M28+L28</f>
        <v>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+'21'!J29</f>
        <v>0</v>
      </c>
      <c r="K29" s="238"/>
      <c r="L29" s="238"/>
      <c r="M29" s="116">
        <f>+K29+'21'!M29+L29</f>
        <v>0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+'21'!J30</f>
        <v>0</v>
      </c>
      <c r="K30" s="238"/>
      <c r="L30" s="238"/>
      <c r="M30" s="116">
        <f>+K30+'21'!M30+L30</f>
        <v>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+'21'!J31</f>
        <v>0</v>
      </c>
      <c r="K31" s="238"/>
      <c r="L31" s="238"/>
      <c r="M31" s="116">
        <f>+K31+'21'!M31+L31</f>
        <v>0</v>
      </c>
    </row>
    <row r="32" spans="1:26" ht="13.5" thickBot="1">
      <c r="A32" s="752"/>
      <c r="B32" s="164" t="s">
        <v>2</v>
      </c>
      <c r="C32" s="98">
        <f>SUM(C25:C31)</f>
        <v>14282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+'21'!J32</f>
        <v>0</v>
      </c>
      <c r="K32" s="240"/>
      <c r="L32" s="242"/>
      <c r="M32" s="116">
        <f>+K32+'21'!M32+L32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40158</v>
      </c>
      <c r="D34" s="106">
        <f>D14+D23+D32</f>
        <v>0</v>
      </c>
      <c r="E34" s="106">
        <f>E14+E23+E32</f>
        <v>0</v>
      </c>
      <c r="F34" s="107">
        <f>F14+F23+F32</f>
        <v>63</v>
      </c>
      <c r="H34" s="177"/>
      <c r="I34" s="177"/>
      <c r="J34" s="122" t="s">
        <v>28</v>
      </c>
      <c r="K34" s="123">
        <f>SUM(K7:K32)</f>
        <v>40158</v>
      </c>
      <c r="L34" s="211">
        <f>SUM(L7:L32)</f>
        <v>0</v>
      </c>
      <c r="M34" s="119">
        <f>SUM(M7:M32)</f>
        <v>825595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504000</v>
      </c>
      <c r="S35" s="175">
        <f>SUM(S27:S32)</f>
        <v>388080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1050</v>
      </c>
      <c r="S36" s="175">
        <f>+S35/Q35</f>
        <v>808.5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(13*780+15*660)/1440*G42*2.74*1440/1000000</f>
        <v>46.000517400000007</v>
      </c>
      <c r="J37" s="124">
        <f>+I37+'21'!J37</f>
        <v>961.78764615035698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63</v>
      </c>
      <c r="D38" s="117">
        <f>+C38+'21'!D38</f>
        <v>1515</v>
      </c>
      <c r="E38" s="142">
        <f t="shared" ref="E38:E51" si="0">D38/60</f>
        <v>25.25</v>
      </c>
      <c r="F38" s="321">
        <v>1150</v>
      </c>
      <c r="G38" s="321">
        <v>862.5</v>
      </c>
      <c r="H38" s="186" t="s">
        <v>64</v>
      </c>
      <c r="I38" s="244">
        <f>14.402+8.948+4.626+14.495</f>
        <v>42.471000000000004</v>
      </c>
      <c r="J38" s="126">
        <f>+I38+'21'!J38</f>
        <v>857.64499999999987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+C39+'21'!D39</f>
        <v>0</v>
      </c>
      <c r="E39" s="142">
        <f t="shared" si="0"/>
        <v>0</v>
      </c>
      <c r="F39" s="321">
        <v>1112.5</v>
      </c>
      <c r="G39" s="321">
        <v>842.25</v>
      </c>
      <c r="H39" s="186" t="s">
        <v>65</v>
      </c>
      <c r="I39" s="141"/>
      <c r="J39" s="128">
        <f>J37/G4</f>
        <v>43.717620279561679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+C40+'21'!D40</f>
        <v>481</v>
      </c>
      <c r="E40" s="142">
        <f t="shared" si="0"/>
        <v>8.0166666666666675</v>
      </c>
      <c r="F40" s="321">
        <v>1050</v>
      </c>
      <c r="G40" s="321">
        <v>808.5</v>
      </c>
      <c r="H40" s="186" t="s">
        <v>67</v>
      </c>
      <c r="I40" s="117">
        <f>(K34+L34)/1000</f>
        <v>40.158000000000001</v>
      </c>
      <c r="J40" s="130">
        <f>+I40+'21'!J40</f>
        <v>825.59499999999991</v>
      </c>
      <c r="K40" s="129" t="s">
        <v>63</v>
      </c>
      <c r="N40" s="148" t="s">
        <v>457</v>
      </c>
      <c r="O40" s="148">
        <v>1150</v>
      </c>
      <c r="P40" s="148">
        <v>862.5</v>
      </c>
      <c r="Q40" s="148">
        <v>780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+C41+'21'!D41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37.527045454545451</v>
      </c>
      <c r="K41" s="129" t="s">
        <v>63</v>
      </c>
      <c r="N41" s="148" t="s">
        <v>493</v>
      </c>
      <c r="O41" s="148">
        <v>1050</v>
      </c>
      <c r="P41" s="148">
        <v>808.5</v>
      </c>
      <c r="Q41" s="148">
        <v>660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+C42+'21'!D42</f>
        <v>0</v>
      </c>
      <c r="E42" s="142">
        <f t="shared" si="0"/>
        <v>0</v>
      </c>
      <c r="F42" s="321">
        <f>+(480*F38+480*F39+480*F40)/1440</f>
        <v>1104.1666666666667</v>
      </c>
      <c r="G42" s="321">
        <f>+(480*G38+480*G39+480*G40)/1440</f>
        <v>837.75</v>
      </c>
      <c r="H42" s="186" t="s">
        <v>70</v>
      </c>
      <c r="I42" s="245" t="s">
        <v>607</v>
      </c>
      <c r="J42" s="131"/>
      <c r="K42" s="129" t="s">
        <v>71</v>
      </c>
      <c r="Q42" s="148">
        <f>+Q40+Q41</f>
        <v>1440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+C43+'21'!D43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+Report1!Z30</f>
        <v>49.5</v>
      </c>
      <c r="J43" s="132">
        <f>+I43+'21'!J43</f>
        <v>1123.6999999999998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+C44+'21'!D44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1.1655011655011653</v>
      </c>
      <c r="J44" s="133">
        <f>J43/J38</f>
        <v>1.3102157652641828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+C45+'21'!D45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1.232631107126849</v>
      </c>
      <c r="J45" s="133">
        <f>J43/J40</f>
        <v>1.3610789794027338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+C46+'21'!D46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+SUMIF(Listrik!P29,"&gt;0")</f>
        <v>35520.780000000363</v>
      </c>
      <c r="J46" s="134">
        <f>+I46+'21'!J46</f>
        <v>822897.66000000015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+C47+'21'!D47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836.35374726284658</v>
      </c>
      <c r="J47" s="134">
        <f>J46/J38</f>
        <v>959.48517160363588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+C48+'21'!D48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884.5256237860541</v>
      </c>
      <c r="J48" s="134">
        <f>J46/J40</f>
        <v>996.73285327551673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+C49+'21'!D49</f>
        <v>0</v>
      </c>
      <c r="E49" s="142">
        <f t="shared" si="0"/>
        <v>0</v>
      </c>
      <c r="F49" s="184"/>
      <c r="H49" s="187" t="s">
        <v>269</v>
      </c>
      <c r="I49" s="117">
        <f>+Report1!T30</f>
        <v>5407.8161636060559</v>
      </c>
      <c r="J49" s="134">
        <f>+I49+'21'!J49</f>
        <v>102652.57627371322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+C50+'21'!D50</f>
        <v>0</v>
      </c>
      <c r="E50" s="142">
        <f t="shared" si="0"/>
        <v>0</v>
      </c>
      <c r="F50" s="184"/>
      <c r="H50" s="187" t="s">
        <v>83</v>
      </c>
      <c r="I50" s="139">
        <f>I49/I38</f>
        <v>127.32961699997776</v>
      </c>
      <c r="J50" s="132">
        <f>J49/J38</f>
        <v>119.69121987968592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+C51+'21'!D51</f>
        <v>0</v>
      </c>
      <c r="E51" s="142">
        <f t="shared" si="0"/>
        <v>0</v>
      </c>
      <c r="F51" s="184"/>
      <c r="H51" s="189" t="s">
        <v>85</v>
      </c>
      <c r="I51" s="140">
        <f>I49/I40</f>
        <v>134.66348333099396</v>
      </c>
      <c r="J51" s="135">
        <f>J49/J40</f>
        <v>124.33769133014762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63</v>
      </c>
      <c r="D52" s="143">
        <f>SUM(D38:D51)</f>
        <v>2236</v>
      </c>
      <c r="E52" s="144">
        <f>SUM(E38:E51)</f>
        <v>37.266666666666666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4.3749999999999997E-2</v>
      </c>
      <c r="D53" s="145">
        <f>D52/(24*60*G4)</f>
        <v>7.0580808080808077E-2</v>
      </c>
      <c r="E53" s="146">
        <f>E52/(G4*24)</f>
        <v>7.0580808080808077E-2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+D34+'21'!J56</f>
        <v>2535</v>
      </c>
      <c r="K56" s="200">
        <f>J56/(J40+J56/1000)/1000</f>
        <v>3.0611135932764183E-3</v>
      </c>
    </row>
    <row r="57" spans="1:11">
      <c r="A57" s="175"/>
      <c r="I57" s="198" t="s">
        <v>88</v>
      </c>
      <c r="J57" s="199">
        <f>+E34+'21'!J57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61"/>
  <sheetViews>
    <sheetView topLeftCell="E1" zoomScale="80" zoomScaleNormal="80" workbookViewId="0">
      <selection activeCell="I7" sqref="I7:I13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710937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7109375" style="148" customWidth="1"/>
    <col min="14" max="15" width="9.140625" style="148"/>
    <col min="16" max="16" width="10.28515625" style="148" bestFit="1" customWidth="1"/>
    <col min="17" max="17" width="9.28515625" style="148" bestFit="1" customWidth="1"/>
    <col min="18" max="16384" width="9.140625" style="148"/>
  </cols>
  <sheetData>
    <row r="1" spans="1:23" ht="15.75">
      <c r="A1" s="147"/>
    </row>
    <row r="2" spans="1:23" ht="15.75">
      <c r="A2" s="147" t="s">
        <v>183</v>
      </c>
    </row>
    <row r="3" spans="1:23" ht="15">
      <c r="A3" s="149"/>
    </row>
    <row r="4" spans="1:23" ht="20.25">
      <c r="A4" s="150" t="s">
        <v>3</v>
      </c>
      <c r="B4" s="151"/>
      <c r="F4" s="152" t="s">
        <v>29</v>
      </c>
      <c r="G4" s="153">
        <v>21</v>
      </c>
      <c r="H4" s="153" t="str">
        <f>+'1'!H4</f>
        <v>.12.25</v>
      </c>
    </row>
    <row r="5" spans="1:23" ht="13.5" thickBot="1">
      <c r="C5" s="154"/>
      <c r="D5" s="154"/>
    </row>
    <row r="6" spans="1:23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1" t="s">
        <v>190</v>
      </c>
      <c r="P6" s="421" t="s">
        <v>190</v>
      </c>
      <c r="Q6" s="421" t="s">
        <v>191</v>
      </c>
      <c r="R6" s="421" t="s">
        <v>192</v>
      </c>
      <c r="S6" s="421" t="s">
        <v>193</v>
      </c>
      <c r="T6" s="421" t="s">
        <v>188</v>
      </c>
      <c r="U6" s="422" t="s">
        <v>194</v>
      </c>
      <c r="V6" s="421" t="s">
        <v>195</v>
      </c>
      <c r="W6" s="421" t="s">
        <v>189</v>
      </c>
    </row>
    <row r="7" spans="1:23" ht="13.5" customHeight="1" thickBot="1">
      <c r="A7" s="745" t="s">
        <v>438</v>
      </c>
      <c r="B7" s="214" t="s">
        <v>470</v>
      </c>
      <c r="C7" s="215">
        <v>12942</v>
      </c>
      <c r="D7" s="216"/>
      <c r="E7" s="217"/>
      <c r="F7" s="227">
        <v>4</v>
      </c>
      <c r="G7" s="228" t="s">
        <v>12</v>
      </c>
      <c r="H7" s="229" t="s">
        <v>425</v>
      </c>
      <c r="I7" s="748" t="s">
        <v>698</v>
      </c>
      <c r="J7" s="326" t="str">
        <f>+'20'!J7</f>
        <v>F 14 VP OW</v>
      </c>
      <c r="K7" s="237"/>
      <c r="L7" s="241"/>
      <c r="M7" s="116">
        <f>+K7+'20'!M7+L7</f>
        <v>190720</v>
      </c>
      <c r="N7" s="423">
        <v>14.5</v>
      </c>
      <c r="O7" s="198">
        <v>1200</v>
      </c>
      <c r="P7" s="198">
        <v>1120</v>
      </c>
      <c r="Q7" s="198">
        <v>896</v>
      </c>
      <c r="R7" s="424">
        <f>1-(Q7/P7)</f>
        <v>0.19999999999999996</v>
      </c>
      <c r="S7" s="425">
        <v>45</v>
      </c>
      <c r="T7" s="426">
        <v>256.5</v>
      </c>
      <c r="U7" s="427">
        <f>(O7*(1-R7)*N7*T7*S7)/100000000</f>
        <v>1.606716</v>
      </c>
      <c r="V7" s="428">
        <f>+C14/1000</f>
        <v>12.942</v>
      </c>
      <c r="W7" s="429">
        <f>SUM(V7:V9)/SUM(U7:U9)</f>
        <v>0.6196107224540377</v>
      </c>
    </row>
    <row r="8" spans="1:23" ht="13.5" thickBot="1">
      <c r="A8" s="746"/>
      <c r="B8" s="214"/>
      <c r="C8" s="215"/>
      <c r="D8" s="216"/>
      <c r="E8" s="218"/>
      <c r="F8" s="230">
        <v>6</v>
      </c>
      <c r="G8" s="231" t="s">
        <v>12</v>
      </c>
      <c r="H8" s="229" t="s">
        <v>481</v>
      </c>
      <c r="I8" s="749"/>
      <c r="J8" s="213" t="str">
        <f>+'20'!J8</f>
        <v>F 15 VP OW</v>
      </c>
      <c r="K8" s="238"/>
      <c r="L8" s="238"/>
      <c r="M8" s="116">
        <f>+K8+'20'!M8+L8</f>
        <v>95546</v>
      </c>
      <c r="N8" s="423">
        <v>18</v>
      </c>
      <c r="O8" s="198">
        <v>1200</v>
      </c>
      <c r="P8" s="198">
        <v>930</v>
      </c>
      <c r="Q8" s="198">
        <v>744</v>
      </c>
      <c r="R8" s="424">
        <f>1-(Q8/P8)</f>
        <v>0.19999999999999996</v>
      </c>
      <c r="S8" s="425">
        <f>480-S7</f>
        <v>435</v>
      </c>
      <c r="T8" s="426">
        <v>256.5</v>
      </c>
      <c r="U8" s="427">
        <f>(O8*(1-R8)*N8*T8*S8)/100000000</f>
        <v>19.280591999999999</v>
      </c>
      <c r="V8" s="428"/>
      <c r="W8" s="430"/>
    </row>
    <row r="9" spans="1:23" ht="13.5" thickBot="1">
      <c r="A9" s="746"/>
      <c r="B9" s="214"/>
      <c r="C9" s="215"/>
      <c r="D9" s="216"/>
      <c r="E9" s="219"/>
      <c r="F9" s="227">
        <f>19-F8-F7</f>
        <v>9</v>
      </c>
      <c r="G9" s="231" t="s">
        <v>12</v>
      </c>
      <c r="H9" s="232" t="s">
        <v>406</v>
      </c>
      <c r="I9" s="749"/>
      <c r="J9" s="213" t="str">
        <f>+'20'!J9</f>
        <v>T 12 VP OW</v>
      </c>
      <c r="K9" s="238"/>
      <c r="L9" s="238"/>
      <c r="M9" s="116">
        <f>+K9+'20'!M9+L9</f>
        <v>50578</v>
      </c>
      <c r="N9" s="431"/>
    </row>
    <row r="10" spans="1:23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704</v>
      </c>
      <c r="I10" s="749"/>
      <c r="J10" s="213" t="str">
        <f>+'20'!J10</f>
        <v>T 13 VP OW</v>
      </c>
      <c r="K10" s="238">
        <f>+C34</f>
        <v>37964</v>
      </c>
      <c r="L10" s="238"/>
      <c r="M10" s="116">
        <f>+K10+'20'!M10+L10</f>
        <v>217155</v>
      </c>
      <c r="N10" s="431"/>
    </row>
    <row r="11" spans="1:23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+'20'!J11</f>
        <v>T 15 VP OW</v>
      </c>
      <c r="K11" s="238"/>
      <c r="L11" s="238"/>
      <c r="M11" s="116">
        <f>+K11+'20'!M11+L11</f>
        <v>25864</v>
      </c>
      <c r="N11" s="431"/>
    </row>
    <row r="12" spans="1:23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+'20'!J12</f>
        <v>F 12 VP OW</v>
      </c>
      <c r="K12" s="238"/>
      <c r="L12" s="238"/>
      <c r="M12" s="116">
        <f>+K12+'20'!M12+L12</f>
        <v>119753</v>
      </c>
      <c r="N12" s="431"/>
    </row>
    <row r="13" spans="1:23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+'20'!J13</f>
        <v>F 13 VP OW</v>
      </c>
      <c r="K13" s="238"/>
      <c r="L13" s="238"/>
      <c r="M13" s="116">
        <f>+K13+'20'!M13+L13</f>
        <v>32376</v>
      </c>
      <c r="N13" s="432"/>
      <c r="O13" s="433"/>
      <c r="P13" s="433"/>
      <c r="Q13" s="433"/>
      <c r="R13" s="433"/>
      <c r="S13" s="433"/>
      <c r="T13" s="433"/>
      <c r="U13" s="433"/>
      <c r="V13" s="433"/>
      <c r="W13" s="433"/>
    </row>
    <row r="14" spans="1:23" ht="13.5" thickBot="1">
      <c r="A14" s="747"/>
      <c r="B14" s="164" t="s">
        <v>2</v>
      </c>
      <c r="C14" s="98">
        <f>SUM(C7:C13)</f>
        <v>12942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 t="str">
        <f>+'20'!J14</f>
        <v>F 11,5 VP OW</v>
      </c>
      <c r="K14" s="238"/>
      <c r="L14" s="238"/>
      <c r="M14" s="116">
        <f>+K14+'20'!M14+L14</f>
        <v>53445</v>
      </c>
    </row>
    <row r="15" spans="1:23" ht="13.5" customHeight="1" thickBot="1">
      <c r="A15" s="745" t="s">
        <v>388</v>
      </c>
      <c r="B15" s="164"/>
      <c r="C15" s="112">
        <f>C14/($C$23+$D$23+$E$23)</f>
        <v>0.9784531639827625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425</v>
      </c>
      <c r="I15" s="748" t="s">
        <v>698</v>
      </c>
      <c r="J15" s="213">
        <f>+'20'!J15</f>
        <v>0</v>
      </c>
      <c r="K15" s="238"/>
      <c r="L15" s="238"/>
      <c r="M15" s="116">
        <f>+K15+'20'!M15+L15</f>
        <v>0</v>
      </c>
      <c r="N15" s="423">
        <v>18</v>
      </c>
      <c r="O15" s="198">
        <v>1200</v>
      </c>
      <c r="P15" s="198">
        <v>850</v>
      </c>
      <c r="Q15" s="198">
        <v>680</v>
      </c>
      <c r="R15" s="424">
        <f>1-(Q15/P15)</f>
        <v>0.19999999999999996</v>
      </c>
      <c r="S15" s="425">
        <v>480</v>
      </c>
      <c r="T15" s="426">
        <v>256.5</v>
      </c>
      <c r="U15" s="427">
        <f>(O15*(1-R15)*N15*T15*S15)/100000000</f>
        <v>21.275136</v>
      </c>
      <c r="V15" s="428">
        <f>+C23/1000</f>
        <v>13.227</v>
      </c>
      <c r="W15" s="429">
        <f>SUM(V15:V17)/SUM(U15:U17)</f>
        <v>0.62171165439318465</v>
      </c>
    </row>
    <row r="16" spans="1:23" ht="13.5" thickBot="1">
      <c r="A16" s="751"/>
      <c r="B16" s="214" t="s">
        <v>470</v>
      </c>
      <c r="C16" s="221">
        <v>13227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+'20'!J16</f>
        <v>0</v>
      </c>
      <c r="K16" s="228"/>
      <c r="L16" s="228"/>
      <c r="M16" s="116">
        <f>+K16+'20'!M16+L16</f>
        <v>0</v>
      </c>
      <c r="N16" s="434"/>
      <c r="O16" s="198"/>
      <c r="P16" s="198"/>
      <c r="Q16" s="435"/>
      <c r="R16" s="424"/>
      <c r="S16" s="198"/>
      <c r="T16" s="426"/>
      <c r="U16" s="427"/>
      <c r="V16" s="428"/>
      <c r="W16" s="430"/>
    </row>
    <row r="17" spans="1:23" ht="13.5" thickBot="1">
      <c r="A17" s="751"/>
      <c r="B17" s="214"/>
      <c r="C17" s="215"/>
      <c r="D17" s="216"/>
      <c r="E17" s="224"/>
      <c r="F17" s="227">
        <v>15</v>
      </c>
      <c r="G17" s="231" t="s">
        <v>12</v>
      </c>
      <c r="H17" s="232" t="s">
        <v>385</v>
      </c>
      <c r="I17" s="749"/>
      <c r="J17" s="213">
        <f>+'20'!J17</f>
        <v>0</v>
      </c>
      <c r="K17" s="228"/>
      <c r="L17" s="228"/>
      <c r="M17" s="116">
        <f>+K17+'20'!M17+L17</f>
        <v>0</v>
      </c>
      <c r="N17" s="431"/>
      <c r="O17" s="198"/>
      <c r="R17" s="424"/>
      <c r="T17" s="426"/>
      <c r="U17" s="427"/>
    </row>
    <row r="18" spans="1:23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600</v>
      </c>
      <c r="I18" s="749"/>
      <c r="J18" s="213">
        <f>+'20'!J18</f>
        <v>0</v>
      </c>
      <c r="K18" s="238"/>
      <c r="L18" s="238"/>
      <c r="M18" s="116">
        <f>+K18+'20'!M18+L18</f>
        <v>0</v>
      </c>
      <c r="N18" s="431"/>
    </row>
    <row r="19" spans="1:2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+'20'!J19</f>
        <v>0</v>
      </c>
      <c r="K19" s="238"/>
      <c r="L19" s="238"/>
      <c r="M19" s="116">
        <f>+K19+'20'!M19+L19</f>
        <v>0</v>
      </c>
      <c r="N19" s="431"/>
    </row>
    <row r="20" spans="1:2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+'20'!J20</f>
        <v>0</v>
      </c>
      <c r="K20" s="239"/>
      <c r="L20" s="239"/>
      <c r="M20" s="116">
        <f>+K20+'20'!M20+L20</f>
        <v>0</v>
      </c>
      <c r="N20" s="431"/>
    </row>
    <row r="21" spans="1:2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+'20'!J21</f>
        <v>0</v>
      </c>
      <c r="K21" s="238"/>
      <c r="L21" s="238"/>
      <c r="M21" s="116">
        <f>+K21+'20'!M21+L21</f>
        <v>0</v>
      </c>
      <c r="N21" s="432"/>
      <c r="O21" s="433"/>
      <c r="P21" s="433"/>
      <c r="Q21" s="433"/>
      <c r="R21" s="433"/>
      <c r="S21" s="433"/>
      <c r="T21" s="433"/>
      <c r="U21" s="433"/>
      <c r="V21" s="433"/>
      <c r="W21" s="433"/>
    </row>
    <row r="22" spans="1:2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+'20'!J22</f>
        <v>0</v>
      </c>
      <c r="K22" s="238"/>
      <c r="L22" s="238"/>
      <c r="M22" s="116">
        <f>+K22+'20'!M22+L22</f>
        <v>0</v>
      </c>
    </row>
    <row r="23" spans="1:23" ht="13.5" thickBot="1">
      <c r="A23" s="752"/>
      <c r="B23" s="167" t="s">
        <v>2</v>
      </c>
      <c r="C23" s="99">
        <f>SUM(C16:C22)</f>
        <v>13227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+'20'!J23</f>
        <v>0</v>
      </c>
      <c r="K23" s="238"/>
      <c r="L23" s="238"/>
      <c r="M23" s="116">
        <f>+K23+'20'!M23+L23</f>
        <v>0</v>
      </c>
      <c r="N23" s="436"/>
      <c r="O23" s="437"/>
      <c r="P23" s="437"/>
      <c r="Q23" s="437"/>
      <c r="R23" s="437"/>
      <c r="S23" s="437"/>
      <c r="T23" s="437"/>
      <c r="U23" s="437"/>
      <c r="V23" s="437"/>
      <c r="W23" s="437"/>
    </row>
    <row r="24" spans="1:23" ht="13.5" customHeight="1" thickBot="1">
      <c r="A24" s="745" t="s">
        <v>387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698</v>
      </c>
      <c r="J24" s="213">
        <f>+'20'!J24</f>
        <v>0</v>
      </c>
      <c r="K24" s="238"/>
      <c r="L24" s="238"/>
      <c r="M24" s="116">
        <f>+K24+'20'!M24+L24</f>
        <v>0</v>
      </c>
      <c r="N24" s="423">
        <v>14.5</v>
      </c>
      <c r="O24" s="198">
        <v>1130</v>
      </c>
      <c r="P24" s="198">
        <v>1130</v>
      </c>
      <c r="Q24" s="198">
        <v>915</v>
      </c>
      <c r="R24" s="424">
        <f>1-(Q24/P24)</f>
        <v>0.19026548672566368</v>
      </c>
      <c r="S24" s="425">
        <v>9</v>
      </c>
      <c r="T24" s="426">
        <v>266</v>
      </c>
      <c r="U24" s="427">
        <f>(O24*(1-R24)*N24*T24*S24)/100000000</f>
        <v>0.31762394999999999</v>
      </c>
      <c r="V24" s="428">
        <f>+C32/1000</f>
        <v>11.795</v>
      </c>
      <c r="W24" s="429">
        <f>SUM(V24:V25)/SUM(U24:U25)</f>
        <v>37.135108986586182</v>
      </c>
    </row>
    <row r="25" spans="1:23" ht="13.5" thickBot="1">
      <c r="A25" s="751"/>
      <c r="B25" s="214" t="s">
        <v>470</v>
      </c>
      <c r="C25" s="225">
        <v>11795</v>
      </c>
      <c r="D25" s="216"/>
      <c r="E25" s="224"/>
      <c r="F25" s="230">
        <v>4</v>
      </c>
      <c r="G25" s="231" t="s">
        <v>12</v>
      </c>
      <c r="H25" s="229" t="s">
        <v>407</v>
      </c>
      <c r="I25" s="749"/>
      <c r="J25" s="213">
        <f>+'20'!J25</f>
        <v>0</v>
      </c>
      <c r="K25" s="238"/>
      <c r="L25" s="238"/>
      <c r="M25" s="116">
        <f>+K25+'20'!M25+L25</f>
        <v>0</v>
      </c>
      <c r="N25" s="423"/>
      <c r="O25" s="198"/>
      <c r="P25" s="198"/>
      <c r="Q25" s="198"/>
      <c r="R25" s="424"/>
      <c r="S25" s="425"/>
      <c r="T25" s="426"/>
      <c r="U25" s="427"/>
      <c r="V25" s="428"/>
      <c r="W25" s="429"/>
    </row>
    <row r="26" spans="1:23" ht="13.5" thickBot="1">
      <c r="A26" s="751"/>
      <c r="B26" s="214"/>
      <c r="C26" s="225"/>
      <c r="D26" s="216"/>
      <c r="E26" s="226"/>
      <c r="F26" s="227">
        <v>14</v>
      </c>
      <c r="G26" s="231" t="s">
        <v>12</v>
      </c>
      <c r="H26" s="232" t="s">
        <v>461</v>
      </c>
      <c r="I26" s="749"/>
      <c r="J26" s="213">
        <f>+'20'!J26</f>
        <v>0</v>
      </c>
      <c r="K26" s="238"/>
      <c r="L26" s="238"/>
      <c r="M26" s="116">
        <f>+K26+'20'!M26+L26</f>
        <v>0</v>
      </c>
    </row>
    <row r="27" spans="1:23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705</v>
      </c>
      <c r="I27" s="749"/>
      <c r="J27" s="213">
        <f>+'20'!J27</f>
        <v>0</v>
      </c>
      <c r="K27" s="238"/>
      <c r="L27" s="238"/>
      <c r="M27" s="116">
        <f>+K27+'20'!M27+L27</f>
        <v>0</v>
      </c>
    </row>
    <row r="28" spans="1:23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+'20'!J28</f>
        <v>0</v>
      </c>
      <c r="K28" s="238"/>
      <c r="L28" s="238"/>
      <c r="M28" s="116">
        <f>+K28+'20'!M28+L28</f>
        <v>0</v>
      </c>
    </row>
    <row r="29" spans="1:2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+'20'!J29</f>
        <v>0</v>
      </c>
      <c r="K29" s="238"/>
      <c r="L29" s="238"/>
      <c r="M29" s="116">
        <f>+K29+'20'!M29+L29</f>
        <v>0</v>
      </c>
    </row>
    <row r="30" spans="1:2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+'20'!J30</f>
        <v>0</v>
      </c>
      <c r="K30" s="238"/>
      <c r="L30" s="238"/>
      <c r="M30" s="116">
        <f>+K30+'20'!M30+L30</f>
        <v>0</v>
      </c>
      <c r="N30" s="154"/>
    </row>
    <row r="31" spans="1:23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+'20'!J31</f>
        <v>0</v>
      </c>
      <c r="K31" s="238"/>
      <c r="L31" s="238"/>
      <c r="M31" s="116">
        <f>+K31+'20'!M31+L31</f>
        <v>0</v>
      </c>
    </row>
    <row r="32" spans="1:23" ht="13.5" thickBot="1">
      <c r="A32" s="752"/>
      <c r="B32" s="164" t="s">
        <v>2</v>
      </c>
      <c r="C32" s="98">
        <f>SUM(C25:C31)</f>
        <v>11795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+'20'!J32</f>
        <v>0</v>
      </c>
      <c r="K32" s="240"/>
      <c r="L32" s="242"/>
      <c r="M32" s="116">
        <f>+K32+'20'!M32+L32</f>
        <v>0</v>
      </c>
    </row>
    <row r="33" spans="1:14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4" ht="13.5" thickBot="1">
      <c r="A34" s="753" t="s">
        <v>57</v>
      </c>
      <c r="B34" s="754"/>
      <c r="C34" s="106">
        <f>C14+C23+C32</f>
        <v>37964</v>
      </c>
      <c r="D34" s="106">
        <f>D14+D23+D32</f>
        <v>0</v>
      </c>
      <c r="E34" s="106">
        <f>E14+E23+E32</f>
        <v>0</v>
      </c>
      <c r="F34" s="107">
        <f>F14+F23+F32</f>
        <v>56</v>
      </c>
      <c r="H34" s="177"/>
      <c r="I34" s="177"/>
      <c r="J34" s="122" t="s">
        <v>28</v>
      </c>
      <c r="K34" s="123">
        <f>SUM(K7:K32)</f>
        <v>37964</v>
      </c>
      <c r="L34" s="211">
        <f>SUM(L7:L32)</f>
        <v>0</v>
      </c>
      <c r="M34" s="119">
        <f>SUM(M7:M32)</f>
        <v>785437</v>
      </c>
      <c r="N34" s="154"/>
    </row>
    <row r="35" spans="1:14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4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4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44.240040000000008</v>
      </c>
      <c r="J37" s="124">
        <f>+I37+'20'!J37</f>
        <v>915.78712875035694</v>
      </c>
      <c r="K37" s="125" t="s">
        <v>63</v>
      </c>
    </row>
    <row r="38" spans="1:14" ht="17.45" customHeight="1">
      <c r="A38" s="757" t="s">
        <v>12</v>
      </c>
      <c r="B38" s="758"/>
      <c r="C38" s="163">
        <f>SUMIF($G$7:$G$31,"Process",$F$7:$F$31)</f>
        <v>56</v>
      </c>
      <c r="D38" s="117">
        <f>+C38+'20'!D38</f>
        <v>1452</v>
      </c>
      <c r="E38" s="142">
        <f t="shared" ref="E38:E51" si="0">D38/60</f>
        <v>24.2</v>
      </c>
      <c r="F38" s="321">
        <v>1150</v>
      </c>
      <c r="G38" s="321">
        <v>862.5</v>
      </c>
      <c r="H38" s="186" t="s">
        <v>64</v>
      </c>
      <c r="I38" s="244">
        <f>12.792+13.718+12.054</f>
        <v>38.564</v>
      </c>
      <c r="J38" s="126">
        <f>+I38+'20'!J38</f>
        <v>815.17399999999986</v>
      </c>
      <c r="K38" s="127" t="s">
        <v>63</v>
      </c>
    </row>
    <row r="39" spans="1:14" ht="17.45" customHeight="1">
      <c r="A39" s="759" t="s">
        <v>13</v>
      </c>
      <c r="B39" s="760"/>
      <c r="C39" s="163">
        <f>SUMIF($G$7:$G$31,"Cleaning",$F$7:$F$31)</f>
        <v>0</v>
      </c>
      <c r="D39" s="117">
        <f>+C39+'20'!D39</f>
        <v>0</v>
      </c>
      <c r="E39" s="142">
        <f t="shared" si="0"/>
        <v>0</v>
      </c>
      <c r="F39" s="321">
        <v>1150</v>
      </c>
      <c r="G39" s="321">
        <v>862.5</v>
      </c>
      <c r="H39" s="186" t="s">
        <v>65</v>
      </c>
      <c r="I39" s="141"/>
      <c r="J39" s="128">
        <f>J37/G4</f>
        <v>43.608910892874142</v>
      </c>
      <c r="K39" s="129" t="s">
        <v>63</v>
      </c>
    </row>
    <row r="40" spans="1:14" ht="17.45" customHeight="1">
      <c r="A40" s="759" t="s">
        <v>66</v>
      </c>
      <c r="B40" s="760"/>
      <c r="C40" s="163">
        <f>SUMIF($G$7:$G$31,"Mechanical",$F$7:$F$31)</f>
        <v>0</v>
      </c>
      <c r="D40" s="117">
        <f>+C40+'20'!D40</f>
        <v>481</v>
      </c>
      <c r="E40" s="142">
        <f t="shared" si="0"/>
        <v>8.0166666666666675</v>
      </c>
      <c r="F40" s="321">
        <v>1150</v>
      </c>
      <c r="G40" s="321">
        <v>862.5</v>
      </c>
      <c r="H40" s="186" t="s">
        <v>67</v>
      </c>
      <c r="I40" s="117">
        <f>(K34+L34)/1000</f>
        <v>37.963999999999999</v>
      </c>
      <c r="J40" s="130">
        <f>+I40+'20'!J40</f>
        <v>785.4369999999999</v>
      </c>
      <c r="K40" s="129" t="s">
        <v>63</v>
      </c>
    </row>
    <row r="41" spans="1:14" ht="17.45" customHeight="1">
      <c r="A41" s="759" t="s">
        <v>68</v>
      </c>
      <c r="B41" s="760"/>
      <c r="C41" s="163">
        <f>SUMIF($G$7:$G$31,"Electrical",$F$7:$F$31)</f>
        <v>0</v>
      </c>
      <c r="D41" s="117">
        <f>+C41+'20'!D41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37.401761904761898</v>
      </c>
      <c r="K41" s="129" t="s">
        <v>63</v>
      </c>
    </row>
    <row r="42" spans="1:14" ht="17.45" customHeight="1">
      <c r="A42" s="759" t="s">
        <v>16</v>
      </c>
      <c r="B42" s="760"/>
      <c r="C42" s="163">
        <f>SUMIF($G$7:$G$31,"Instrument",$F$7:$F$31)</f>
        <v>0</v>
      </c>
      <c r="D42" s="117">
        <f>+C42+'20'!D42</f>
        <v>0</v>
      </c>
      <c r="E42" s="142">
        <f t="shared" si="0"/>
        <v>0</v>
      </c>
      <c r="F42" s="321">
        <f>+(480*F38+480*F39+480*F40)/1440</f>
        <v>1150</v>
      </c>
      <c r="G42" s="321">
        <f>+(480*G38+480*G39+480*G40)/1440</f>
        <v>862.5</v>
      </c>
      <c r="H42" s="186" t="s">
        <v>70</v>
      </c>
      <c r="I42" s="245" t="s">
        <v>595</v>
      </c>
      <c r="J42" s="131"/>
      <c r="K42" s="129" t="s">
        <v>71</v>
      </c>
    </row>
    <row r="43" spans="1:14" ht="17.45" customHeight="1">
      <c r="A43" s="759" t="s">
        <v>72</v>
      </c>
      <c r="B43" s="760"/>
      <c r="C43" s="163">
        <f>SUMIF($G$7:$G$31,"Water",$F$7:$F$31)</f>
        <v>0</v>
      </c>
      <c r="D43" s="117">
        <f>+C43+'20'!D43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+Report1!Z29</f>
        <v>48</v>
      </c>
      <c r="J43" s="132">
        <f>+I43+'20'!J43</f>
        <v>1074.1999999999998</v>
      </c>
      <c r="K43" s="129" t="s">
        <v>63</v>
      </c>
      <c r="L43" s="188"/>
    </row>
    <row r="44" spans="1:14" ht="17.45" customHeight="1">
      <c r="A44" s="759" t="s">
        <v>17</v>
      </c>
      <c r="B44" s="760"/>
      <c r="C44" s="163">
        <f>SUMIF($G$7:$G$31,"PLN",$F$7:$F$31)</f>
        <v>0</v>
      </c>
      <c r="D44" s="117">
        <f>+C44+'20'!D44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1.2446841613940463</v>
      </c>
      <c r="J44" s="133">
        <f>J43/J38</f>
        <v>1.3177554730646464</v>
      </c>
      <c r="K44" s="129" t="s">
        <v>63</v>
      </c>
    </row>
    <row r="45" spans="1:14" ht="17.45" customHeight="1">
      <c r="A45" s="759" t="s">
        <v>18</v>
      </c>
      <c r="B45" s="760"/>
      <c r="C45" s="163">
        <f>SUMIF($G$7:$G$31,"Boiler",$F$7:$F$31)</f>
        <v>0</v>
      </c>
      <c r="D45" s="117">
        <f>+C45+'20'!D45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1.2643557054051207</v>
      </c>
      <c r="J45" s="133">
        <f>J43/J40</f>
        <v>1.3676462911729392</v>
      </c>
      <c r="K45" s="129" t="s">
        <v>63</v>
      </c>
    </row>
    <row r="46" spans="1:14" ht="17.45" customHeight="1">
      <c r="A46" s="759" t="s">
        <v>76</v>
      </c>
      <c r="B46" s="760"/>
      <c r="C46" s="163">
        <f>SUMIF($G$7:$G$31,"Gas",$F$7:$F$31)</f>
        <v>0</v>
      </c>
      <c r="D46" s="117">
        <f>+C46+'20'!D46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+SUMIF(Listrik!P28,"&gt;0")</f>
        <v>38539.179999999636</v>
      </c>
      <c r="J46" s="134">
        <f>+I46+'20'!J46</f>
        <v>787376.87999999977</v>
      </c>
      <c r="K46" s="129" t="s">
        <v>78</v>
      </c>
    </row>
    <row r="47" spans="1:14" ht="17.45" customHeight="1">
      <c r="A47" s="759" t="s">
        <v>79</v>
      </c>
      <c r="B47" s="760"/>
      <c r="C47" s="163">
        <f>SUMIF($G$7:$G$31,"Gas",$F$7:$F$31)</f>
        <v>0</v>
      </c>
      <c r="D47" s="117">
        <f>+C47+'20'!D47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999.35639456486979</v>
      </c>
      <c r="J47" s="134">
        <f>J46/J38</f>
        <v>965.90038445779658</v>
      </c>
      <c r="K47" s="129" t="s">
        <v>24</v>
      </c>
    </row>
    <row r="48" spans="1:14" ht="17.45" customHeight="1">
      <c r="A48" s="759" t="s">
        <v>14</v>
      </c>
      <c r="B48" s="760"/>
      <c r="C48" s="163">
        <f>SUMIF($G$7:$G$31,"Start Up",$F$7:$F$31)</f>
        <v>0</v>
      </c>
      <c r="D48" s="117">
        <f>+C48+'20'!D48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1015.1506690548846</v>
      </c>
      <c r="J48" s="134">
        <f>J46/J40</f>
        <v>1002.4698098001493</v>
      </c>
      <c r="K48" s="129" t="s">
        <v>24</v>
      </c>
    </row>
    <row r="49" spans="1:23" ht="17.45" customHeight="1">
      <c r="A49" s="765" t="s">
        <v>20</v>
      </c>
      <c r="B49" s="760"/>
      <c r="C49" s="163">
        <f>SUMIF($G$7:$G$31,"Others",$F$7:$F$31)</f>
        <v>0</v>
      </c>
      <c r="D49" s="117">
        <f>+C49+'20'!D49</f>
        <v>0</v>
      </c>
      <c r="E49" s="142">
        <f t="shared" si="0"/>
        <v>0</v>
      </c>
      <c r="F49" s="184"/>
      <c r="H49" s="187" t="s">
        <v>269</v>
      </c>
      <c r="I49" s="117">
        <f>+Report1!T29</f>
        <v>5502.9762808159339</v>
      </c>
      <c r="J49" s="134">
        <f>+I49+'20'!J49</f>
        <v>97244.760110107163</v>
      </c>
      <c r="K49" s="129" t="s">
        <v>82</v>
      </c>
    </row>
    <row r="50" spans="1:23" ht="17.45" customHeight="1">
      <c r="A50" s="759" t="s">
        <v>19</v>
      </c>
      <c r="B50" s="760"/>
      <c r="C50" s="163">
        <f>SUMIF($G$7:$G$31,"Steam",$F$7:$F$31)</f>
        <v>0</v>
      </c>
      <c r="D50" s="117">
        <f>+C50+'20'!D50</f>
        <v>0</v>
      </c>
      <c r="E50" s="142">
        <f t="shared" si="0"/>
        <v>0</v>
      </c>
      <c r="F50" s="184"/>
      <c r="H50" s="187" t="s">
        <v>83</v>
      </c>
      <c r="I50" s="139">
        <f>I49/I38</f>
        <v>142.69723785955642</v>
      </c>
      <c r="J50" s="132">
        <f>J49/J38</f>
        <v>119.29325531740116</v>
      </c>
      <c r="K50" s="129" t="s">
        <v>82</v>
      </c>
    </row>
    <row r="51" spans="1:23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+C51+'20'!D51</f>
        <v>0</v>
      </c>
      <c r="E51" s="142">
        <f t="shared" si="0"/>
        <v>0</v>
      </c>
      <c r="F51" s="184"/>
      <c r="H51" s="189" t="s">
        <v>85</v>
      </c>
      <c r="I51" s="140">
        <f>I49/I40</f>
        <v>144.95248869497246</v>
      </c>
      <c r="J51" s="135">
        <f>J49/J40</f>
        <v>123.80975190894645</v>
      </c>
      <c r="K51" s="136" t="s">
        <v>82</v>
      </c>
    </row>
    <row r="52" spans="1:23" ht="13.5" thickBot="1">
      <c r="A52" s="757" t="s">
        <v>28</v>
      </c>
      <c r="B52" s="758"/>
      <c r="C52" s="143">
        <f>SUM(C38:C51)</f>
        <v>56</v>
      </c>
      <c r="D52" s="143">
        <f>SUM(D38:D51)</f>
        <v>2173</v>
      </c>
      <c r="E52" s="144">
        <f>SUM(E38:E51)</f>
        <v>36.216666666666669</v>
      </c>
      <c r="F52" s="184"/>
      <c r="H52" s="190"/>
      <c r="I52" s="191"/>
      <c r="J52" s="137"/>
      <c r="K52" s="138"/>
    </row>
    <row r="53" spans="1:23" ht="13.5" thickBot="1">
      <c r="A53" s="763"/>
      <c r="B53" s="764"/>
      <c r="C53" s="145">
        <f>C52/(24*60)</f>
        <v>3.888888888888889E-2</v>
      </c>
      <c r="D53" s="145">
        <f>D52/(24*60*G4)</f>
        <v>7.1858465608465608E-2</v>
      </c>
      <c r="E53" s="146">
        <f>E52/(G4*24)</f>
        <v>7.1858465608465608E-2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+D34+'20'!J56</f>
        <v>2535</v>
      </c>
      <c r="K56" s="200">
        <f>J56/(J40+J56/1000)/1000</f>
        <v>3.2171193900290881E-3</v>
      </c>
    </row>
    <row r="57" spans="1:23">
      <c r="A57" s="175"/>
      <c r="I57" s="198" t="s">
        <v>88</v>
      </c>
      <c r="J57" s="199">
        <f>+E34+'20'!J57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S61"/>
  <sheetViews>
    <sheetView topLeftCell="C1" zoomScale="80" zoomScaleNormal="80" workbookViewId="0">
      <selection activeCell="I24" sqref="I24:I3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20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1150</v>
      </c>
      <c r="P6" s="148">
        <f>+O6-(O6*0.25)</f>
        <v>862.5</v>
      </c>
      <c r="Q6" s="148">
        <v>480</v>
      </c>
      <c r="R6" s="148">
        <f>+O6*Q6</f>
        <v>552000</v>
      </c>
      <c r="S6" s="148">
        <f>+P6*Q6</f>
        <v>414000</v>
      </c>
    </row>
    <row r="7" spans="1:19" ht="13.5" customHeight="1" thickBot="1">
      <c r="A7" s="745" t="s">
        <v>438</v>
      </c>
      <c r="B7" s="214" t="s">
        <v>470</v>
      </c>
      <c r="C7" s="215">
        <v>14026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698</v>
      </c>
      <c r="J7" s="213" t="str">
        <f>+'19'!J7</f>
        <v>F 14 VP OW</v>
      </c>
      <c r="K7" s="237"/>
      <c r="L7" s="241"/>
      <c r="M7" s="116">
        <f>+K7+'19'!M7+L7</f>
        <v>190720</v>
      </c>
      <c r="O7" s="148">
        <v>1150</v>
      </c>
      <c r="P7" s="148">
        <f>+O7-(O7*0.25)</f>
        <v>862.5</v>
      </c>
      <c r="Q7" s="148">
        <v>480</v>
      </c>
      <c r="R7" s="148">
        <f>+O7*Q7</f>
        <v>552000</v>
      </c>
      <c r="S7" s="148">
        <f>+P7*Q7</f>
        <v>414000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+'19'!J8</f>
        <v>F 15 VP OW</v>
      </c>
      <c r="K8" s="238"/>
      <c r="L8" s="238"/>
      <c r="M8" s="116">
        <f>+K8+'19'!M8+L8</f>
        <v>95546</v>
      </c>
      <c r="O8" s="148">
        <v>1150</v>
      </c>
      <c r="P8" s="148">
        <f>+O8-(O8*0.25)</f>
        <v>862.5</v>
      </c>
      <c r="Q8" s="148">
        <v>480</v>
      </c>
      <c r="R8" s="148">
        <f>+O8*Q8</f>
        <v>552000</v>
      </c>
      <c r="S8" s="148">
        <f>+P8*Q8</f>
        <v>414000</v>
      </c>
    </row>
    <row r="9" spans="1:19" ht="13.5" thickBot="1">
      <c r="A9" s="746"/>
      <c r="B9" s="214"/>
      <c r="C9" s="215"/>
      <c r="D9" s="216"/>
      <c r="E9" s="219"/>
      <c r="F9" s="227">
        <f>24-9</f>
        <v>15</v>
      </c>
      <c r="G9" s="231" t="s">
        <v>12</v>
      </c>
      <c r="H9" s="232" t="s">
        <v>406</v>
      </c>
      <c r="I9" s="749"/>
      <c r="J9" s="213" t="str">
        <f>+'19'!J9</f>
        <v>T 12 VP OW</v>
      </c>
      <c r="K9" s="238"/>
      <c r="L9" s="238"/>
      <c r="M9" s="116">
        <f>+K9+'19'!M9+L9</f>
        <v>50578</v>
      </c>
    </row>
    <row r="10" spans="1:19" ht="51.7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701</v>
      </c>
      <c r="I10" s="749"/>
      <c r="J10" s="213" t="str">
        <f>+'19'!J10</f>
        <v>T 13 VP OW</v>
      </c>
      <c r="K10" s="238">
        <f>+C34</f>
        <v>39682</v>
      </c>
      <c r="L10" s="238"/>
      <c r="M10" s="116">
        <f>+K10+'19'!M10+L10</f>
        <v>179191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+'19'!J11</f>
        <v>T 15 VP OW</v>
      </c>
      <c r="K11" s="238"/>
      <c r="L11" s="238"/>
      <c r="M11" s="116">
        <f>+K11+'19'!M11+L11</f>
        <v>25864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+'19'!J12</f>
        <v>F 12 VP OW</v>
      </c>
      <c r="K12" s="238"/>
      <c r="L12" s="238"/>
      <c r="M12" s="116">
        <f>+K12+'19'!M12+L12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+'19'!J13</f>
        <v>F 13 VP OW</v>
      </c>
      <c r="K13" s="238"/>
      <c r="L13" s="238"/>
      <c r="M13" s="116">
        <f>+K13+'19'!M13+L13</f>
        <v>32376</v>
      </c>
    </row>
    <row r="14" spans="1:19" ht="13.5" thickBot="1">
      <c r="A14" s="747"/>
      <c r="B14" s="164" t="s">
        <v>2</v>
      </c>
      <c r="C14" s="98">
        <f>SUM(C7:C13)</f>
        <v>14026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 t="str">
        <f>+'19'!J14</f>
        <v>F 11,5 VP OW</v>
      </c>
      <c r="K14" s="238"/>
      <c r="L14" s="238"/>
      <c r="M14" s="116">
        <f>+K14+'19'!M14+L14</f>
        <v>53445</v>
      </c>
      <c r="Q14" s="175">
        <f>SUM(Q6:Q11)</f>
        <v>1440</v>
      </c>
      <c r="R14" s="175">
        <f>SUM(R6:R11)</f>
        <v>1656000</v>
      </c>
      <c r="S14" s="175">
        <f>SUM(S6:S11)</f>
        <v>1242000</v>
      </c>
    </row>
    <row r="15" spans="1:19" ht="13.5" customHeight="1" thickBot="1">
      <c r="A15" s="745" t="s">
        <v>388</v>
      </c>
      <c r="B15" s="164"/>
      <c r="C15" s="112">
        <f>C14/($C$23+$D$23+$E$23)</f>
        <v>1.0888906140827574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425</v>
      </c>
      <c r="I15" s="748" t="s">
        <v>698</v>
      </c>
      <c r="J15" s="213">
        <f>+'19'!J15</f>
        <v>0</v>
      </c>
      <c r="K15" s="238"/>
      <c r="L15" s="238"/>
      <c r="M15" s="116">
        <f>+K15+'19'!M15+L15</f>
        <v>0</v>
      </c>
      <c r="Q15" s="148">
        <f>480-Q14</f>
        <v>-960</v>
      </c>
      <c r="R15" s="175">
        <f>+R14/Q14</f>
        <v>1150</v>
      </c>
      <c r="S15" s="175">
        <f>+S14/Q14</f>
        <v>862.5</v>
      </c>
    </row>
    <row r="16" spans="1:19" ht="13.5" thickBot="1">
      <c r="A16" s="751"/>
      <c r="B16" s="214" t="s">
        <v>470</v>
      </c>
      <c r="C16" s="221">
        <v>12881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+'19'!J16</f>
        <v>0</v>
      </c>
      <c r="K16" s="228"/>
      <c r="L16" s="228"/>
      <c r="M16" s="116">
        <f>+K16+'19'!M16+L16</f>
        <v>0</v>
      </c>
    </row>
    <row r="17" spans="1:13" ht="13.5" thickBot="1">
      <c r="A17" s="751"/>
      <c r="B17" s="214"/>
      <c r="C17" s="215"/>
      <c r="D17" s="216"/>
      <c r="E17" s="224"/>
      <c r="F17" s="227">
        <f>18-4</f>
        <v>14</v>
      </c>
      <c r="G17" s="231" t="s">
        <v>12</v>
      </c>
      <c r="H17" s="232" t="s">
        <v>406</v>
      </c>
      <c r="I17" s="749"/>
      <c r="J17" s="213">
        <f>+'19'!J17</f>
        <v>0</v>
      </c>
      <c r="K17" s="228"/>
      <c r="L17" s="228"/>
      <c r="M17" s="116">
        <f>+K17+'19'!M17+L17</f>
        <v>0</v>
      </c>
    </row>
    <row r="18" spans="1:13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702</v>
      </c>
      <c r="I18" s="749"/>
      <c r="J18" s="213">
        <f>+'19'!J18</f>
        <v>0</v>
      </c>
      <c r="K18" s="238"/>
      <c r="L18" s="238"/>
      <c r="M18" s="116">
        <f>+K18+'19'!M18+L18</f>
        <v>0</v>
      </c>
    </row>
    <row r="19" spans="1:1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+'19'!J19</f>
        <v>0</v>
      </c>
      <c r="K19" s="238"/>
      <c r="L19" s="238"/>
      <c r="M19" s="116">
        <f>+K19+'19'!M19+L19</f>
        <v>0</v>
      </c>
    </row>
    <row r="20" spans="1:1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+'19'!J20</f>
        <v>0</v>
      </c>
      <c r="K20" s="239"/>
      <c r="L20" s="239"/>
      <c r="M20" s="116">
        <f>+K20+'19'!M20+L20</f>
        <v>0</v>
      </c>
    </row>
    <row r="21" spans="1:1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+'19'!J21</f>
        <v>0</v>
      </c>
      <c r="K21" s="238"/>
      <c r="L21" s="238"/>
      <c r="M21" s="116">
        <f>+K21+'19'!M21+L21</f>
        <v>0</v>
      </c>
    </row>
    <row r="22" spans="1:1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+'19'!J22</f>
        <v>0</v>
      </c>
      <c r="K22" s="238"/>
      <c r="L22" s="238"/>
      <c r="M22" s="116">
        <f>+K22+'19'!M22+L22</f>
        <v>0</v>
      </c>
    </row>
    <row r="23" spans="1:13" ht="13.5" thickBot="1">
      <c r="A23" s="752"/>
      <c r="B23" s="167" t="s">
        <v>2</v>
      </c>
      <c r="C23" s="99">
        <f>SUM(C16:C22)</f>
        <v>12881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+'19'!J23</f>
        <v>0</v>
      </c>
      <c r="K23" s="238"/>
      <c r="L23" s="238"/>
      <c r="M23" s="116">
        <f>+K23+'19'!M23+L23</f>
        <v>0</v>
      </c>
    </row>
    <row r="24" spans="1:13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698</v>
      </c>
      <c r="J24" s="213">
        <f>+'19'!J24</f>
        <v>0</v>
      </c>
      <c r="K24" s="238"/>
      <c r="L24" s="238"/>
      <c r="M24" s="116">
        <f>+K24+'19'!M24+L24</f>
        <v>0</v>
      </c>
    </row>
    <row r="25" spans="1:13" ht="13.5" thickBot="1">
      <c r="A25" s="751"/>
      <c r="B25" s="214" t="s">
        <v>470</v>
      </c>
      <c r="C25" s="225">
        <v>12775</v>
      </c>
      <c r="D25" s="216"/>
      <c r="E25" s="224"/>
      <c r="F25" s="230">
        <v>6</v>
      </c>
      <c r="G25" s="231" t="s">
        <v>12</v>
      </c>
      <c r="H25" s="229" t="s">
        <v>481</v>
      </c>
      <c r="I25" s="749"/>
      <c r="J25" s="213">
        <f>+'19'!J25</f>
        <v>0</v>
      </c>
      <c r="K25" s="238"/>
      <c r="L25" s="238"/>
      <c r="M25" s="116">
        <f>+K25+'19'!M25+L25</f>
        <v>0</v>
      </c>
    </row>
    <row r="26" spans="1:13" ht="13.5" thickBot="1">
      <c r="A26" s="751"/>
      <c r="B26" s="214"/>
      <c r="C26" s="225"/>
      <c r="D26" s="216"/>
      <c r="E26" s="226"/>
      <c r="F26" s="227">
        <v>13</v>
      </c>
      <c r="G26" s="231" t="s">
        <v>12</v>
      </c>
      <c r="H26" s="232" t="s">
        <v>406</v>
      </c>
      <c r="I26" s="749"/>
      <c r="J26" s="213">
        <f>+'19'!J26</f>
        <v>0</v>
      </c>
      <c r="K26" s="238"/>
      <c r="L26" s="238"/>
      <c r="M26" s="116">
        <f>+K26+'19'!M26+L26</f>
        <v>0</v>
      </c>
    </row>
    <row r="27" spans="1:13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703</v>
      </c>
      <c r="I27" s="749"/>
      <c r="J27" s="213">
        <f>+'19'!J27</f>
        <v>0</v>
      </c>
      <c r="K27" s="238"/>
      <c r="L27" s="238"/>
      <c r="M27" s="116">
        <f>+K27+'19'!M27+L27</f>
        <v>0</v>
      </c>
    </row>
    <row r="28" spans="1:13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+'19'!J28</f>
        <v>0</v>
      </c>
      <c r="K28" s="238"/>
      <c r="L28" s="238"/>
      <c r="M28" s="116">
        <f>+K28+'19'!M28+L28</f>
        <v>0</v>
      </c>
    </row>
    <row r="29" spans="1:1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+'19'!J29</f>
        <v>0</v>
      </c>
      <c r="K29" s="238"/>
      <c r="L29" s="238"/>
      <c r="M29" s="116">
        <f>+K29+'19'!M29+L29</f>
        <v>0</v>
      </c>
    </row>
    <row r="30" spans="1:1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+'19'!J30</f>
        <v>0</v>
      </c>
      <c r="K30" s="238"/>
      <c r="L30" s="238"/>
      <c r="M30" s="116">
        <f>+K30+'19'!M30+L30</f>
        <v>0</v>
      </c>
    </row>
    <row r="31" spans="1:13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+'19'!J31</f>
        <v>0</v>
      </c>
      <c r="K31" s="238"/>
      <c r="L31" s="238"/>
      <c r="M31" s="116">
        <f>+K31+'19'!M31+L31</f>
        <v>0</v>
      </c>
    </row>
    <row r="32" spans="1:13" ht="13.5" thickBot="1">
      <c r="A32" s="752"/>
      <c r="B32" s="164" t="s">
        <v>2</v>
      </c>
      <c r="C32" s="98">
        <f>SUM(C25:C31)</f>
        <v>12775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+'19'!J32</f>
        <v>0</v>
      </c>
      <c r="K32" s="240"/>
      <c r="L32" s="242"/>
      <c r="M32" s="116">
        <f>+K32+'19'!M32+L32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39682</v>
      </c>
      <c r="D34" s="106">
        <f>D14+D23+D32</f>
        <v>0</v>
      </c>
      <c r="E34" s="106">
        <f>E14+E23+E32</f>
        <v>0</v>
      </c>
      <c r="F34" s="107">
        <f>F14+F23+F32</f>
        <v>61</v>
      </c>
      <c r="H34" s="177"/>
      <c r="I34" s="177"/>
      <c r="J34" s="122" t="s">
        <v>28</v>
      </c>
      <c r="K34" s="123">
        <f>SUM(K7:K32)</f>
        <v>39682</v>
      </c>
      <c r="L34" s="211">
        <f>SUM(L7:L32)</f>
        <v>0</v>
      </c>
      <c r="M34" s="119">
        <f>SUM(M7:M32)</f>
        <v>747473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44.240040000000008</v>
      </c>
      <c r="J37" s="124">
        <f>+I37+'19'!J37</f>
        <v>871.54708875035692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61</v>
      </c>
      <c r="D38" s="117">
        <f>+C38+'19'!D38</f>
        <v>1396</v>
      </c>
      <c r="E38" s="142">
        <f t="shared" ref="E38:E51" si="0">D38/60</f>
        <v>23.266666666666666</v>
      </c>
      <c r="F38" s="321">
        <v>1150</v>
      </c>
      <c r="G38" s="321">
        <v>862.5</v>
      </c>
      <c r="H38" s="186" t="s">
        <v>64</v>
      </c>
      <c r="I38" s="244">
        <f>13.785+13.281+13.563</f>
        <v>40.629000000000005</v>
      </c>
      <c r="J38" s="126">
        <f>+I38+'19'!J38</f>
        <v>776.6099999999999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+C39+'19'!D39</f>
        <v>0</v>
      </c>
      <c r="E39" s="142">
        <f t="shared" si="0"/>
        <v>0</v>
      </c>
      <c r="F39" s="321">
        <v>1150</v>
      </c>
      <c r="G39" s="321">
        <v>862.5</v>
      </c>
      <c r="H39" s="186" t="s">
        <v>65</v>
      </c>
      <c r="I39" s="141"/>
      <c r="J39" s="128">
        <f>J37/G4</f>
        <v>43.577354437517847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+C40+'19'!D40</f>
        <v>481</v>
      </c>
      <c r="E40" s="142">
        <f t="shared" si="0"/>
        <v>8.0166666666666675</v>
      </c>
      <c r="F40" s="321">
        <v>1150</v>
      </c>
      <c r="G40" s="321">
        <v>862.5</v>
      </c>
      <c r="H40" s="186" t="s">
        <v>67</v>
      </c>
      <c r="I40" s="117">
        <f>(K34+L34)/1000</f>
        <v>39.682000000000002</v>
      </c>
      <c r="J40" s="130">
        <f>+I40+'19'!J40</f>
        <v>747.47299999999996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+C41+'19'!D41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37.373649999999998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+C42+'19'!D42</f>
        <v>0</v>
      </c>
      <c r="E42" s="142">
        <f t="shared" si="0"/>
        <v>0</v>
      </c>
      <c r="F42" s="321">
        <f>+(480*F38+480*F39+480*F40)/1440</f>
        <v>1150</v>
      </c>
      <c r="G42" s="321">
        <f>+(480*G38+480*G39+480*G40)/1440</f>
        <v>862.5</v>
      </c>
      <c r="H42" s="186" t="s">
        <v>70</v>
      </c>
      <c r="I42" s="245" t="s">
        <v>595</v>
      </c>
      <c r="J42" s="131"/>
      <c r="K42" s="129" t="s">
        <v>71</v>
      </c>
    </row>
    <row r="43" spans="1:13" ht="17.45" customHeight="1">
      <c r="A43" s="759" t="s">
        <v>72</v>
      </c>
      <c r="B43" s="760"/>
      <c r="C43" s="163">
        <f>SUMIF($G$7:$G$31,"Water",$F$7:$F$31)</f>
        <v>0</v>
      </c>
      <c r="D43" s="117">
        <f>+C43+'19'!D43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+Report1!Z28</f>
        <v>50.4</v>
      </c>
      <c r="J43" s="132">
        <f>+I43+'19'!J43</f>
        <v>1026.1999999999998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+C44+'19'!D44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1.2404932437421545</v>
      </c>
      <c r="J44" s="133">
        <f>J43/J38</f>
        <v>1.3213839636368319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+C45+'19'!D45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1.270097273322917</v>
      </c>
      <c r="J45" s="133">
        <f>J43/J40</f>
        <v>1.3728923987889863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+C46+'19'!D46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+SUMIF(Listrik!P27,"&gt;0")</f>
        <v>37893.720000001093</v>
      </c>
      <c r="J46" s="134">
        <f>+I46+'19'!J46</f>
        <v>748837.70000000019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+C47+'19'!D47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932.67665952893469</v>
      </c>
      <c r="J47" s="134">
        <f>J46/J38</f>
        <v>964.23906465278617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+C48+'19'!D48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954.93473111237063</v>
      </c>
      <c r="J48" s="134">
        <f>J46/J40</f>
        <v>1001.8257515656087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+C49+'19'!D49</f>
        <v>0</v>
      </c>
      <c r="E49" s="142">
        <f t="shared" si="0"/>
        <v>0</v>
      </c>
      <c r="F49" s="184"/>
      <c r="H49" s="187" t="s">
        <v>269</v>
      </c>
      <c r="I49" s="117">
        <f>+Report1!T28</f>
        <v>5162.6465092000517</v>
      </c>
      <c r="J49" s="134">
        <f>+I49+'19'!J49</f>
        <v>91741.783829291235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+C50+'19'!D50</f>
        <v>0</v>
      </c>
      <c r="E50" s="142">
        <f t="shared" si="0"/>
        <v>0</v>
      </c>
      <c r="F50" s="184"/>
      <c r="H50" s="187" t="s">
        <v>83</v>
      </c>
      <c r="I50" s="139">
        <f>I49/I38</f>
        <v>127.06801814467624</v>
      </c>
      <c r="J50" s="132">
        <f>J49/J38</f>
        <v>118.13108745611214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+C51+'19'!D51</f>
        <v>0</v>
      </c>
      <c r="E51" s="142">
        <f t="shared" si="0"/>
        <v>0</v>
      </c>
      <c r="F51" s="184"/>
      <c r="H51" s="189" t="s">
        <v>85</v>
      </c>
      <c r="I51" s="140">
        <f>I49/I40</f>
        <v>130.10046139811632</v>
      </c>
      <c r="J51" s="135">
        <f>J49/J40</f>
        <v>122.73591665423533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61</v>
      </c>
      <c r="D52" s="143">
        <f>SUM(D38:D51)</f>
        <v>2117</v>
      </c>
      <c r="E52" s="144">
        <f>SUM(E38:E51)</f>
        <v>35.283333333333331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4.2361111111111113E-2</v>
      </c>
      <c r="D53" s="145">
        <f>D52/(24*60*G4)</f>
        <v>7.3506944444444444E-2</v>
      </c>
      <c r="E53" s="146">
        <f>E52/(G4*24)</f>
        <v>7.3506944444444444E-2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+D34+'19'!J56</f>
        <v>2535</v>
      </c>
      <c r="K56" s="200">
        <f>J56/(J40+J56/1000)/1000</f>
        <v>3.3799639470512319E-3</v>
      </c>
    </row>
    <row r="57" spans="1:11">
      <c r="A57" s="175"/>
      <c r="I57" s="198" t="s">
        <v>88</v>
      </c>
      <c r="J57" s="199">
        <f>+E34+'19'!J57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Z61"/>
  <sheetViews>
    <sheetView topLeftCell="E4" zoomScale="80" zoomScaleNormal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4" width="10.140625" style="148" bestFit="1" customWidth="1"/>
    <col min="15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19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572</v>
      </c>
      <c r="O6" s="148">
        <v>1230</v>
      </c>
      <c r="P6" s="148">
        <f>+O6-(O6*0.24)</f>
        <v>934.8</v>
      </c>
      <c r="Q6" s="148">
        <f>60*5+19</f>
        <v>319</v>
      </c>
      <c r="R6" s="148">
        <f>+O6*Q6</f>
        <v>392370</v>
      </c>
      <c r="S6" s="148">
        <f>+P6*Q6</f>
        <v>298201.2</v>
      </c>
    </row>
    <row r="7" spans="1:26" ht="13.5" customHeight="1" thickBot="1">
      <c r="A7" s="745" t="s">
        <v>438</v>
      </c>
      <c r="B7" s="214" t="s">
        <v>591</v>
      </c>
      <c r="C7" s="215">
        <v>11568</v>
      </c>
      <c r="D7" s="216"/>
      <c r="E7" s="217"/>
      <c r="F7" s="227">
        <v>12</v>
      </c>
      <c r="G7" s="228" t="s">
        <v>12</v>
      </c>
      <c r="H7" s="229" t="s">
        <v>423</v>
      </c>
      <c r="I7" s="748" t="s">
        <v>596</v>
      </c>
      <c r="J7" s="213" t="str">
        <f>+'18'!J7</f>
        <v>F 14 VP OW</v>
      </c>
      <c r="K7" s="237">
        <f>+C16</f>
        <v>5244</v>
      </c>
      <c r="L7" s="241"/>
      <c r="M7" s="116">
        <f>+K7+'18'!M7+L7</f>
        <v>190720</v>
      </c>
      <c r="N7" s="148" t="s">
        <v>403</v>
      </c>
      <c r="O7" s="148">
        <v>1120</v>
      </c>
      <c r="P7" s="148">
        <f>+O7-(O7*0.24)</f>
        <v>851.2</v>
      </c>
      <c r="Q7" s="148">
        <f>480-Q6</f>
        <v>161</v>
      </c>
      <c r="R7" s="148">
        <f>+O7*Q7</f>
        <v>180320</v>
      </c>
      <c r="S7" s="148">
        <f>+P7*Q7</f>
        <v>137043.20000000001</v>
      </c>
    </row>
    <row r="8" spans="1:26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+'18'!J8</f>
        <v>F 15 VP OW</v>
      </c>
      <c r="K8" s="238"/>
      <c r="L8" s="238"/>
      <c r="M8" s="116">
        <f>+K8+'18'!M8+L8</f>
        <v>95546</v>
      </c>
    </row>
    <row r="9" spans="1:26" ht="13.5" thickBot="1">
      <c r="A9" s="746"/>
      <c r="B9" s="214"/>
      <c r="C9" s="215"/>
      <c r="D9" s="216"/>
      <c r="E9" s="219"/>
      <c r="F9" s="227">
        <v>15</v>
      </c>
      <c r="G9" s="231" t="s">
        <v>12</v>
      </c>
      <c r="H9" s="232" t="s">
        <v>385</v>
      </c>
      <c r="I9" s="749"/>
      <c r="J9" s="213" t="str">
        <f>+'18'!J9</f>
        <v>T 12 VP OW</v>
      </c>
      <c r="K9" s="238"/>
      <c r="L9" s="238"/>
      <c r="M9" s="116">
        <f>+K9+'18'!M9+L9</f>
        <v>50578</v>
      </c>
    </row>
    <row r="10" spans="1:26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593</v>
      </c>
      <c r="I10" s="749"/>
      <c r="J10" s="213" t="str">
        <f>+'18'!J10</f>
        <v>T 13 VP OW</v>
      </c>
      <c r="K10" s="238">
        <f>+C17+C25</f>
        <v>20410</v>
      </c>
      <c r="L10" s="238"/>
      <c r="M10" s="116">
        <f>+K10+'18'!M10+L10</f>
        <v>139509</v>
      </c>
    </row>
    <row r="11" spans="1:26" ht="39" thickBot="1">
      <c r="A11" s="746"/>
      <c r="B11" s="214"/>
      <c r="C11" s="215"/>
      <c r="D11" s="216"/>
      <c r="E11" s="218"/>
      <c r="F11" s="227"/>
      <c r="G11" s="231"/>
      <c r="H11" s="232" t="s">
        <v>594</v>
      </c>
      <c r="I11" s="749"/>
      <c r="J11" s="213" t="str">
        <f>+'18'!J11</f>
        <v>T 15 VP OW</v>
      </c>
      <c r="K11" s="238"/>
      <c r="L11" s="238"/>
      <c r="M11" s="116">
        <f>+K11+'18'!M11+L11</f>
        <v>25864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+'18'!J12</f>
        <v>F 12 VP OW</v>
      </c>
      <c r="K12" s="238"/>
      <c r="L12" s="238"/>
      <c r="M12" s="116">
        <f>+K12+'18'!M12+L12</f>
        <v>119753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+'18'!J13</f>
        <v>F 13 VP OW</v>
      </c>
      <c r="K13" s="238"/>
      <c r="L13" s="238"/>
      <c r="M13" s="116">
        <f>+K13+'18'!M13+L13</f>
        <v>32376</v>
      </c>
    </row>
    <row r="14" spans="1:26" ht="13.5" thickBot="1">
      <c r="A14" s="747"/>
      <c r="B14" s="164" t="s">
        <v>2</v>
      </c>
      <c r="C14" s="98">
        <f>SUM(C7:C13)</f>
        <v>11568</v>
      </c>
      <c r="D14" s="110">
        <f>SUM(D7:D13)</f>
        <v>0</v>
      </c>
      <c r="E14" s="111">
        <f>SUM(E5:E13)</f>
        <v>0</v>
      </c>
      <c r="F14" s="115">
        <f>SUM(F7:F13)</f>
        <v>27</v>
      </c>
      <c r="G14" s="158"/>
      <c r="H14" s="165"/>
      <c r="I14" s="166"/>
      <c r="J14" s="213" t="str">
        <f>+'18'!J14</f>
        <v>F 11,5 VP OW</v>
      </c>
      <c r="K14" s="238">
        <f>+C7</f>
        <v>11568</v>
      </c>
      <c r="L14" s="238"/>
      <c r="M14" s="116">
        <f>+K14+'18'!M14+L14</f>
        <v>53445</v>
      </c>
      <c r="Q14" s="175">
        <f>SUM(Q6:Q11)</f>
        <v>480</v>
      </c>
      <c r="R14" s="175">
        <f>SUM(R6:R11)</f>
        <v>572690</v>
      </c>
      <c r="S14" s="175">
        <f>SUM(S6:S11)</f>
        <v>435244.4</v>
      </c>
    </row>
    <row r="15" spans="1:26" ht="13.5" customHeight="1" thickBot="1">
      <c r="A15" s="745" t="s">
        <v>388</v>
      </c>
      <c r="B15" s="164"/>
      <c r="C15" s="112">
        <f>C14/($C$23+$D$23+$E$23)</f>
        <v>0.80799050080324086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697</v>
      </c>
      <c r="J15" s="213">
        <f>+'18'!J15</f>
        <v>0</v>
      </c>
      <c r="K15" s="238"/>
      <c r="L15" s="238"/>
      <c r="M15" s="116">
        <f>+K15+'18'!M15+L15</f>
        <v>0</v>
      </c>
      <c r="Q15" s="148">
        <f>480-Q14</f>
        <v>0</v>
      </c>
      <c r="R15" s="175">
        <f>+R14/Q14</f>
        <v>1193.1041666666667</v>
      </c>
      <c r="S15" s="175">
        <f>+S14/Q14</f>
        <v>906.75916666666672</v>
      </c>
    </row>
    <row r="16" spans="1:26" ht="13.5" thickBot="1">
      <c r="A16" s="751"/>
      <c r="B16" s="214" t="s">
        <v>409</v>
      </c>
      <c r="C16" s="221">
        <v>5244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+'18'!J16</f>
        <v>0</v>
      </c>
      <c r="K16" s="228"/>
      <c r="L16" s="228"/>
      <c r="M16" s="116">
        <f>+K16+'18'!M16+L16</f>
        <v>0</v>
      </c>
      <c r="N16" s="148" t="s">
        <v>403</v>
      </c>
      <c r="O16" s="148">
        <v>1120</v>
      </c>
      <c r="P16" s="148">
        <f>+O16-(O16*0.24)</f>
        <v>851.2</v>
      </c>
      <c r="Q16" s="148">
        <v>30</v>
      </c>
      <c r="R16" s="148">
        <f>+O16*Q16</f>
        <v>33600</v>
      </c>
      <c r="S16" s="148">
        <f>+P16*Q16</f>
        <v>25536</v>
      </c>
      <c r="U16" s="148" t="s">
        <v>403</v>
      </c>
      <c r="V16" s="148">
        <v>1120</v>
      </c>
      <c r="W16" s="148">
        <v>851.2</v>
      </c>
      <c r="X16" s="148">
        <v>161</v>
      </c>
      <c r="Y16" s="148">
        <f>+V16*X16</f>
        <v>180320</v>
      </c>
      <c r="Z16" s="148">
        <f>+W16*X16</f>
        <v>137043.20000000001</v>
      </c>
    </row>
    <row r="17" spans="1:26" ht="13.5" thickBot="1">
      <c r="A17" s="751"/>
      <c r="B17" s="214" t="s">
        <v>470</v>
      </c>
      <c r="C17" s="215">
        <v>9073</v>
      </c>
      <c r="D17" s="216"/>
      <c r="E17" s="224"/>
      <c r="F17" s="227">
        <f>24-9</f>
        <v>15</v>
      </c>
      <c r="G17" s="231" t="s">
        <v>12</v>
      </c>
      <c r="H17" s="232" t="s">
        <v>598</v>
      </c>
      <c r="I17" s="749"/>
      <c r="J17" s="213">
        <f>+'18'!J17</f>
        <v>0</v>
      </c>
      <c r="K17" s="228"/>
      <c r="L17" s="228"/>
      <c r="M17" s="116">
        <f>+K17+'18'!M17+L17</f>
        <v>0</v>
      </c>
      <c r="N17" s="148" t="s">
        <v>457</v>
      </c>
      <c r="O17" s="148">
        <v>1150</v>
      </c>
      <c r="P17" s="148">
        <f>+O17-(O17*0.25)</f>
        <v>862.5</v>
      </c>
      <c r="Q17" s="148">
        <f>480-Q16</f>
        <v>450</v>
      </c>
      <c r="R17" s="148">
        <f>+O17*Q17</f>
        <v>517500</v>
      </c>
      <c r="S17" s="148">
        <f>+P17*Q17</f>
        <v>388125</v>
      </c>
      <c r="U17" s="148" t="s">
        <v>403</v>
      </c>
      <c r="V17" s="148">
        <v>1120</v>
      </c>
      <c r="W17" s="148">
        <v>851.2</v>
      </c>
      <c r="X17" s="148">
        <v>30</v>
      </c>
      <c r="Y17" s="148">
        <f>+V17*X17</f>
        <v>33600</v>
      </c>
      <c r="Z17" s="148">
        <f>+W17*X17</f>
        <v>25536</v>
      </c>
    </row>
    <row r="18" spans="1:26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592</v>
      </c>
      <c r="I18" s="749"/>
      <c r="J18" s="213">
        <f>+'18'!J18</f>
        <v>0</v>
      </c>
      <c r="K18" s="238"/>
      <c r="L18" s="238"/>
      <c r="M18" s="116">
        <f>+K18+'18'!M18+L18</f>
        <v>0</v>
      </c>
    </row>
    <row r="19" spans="1:26" ht="51.75" thickBot="1">
      <c r="A19" s="751"/>
      <c r="B19" s="214"/>
      <c r="C19" s="215"/>
      <c r="D19" s="216"/>
      <c r="E19" s="224"/>
      <c r="F19" s="234"/>
      <c r="G19" s="231"/>
      <c r="H19" s="232" t="s">
        <v>699</v>
      </c>
      <c r="I19" s="749"/>
      <c r="J19" s="213">
        <f>+'18'!J19</f>
        <v>0</v>
      </c>
      <c r="K19" s="238"/>
      <c r="L19" s="238"/>
      <c r="M19" s="116">
        <f>+K19+'18'!M19+L19</f>
        <v>0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+'18'!J20</f>
        <v>0</v>
      </c>
      <c r="K20" s="239"/>
      <c r="L20" s="239"/>
      <c r="M20" s="116">
        <f>+K20+'18'!M20+L20</f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+'18'!J21</f>
        <v>0</v>
      </c>
      <c r="K21" s="238"/>
      <c r="L21" s="238"/>
      <c r="M21" s="116">
        <f>+K21+'18'!M21+L21</f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+'18'!J22</f>
        <v>0</v>
      </c>
      <c r="K22" s="238"/>
      <c r="L22" s="238"/>
      <c r="M22" s="116">
        <f>+K22+'18'!M22+L22</f>
        <v>0</v>
      </c>
    </row>
    <row r="23" spans="1:26" ht="13.5" thickBot="1">
      <c r="A23" s="752"/>
      <c r="B23" s="167" t="s">
        <v>2</v>
      </c>
      <c r="C23" s="99">
        <f>SUM(C16:C22)</f>
        <v>14317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+'18'!J23</f>
        <v>0</v>
      </c>
      <c r="K23" s="238"/>
      <c r="L23" s="238"/>
      <c r="M23" s="116">
        <f>+K23+'18'!M23+L23</f>
        <v>0</v>
      </c>
    </row>
    <row r="24" spans="1:26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698</v>
      </c>
      <c r="J24" s="213">
        <f>+'18'!J24</f>
        <v>0</v>
      </c>
      <c r="K24" s="238"/>
      <c r="L24" s="238"/>
      <c r="M24" s="116">
        <f>+K24+'18'!M24+L24</f>
        <v>0</v>
      </c>
      <c r="Q24" s="175">
        <f>SUM(Q16:Q21)</f>
        <v>480</v>
      </c>
      <c r="R24" s="175">
        <f>SUM(R16:R21)</f>
        <v>551100</v>
      </c>
      <c r="S24" s="175">
        <f>SUM(S16:S21)</f>
        <v>413661</v>
      </c>
      <c r="X24" s="175">
        <f>SUM(X16:X21)</f>
        <v>191</v>
      </c>
      <c r="Y24" s="175">
        <f>SUM(Y16:Y21)</f>
        <v>213920</v>
      </c>
      <c r="Z24" s="175">
        <f>SUM(Z16:Z21)</f>
        <v>162579.20000000001</v>
      </c>
    </row>
    <row r="25" spans="1:26" ht="13.5" thickBot="1">
      <c r="A25" s="751"/>
      <c r="B25" s="214" t="s">
        <v>470</v>
      </c>
      <c r="C25" s="225">
        <v>11337</v>
      </c>
      <c r="D25" s="216">
        <v>277</v>
      </c>
      <c r="E25" s="224"/>
      <c r="F25" s="230">
        <v>7</v>
      </c>
      <c r="G25" s="231" t="s">
        <v>12</v>
      </c>
      <c r="H25" s="229" t="s">
        <v>481</v>
      </c>
      <c r="I25" s="749"/>
      <c r="J25" s="213">
        <f>+'18'!J25</f>
        <v>0</v>
      </c>
      <c r="K25" s="238"/>
      <c r="L25" s="238"/>
      <c r="M25" s="116">
        <f>+K25+'18'!M25+L25</f>
        <v>0</v>
      </c>
      <c r="Q25" s="148">
        <f>480-Q24</f>
        <v>0</v>
      </c>
      <c r="R25" s="175">
        <f>+R24/Q24</f>
        <v>1148.125</v>
      </c>
      <c r="S25" s="175">
        <f>+S24/Q24</f>
        <v>861.79375000000005</v>
      </c>
      <c r="X25" s="148">
        <f>480-X24</f>
        <v>289</v>
      </c>
      <c r="Y25" s="175">
        <f>+Y24/X24</f>
        <v>1120</v>
      </c>
      <c r="Z25" s="175">
        <f>+Z24/X24</f>
        <v>851.2</v>
      </c>
    </row>
    <row r="26" spans="1:26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434</v>
      </c>
      <c r="I26" s="749"/>
      <c r="J26" s="213">
        <f>+'18'!J26</f>
        <v>0</v>
      </c>
      <c r="K26" s="238"/>
      <c r="L26" s="238"/>
      <c r="M26" s="116">
        <f>+K26+'18'!M26+L26</f>
        <v>0</v>
      </c>
    </row>
    <row r="27" spans="1:26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700</v>
      </c>
      <c r="I27" s="749"/>
      <c r="J27" s="213">
        <f>+'18'!J27</f>
        <v>0</v>
      </c>
      <c r="K27" s="238"/>
      <c r="L27" s="238"/>
      <c r="M27" s="116">
        <f>+K27+'18'!M27+L27</f>
        <v>0</v>
      </c>
      <c r="N27" s="148" t="s">
        <v>457</v>
      </c>
      <c r="O27" s="148">
        <v>1150</v>
      </c>
      <c r="P27" s="148">
        <f>+O27-(O27*0.25)</f>
        <v>862.5</v>
      </c>
      <c r="Q27" s="148">
        <v>480</v>
      </c>
      <c r="R27" s="148">
        <f>+O27*Q27</f>
        <v>552000</v>
      </c>
      <c r="S27" s="148">
        <f>+P27*Q27</f>
        <v>414000</v>
      </c>
      <c r="U27" s="148" t="s">
        <v>457</v>
      </c>
      <c r="V27" s="148">
        <v>1150</v>
      </c>
      <c r="W27" s="148">
        <v>862.5</v>
      </c>
      <c r="X27" s="148">
        <v>450</v>
      </c>
      <c r="Y27" s="148">
        <f>+V27*X27</f>
        <v>517500</v>
      </c>
      <c r="Z27" s="148">
        <f>+W27*X27</f>
        <v>388125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+'18'!J28</f>
        <v>0</v>
      </c>
      <c r="K28" s="238"/>
      <c r="L28" s="238"/>
      <c r="M28" s="116">
        <f>+K28+'18'!M28+L28</f>
        <v>0</v>
      </c>
      <c r="P28" s="148">
        <f>+O28-(O28*0.24)</f>
        <v>0</v>
      </c>
      <c r="Q28" s="148">
        <f>480-Q27</f>
        <v>0</v>
      </c>
      <c r="R28" s="148">
        <f>+O28*Q28</f>
        <v>0</v>
      </c>
      <c r="S28" s="148">
        <f>+P28*Q28</f>
        <v>0</v>
      </c>
      <c r="U28" s="148" t="s">
        <v>457</v>
      </c>
      <c r="V28" s="148">
        <v>1150</v>
      </c>
      <c r="W28" s="148">
        <v>862.5</v>
      </c>
      <c r="X28" s="148">
        <v>480</v>
      </c>
      <c r="Y28" s="148">
        <f>+V28*X28</f>
        <v>552000</v>
      </c>
      <c r="Z28" s="148">
        <f>+W28*X28</f>
        <v>414000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+'18'!J29</f>
        <v>0</v>
      </c>
      <c r="K29" s="238"/>
      <c r="L29" s="238"/>
      <c r="M29" s="116">
        <f>+K29+'18'!M29+L29</f>
        <v>0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+'18'!J30</f>
        <v>0</v>
      </c>
      <c r="K30" s="238"/>
      <c r="L30" s="238"/>
      <c r="M30" s="116">
        <f>+K30+'18'!M30+L30</f>
        <v>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+'18'!J31</f>
        <v>0</v>
      </c>
      <c r="K31" s="238"/>
      <c r="L31" s="238"/>
      <c r="M31" s="116">
        <f>+K31+'18'!M31+L31</f>
        <v>0</v>
      </c>
    </row>
    <row r="32" spans="1:26" ht="13.5" thickBot="1">
      <c r="A32" s="752"/>
      <c r="B32" s="164" t="s">
        <v>2</v>
      </c>
      <c r="C32" s="98">
        <f>SUM(C25:C31)</f>
        <v>11337</v>
      </c>
      <c r="D32" s="99">
        <f>SUM(D25:D31)</f>
        <v>277</v>
      </c>
      <c r="E32" s="100">
        <f>SUM(E25:E31)</f>
        <v>0</v>
      </c>
      <c r="F32" s="101">
        <f>SUM(F24:F31)</f>
        <v>17</v>
      </c>
      <c r="G32" s="170"/>
      <c r="H32" s="171"/>
      <c r="I32" s="168"/>
      <c r="J32" s="213">
        <f>+'18'!J32</f>
        <v>0</v>
      </c>
      <c r="K32" s="240"/>
      <c r="L32" s="242"/>
      <c r="M32" s="116">
        <f>+K32+'18'!M32+L32</f>
        <v>0</v>
      </c>
    </row>
    <row r="33" spans="1:26" ht="13.5" thickBot="1">
      <c r="A33" s="172"/>
      <c r="B33" s="173"/>
      <c r="C33" s="102">
        <f>C32/($C$32+$D$32+$E$32)</f>
        <v>0.97614947477182712</v>
      </c>
      <c r="D33" s="103">
        <f>D32/($C$32+$D$32+$E$32)</f>
        <v>2.3850525228172895E-2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3" t="s">
        <v>57</v>
      </c>
      <c r="B34" s="754"/>
      <c r="C34" s="106">
        <f>C14+C23+C32</f>
        <v>37222</v>
      </c>
      <c r="D34" s="106">
        <f>D14+D23+D32</f>
        <v>277</v>
      </c>
      <c r="E34" s="106">
        <f>E14+E23+E32</f>
        <v>0</v>
      </c>
      <c r="F34" s="107">
        <f>F14+F23+F32</f>
        <v>68</v>
      </c>
      <c r="H34" s="177"/>
      <c r="I34" s="177"/>
      <c r="J34" s="122" t="s">
        <v>28</v>
      </c>
      <c r="K34" s="123">
        <f>SUM(K7:K32)</f>
        <v>37222</v>
      </c>
      <c r="L34" s="211">
        <f>SUM(L7:L32)</f>
        <v>0</v>
      </c>
      <c r="M34" s="119">
        <f>SUM(M7:M32)</f>
        <v>707791</v>
      </c>
    </row>
    <row r="35" spans="1:26" ht="13.5" thickBot="1">
      <c r="A35" s="178"/>
      <c r="B35" s="179"/>
      <c r="C35" s="103">
        <f>C34/($C$34+$D$34+$E$34)</f>
        <v>0.99261313635030268</v>
      </c>
      <c r="D35" s="103">
        <f>D34/($C$34+$D$34+$E$34)</f>
        <v>7.386863649697325E-3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552000</v>
      </c>
      <c r="S35" s="175">
        <f>SUM(S27:S32)</f>
        <v>414000</v>
      </c>
      <c r="X35" s="175">
        <f>SUM(X27:X32)</f>
        <v>930</v>
      </c>
      <c r="Y35" s="175">
        <f>SUM(Y27:Y32)</f>
        <v>1069500</v>
      </c>
      <c r="Z35" s="175">
        <f>SUM(Z27:Z32)</f>
        <v>802125</v>
      </c>
    </row>
    <row r="36" spans="1:26" ht="13.5" thickBot="1">
      <c r="A36" s="177"/>
      <c r="B36" s="177"/>
      <c r="C36" s="154"/>
      <c r="D36" s="154"/>
      <c r="E36" s="154"/>
      <c r="G36" s="154"/>
      <c r="H36" s="180" t="s">
        <v>227</v>
      </c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1150</v>
      </c>
      <c r="S36" s="175">
        <f>+S35/Q35</f>
        <v>862.5</v>
      </c>
      <c r="X36" s="148">
        <f>480-X35</f>
        <v>-450</v>
      </c>
      <c r="Y36" s="175">
        <f>+Y35/X35</f>
        <v>1150</v>
      </c>
      <c r="Z36" s="175">
        <f>+Z35/X35</f>
        <v>862.5</v>
      </c>
    </row>
    <row r="37" spans="1:26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(11.5*319+191*14+13*930)/1440*G42*2.74*1440/1000000</f>
        <v>44.293819702965266</v>
      </c>
      <c r="J37" s="124">
        <f>+I37+'18'!J37</f>
        <v>827.3070487503569</v>
      </c>
      <c r="K37" s="125" t="s">
        <v>63</v>
      </c>
    </row>
    <row r="38" spans="1:26" ht="17.45" customHeight="1">
      <c r="A38" s="757" t="s">
        <v>12</v>
      </c>
      <c r="B38" s="758"/>
      <c r="C38" s="163">
        <f>SUMIF($G$7:$G$31,"Process",$F$7:$F$31)</f>
        <v>68</v>
      </c>
      <c r="D38" s="117">
        <f>+C38+'18'!D38</f>
        <v>1335</v>
      </c>
      <c r="E38" s="142">
        <f t="shared" ref="E38:E51" si="0">D38/60</f>
        <v>22.25</v>
      </c>
      <c r="F38" s="321">
        <v>1193.1041666666667</v>
      </c>
      <c r="G38" s="321">
        <v>906.75916666666672</v>
      </c>
      <c r="H38" s="186" t="s">
        <v>64</v>
      </c>
      <c r="I38" s="244">
        <f>13.774+0.782+12.678+12.611</f>
        <v>39.844999999999999</v>
      </c>
      <c r="J38" s="126">
        <f>+I38+'18'!J38</f>
        <v>735.98099999999988</v>
      </c>
      <c r="K38" s="127" t="s">
        <v>63</v>
      </c>
      <c r="N38" s="148" t="s">
        <v>572</v>
      </c>
      <c r="O38" s="148">
        <v>1230</v>
      </c>
      <c r="P38" s="148">
        <v>934.8</v>
      </c>
      <c r="Q38" s="148">
        <v>319</v>
      </c>
    </row>
    <row r="39" spans="1:26" ht="17.45" customHeight="1">
      <c r="A39" s="759" t="s">
        <v>13</v>
      </c>
      <c r="B39" s="760"/>
      <c r="C39" s="163">
        <f>SUMIF($G$7:$G$31,"Cleaning",$F$7:$F$31)</f>
        <v>0</v>
      </c>
      <c r="D39" s="117">
        <f>+C39+'18'!D39</f>
        <v>0</v>
      </c>
      <c r="E39" s="142">
        <f t="shared" si="0"/>
        <v>0</v>
      </c>
      <c r="F39" s="321">
        <v>1148.125</v>
      </c>
      <c r="G39" s="321">
        <v>861.79375000000005</v>
      </c>
      <c r="H39" s="186" t="s">
        <v>65</v>
      </c>
      <c r="I39" s="141"/>
      <c r="J39" s="128">
        <f>J37/G4</f>
        <v>43.542476250018787</v>
      </c>
      <c r="K39" s="129" t="s">
        <v>63</v>
      </c>
      <c r="N39" s="148" t="s">
        <v>403</v>
      </c>
      <c r="O39" s="148">
        <v>1120</v>
      </c>
      <c r="P39" s="148">
        <v>851.2</v>
      </c>
      <c r="Q39" s="148">
        <v>191</v>
      </c>
    </row>
    <row r="40" spans="1:26" ht="17.45" customHeight="1">
      <c r="A40" s="759" t="s">
        <v>66</v>
      </c>
      <c r="B40" s="760"/>
      <c r="C40" s="163">
        <f>SUMIF($G$7:$G$31,"Mechanical",$F$7:$F$31)</f>
        <v>0</v>
      </c>
      <c r="D40" s="117">
        <f>+C40+'18'!D40</f>
        <v>481</v>
      </c>
      <c r="E40" s="142">
        <f t="shared" si="0"/>
        <v>8.0166666666666675</v>
      </c>
      <c r="F40" s="321">
        <v>1150</v>
      </c>
      <c r="G40" s="321">
        <v>862.5</v>
      </c>
      <c r="H40" s="186" t="s">
        <v>67</v>
      </c>
      <c r="I40" s="117">
        <f>(K34+L34)/1000</f>
        <v>37.222000000000001</v>
      </c>
      <c r="J40" s="130">
        <f>+I40+'18'!J40</f>
        <v>707.79099999999994</v>
      </c>
      <c r="K40" s="129" t="s">
        <v>63</v>
      </c>
      <c r="N40" s="148" t="s">
        <v>457</v>
      </c>
      <c r="O40" s="148">
        <v>1150</v>
      </c>
      <c r="P40" s="148">
        <v>862.5</v>
      </c>
      <c r="Q40" s="148">
        <v>930</v>
      </c>
    </row>
    <row r="41" spans="1:26" ht="17.45" customHeight="1">
      <c r="A41" s="759" t="s">
        <v>68</v>
      </c>
      <c r="B41" s="760"/>
      <c r="C41" s="163">
        <f>SUMIF($G$7:$G$31,"Electrical",$F$7:$F$31)</f>
        <v>0</v>
      </c>
      <c r="D41" s="117">
        <f>+C41+'18'!D41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37.25215789473684</v>
      </c>
      <c r="K41" s="129" t="s">
        <v>63</v>
      </c>
      <c r="Q41" s="148">
        <f>+Q38+Q39+Q40</f>
        <v>1440</v>
      </c>
    </row>
    <row r="42" spans="1:26" ht="17.45" customHeight="1">
      <c r="A42" s="759" t="s">
        <v>16</v>
      </c>
      <c r="B42" s="760"/>
      <c r="C42" s="163">
        <f>SUMIF($G$7:$G$31,"Instrument",$F$7:$F$31)</f>
        <v>0</v>
      </c>
      <c r="D42" s="117">
        <f>+C42+'18'!D42</f>
        <v>0</v>
      </c>
      <c r="E42" s="142">
        <f t="shared" si="0"/>
        <v>0</v>
      </c>
      <c r="F42" s="321">
        <f>+(480*F38+480*F39+480*F40)/1440</f>
        <v>1163.7430555555557</v>
      </c>
      <c r="G42" s="321">
        <f>+(480*G38+480*G39+480*G40)/1440</f>
        <v>877.01763888888877</v>
      </c>
      <c r="H42" s="186" t="s">
        <v>70</v>
      </c>
      <c r="I42" s="245" t="s">
        <v>597</v>
      </c>
      <c r="J42" s="131"/>
      <c r="K42" s="129" t="s">
        <v>71</v>
      </c>
    </row>
    <row r="43" spans="1:26" ht="17.45" customHeight="1">
      <c r="A43" s="759" t="s">
        <v>72</v>
      </c>
      <c r="B43" s="760"/>
      <c r="C43" s="163">
        <f>SUMIF($G$7:$G$31,"Water",$F$7:$F$31)</f>
        <v>0</v>
      </c>
      <c r="D43" s="117">
        <f>+C43+'18'!D43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+Report1!Z27</f>
        <v>50.7</v>
      </c>
      <c r="J43" s="132">
        <f>+I43+'18'!J43</f>
        <v>975.79999999999984</v>
      </c>
      <c r="K43" s="129" t="s">
        <v>63</v>
      </c>
      <c r="L43" s="188"/>
    </row>
    <row r="44" spans="1:26" ht="17.45" customHeight="1">
      <c r="A44" s="759" t="s">
        <v>17</v>
      </c>
      <c r="B44" s="760"/>
      <c r="C44" s="163">
        <f>SUMIF($G$7:$G$31,"PLN",$F$7:$F$31)</f>
        <v>0</v>
      </c>
      <c r="D44" s="117">
        <f>+C44+'18'!D44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1.2724306688417619</v>
      </c>
      <c r="J44" s="133">
        <f>J43/J38</f>
        <v>1.3258494444829418</v>
      </c>
      <c r="K44" s="129" t="s">
        <v>63</v>
      </c>
    </row>
    <row r="45" spans="1:26" ht="17.45" customHeight="1">
      <c r="A45" s="759" t="s">
        <v>18</v>
      </c>
      <c r="B45" s="760"/>
      <c r="C45" s="163">
        <f>SUMIF($G$7:$G$31,"Boiler",$F$7:$F$31)</f>
        <v>0</v>
      </c>
      <c r="D45" s="117">
        <f>+C45+'18'!D45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1.3620976841652785</v>
      </c>
      <c r="J45" s="133">
        <f>J43/J40</f>
        <v>1.3786555635773836</v>
      </c>
      <c r="K45" s="129" t="s">
        <v>63</v>
      </c>
    </row>
    <row r="46" spans="1:26" ht="17.45" customHeight="1">
      <c r="A46" s="759" t="s">
        <v>76</v>
      </c>
      <c r="B46" s="760"/>
      <c r="C46" s="163">
        <f>SUMIF($G$7:$G$31,"Gas",$F$7:$F$31)</f>
        <v>0</v>
      </c>
      <c r="D46" s="117">
        <f>+C46+'18'!D46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+SUMIF(Listrik!P26,"&gt;0")</f>
        <v>39865.459999999272</v>
      </c>
      <c r="J46" s="134">
        <f>+I46+'18'!J46</f>
        <v>710943.97999999905</v>
      </c>
      <c r="K46" s="129" t="s">
        <v>78</v>
      </c>
    </row>
    <row r="47" spans="1:26" ht="17.45" customHeight="1">
      <c r="A47" s="759" t="s">
        <v>79</v>
      </c>
      <c r="B47" s="760"/>
      <c r="C47" s="163">
        <f>SUMIF($G$7:$G$31,"Gas",$F$7:$F$31)</f>
        <v>0</v>
      </c>
      <c r="D47" s="117">
        <f>+C47+'18'!D47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1000.5134897728516</v>
      </c>
      <c r="J47" s="134">
        <f>J46/J38</f>
        <v>965.98143158586856</v>
      </c>
      <c r="K47" s="129" t="s">
        <v>24</v>
      </c>
    </row>
    <row r="48" spans="1:26" ht="17.45" customHeight="1">
      <c r="A48" s="759" t="s">
        <v>14</v>
      </c>
      <c r="B48" s="760"/>
      <c r="C48" s="163">
        <f>SUMIF($G$7:$G$31,"Start Up",$F$7:$F$31)</f>
        <v>0</v>
      </c>
      <c r="D48" s="117">
        <f>+C48+'18'!D48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1071.0187523507407</v>
      </c>
      <c r="J48" s="134">
        <f>J46/J40</f>
        <v>1004.4546765923826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+C49+'18'!D49</f>
        <v>0</v>
      </c>
      <c r="E49" s="142">
        <f t="shared" si="0"/>
        <v>0</v>
      </c>
      <c r="F49" s="184"/>
      <c r="H49" s="187" t="s">
        <v>269</v>
      </c>
      <c r="I49" s="117">
        <f>+Report1!T27</f>
        <v>5249.5581790184388</v>
      </c>
      <c r="J49" s="134">
        <f>+I49+'18'!J49</f>
        <v>86579.137320091177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+C50+'18'!D50</f>
        <v>0</v>
      </c>
      <c r="E50" s="142">
        <f t="shared" si="0"/>
        <v>0</v>
      </c>
      <c r="F50" s="184"/>
      <c r="H50" s="187" t="s">
        <v>83</v>
      </c>
      <c r="I50" s="139">
        <f>I49/I38</f>
        <v>131.74948372489493</v>
      </c>
      <c r="J50" s="132">
        <f>J49/J38</f>
        <v>117.63773428946018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+C51+'18'!D51</f>
        <v>0</v>
      </c>
      <c r="E51" s="142">
        <f t="shared" si="0"/>
        <v>0</v>
      </c>
      <c r="F51" s="184"/>
      <c r="H51" s="189" t="s">
        <v>85</v>
      </c>
      <c r="I51" s="140">
        <f>I49/I40</f>
        <v>141.03374829451502</v>
      </c>
      <c r="J51" s="135">
        <f>J49/J40</f>
        <v>122.3230265997889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68</v>
      </c>
      <c r="D52" s="143">
        <f>SUM(D38:D51)</f>
        <v>2056</v>
      </c>
      <c r="E52" s="144">
        <f>SUM(E38:E51)</f>
        <v>34.266666666666666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4.7222222222222221E-2</v>
      </c>
      <c r="D53" s="145">
        <f>D52/(24*60*G4)</f>
        <v>7.5146198830409364E-2</v>
      </c>
      <c r="E53" s="146">
        <f>E52/(G4*24)</f>
        <v>7.514619883040935E-2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+D34+'18'!J56</f>
        <v>2535</v>
      </c>
      <c r="K56" s="200">
        <f>J56/(J40+J56/1000)/1000</f>
        <v>3.5687839104861716E-3</v>
      </c>
    </row>
    <row r="57" spans="1:11">
      <c r="A57" s="175"/>
      <c r="I57" s="198" t="s">
        <v>88</v>
      </c>
      <c r="J57" s="199">
        <f>+E34+'18'!J57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S61"/>
  <sheetViews>
    <sheetView topLeftCell="A7" zoomScale="80" zoomScaleNormal="80" workbookViewId="0">
      <selection activeCell="F21" sqref="F2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2.285156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18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572</v>
      </c>
      <c r="O6" s="148">
        <v>1190</v>
      </c>
      <c r="P6" s="148">
        <f>+O6-(O6*0.23)</f>
        <v>916.3</v>
      </c>
      <c r="Q6" s="148">
        <f>60*3+56</f>
        <v>236</v>
      </c>
      <c r="R6" s="148">
        <f>+O6*Q6</f>
        <v>280840</v>
      </c>
      <c r="S6" s="148">
        <f>+P6*Q6</f>
        <v>216246.8</v>
      </c>
    </row>
    <row r="7" spans="1:19" ht="13.5" customHeight="1" thickBot="1">
      <c r="A7" s="745" t="s">
        <v>387</v>
      </c>
      <c r="B7" s="214" t="s">
        <v>591</v>
      </c>
      <c r="C7" s="215">
        <v>10824</v>
      </c>
      <c r="D7" s="216">
        <v>273</v>
      </c>
      <c r="E7" s="217"/>
      <c r="F7" s="227"/>
      <c r="G7" s="228" t="s">
        <v>12</v>
      </c>
      <c r="H7" s="229" t="s">
        <v>384</v>
      </c>
      <c r="I7" s="748" t="s">
        <v>586</v>
      </c>
      <c r="J7" s="213" t="str">
        <f>+'17'!J7</f>
        <v>F 14 VP OW</v>
      </c>
      <c r="K7" s="237"/>
      <c r="L7" s="241"/>
      <c r="M7" s="116">
        <f>+K7+'17'!M7+L7</f>
        <v>185476</v>
      </c>
      <c r="O7" s="148">
        <v>1210</v>
      </c>
      <c r="P7" s="148">
        <f>+O7-(O7*0.23)</f>
        <v>931.7</v>
      </c>
      <c r="Q7" s="148">
        <f>480-Q6</f>
        <v>244</v>
      </c>
      <c r="R7" s="148">
        <f>+O7*Q7</f>
        <v>295240</v>
      </c>
      <c r="S7" s="148">
        <f>+P7*Q7</f>
        <v>227334.80000000002</v>
      </c>
    </row>
    <row r="8" spans="1:19" ht="13.5" thickBot="1">
      <c r="A8" s="746"/>
      <c r="B8" s="214"/>
      <c r="C8" s="215"/>
      <c r="D8" s="216"/>
      <c r="E8" s="218"/>
      <c r="F8" s="230">
        <v>12</v>
      </c>
      <c r="G8" s="231" t="s">
        <v>12</v>
      </c>
      <c r="H8" s="229" t="s">
        <v>407</v>
      </c>
      <c r="I8" s="749"/>
      <c r="J8" s="213" t="str">
        <f>+'17'!J8</f>
        <v>F 15 VP OW</v>
      </c>
      <c r="K8" s="238"/>
      <c r="L8" s="238"/>
      <c r="M8" s="116">
        <f>+K8+'17'!M8+L8</f>
        <v>95546</v>
      </c>
    </row>
    <row r="9" spans="1:19" ht="13.5" thickBot="1">
      <c r="A9" s="746"/>
      <c r="B9" s="214"/>
      <c r="C9" s="215"/>
      <c r="D9" s="216"/>
      <c r="E9" s="219"/>
      <c r="F9" s="227">
        <f>26-12</f>
        <v>14</v>
      </c>
      <c r="G9" s="231" t="s">
        <v>12</v>
      </c>
      <c r="H9" s="232" t="s">
        <v>434</v>
      </c>
      <c r="I9" s="749"/>
      <c r="J9" s="213" t="str">
        <f>+'17'!J9</f>
        <v>T 12 VP OW</v>
      </c>
      <c r="K9" s="238"/>
      <c r="L9" s="238"/>
      <c r="M9" s="116">
        <f>+K9+'17'!M9+L9</f>
        <v>50578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588</v>
      </c>
      <c r="I10" s="749"/>
      <c r="J10" s="213" t="str">
        <f>+'17'!J10</f>
        <v>T 13 VP OW</v>
      </c>
      <c r="K10" s="238"/>
      <c r="L10" s="238"/>
      <c r="M10" s="116">
        <f>+K10+'17'!M10+L10</f>
        <v>119099</v>
      </c>
    </row>
    <row r="11" spans="1:19" ht="26.25" thickBot="1">
      <c r="A11" s="746"/>
      <c r="B11" s="214"/>
      <c r="C11" s="215"/>
      <c r="D11" s="216"/>
      <c r="E11" s="218"/>
      <c r="F11" s="227"/>
      <c r="G11" s="231"/>
      <c r="H11" s="232" t="s">
        <v>580</v>
      </c>
      <c r="I11" s="749"/>
      <c r="J11" s="213" t="str">
        <f>+'17'!J11</f>
        <v>T 15 VP OW</v>
      </c>
      <c r="K11" s="238"/>
      <c r="L11" s="238"/>
      <c r="M11" s="116">
        <f>+K11+'17'!M11+L11</f>
        <v>25864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+'17'!J12</f>
        <v>F 12 VP OW</v>
      </c>
      <c r="K12" s="238"/>
      <c r="L12" s="238"/>
      <c r="M12" s="116">
        <f>+K12+'17'!M12+L12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+'17'!J13</f>
        <v>F 13 VP OW</v>
      </c>
      <c r="K13" s="238"/>
      <c r="L13" s="238"/>
      <c r="M13" s="116">
        <f>+K13+'17'!M13+L13</f>
        <v>32376</v>
      </c>
    </row>
    <row r="14" spans="1:19" ht="13.5" thickBot="1">
      <c r="A14" s="747"/>
      <c r="B14" s="164" t="s">
        <v>2</v>
      </c>
      <c r="C14" s="98">
        <f>SUM(C7:C13)</f>
        <v>10824</v>
      </c>
      <c r="D14" s="110">
        <f>SUM(D7:D13)</f>
        <v>273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 t="str">
        <f>+'17'!J14</f>
        <v>F 11,5 VP OW</v>
      </c>
      <c r="K14" s="238">
        <f>+C34</f>
        <v>35722</v>
      </c>
      <c r="L14" s="238"/>
      <c r="M14" s="116">
        <f>+K14+'17'!M14+L14</f>
        <v>41877</v>
      </c>
      <c r="Q14" s="175">
        <f>SUM(Q6:Q11)</f>
        <v>480</v>
      </c>
      <c r="R14" s="175">
        <f>SUM(R6:R11)</f>
        <v>576080</v>
      </c>
      <c r="S14" s="175">
        <f>SUM(S6:S11)</f>
        <v>443581.6</v>
      </c>
    </row>
    <row r="15" spans="1:19" ht="13.5" customHeight="1" thickBot="1">
      <c r="A15" s="745" t="s">
        <v>388</v>
      </c>
      <c r="B15" s="164"/>
      <c r="C15" s="112">
        <f>C14/($C$23+$D$23+$E$23)</f>
        <v>0.77786561264822129</v>
      </c>
      <c r="D15" s="113">
        <f>D14/($C$23+$D$23+$E$23)</f>
        <v>1.9619116061803808E-2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503</v>
      </c>
      <c r="J15" s="213">
        <f>+'17'!J15</f>
        <v>0</v>
      </c>
      <c r="K15" s="238"/>
      <c r="L15" s="238"/>
      <c r="M15" s="116">
        <f>+K15+'17'!M15+L15</f>
        <v>0</v>
      </c>
      <c r="Q15" s="148">
        <f>480-Q14</f>
        <v>0</v>
      </c>
      <c r="R15" s="175">
        <f>+R14/Q14</f>
        <v>1200.1666666666667</v>
      </c>
      <c r="S15" s="175">
        <f>+S14/Q14</f>
        <v>924.12833333333333</v>
      </c>
    </row>
    <row r="16" spans="1:19" ht="13.5" thickBot="1">
      <c r="A16" s="751"/>
      <c r="B16" s="214" t="s">
        <v>591</v>
      </c>
      <c r="C16" s="221">
        <v>13915</v>
      </c>
      <c r="D16" s="222"/>
      <c r="E16" s="223"/>
      <c r="F16" s="230">
        <v>12</v>
      </c>
      <c r="G16" s="231" t="s">
        <v>12</v>
      </c>
      <c r="H16" s="229" t="s">
        <v>407</v>
      </c>
      <c r="I16" s="749"/>
      <c r="J16" s="213">
        <f>+'17'!J16</f>
        <v>0</v>
      </c>
      <c r="K16" s="228"/>
      <c r="L16" s="228"/>
      <c r="M16" s="116">
        <f>+K16+'17'!M16+L16</f>
        <v>0</v>
      </c>
    </row>
    <row r="17" spans="1:19" ht="13.5" thickBot="1">
      <c r="A17" s="751"/>
      <c r="B17" s="214"/>
      <c r="C17" s="215"/>
      <c r="D17" s="216"/>
      <c r="E17" s="224"/>
      <c r="F17" s="227">
        <f>34-12</f>
        <v>22</v>
      </c>
      <c r="G17" s="231" t="s">
        <v>12</v>
      </c>
      <c r="H17" s="232" t="s">
        <v>385</v>
      </c>
      <c r="I17" s="749"/>
      <c r="J17" s="213">
        <f>+'17'!J17</f>
        <v>0</v>
      </c>
      <c r="K17" s="228"/>
      <c r="L17" s="228"/>
      <c r="M17" s="116">
        <f>+K17+'17'!M17+L17</f>
        <v>0</v>
      </c>
      <c r="N17" s="148" t="s">
        <v>572</v>
      </c>
      <c r="O17" s="148">
        <v>1210</v>
      </c>
      <c r="P17" s="148">
        <f>+O17-(O17*0.24)</f>
        <v>919.6</v>
      </c>
      <c r="Q17" s="148">
        <v>480</v>
      </c>
      <c r="R17" s="148">
        <f>+O17*Q17</f>
        <v>580800</v>
      </c>
      <c r="S17" s="148">
        <f>+P17*Q17</f>
        <v>441408</v>
      </c>
    </row>
    <row r="18" spans="1:19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581</v>
      </c>
      <c r="I18" s="749"/>
      <c r="J18" s="213">
        <f>+'17'!J18</f>
        <v>0</v>
      </c>
      <c r="K18" s="238"/>
      <c r="L18" s="238"/>
      <c r="M18" s="116">
        <f>+K18+'17'!M18+L18</f>
        <v>0</v>
      </c>
      <c r="P18" s="148">
        <f>+O18-(O18*0.24)</f>
        <v>0</v>
      </c>
      <c r="Q18" s="148">
        <f>480-Q17</f>
        <v>0</v>
      </c>
      <c r="R18" s="148">
        <f>+O18*Q18</f>
        <v>0</v>
      </c>
      <c r="S18" s="148">
        <f>+P18*Q18</f>
        <v>0</v>
      </c>
    </row>
    <row r="19" spans="1:19" ht="90" thickBot="1">
      <c r="A19" s="751"/>
      <c r="B19" s="214"/>
      <c r="C19" s="215"/>
      <c r="D19" s="216"/>
      <c r="E19" s="224"/>
      <c r="F19" s="234"/>
      <c r="G19" s="231"/>
      <c r="H19" s="232" t="s">
        <v>582</v>
      </c>
      <c r="I19" s="749"/>
      <c r="J19" s="213">
        <f>+'17'!J19</f>
        <v>0</v>
      </c>
      <c r="K19" s="238"/>
      <c r="L19" s="238"/>
      <c r="M19" s="116">
        <f>+K19+'17'!M19+L19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+'17'!J20</f>
        <v>0</v>
      </c>
      <c r="K20" s="239"/>
      <c r="L20" s="239"/>
      <c r="M20" s="116">
        <f>+K20+'17'!M20+L20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+'17'!J21</f>
        <v>0</v>
      </c>
      <c r="K21" s="238"/>
      <c r="L21" s="238"/>
      <c r="M21" s="116">
        <f>+K21+'17'!M21+L21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+'17'!J22</f>
        <v>0</v>
      </c>
      <c r="K22" s="238"/>
      <c r="L22" s="238"/>
      <c r="M22" s="116">
        <f>+K22+'17'!M22+L22</f>
        <v>0</v>
      </c>
    </row>
    <row r="23" spans="1:19" ht="13.5" thickBot="1">
      <c r="A23" s="752"/>
      <c r="B23" s="167" t="s">
        <v>2</v>
      </c>
      <c r="C23" s="99">
        <f>SUM(C16:C22)</f>
        <v>13915</v>
      </c>
      <c r="D23" s="110">
        <f>SUM(D16:D22)</f>
        <v>0</v>
      </c>
      <c r="E23" s="111">
        <f>SUM(E18:E22)</f>
        <v>0</v>
      </c>
      <c r="F23" s="115">
        <f>SUM(F15:F22)</f>
        <v>34</v>
      </c>
      <c r="G23" s="158"/>
      <c r="H23" s="165"/>
      <c r="I23" s="168"/>
      <c r="J23" s="213">
        <f>+'17'!J23</f>
        <v>0</v>
      </c>
      <c r="K23" s="238"/>
      <c r="L23" s="238"/>
      <c r="M23" s="116">
        <f>+K23+'17'!M23+L23</f>
        <v>0</v>
      </c>
    </row>
    <row r="24" spans="1:19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585</v>
      </c>
      <c r="J24" s="213">
        <f>+'17'!J24</f>
        <v>0</v>
      </c>
      <c r="K24" s="238"/>
      <c r="L24" s="238"/>
      <c r="M24" s="116">
        <f>+K24+'17'!M24+L24</f>
        <v>0</v>
      </c>
    </row>
    <row r="25" spans="1:19" ht="13.5" thickBot="1">
      <c r="A25" s="751"/>
      <c r="B25" s="214" t="s">
        <v>591</v>
      </c>
      <c r="C25" s="225">
        <v>10983</v>
      </c>
      <c r="D25" s="216"/>
      <c r="E25" s="224"/>
      <c r="F25" s="230">
        <v>9</v>
      </c>
      <c r="G25" s="231" t="s">
        <v>12</v>
      </c>
      <c r="H25" s="229" t="s">
        <v>386</v>
      </c>
      <c r="I25" s="749"/>
      <c r="J25" s="213">
        <f>+'17'!J25</f>
        <v>0</v>
      </c>
      <c r="K25" s="238"/>
      <c r="L25" s="238"/>
      <c r="M25" s="116">
        <f>+K25+'17'!M25+L25</f>
        <v>0</v>
      </c>
      <c r="Q25" s="175">
        <f>SUM(Q17:Q22)</f>
        <v>480</v>
      </c>
      <c r="R25" s="175">
        <f>SUM(R17:R22)</f>
        <v>580800</v>
      </c>
      <c r="S25" s="175">
        <f>SUM(S17:S22)</f>
        <v>441408</v>
      </c>
    </row>
    <row r="26" spans="1:19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385</v>
      </c>
      <c r="I26" s="749"/>
      <c r="J26" s="213">
        <f>+'17'!J26</f>
        <v>0</v>
      </c>
      <c r="K26" s="238"/>
      <c r="L26" s="238"/>
      <c r="M26" s="116">
        <f>+K26+'17'!M26+L26</f>
        <v>0</v>
      </c>
      <c r="Q26" s="148">
        <f>480-Q25</f>
        <v>0</v>
      </c>
      <c r="R26" s="175">
        <f>+R25/Q25</f>
        <v>1210</v>
      </c>
      <c r="S26" s="175">
        <f>+S25/Q25</f>
        <v>919.6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583</v>
      </c>
      <c r="I27" s="749"/>
      <c r="J27" s="213">
        <f>+'17'!J27</f>
        <v>0</v>
      </c>
      <c r="K27" s="238"/>
      <c r="L27" s="238"/>
      <c r="M27" s="116">
        <f>+K27+'17'!M27+L27</f>
        <v>0</v>
      </c>
      <c r="N27" s="148" t="s">
        <v>572</v>
      </c>
      <c r="O27" s="148">
        <v>1230</v>
      </c>
      <c r="P27" s="148">
        <f>+O27-(O27*0.24)</f>
        <v>934.8</v>
      </c>
      <c r="Q27" s="148">
        <v>480</v>
      </c>
      <c r="R27" s="148">
        <f>+O27*Q27</f>
        <v>590400</v>
      </c>
      <c r="S27" s="148">
        <f>+P27*Q27</f>
        <v>448704</v>
      </c>
    </row>
    <row r="28" spans="1:19" ht="125.25" customHeight="1" thickBot="1">
      <c r="A28" s="751"/>
      <c r="B28" s="214"/>
      <c r="C28" s="215"/>
      <c r="D28" s="216"/>
      <c r="E28" s="224"/>
      <c r="F28" s="230"/>
      <c r="G28" s="231"/>
      <c r="H28" s="232" t="s">
        <v>584</v>
      </c>
      <c r="I28" s="749"/>
      <c r="J28" s="213">
        <f>+'17'!J28</f>
        <v>0</v>
      </c>
      <c r="K28" s="238"/>
      <c r="L28" s="238"/>
      <c r="M28" s="116">
        <f>+K28+'17'!M28+L28</f>
        <v>0</v>
      </c>
      <c r="P28" s="148">
        <f>+O28-(O28*0.24)</f>
        <v>0</v>
      </c>
      <c r="Q28" s="148">
        <f>480-Q27</f>
        <v>0</v>
      </c>
      <c r="R28" s="148">
        <f>+O28*Q28</f>
        <v>0</v>
      </c>
      <c r="S28" s="148">
        <f>+P28*Q28</f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+'17'!J29</f>
        <v>0</v>
      </c>
      <c r="K29" s="238"/>
      <c r="L29" s="238"/>
      <c r="M29" s="116">
        <f>+K29+'17'!M29+L29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+'17'!J30</f>
        <v>0</v>
      </c>
      <c r="K30" s="238"/>
      <c r="L30" s="238"/>
      <c r="M30" s="116">
        <f>+K30+'17'!M30+L30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+'17'!J31</f>
        <v>0</v>
      </c>
      <c r="K31" s="238"/>
      <c r="L31" s="238"/>
      <c r="M31" s="116">
        <f>+K31+'17'!M31+L31</f>
        <v>0</v>
      </c>
    </row>
    <row r="32" spans="1:19" ht="13.5" thickBot="1">
      <c r="A32" s="752"/>
      <c r="B32" s="164" t="s">
        <v>2</v>
      </c>
      <c r="C32" s="98">
        <f>SUM(C25:C31)</f>
        <v>10983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+'17'!J32</f>
        <v>0</v>
      </c>
      <c r="K32" s="240"/>
      <c r="L32" s="242"/>
      <c r="M32" s="116">
        <f>+K32+'17'!M32+L32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35722</v>
      </c>
      <c r="D34" s="106">
        <f>D14+D23+D32</f>
        <v>273</v>
      </c>
      <c r="E34" s="106">
        <f>E14+E23+E32</f>
        <v>0</v>
      </c>
      <c r="F34" s="107">
        <f>F14+F23+F32</f>
        <v>79</v>
      </c>
      <c r="H34" s="177"/>
      <c r="I34" s="177"/>
      <c r="J34" s="122" t="s">
        <v>28</v>
      </c>
      <c r="K34" s="123">
        <f>SUM(K7:K32)</f>
        <v>35722</v>
      </c>
      <c r="L34" s="211">
        <f>SUM(L7:L32)</f>
        <v>0</v>
      </c>
      <c r="M34" s="119">
        <f>SUM(M7:M32)</f>
        <v>670569</v>
      </c>
    </row>
    <row r="35" spans="1:19" ht="13.5" thickBot="1">
      <c r="A35" s="178"/>
      <c r="B35" s="179"/>
      <c r="C35" s="103">
        <f>C34/($C$34+$D$34+$E$34)</f>
        <v>0.99241561327962213</v>
      </c>
      <c r="D35" s="103">
        <f>D34/($C$34+$D$34+$E$34)</f>
        <v>7.5843867203778306E-3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1230</v>
      </c>
      <c r="S36" s="175">
        <f>+S35/Q35</f>
        <v>934.8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(11.5*1440)/1440*G42*2.74*1440/1000000</f>
        <v>41.843162528000008</v>
      </c>
      <c r="J37" s="124">
        <f>+I37+'17'!J37</f>
        <v>783.01322904739163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79</v>
      </c>
      <c r="D38" s="117">
        <f>+C38+'17'!D38</f>
        <v>1267</v>
      </c>
      <c r="E38" s="142">
        <f t="shared" ref="E38:E51" si="0">D38/60</f>
        <v>21.116666666666667</v>
      </c>
      <c r="F38" s="321">
        <v>1200.1666666666667</v>
      </c>
      <c r="G38" s="321">
        <v>912.12666666666678</v>
      </c>
      <c r="H38" s="186" t="s">
        <v>64</v>
      </c>
      <c r="I38" s="244">
        <f>10.784+11.967+12.283</f>
        <v>35.033999999999999</v>
      </c>
      <c r="J38" s="126">
        <f>+I38+'17'!J38</f>
        <v>696.13599999999985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+C39+'17'!D39</f>
        <v>0</v>
      </c>
      <c r="E39" s="142">
        <f t="shared" si="0"/>
        <v>0</v>
      </c>
      <c r="F39" s="321">
        <v>1210</v>
      </c>
      <c r="G39" s="321">
        <v>919.6</v>
      </c>
      <c r="H39" s="186" t="s">
        <v>65</v>
      </c>
      <c r="I39" s="141"/>
      <c r="J39" s="128">
        <f>J37/G4</f>
        <v>43.500734947077312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+C40+'17'!D40</f>
        <v>481</v>
      </c>
      <c r="E40" s="142">
        <f t="shared" si="0"/>
        <v>8.0166666666666675</v>
      </c>
      <c r="F40" s="321">
        <v>1230</v>
      </c>
      <c r="G40" s="321">
        <v>934.8</v>
      </c>
      <c r="H40" s="186" t="s">
        <v>67</v>
      </c>
      <c r="I40" s="117">
        <f>(K34+L34)/1000</f>
        <v>35.722000000000001</v>
      </c>
      <c r="J40" s="130">
        <f>+I40+'17'!J40</f>
        <v>670.56899999999996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+C41+'17'!D41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37.253833333333333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+C42+'17'!D42</f>
        <v>0</v>
      </c>
      <c r="E42" s="142">
        <f t="shared" si="0"/>
        <v>0</v>
      </c>
      <c r="F42" s="321">
        <f>+(F38*480+F39*480+F40*480)/1440</f>
        <v>1213.3888888888889</v>
      </c>
      <c r="G42" s="321">
        <f>+(G38*480+G39*480+G40*480)/1440</f>
        <v>922.17555555555555</v>
      </c>
      <c r="H42" s="186" t="s">
        <v>70</v>
      </c>
      <c r="I42" s="245" t="s">
        <v>587</v>
      </c>
      <c r="J42" s="131"/>
      <c r="K42" s="129" t="s">
        <v>71</v>
      </c>
    </row>
    <row r="43" spans="1:19" ht="17.45" customHeight="1">
      <c r="A43" s="759" t="s">
        <v>220</v>
      </c>
      <c r="B43" s="760"/>
      <c r="C43" s="163">
        <f>SUMIF($G$7:$G$31,"Change Grade",$F$7:$F$31)</f>
        <v>0</v>
      </c>
      <c r="D43" s="117">
        <f>+C43+'17'!D43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+Report1!Z26</f>
        <v>47.3</v>
      </c>
      <c r="J43" s="132">
        <f>+I43+'17'!J43</f>
        <v>925.0999999999998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+C44+'17'!D44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1.3501170291716618</v>
      </c>
      <c r="J44" s="133">
        <f>J43/J38</f>
        <v>1.3289069951848489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+C45+'17'!D45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1.3241139913778623</v>
      </c>
      <c r="J45" s="133">
        <f>J43/J40</f>
        <v>1.3795746597292744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+C46+'17'!D46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+SUMIF(Listrik!P25,"&gt;0")</f>
        <v>38651.799999999639</v>
      </c>
      <c r="J46" s="134">
        <f>+I46+'17'!J46</f>
        <v>671078.51999999979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+C47+'17'!D47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1103.2653993263584</v>
      </c>
      <c r="J47" s="134">
        <f>J46/J38</f>
        <v>964.00490708712084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+C48+'17'!D48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1082.0166843961604</v>
      </c>
      <c r="J48" s="134">
        <f>J46/J40</f>
        <v>1000.7598323215058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+C49+'17'!D49</f>
        <v>0</v>
      </c>
      <c r="E49" s="142">
        <f t="shared" si="0"/>
        <v>0</v>
      </c>
      <c r="F49" s="184"/>
      <c r="H49" s="187" t="s">
        <v>269</v>
      </c>
      <c r="I49" s="117">
        <f>+Report1!T26</f>
        <v>5048.4638324648786</v>
      </c>
      <c r="J49" s="134">
        <f>+I49+'17'!J49</f>
        <v>81329.57914107274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+C50+'17'!D50</f>
        <v>0</v>
      </c>
      <c r="E50" s="142">
        <f t="shared" si="0"/>
        <v>0</v>
      </c>
      <c r="F50" s="184"/>
      <c r="H50" s="187" t="s">
        <v>83</v>
      </c>
      <c r="I50" s="139">
        <f>I49/I38</f>
        <v>144.10183914097388</v>
      </c>
      <c r="J50" s="132">
        <f>J49/J38</f>
        <v>116.83001474004038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+C51+'17'!D51</f>
        <v>0</v>
      </c>
      <c r="E51" s="142">
        <f t="shared" si="0"/>
        <v>0</v>
      </c>
      <c r="F51" s="184"/>
      <c r="H51" s="189" t="s">
        <v>85</v>
      </c>
      <c r="I51" s="140">
        <f>I49/I40</f>
        <v>141.32646079348521</v>
      </c>
      <c r="J51" s="135">
        <f>J49/J40</f>
        <v>121.28443029885477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79</v>
      </c>
      <c r="D52" s="143">
        <f>SUM(D38:D51)</f>
        <v>1988</v>
      </c>
      <c r="E52" s="144">
        <f>SUM(E38:E51)</f>
        <v>33.133333333333333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5.486111111111111E-2</v>
      </c>
      <c r="D53" s="145">
        <f>D52/(24*60*G4)</f>
        <v>7.6697530864197533E-2</v>
      </c>
      <c r="E53" s="146">
        <f>E52/(G4*24)</f>
        <v>7.6697530864197533E-2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+D34+'17'!J56</f>
        <v>2258</v>
      </c>
      <c r="K56" s="200">
        <f>J56/(J40+J56/1000)/1000</f>
        <v>3.35598898379524E-3</v>
      </c>
    </row>
    <row r="57" spans="1:11">
      <c r="A57" s="175"/>
      <c r="I57" s="198" t="s">
        <v>88</v>
      </c>
      <c r="J57" s="199">
        <f>+E34+'17'!J57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S61"/>
  <sheetViews>
    <sheetView topLeftCell="A22" zoomScale="80" zoomScaleNormal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17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522</v>
      </c>
      <c r="O6" s="148">
        <v>1170</v>
      </c>
      <c r="P6" s="148">
        <f>+O6-(O6*0.25)</f>
        <v>877.5</v>
      </c>
      <c r="Q6" s="148">
        <f>60*7+25</f>
        <v>445</v>
      </c>
      <c r="R6" s="148">
        <f>+O6*Q6</f>
        <v>520650</v>
      </c>
      <c r="S6" s="148">
        <f>+P6*Q6</f>
        <v>390487.5</v>
      </c>
    </row>
    <row r="7" spans="1:19" ht="13.5" customHeight="1" thickBot="1">
      <c r="A7" s="745" t="s">
        <v>387</v>
      </c>
      <c r="B7" s="214" t="s">
        <v>537</v>
      </c>
      <c r="C7" s="215">
        <v>11655</v>
      </c>
      <c r="D7" s="216"/>
      <c r="E7" s="217"/>
      <c r="F7" s="227"/>
      <c r="G7" s="228" t="s">
        <v>12</v>
      </c>
      <c r="H7" s="229" t="s">
        <v>384</v>
      </c>
      <c r="I7" s="748" t="s">
        <v>576</v>
      </c>
      <c r="J7" s="213" t="str">
        <f>+'16'!J7</f>
        <v>F 14 VP OW</v>
      </c>
      <c r="K7" s="237"/>
      <c r="L7" s="241"/>
      <c r="M7" s="116">
        <f>+K7+'16'!M7+L7</f>
        <v>185476</v>
      </c>
    </row>
    <row r="8" spans="1:19" ht="13.5" thickBot="1">
      <c r="A8" s="746"/>
      <c r="B8" s="214"/>
      <c r="C8" s="215"/>
      <c r="D8" s="216"/>
      <c r="E8" s="218"/>
      <c r="F8" s="230">
        <v>8</v>
      </c>
      <c r="G8" s="231" t="s">
        <v>12</v>
      </c>
      <c r="H8" s="229" t="s">
        <v>407</v>
      </c>
      <c r="I8" s="749"/>
      <c r="J8" s="213" t="str">
        <f>+'16'!J8</f>
        <v>F 15 VP OW</v>
      </c>
      <c r="K8" s="238"/>
      <c r="L8" s="238"/>
      <c r="M8" s="116">
        <f>+K8+'16'!M8+L8</f>
        <v>95546</v>
      </c>
    </row>
    <row r="9" spans="1:19" ht="13.5" thickBot="1">
      <c r="A9" s="746"/>
      <c r="B9" s="214"/>
      <c r="C9" s="215"/>
      <c r="D9" s="216"/>
      <c r="E9" s="219"/>
      <c r="F9" s="227">
        <f>23-8</f>
        <v>15</v>
      </c>
      <c r="G9" s="231" t="s">
        <v>12</v>
      </c>
      <c r="H9" s="232" t="s">
        <v>406</v>
      </c>
      <c r="I9" s="749"/>
      <c r="J9" s="213" t="str">
        <f>+'16'!J9</f>
        <v>T 12 VP OW</v>
      </c>
      <c r="K9" s="238"/>
      <c r="L9" s="238"/>
      <c r="M9" s="116">
        <f>+K9+'16'!M9+L9</f>
        <v>50578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568</v>
      </c>
      <c r="I10" s="749"/>
      <c r="J10" s="213" t="str">
        <f>+'16'!J10</f>
        <v>T 13 VP OW</v>
      </c>
      <c r="K10" s="238"/>
      <c r="L10" s="238"/>
      <c r="M10" s="116">
        <f>+K10+'16'!M10+L10</f>
        <v>119099</v>
      </c>
    </row>
    <row r="11" spans="1:19" ht="51.75" thickBot="1">
      <c r="A11" s="746"/>
      <c r="B11" s="214"/>
      <c r="C11" s="215"/>
      <c r="D11" s="216"/>
      <c r="E11" s="218"/>
      <c r="F11" s="227">
        <v>35</v>
      </c>
      <c r="G11" s="231" t="s">
        <v>68</v>
      </c>
      <c r="H11" s="232" t="s">
        <v>569</v>
      </c>
      <c r="I11" s="749"/>
      <c r="J11" s="213" t="str">
        <f>+'16'!J11</f>
        <v>T 15 VP OW</v>
      </c>
      <c r="K11" s="238"/>
      <c r="L11" s="238"/>
      <c r="M11" s="116">
        <f>+K11+'16'!M11+L11</f>
        <v>25864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+'16'!J12</f>
        <v>F 12 VP OW</v>
      </c>
      <c r="K12" s="238">
        <f>+C7+C16+C25</f>
        <v>28192</v>
      </c>
      <c r="L12" s="238"/>
      <c r="M12" s="116">
        <f>+K12+'16'!M12+L12</f>
        <v>119753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+'16'!J13</f>
        <v>F 13 VP OW</v>
      </c>
      <c r="K13" s="238"/>
      <c r="L13" s="238"/>
      <c r="M13" s="116">
        <f>+K13+'16'!M13+L13</f>
        <v>32376</v>
      </c>
    </row>
    <row r="14" spans="1:19" ht="13.5" thickBot="1">
      <c r="A14" s="747"/>
      <c r="B14" s="164" t="s">
        <v>2</v>
      </c>
      <c r="C14" s="98">
        <f>SUM(C7:C13)</f>
        <v>11655</v>
      </c>
      <c r="D14" s="110">
        <f>SUM(D7:D13)</f>
        <v>0</v>
      </c>
      <c r="E14" s="111">
        <f>SUM(E5:E13)</f>
        <v>0</v>
      </c>
      <c r="F14" s="115">
        <f>SUM(F7:F13)</f>
        <v>58</v>
      </c>
      <c r="G14" s="158"/>
      <c r="H14" s="165"/>
      <c r="I14" s="166"/>
      <c r="J14" s="213" t="s">
        <v>591</v>
      </c>
      <c r="K14" s="238">
        <f>+C26</f>
        <v>6155</v>
      </c>
      <c r="L14" s="238"/>
      <c r="M14" s="116">
        <f>+K14+'16'!M14+L14</f>
        <v>6155</v>
      </c>
      <c r="Q14" s="175">
        <f>SUM(Q6:Q11)</f>
        <v>445</v>
      </c>
      <c r="R14" s="175">
        <f>SUM(R6:R11)</f>
        <v>520650</v>
      </c>
      <c r="S14" s="175">
        <f>SUM(S6:S11)</f>
        <v>390487.5</v>
      </c>
    </row>
    <row r="15" spans="1:19" ht="13.5" customHeight="1" thickBot="1">
      <c r="A15" s="745" t="s">
        <v>388</v>
      </c>
      <c r="B15" s="164"/>
      <c r="C15" s="112">
        <f>C14/($C$23+$D$23+$E$23)</f>
        <v>0.99845797995373942</v>
      </c>
      <c r="D15" s="113">
        <f>D14/($C$23+$D$23+$E$23)</f>
        <v>0</v>
      </c>
      <c r="E15" s="114">
        <f>E14/($C$23+$D$23+$E$23)</f>
        <v>0</v>
      </c>
      <c r="F15" s="227">
        <v>12</v>
      </c>
      <c r="G15" s="228" t="s">
        <v>12</v>
      </c>
      <c r="H15" s="229" t="s">
        <v>423</v>
      </c>
      <c r="I15" s="748" t="s">
        <v>575</v>
      </c>
      <c r="J15" s="213">
        <f>+'16'!J15</f>
        <v>0</v>
      </c>
      <c r="K15" s="238"/>
      <c r="L15" s="238"/>
      <c r="M15" s="116">
        <f>+K15+'16'!M15+L15</f>
        <v>0</v>
      </c>
      <c r="Q15" s="148">
        <f>480-Q14</f>
        <v>35</v>
      </c>
      <c r="R15" s="175">
        <f>+R14/Q14</f>
        <v>1170</v>
      </c>
      <c r="S15" s="175">
        <f>+S14/Q14</f>
        <v>877.5</v>
      </c>
    </row>
    <row r="16" spans="1:19" ht="13.5" thickBot="1">
      <c r="A16" s="751"/>
      <c r="B16" s="214" t="s">
        <v>537</v>
      </c>
      <c r="C16" s="221">
        <v>11673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+'16'!J16</f>
        <v>0</v>
      </c>
      <c r="K16" s="228"/>
      <c r="L16" s="228"/>
      <c r="M16" s="116">
        <f>+K16+'16'!M16+L16</f>
        <v>0</v>
      </c>
    </row>
    <row r="17" spans="1:19" ht="13.5" thickBot="1">
      <c r="A17" s="751"/>
      <c r="B17" s="214"/>
      <c r="C17" s="215"/>
      <c r="D17" s="216"/>
      <c r="E17" s="224"/>
      <c r="F17" s="227">
        <f>27-12</f>
        <v>15</v>
      </c>
      <c r="G17" s="231" t="s">
        <v>12</v>
      </c>
      <c r="H17" s="232" t="s">
        <v>434</v>
      </c>
      <c r="I17" s="749"/>
      <c r="J17" s="213">
        <f>+'16'!J17</f>
        <v>0</v>
      </c>
      <c r="K17" s="228"/>
      <c r="L17" s="228"/>
      <c r="M17" s="116">
        <f>+K17+'16'!M17+L17</f>
        <v>0</v>
      </c>
      <c r="N17" s="148" t="s">
        <v>522</v>
      </c>
      <c r="O17" s="148">
        <v>1160</v>
      </c>
      <c r="P17" s="148">
        <f>+O17-(O17*0.24)</f>
        <v>881.6</v>
      </c>
      <c r="Q17" s="148">
        <f>480-5</f>
        <v>475</v>
      </c>
      <c r="R17" s="148">
        <f>+O17*Q17</f>
        <v>551000</v>
      </c>
      <c r="S17" s="148">
        <f>+P17*Q17</f>
        <v>418760</v>
      </c>
    </row>
    <row r="18" spans="1:19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566</v>
      </c>
      <c r="I18" s="749"/>
      <c r="J18" s="213">
        <f>+'16'!J18</f>
        <v>0</v>
      </c>
      <c r="K18" s="238"/>
      <c r="L18" s="238"/>
      <c r="M18" s="116">
        <f>+K18+'16'!M18+L18</f>
        <v>0</v>
      </c>
    </row>
    <row r="19" spans="1:19" ht="39" thickBot="1">
      <c r="A19" s="751"/>
      <c r="B19" s="214"/>
      <c r="C19" s="215"/>
      <c r="D19" s="216"/>
      <c r="E19" s="224"/>
      <c r="F19" s="234">
        <v>5</v>
      </c>
      <c r="G19" s="231" t="s">
        <v>68</v>
      </c>
      <c r="H19" s="232" t="s">
        <v>567</v>
      </c>
      <c r="I19" s="749"/>
      <c r="J19" s="213">
        <f>+'16'!J19</f>
        <v>0</v>
      </c>
      <c r="K19" s="238"/>
      <c r="L19" s="238"/>
      <c r="M19" s="116">
        <f>+K19+'16'!M19+L19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+'16'!J20</f>
        <v>0</v>
      </c>
      <c r="K20" s="239"/>
      <c r="L20" s="239"/>
      <c r="M20" s="116">
        <f>+K20+'16'!M20+L20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+'16'!J21</f>
        <v>0</v>
      </c>
      <c r="K21" s="238"/>
      <c r="L21" s="238"/>
      <c r="M21" s="116">
        <f>+K21+'16'!M21+L21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+'16'!J22</f>
        <v>0</v>
      </c>
      <c r="K22" s="238"/>
      <c r="L22" s="238"/>
      <c r="M22" s="116">
        <f>+K22+'16'!M22+L22</f>
        <v>0</v>
      </c>
    </row>
    <row r="23" spans="1:19" ht="13.5" thickBot="1">
      <c r="A23" s="752"/>
      <c r="B23" s="167" t="s">
        <v>2</v>
      </c>
      <c r="C23" s="99">
        <f>SUM(C16:C22)</f>
        <v>11673</v>
      </c>
      <c r="D23" s="110">
        <f>SUM(D16:D22)</f>
        <v>0</v>
      </c>
      <c r="E23" s="111">
        <f>SUM(E18:E22)</f>
        <v>0</v>
      </c>
      <c r="F23" s="115">
        <f>SUM(F15:F22)</f>
        <v>32</v>
      </c>
      <c r="G23" s="158"/>
      <c r="H23" s="165"/>
      <c r="I23" s="168"/>
      <c r="J23" s="213">
        <f>+'16'!J23</f>
        <v>0</v>
      </c>
      <c r="K23" s="238"/>
      <c r="L23" s="238"/>
      <c r="M23" s="116">
        <f>+K23+'16'!M23+L23</f>
        <v>0</v>
      </c>
    </row>
    <row r="24" spans="1:19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574</v>
      </c>
      <c r="J24" s="213">
        <f>+'16'!J24</f>
        <v>0</v>
      </c>
      <c r="K24" s="238"/>
      <c r="L24" s="238"/>
      <c r="M24" s="116">
        <f>+K24+'16'!M24+L24</f>
        <v>0</v>
      </c>
    </row>
    <row r="25" spans="1:19" ht="13.5" thickBot="1">
      <c r="A25" s="751"/>
      <c r="B25" s="214" t="s">
        <v>537</v>
      </c>
      <c r="C25" s="225">
        <f>2474+2390</f>
        <v>4864</v>
      </c>
      <c r="D25" s="216"/>
      <c r="E25" s="224"/>
      <c r="F25" s="230">
        <v>5</v>
      </c>
      <c r="G25" s="231" t="s">
        <v>12</v>
      </c>
      <c r="H25" s="229" t="s">
        <v>407</v>
      </c>
      <c r="I25" s="749"/>
      <c r="J25" s="213">
        <f>+'16'!J25</f>
        <v>0</v>
      </c>
      <c r="K25" s="238"/>
      <c r="L25" s="238"/>
      <c r="M25" s="116">
        <f>+K25+'16'!M25+L25</f>
        <v>0</v>
      </c>
      <c r="Q25" s="175">
        <f>SUM(Q17:Q22)</f>
        <v>475</v>
      </c>
      <c r="R25" s="175">
        <f>SUM(R17:R22)</f>
        <v>551000</v>
      </c>
      <c r="S25" s="175">
        <f>SUM(S17:S22)</f>
        <v>418760</v>
      </c>
    </row>
    <row r="26" spans="1:19" ht="13.5" thickBot="1">
      <c r="A26" s="751"/>
      <c r="B26" s="214" t="s">
        <v>591</v>
      </c>
      <c r="C26" s="225">
        <f>2947+3208</f>
        <v>6155</v>
      </c>
      <c r="D26" s="216"/>
      <c r="E26" s="226"/>
      <c r="F26" s="227">
        <v>14</v>
      </c>
      <c r="G26" s="231" t="s">
        <v>12</v>
      </c>
      <c r="H26" s="232" t="s">
        <v>406</v>
      </c>
      <c r="I26" s="749"/>
      <c r="J26" s="213">
        <f>+'16'!J26</f>
        <v>0</v>
      </c>
      <c r="K26" s="238"/>
      <c r="L26" s="238"/>
      <c r="M26" s="116">
        <f>+K26+'16'!M26+L26</f>
        <v>0</v>
      </c>
      <c r="Q26" s="148">
        <f>480-Q25</f>
        <v>5</v>
      </c>
      <c r="R26" s="175">
        <f>+R25/Q25</f>
        <v>1160</v>
      </c>
      <c r="S26" s="175">
        <f>+S25/Q25</f>
        <v>881.6</v>
      </c>
    </row>
    <row r="27" spans="1:19" ht="13.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571</v>
      </c>
      <c r="I27" s="749"/>
      <c r="J27" s="213">
        <f>+'16'!J27</f>
        <v>0</v>
      </c>
      <c r="K27" s="238"/>
      <c r="L27" s="238"/>
      <c r="M27" s="116">
        <f>+K27+'16'!M27+L27</f>
        <v>0</v>
      </c>
    </row>
    <row r="28" spans="1:19" ht="123" customHeight="1" thickBot="1">
      <c r="A28" s="751"/>
      <c r="B28" s="214"/>
      <c r="C28" s="215"/>
      <c r="D28" s="216"/>
      <c r="E28" s="224"/>
      <c r="F28" s="230"/>
      <c r="G28" s="231"/>
      <c r="H28" s="232" t="s">
        <v>565</v>
      </c>
      <c r="I28" s="749"/>
      <c r="J28" s="213">
        <f>+'16'!J28</f>
        <v>0</v>
      </c>
      <c r="K28" s="238"/>
      <c r="L28" s="238"/>
      <c r="M28" s="116">
        <f>+K28+'16'!M28+L28</f>
        <v>0</v>
      </c>
      <c r="N28" s="148" t="s">
        <v>522</v>
      </c>
      <c r="O28" s="148">
        <v>1160</v>
      </c>
      <c r="P28" s="148">
        <f>+O28-(O28*0.24)</f>
        <v>881.6</v>
      </c>
      <c r="Q28" s="148">
        <v>30</v>
      </c>
      <c r="R28" s="148">
        <f>+O28*Q28</f>
        <v>34800</v>
      </c>
      <c r="S28" s="148">
        <f>+P28*Q28</f>
        <v>26448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 t="s">
        <v>570</v>
      </c>
      <c r="I29" s="749"/>
      <c r="J29" s="213">
        <f>+'16'!J29</f>
        <v>0</v>
      </c>
      <c r="K29" s="238"/>
      <c r="L29" s="238"/>
      <c r="M29" s="116">
        <f>+K29+'16'!M29+L29</f>
        <v>0</v>
      </c>
      <c r="N29" s="148" t="s">
        <v>572</v>
      </c>
      <c r="O29" s="148">
        <v>1230</v>
      </c>
      <c r="P29" s="148">
        <f>+O29-(O29*0.24)</f>
        <v>934.8</v>
      </c>
      <c r="Q29" s="148">
        <f>480-Q28</f>
        <v>450</v>
      </c>
      <c r="R29" s="148">
        <f>+O29*Q29</f>
        <v>553500</v>
      </c>
      <c r="S29" s="148">
        <f>+P29*Q29</f>
        <v>420660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+'16'!J30</f>
        <v>0</v>
      </c>
      <c r="K30" s="238"/>
      <c r="L30" s="238"/>
      <c r="M30" s="116">
        <f>+K30+'16'!M30+L30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+'16'!J31</f>
        <v>0</v>
      </c>
      <c r="K31" s="238"/>
      <c r="L31" s="238"/>
      <c r="M31" s="116">
        <f>+K31+'16'!M31+L31</f>
        <v>0</v>
      </c>
    </row>
    <row r="32" spans="1:19" ht="13.5" thickBot="1">
      <c r="A32" s="752"/>
      <c r="B32" s="164" t="s">
        <v>2</v>
      </c>
      <c r="C32" s="98">
        <f>SUM(C25:C31)</f>
        <v>11019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+'16'!J32</f>
        <v>0</v>
      </c>
      <c r="K32" s="240"/>
      <c r="L32" s="242"/>
      <c r="M32" s="116">
        <f>+K32+'16'!M32+L32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34347</v>
      </c>
      <c r="D34" s="106">
        <f>D14+D23+D32</f>
        <v>0</v>
      </c>
      <c r="E34" s="106">
        <f>E14+E23+E32</f>
        <v>0</v>
      </c>
      <c r="F34" s="107">
        <f>F14+F23+F32</f>
        <v>109</v>
      </c>
      <c r="H34" s="177"/>
      <c r="I34" s="177"/>
      <c r="J34" s="122" t="s">
        <v>28</v>
      </c>
      <c r="K34" s="123">
        <f>SUM(K7:K32)</f>
        <v>34347</v>
      </c>
      <c r="L34" s="211">
        <f>SUM(L7:L32)</f>
        <v>0</v>
      </c>
      <c r="M34" s="119">
        <f>SUM(M7:M32)</f>
        <v>634847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75">
        <f>SUM(Q28:Q33)</f>
        <v>480</v>
      </c>
      <c r="R36" s="175">
        <f>SUM(R28:R33)</f>
        <v>588300</v>
      </c>
      <c r="S36" s="175">
        <f>SUM(S28:S33)</f>
        <v>447108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(12*950+450*11.5)/1400*G42*2.74*1400/1000000</f>
        <v>40.755723721607147</v>
      </c>
      <c r="J37" s="124">
        <f>+I37+'16'!J37</f>
        <v>741.17006651939164</v>
      </c>
      <c r="K37" s="125" t="s">
        <v>63</v>
      </c>
      <c r="Q37" s="148">
        <f>480-Q36</f>
        <v>0</v>
      </c>
      <c r="R37" s="175">
        <f>+R36/Q36</f>
        <v>1225.625</v>
      </c>
      <c r="S37" s="175">
        <f>+S36/Q36</f>
        <v>931.47500000000002</v>
      </c>
    </row>
    <row r="38" spans="1:19" ht="17.45" customHeight="1">
      <c r="A38" s="757" t="s">
        <v>12</v>
      </c>
      <c r="B38" s="758"/>
      <c r="C38" s="163">
        <f>SUMIF($G$7:$G$31,"Process",$F$7:$F$31)</f>
        <v>69</v>
      </c>
      <c r="D38" s="117">
        <f>+C38+'16'!D38</f>
        <v>1188</v>
      </c>
      <c r="E38" s="142">
        <f t="shared" ref="E38:E51" si="0">D38/60</f>
        <v>19.8</v>
      </c>
      <c r="F38" s="321">
        <v>1170</v>
      </c>
      <c r="G38" s="321">
        <v>877.5</v>
      </c>
      <c r="H38" s="186" t="s">
        <v>64</v>
      </c>
      <c r="I38" s="244">
        <f>12.958+11.274+12.732</f>
        <v>36.963999999999999</v>
      </c>
      <c r="J38" s="126">
        <f>+I38+'16'!J38</f>
        <v>661.10199999999986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+C39+'16'!D39</f>
        <v>0</v>
      </c>
      <c r="E39" s="142">
        <f t="shared" si="0"/>
        <v>0</v>
      </c>
      <c r="F39" s="321">
        <v>1160</v>
      </c>
      <c r="G39" s="321">
        <v>881.6</v>
      </c>
      <c r="H39" s="186" t="s">
        <v>65</v>
      </c>
      <c r="I39" s="141"/>
      <c r="J39" s="128">
        <f>J37/G4</f>
        <v>43.598239207023035</v>
      </c>
      <c r="K39" s="129" t="s">
        <v>63</v>
      </c>
      <c r="M39" s="148">
        <v>445</v>
      </c>
      <c r="N39" s="148" t="s">
        <v>522</v>
      </c>
      <c r="Q39" s="148">
        <v>950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+C40+'16'!D40</f>
        <v>481</v>
      </c>
      <c r="E40" s="142">
        <f t="shared" si="0"/>
        <v>8.0166666666666675</v>
      </c>
      <c r="F40" s="321">
        <v>1225.625</v>
      </c>
      <c r="G40" s="321">
        <v>931.47500000000002</v>
      </c>
      <c r="H40" s="186" t="s">
        <v>67</v>
      </c>
      <c r="I40" s="117">
        <f>(K34+L34)/1000</f>
        <v>34.347000000000001</v>
      </c>
      <c r="J40" s="130">
        <f>+I40+'16'!J40</f>
        <v>634.84699999999998</v>
      </c>
      <c r="K40" s="129" t="s">
        <v>63</v>
      </c>
      <c r="M40" s="148">
        <v>475</v>
      </c>
      <c r="N40" s="148" t="s">
        <v>572</v>
      </c>
      <c r="Q40" s="148">
        <v>450</v>
      </c>
    </row>
    <row r="41" spans="1:19" ht="17.45" customHeight="1">
      <c r="A41" s="759" t="s">
        <v>68</v>
      </c>
      <c r="B41" s="760"/>
      <c r="C41" s="163">
        <f>SUMIF($G$7:$G$31,"Electrical",$F$7:$F$31)</f>
        <v>40</v>
      </c>
      <c r="D41" s="117">
        <f>+C41+'16'!D41</f>
        <v>240</v>
      </c>
      <c r="E41" s="142">
        <f t="shared" si="0"/>
        <v>4</v>
      </c>
      <c r="F41" s="321"/>
      <c r="G41" s="321"/>
      <c r="H41" s="186" t="s">
        <v>69</v>
      </c>
      <c r="I41" s="141"/>
      <c r="J41" s="128">
        <f>J40/G4</f>
        <v>37.343941176470587</v>
      </c>
      <c r="K41" s="129" t="s">
        <v>63</v>
      </c>
      <c r="M41" s="148">
        <v>480</v>
      </c>
      <c r="Q41" s="148">
        <f>+Q39+Q40</f>
        <v>1400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+C42+'16'!D42</f>
        <v>0</v>
      </c>
      <c r="E42" s="142">
        <f t="shared" si="0"/>
        <v>0</v>
      </c>
      <c r="F42" s="321">
        <f>+(445*F38+475*F39+480*F40)/1400</f>
        <v>1185.6785714285713</v>
      </c>
      <c r="G42" s="321">
        <f>+(445*G38+475*G39+480*G40)/1400</f>
        <v>897.39678571428567</v>
      </c>
      <c r="H42" s="186" t="s">
        <v>70</v>
      </c>
      <c r="I42" s="245" t="s">
        <v>577</v>
      </c>
      <c r="J42" s="131"/>
      <c r="K42" s="129" t="s">
        <v>71</v>
      </c>
      <c r="M42" s="148">
        <f>+M39+M40+M41</f>
        <v>1400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+C43+'16'!D43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+Report1!Z25</f>
        <v>46.3</v>
      </c>
      <c r="J43" s="132">
        <f>+I43+'16'!J43</f>
        <v>877.79999999999984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+C44+'16'!D44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1.2525700681744401</v>
      </c>
      <c r="J44" s="133">
        <f>J43/J38</f>
        <v>1.3277830047405697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+C45+'16'!D45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1.3480071039683232</v>
      </c>
      <c r="J45" s="133">
        <f>J43/J40</f>
        <v>1.3826953580941548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+C46+'16'!D46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+SUMIF(Listrik!P24,"&gt;0")</f>
        <v>39145.120000000003</v>
      </c>
      <c r="J46" s="134">
        <f>+I46+'16'!J46</f>
        <v>632426.72000000009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+C47+'16'!D47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1059.0066010172061</v>
      </c>
      <c r="J47" s="134">
        <f>J46/J38</f>
        <v>956.6250291180487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+C48+'16'!D48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1139.6954610300754</v>
      </c>
      <c r="J48" s="134">
        <f>J46/J40</f>
        <v>996.18761685886534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+C49+'16'!D49</f>
        <v>0</v>
      </c>
      <c r="E49" s="142">
        <f t="shared" si="0"/>
        <v>0</v>
      </c>
      <c r="F49" s="184"/>
      <c r="H49" s="187" t="s">
        <v>269</v>
      </c>
      <c r="I49" s="117">
        <f>+Report1!T25</f>
        <v>5011.8453069905809</v>
      </c>
      <c r="J49" s="134">
        <f>+I49+'16'!J49</f>
        <v>76281.115308607856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+C50+'16'!D50</f>
        <v>0</v>
      </c>
      <c r="E50" s="142">
        <f t="shared" si="0"/>
        <v>0</v>
      </c>
      <c r="F50" s="184"/>
      <c r="H50" s="187" t="s">
        <v>83</v>
      </c>
      <c r="I50" s="139">
        <f>I49/I38</f>
        <v>135.58720124960993</v>
      </c>
      <c r="J50" s="132">
        <f>J49/J38</f>
        <v>115.38478980340079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+C51+'16'!D51</f>
        <v>0</v>
      </c>
      <c r="E51" s="142">
        <f t="shared" si="0"/>
        <v>0</v>
      </c>
      <c r="F51" s="184"/>
      <c r="H51" s="189" t="s">
        <v>85</v>
      </c>
      <c r="I51" s="140">
        <f>I49/I40</f>
        <v>145.91799304133056</v>
      </c>
      <c r="J51" s="135">
        <f>J49/J40</f>
        <v>120.15669178338696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109</v>
      </c>
      <c r="D52" s="143">
        <f>SUM(D38:D51)</f>
        <v>1909</v>
      </c>
      <c r="E52" s="144">
        <f>SUM(E38:E51)</f>
        <v>31.81666666666667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7.5694444444444439E-2</v>
      </c>
      <c r="D53" s="145">
        <f>D52/(24*60*G4)</f>
        <v>7.798202614379085E-2</v>
      </c>
      <c r="E53" s="146">
        <f>E52/(G4*24)</f>
        <v>7.7982026143790864E-2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+D34+'16'!J56</f>
        <v>1985</v>
      </c>
      <c r="K56" s="200">
        <f>J56/(J40+J56/1000)/1000</f>
        <v>3.1169916084618863E-3</v>
      </c>
    </row>
    <row r="57" spans="1:11">
      <c r="A57" s="175"/>
      <c r="I57" s="198" t="s">
        <v>88</v>
      </c>
      <c r="J57" s="199">
        <f>+E34+'16'!J57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37:B37"/>
    <mergeCell ref="A38:B38"/>
    <mergeCell ref="I24:I31"/>
    <mergeCell ref="A24:A32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Z61"/>
  <sheetViews>
    <sheetView topLeftCell="A28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16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544</v>
      </c>
      <c r="O6" s="148">
        <v>1120</v>
      </c>
      <c r="P6" s="148">
        <f>+O6-(O6*0.24)</f>
        <v>851.2</v>
      </c>
      <c r="Q6" s="148">
        <f>60*7+15</f>
        <v>435</v>
      </c>
      <c r="R6" s="148">
        <f>+O6*Q6</f>
        <v>487200</v>
      </c>
      <c r="S6" s="148">
        <f>+P6*Q6</f>
        <v>370272</v>
      </c>
    </row>
    <row r="7" spans="1:19" ht="13.5" customHeight="1" thickBot="1">
      <c r="A7" s="745" t="s">
        <v>387</v>
      </c>
      <c r="B7" s="214" t="s">
        <v>552</v>
      </c>
      <c r="C7" s="215">
        <f>3198+8209</f>
        <v>11407</v>
      </c>
      <c r="D7" s="216">
        <v>531</v>
      </c>
      <c r="E7" s="217"/>
      <c r="F7" s="227"/>
      <c r="G7" s="228" t="s">
        <v>12</v>
      </c>
      <c r="H7" s="229" t="s">
        <v>384</v>
      </c>
      <c r="I7" s="748" t="s">
        <v>559</v>
      </c>
      <c r="J7" s="213" t="str">
        <f>+'15'!J7</f>
        <v>F 14 VP OW</v>
      </c>
      <c r="K7" s="237"/>
      <c r="L7" s="241"/>
      <c r="M7" s="116">
        <f>+K7+'15'!M7+L7</f>
        <v>185476</v>
      </c>
      <c r="N7" s="148" t="s">
        <v>522</v>
      </c>
      <c r="O7" s="148">
        <v>1120</v>
      </c>
      <c r="P7" s="148">
        <f>+O7-(O7*0.24)</f>
        <v>851.2</v>
      </c>
      <c r="Q7" s="148">
        <f>60-15</f>
        <v>45</v>
      </c>
      <c r="R7" s="148">
        <f>+O7*Q7</f>
        <v>50400</v>
      </c>
      <c r="S7" s="148">
        <f>+P7*Q7</f>
        <v>38304</v>
      </c>
    </row>
    <row r="8" spans="1:19" ht="13.5" thickBot="1">
      <c r="A8" s="746"/>
      <c r="B8" s="214" t="s">
        <v>537</v>
      </c>
      <c r="C8" s="215">
        <v>759</v>
      </c>
      <c r="D8" s="216"/>
      <c r="E8" s="218"/>
      <c r="F8" s="230">
        <v>3</v>
      </c>
      <c r="G8" s="231" t="s">
        <v>12</v>
      </c>
      <c r="H8" s="229" t="s">
        <v>532</v>
      </c>
      <c r="I8" s="749"/>
      <c r="J8" s="213" t="str">
        <f>+'15'!J8</f>
        <v>F 15 VP OW</v>
      </c>
      <c r="K8" s="238"/>
      <c r="L8" s="238"/>
      <c r="M8" s="116">
        <f>+K8+'15'!M8+L8</f>
        <v>95546</v>
      </c>
    </row>
    <row r="9" spans="1:19" ht="13.5" thickBot="1">
      <c r="A9" s="746"/>
      <c r="B9" s="214"/>
      <c r="C9" s="215"/>
      <c r="D9" s="216"/>
      <c r="E9" s="219"/>
      <c r="F9" s="227">
        <f>21-3</f>
        <v>18</v>
      </c>
      <c r="G9" s="231" t="s">
        <v>12</v>
      </c>
      <c r="H9" s="232" t="s">
        <v>434</v>
      </c>
      <c r="I9" s="749"/>
      <c r="J9" s="213" t="str">
        <f>+'15'!J9</f>
        <v>T 12 VP OW</v>
      </c>
      <c r="K9" s="238"/>
      <c r="L9" s="238"/>
      <c r="M9" s="116">
        <f>+K9+'15'!M9+L9</f>
        <v>50578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557</v>
      </c>
      <c r="I10" s="749"/>
      <c r="J10" s="213" t="str">
        <f>+'15'!J10</f>
        <v>T 13 VP OW</v>
      </c>
      <c r="K10" s="238"/>
      <c r="L10" s="238"/>
      <c r="M10" s="116">
        <f>+K10+'15'!M10+L10</f>
        <v>119099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 t="s">
        <v>556</v>
      </c>
      <c r="I11" s="749"/>
      <c r="J11" s="213" t="str">
        <f>+'15'!J11</f>
        <v>T 15 VP OW</v>
      </c>
      <c r="K11" s="238"/>
      <c r="L11" s="238"/>
      <c r="M11" s="116">
        <f>+K11+'15'!M11+L11</f>
        <v>25864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+'15'!J12</f>
        <v>F 12 VP OW</v>
      </c>
      <c r="K12" s="238">
        <f>+C25+C16+C8</f>
        <v>16495</v>
      </c>
      <c r="L12" s="238"/>
      <c r="M12" s="116">
        <f>+K12+'15'!M12+L12</f>
        <v>91561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tr">
        <f>+'15'!J13</f>
        <v>F 13 VP OW</v>
      </c>
      <c r="K13" s="238">
        <f>+C7+C17</f>
        <v>14085</v>
      </c>
      <c r="L13" s="238"/>
      <c r="M13" s="116">
        <f>+K13+'15'!M13+L13</f>
        <v>32376</v>
      </c>
    </row>
    <row r="14" spans="1:19" ht="13.5" thickBot="1">
      <c r="A14" s="747"/>
      <c r="B14" s="164" t="s">
        <v>2</v>
      </c>
      <c r="C14" s="98">
        <f>SUM(C7:C13)</f>
        <v>12166</v>
      </c>
      <c r="D14" s="110">
        <f>SUM(D7:D13)</f>
        <v>531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>
        <f>+'15'!J14</f>
        <v>0</v>
      </c>
      <c r="K14" s="238"/>
      <c r="L14" s="238"/>
      <c r="M14" s="116">
        <f>+K14+'15'!M14+L14</f>
        <v>0</v>
      </c>
      <c r="Q14" s="175">
        <f>SUM(Q6:Q11)</f>
        <v>480</v>
      </c>
      <c r="R14" s="175">
        <f>SUM(R6:R11)</f>
        <v>537600</v>
      </c>
      <c r="S14" s="175">
        <f>SUM(S6:S11)</f>
        <v>408576</v>
      </c>
    </row>
    <row r="15" spans="1:19" ht="13.5" customHeight="1" thickBot="1">
      <c r="A15" s="745" t="s">
        <v>438</v>
      </c>
      <c r="B15" s="164"/>
      <c r="C15" s="112">
        <f>C14/($C$23+$D$23+$E$23)</f>
        <v>1.4606795533677512</v>
      </c>
      <c r="D15" s="113">
        <f>D14/($C$23+$D$23+$E$23)</f>
        <v>6.3753151638852201E-2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558</v>
      </c>
      <c r="J15" s="213">
        <f>+'15'!J15</f>
        <v>0</v>
      </c>
      <c r="K15" s="238"/>
      <c r="L15" s="238"/>
      <c r="M15" s="116">
        <f>+K15+'15'!M15+L15</f>
        <v>0</v>
      </c>
      <c r="R15" s="175">
        <f>+R14/Q14</f>
        <v>1120</v>
      </c>
      <c r="S15" s="175">
        <f>+S14/Q14</f>
        <v>851.2</v>
      </c>
    </row>
    <row r="16" spans="1:19" ht="13.5" thickBot="1">
      <c r="A16" s="751"/>
      <c r="B16" s="214" t="s">
        <v>537</v>
      </c>
      <c r="C16" s="221">
        <f>2778+2873</f>
        <v>5651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+'15'!J16</f>
        <v>0</v>
      </c>
      <c r="K16" s="228"/>
      <c r="L16" s="228"/>
      <c r="M16" s="116">
        <f>+K16+'15'!M16+L16</f>
        <v>0</v>
      </c>
    </row>
    <row r="17" spans="1:26" ht="13.5" thickBot="1">
      <c r="A17" s="751"/>
      <c r="B17" s="214" t="s">
        <v>552</v>
      </c>
      <c r="C17" s="215">
        <v>2678</v>
      </c>
      <c r="D17" s="216"/>
      <c r="E17" s="224"/>
      <c r="F17" s="227">
        <f>22-9</f>
        <v>13</v>
      </c>
      <c r="G17" s="231" t="s">
        <v>12</v>
      </c>
      <c r="H17" s="232" t="s">
        <v>434</v>
      </c>
      <c r="I17" s="749"/>
      <c r="J17" s="213">
        <f>+'15'!J17</f>
        <v>0</v>
      </c>
      <c r="K17" s="228"/>
      <c r="L17" s="228"/>
      <c r="M17" s="116">
        <f>+K17+'15'!M17+L17</f>
        <v>0</v>
      </c>
      <c r="N17" s="148" t="s">
        <v>522</v>
      </c>
      <c r="O17" s="148">
        <v>1200</v>
      </c>
      <c r="P17" s="148">
        <f>+O17-(O17*0.25)</f>
        <v>900</v>
      </c>
      <c r="Q17" s="148">
        <f>60*2+43</f>
        <v>163</v>
      </c>
      <c r="R17" s="148">
        <f>+O17*Q17</f>
        <v>195600</v>
      </c>
      <c r="S17" s="148">
        <f>+P17*Q17</f>
        <v>146700</v>
      </c>
    </row>
    <row r="18" spans="1:26" ht="51.7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554</v>
      </c>
      <c r="I18" s="749"/>
      <c r="J18" s="213">
        <f>+'15'!J18</f>
        <v>0</v>
      </c>
      <c r="K18" s="238"/>
      <c r="L18" s="238"/>
      <c r="M18" s="116">
        <f>+K18+'15'!M18+L18</f>
        <v>0</v>
      </c>
      <c r="O18" s="148">
        <v>1180</v>
      </c>
      <c r="P18" s="148">
        <f>+O18-(O18*0.25)</f>
        <v>885</v>
      </c>
      <c r="Q18" s="148">
        <f>60-39+180</f>
        <v>201</v>
      </c>
      <c r="R18" s="148">
        <f>+O18*Q18</f>
        <v>237180</v>
      </c>
      <c r="S18" s="148">
        <f>+P18*Q18</f>
        <v>177885</v>
      </c>
    </row>
    <row r="19" spans="1:26" ht="165" customHeight="1" thickBot="1">
      <c r="A19" s="751"/>
      <c r="B19" s="214"/>
      <c r="C19" s="215"/>
      <c r="D19" s="216"/>
      <c r="E19" s="224"/>
      <c r="F19" s="234">
        <v>116</v>
      </c>
      <c r="G19" s="585" t="s">
        <v>68</v>
      </c>
      <c r="H19" s="232" t="s">
        <v>555</v>
      </c>
      <c r="I19" s="749"/>
      <c r="J19" s="213">
        <f>+'15'!J19</f>
        <v>0</v>
      </c>
      <c r="K19" s="238"/>
      <c r="L19" s="238"/>
      <c r="M19" s="116">
        <f>+K19+'15'!M19+L19</f>
        <v>0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+'15'!J20</f>
        <v>0</v>
      </c>
      <c r="K20" s="239"/>
      <c r="L20" s="239"/>
      <c r="M20" s="116">
        <f>+K20+'15'!M20+L20</f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+'15'!J21</f>
        <v>0</v>
      </c>
      <c r="K21" s="238"/>
      <c r="L21" s="238"/>
      <c r="M21" s="116">
        <f>+K21+'15'!M21+L21</f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+'15'!J22</f>
        <v>0</v>
      </c>
      <c r="K22" s="238"/>
      <c r="L22" s="238"/>
      <c r="M22" s="116">
        <f>+K22+'15'!M22+L22</f>
        <v>0</v>
      </c>
    </row>
    <row r="23" spans="1:26" ht="13.5" thickBot="1">
      <c r="A23" s="752"/>
      <c r="B23" s="167" t="s">
        <v>2</v>
      </c>
      <c r="C23" s="99">
        <f>SUM(C16:C22)</f>
        <v>8329</v>
      </c>
      <c r="D23" s="110">
        <f>SUM(D16:D22)</f>
        <v>0</v>
      </c>
      <c r="E23" s="111">
        <f>SUM(E18:E22)</f>
        <v>0</v>
      </c>
      <c r="F23" s="115">
        <f>SUM(F15:F22)</f>
        <v>138</v>
      </c>
      <c r="G23" s="158"/>
      <c r="H23" s="165"/>
      <c r="I23" s="168"/>
      <c r="J23" s="213">
        <f>+'15'!J23</f>
        <v>0</v>
      </c>
      <c r="K23" s="238"/>
      <c r="L23" s="238"/>
      <c r="M23" s="116">
        <f>+K23+'15'!M23+L23</f>
        <v>0</v>
      </c>
    </row>
    <row r="24" spans="1:26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547</v>
      </c>
      <c r="J24" s="213">
        <f>+'15'!J24</f>
        <v>0</v>
      </c>
      <c r="K24" s="238"/>
      <c r="L24" s="238"/>
      <c r="M24" s="116">
        <f>+K24+'15'!M24+L24</f>
        <v>0</v>
      </c>
    </row>
    <row r="25" spans="1:26" ht="13.5" thickBot="1">
      <c r="A25" s="751"/>
      <c r="B25" s="214" t="s">
        <v>537</v>
      </c>
      <c r="C25" s="225">
        <v>10085</v>
      </c>
      <c r="D25" s="216"/>
      <c r="E25" s="224"/>
      <c r="F25" s="230">
        <v>8</v>
      </c>
      <c r="G25" s="231" t="s">
        <v>12</v>
      </c>
      <c r="H25" s="229" t="s">
        <v>407</v>
      </c>
      <c r="I25" s="749"/>
      <c r="J25" s="213">
        <f>+'15'!J25</f>
        <v>0</v>
      </c>
      <c r="K25" s="238"/>
      <c r="L25" s="238"/>
      <c r="M25" s="116">
        <f>+K25+'15'!M25+L25</f>
        <v>0</v>
      </c>
      <c r="Q25" s="175">
        <f>SUM(Q17:Q22)</f>
        <v>364</v>
      </c>
      <c r="R25" s="175">
        <f>SUM(R17:R22)</f>
        <v>432780</v>
      </c>
      <c r="S25" s="175">
        <f>SUM(S17:S22)</f>
        <v>324585</v>
      </c>
    </row>
    <row r="26" spans="1:26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434</v>
      </c>
      <c r="I26" s="749"/>
      <c r="J26" s="213">
        <f>+'15'!J26</f>
        <v>0</v>
      </c>
      <c r="K26" s="238"/>
      <c r="L26" s="238"/>
      <c r="M26" s="116">
        <f>+K26+'15'!M26+L26</f>
        <v>0</v>
      </c>
      <c r="Q26" s="148">
        <f>480-Q25</f>
        <v>116</v>
      </c>
      <c r="R26" s="175">
        <f>+R25/Q25</f>
        <v>1188.9560439560439</v>
      </c>
      <c r="S26" s="175">
        <f>+S25/Q25</f>
        <v>891.71703296703299</v>
      </c>
    </row>
    <row r="27" spans="1:26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553</v>
      </c>
      <c r="I27" s="749"/>
      <c r="J27" s="213">
        <f>+'15'!J27</f>
        <v>0</v>
      </c>
      <c r="K27" s="238"/>
      <c r="L27" s="238"/>
      <c r="M27" s="116">
        <f>+K27+'15'!M27+L27</f>
        <v>0</v>
      </c>
      <c r="N27" s="148" t="s">
        <v>522</v>
      </c>
      <c r="O27" s="148">
        <v>1190</v>
      </c>
      <c r="P27" s="148">
        <f>+O27-(O27*0.24)</f>
        <v>904.40000000000009</v>
      </c>
      <c r="Q27" s="148">
        <v>480</v>
      </c>
      <c r="R27" s="148">
        <f>+O27*Q27</f>
        <v>571200</v>
      </c>
      <c r="S27" s="148">
        <f>+P27*Q27</f>
        <v>434112.00000000006</v>
      </c>
      <c r="U27" s="148" t="s">
        <v>522</v>
      </c>
      <c r="V27" s="148">
        <v>1120</v>
      </c>
      <c r="W27" s="148">
        <v>851.2</v>
      </c>
      <c r="X27" s="148">
        <v>45</v>
      </c>
      <c r="Y27" s="148">
        <f>+V27*X27</f>
        <v>50400</v>
      </c>
      <c r="Z27" s="148">
        <f>+W27*X27</f>
        <v>38304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+'15'!J28</f>
        <v>0</v>
      </c>
      <c r="K28" s="238"/>
      <c r="L28" s="238"/>
      <c r="M28" s="116">
        <f>+K28+'15'!M28+L28</f>
        <v>0</v>
      </c>
      <c r="P28" s="148">
        <f>+O28-(O28*0.25)</f>
        <v>0</v>
      </c>
      <c r="R28" s="148">
        <f>+O28*Q28</f>
        <v>0</v>
      </c>
      <c r="S28" s="148">
        <f>+P28*Q28</f>
        <v>0</v>
      </c>
      <c r="U28" s="148" t="s">
        <v>522</v>
      </c>
      <c r="V28" s="148">
        <v>1200</v>
      </c>
      <c r="W28" s="148">
        <v>900</v>
      </c>
      <c r="X28" s="148">
        <v>163</v>
      </c>
      <c r="Y28" s="148">
        <f>+V28*X28</f>
        <v>195600</v>
      </c>
      <c r="Z28" s="148">
        <f>+W28*X28</f>
        <v>146700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+'15'!J29</f>
        <v>0</v>
      </c>
      <c r="K29" s="238"/>
      <c r="L29" s="238"/>
      <c r="M29" s="116">
        <f>+K29+'15'!M29+L29</f>
        <v>0</v>
      </c>
      <c r="V29" s="148">
        <v>1180</v>
      </c>
      <c r="W29" s="148">
        <v>885</v>
      </c>
      <c r="X29" s="148">
        <v>201</v>
      </c>
      <c r="Y29" s="148">
        <f>+V29*X29</f>
        <v>237180</v>
      </c>
      <c r="Z29" s="148">
        <f>+W29*X29</f>
        <v>177885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+'15'!J30</f>
        <v>0</v>
      </c>
      <c r="K30" s="238"/>
      <c r="L30" s="238"/>
      <c r="M30" s="116">
        <f>+K30+'15'!M30+L30</f>
        <v>0</v>
      </c>
      <c r="U30" s="148" t="s">
        <v>522</v>
      </c>
      <c r="V30" s="148">
        <v>1190</v>
      </c>
      <c r="W30" s="148">
        <v>904.40000000000009</v>
      </c>
      <c r="X30" s="148">
        <v>480</v>
      </c>
      <c r="Y30" s="148">
        <f>+V30*X30</f>
        <v>571200</v>
      </c>
      <c r="Z30" s="148">
        <f>+W30*X30</f>
        <v>434112.00000000006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+'15'!J31</f>
        <v>0</v>
      </c>
      <c r="K31" s="238"/>
      <c r="L31" s="238"/>
      <c r="M31" s="116">
        <f>+K31+'15'!M31+L31</f>
        <v>0</v>
      </c>
    </row>
    <row r="32" spans="1:26" ht="13.5" thickBot="1">
      <c r="A32" s="752"/>
      <c r="B32" s="164" t="s">
        <v>2</v>
      </c>
      <c r="C32" s="98">
        <f>SUM(C25:C31)</f>
        <v>10085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+'15'!J32</f>
        <v>0</v>
      </c>
      <c r="K32" s="240"/>
      <c r="L32" s="242"/>
      <c r="M32" s="116">
        <f>+K32+'15'!M32+L32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3" t="s">
        <v>57</v>
      </c>
      <c r="B34" s="754"/>
      <c r="C34" s="106">
        <f>C14+C23+C32</f>
        <v>30580</v>
      </c>
      <c r="D34" s="106">
        <f>D14+D23+D32</f>
        <v>531</v>
      </c>
      <c r="E34" s="106">
        <f>E14+E23+E32</f>
        <v>0</v>
      </c>
      <c r="F34" s="107">
        <f>F14+F23+F32</f>
        <v>177</v>
      </c>
      <c r="H34" s="177"/>
      <c r="I34" s="177"/>
      <c r="J34" s="122" t="s">
        <v>28</v>
      </c>
      <c r="K34" s="123">
        <f>SUM(K7:K32)</f>
        <v>30580</v>
      </c>
      <c r="L34" s="211">
        <f>SUM(L7:L32)</f>
        <v>0</v>
      </c>
      <c r="M34" s="119">
        <f>SUM(M7:M32)</f>
        <v>600500</v>
      </c>
    </row>
    <row r="35" spans="1:26" ht="13.5" thickBot="1">
      <c r="A35" s="178"/>
      <c r="B35" s="179"/>
      <c r="C35" s="103">
        <f>C34/($C$34+$D$34+$E$34)</f>
        <v>0.98293208190029246</v>
      </c>
      <c r="D35" s="103">
        <f>D34/($C$34+$D$34+$E$34)</f>
        <v>1.7067918099707501E-2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571200</v>
      </c>
      <c r="S35" s="175">
        <f>SUM(S27:S32)</f>
        <v>434112.00000000006</v>
      </c>
      <c r="X35" s="175">
        <f>SUM(X27:X32)</f>
        <v>889</v>
      </c>
      <c r="Y35" s="175">
        <f>SUM(Y27:Y32)</f>
        <v>1054380</v>
      </c>
      <c r="Z35" s="175">
        <f>SUM(Z27:Z32)</f>
        <v>797001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1190</v>
      </c>
      <c r="S36" s="175">
        <f>+S35/Q35</f>
        <v>904.40000000000009</v>
      </c>
      <c r="Y36" s="175">
        <f>+Y35/X35</f>
        <v>1186.029246344207</v>
      </c>
      <c r="Z36" s="175">
        <f>+Z35/X35</f>
        <v>896.5140607424072</v>
      </c>
    </row>
    <row r="37" spans="1:26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(13*435+889*12)/1324*G42*2.74*1324/1000000</f>
        <v>39.430746427839885</v>
      </c>
      <c r="J37" s="124">
        <f>+I37+'15'!J37</f>
        <v>700.41434279778446</v>
      </c>
      <c r="K37" s="125" t="s">
        <v>63</v>
      </c>
      <c r="N37" s="148">
        <v>480</v>
      </c>
    </row>
    <row r="38" spans="1:26" ht="17.45" customHeight="1">
      <c r="A38" s="757" t="s">
        <v>12</v>
      </c>
      <c r="B38" s="758"/>
      <c r="C38" s="163">
        <f>SUMIF($G$7:$G$31,"Process",$F$7:$F$31)</f>
        <v>61</v>
      </c>
      <c r="D38" s="117">
        <f>+C38+'15'!D38</f>
        <v>1119</v>
      </c>
      <c r="E38" s="142">
        <f t="shared" ref="E38:E51" si="0">D38/60</f>
        <v>18.649999999999999</v>
      </c>
      <c r="F38" s="321">
        <v>1120</v>
      </c>
      <c r="G38" s="321">
        <v>851.2</v>
      </c>
      <c r="H38" s="186" t="s">
        <v>64</v>
      </c>
      <c r="I38" s="244">
        <f>12.64+10.03+12.119</f>
        <v>34.789000000000001</v>
      </c>
      <c r="J38" s="126">
        <f>+I38+'15'!J38</f>
        <v>624.13799999999992</v>
      </c>
      <c r="K38" s="127" t="s">
        <v>63</v>
      </c>
      <c r="N38" s="148">
        <v>364</v>
      </c>
    </row>
    <row r="39" spans="1:26" ht="17.45" customHeight="1">
      <c r="A39" s="759" t="s">
        <v>13</v>
      </c>
      <c r="B39" s="760"/>
      <c r="C39" s="163">
        <f>SUMIF($G$7:$G$31,"Cleaning",$F$7:$F$31)</f>
        <v>0</v>
      </c>
      <c r="D39" s="117">
        <f>+C39+'15'!D39</f>
        <v>0</v>
      </c>
      <c r="E39" s="142">
        <f t="shared" si="0"/>
        <v>0</v>
      </c>
      <c r="F39" s="321">
        <v>1188.9560439560439</v>
      </c>
      <c r="G39" s="321">
        <v>891.71703296703299</v>
      </c>
      <c r="H39" s="186" t="s">
        <v>65</v>
      </c>
      <c r="I39" s="141"/>
      <c r="J39" s="128">
        <f>J37/G4</f>
        <v>43.775896424861529</v>
      </c>
      <c r="K39" s="129" t="s">
        <v>63</v>
      </c>
      <c r="N39" s="148">
        <v>480</v>
      </c>
    </row>
    <row r="40" spans="1:26" ht="17.45" customHeight="1">
      <c r="A40" s="759" t="s">
        <v>66</v>
      </c>
      <c r="B40" s="760"/>
      <c r="C40" s="163">
        <f>SUMIF($G$7:$G$31,"Mechanical",$F$7:$F$31)</f>
        <v>0</v>
      </c>
      <c r="D40" s="117">
        <f>+C40+'15'!D40</f>
        <v>481</v>
      </c>
      <c r="E40" s="142">
        <f t="shared" si="0"/>
        <v>8.0166666666666675</v>
      </c>
      <c r="F40" s="321">
        <v>1190</v>
      </c>
      <c r="G40" s="321">
        <v>904.40000000000009</v>
      </c>
      <c r="H40" s="186" t="s">
        <v>67</v>
      </c>
      <c r="I40" s="117">
        <f>(K34+L34)/1000</f>
        <v>30.58</v>
      </c>
      <c r="J40" s="130">
        <f>+I40+'15'!J40</f>
        <v>600.5</v>
      </c>
      <c r="K40" s="129" t="s">
        <v>63</v>
      </c>
      <c r="N40" s="148">
        <f>SUM(N37:N39)</f>
        <v>1324</v>
      </c>
    </row>
    <row r="41" spans="1:26" ht="17.45" customHeight="1">
      <c r="A41" s="759" t="s">
        <v>68</v>
      </c>
      <c r="B41" s="760"/>
      <c r="C41" s="163">
        <f>SUMIF($G$7:$G$31,"Electrical",$F$7:$F$31)</f>
        <v>116</v>
      </c>
      <c r="D41" s="117">
        <f>+C41+'15'!D41</f>
        <v>200</v>
      </c>
      <c r="E41" s="142">
        <f t="shared" si="0"/>
        <v>3.3333333333333335</v>
      </c>
      <c r="F41" s="321"/>
      <c r="G41" s="321"/>
      <c r="H41" s="186" t="s">
        <v>69</v>
      </c>
      <c r="I41" s="141"/>
      <c r="J41" s="128">
        <f>J40/G4</f>
        <v>37.53125</v>
      </c>
      <c r="K41" s="129" t="s">
        <v>63</v>
      </c>
    </row>
    <row r="42" spans="1:26" ht="17.45" customHeight="1">
      <c r="A42" s="759" t="s">
        <v>16</v>
      </c>
      <c r="B42" s="760"/>
      <c r="C42" s="163">
        <f>SUMIF($G$7:$G$31,"Instrument",$F$7:$F$31)</f>
        <v>0</v>
      </c>
      <c r="D42" s="117">
        <f>+C42+'15'!D42</f>
        <v>0</v>
      </c>
      <c r="E42" s="142">
        <f t="shared" si="0"/>
        <v>0</v>
      </c>
      <c r="F42" s="321">
        <f>+(480*F38+364*F39+480*F40)/1324</f>
        <v>1164.3353474320243</v>
      </c>
      <c r="G42" s="321">
        <f>+(480*G38+364*G39+480*G40)/1324</f>
        <v>881.62613293051356</v>
      </c>
      <c r="H42" s="186" t="s">
        <v>70</v>
      </c>
      <c r="I42" s="245" t="s">
        <v>560</v>
      </c>
      <c r="J42" s="131"/>
      <c r="K42" s="129" t="s">
        <v>71</v>
      </c>
    </row>
    <row r="43" spans="1:26" ht="17.45" customHeight="1">
      <c r="A43" s="759" t="s">
        <v>220</v>
      </c>
      <c r="B43" s="760"/>
      <c r="C43" s="163">
        <f>SUMIF($G$7:$G$31,"Change Grade",$F$7:$F$31)</f>
        <v>0</v>
      </c>
      <c r="D43" s="117">
        <f>+C43+'15'!D43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+Report1!Z24</f>
        <v>45.1</v>
      </c>
      <c r="J43" s="132">
        <f>+I43+'15'!J43</f>
        <v>831.49999999999989</v>
      </c>
      <c r="K43" s="129" t="s">
        <v>63</v>
      </c>
      <c r="L43" s="188"/>
      <c r="N43" s="148" t="s">
        <v>544</v>
      </c>
      <c r="O43" s="148">
        <v>1120</v>
      </c>
      <c r="P43" s="148">
        <v>851.2</v>
      </c>
      <c r="Q43" s="148">
        <v>435</v>
      </c>
    </row>
    <row r="44" spans="1:26" ht="17.45" customHeight="1">
      <c r="A44" s="759" t="s">
        <v>17</v>
      </c>
      <c r="B44" s="760"/>
      <c r="C44" s="163">
        <f>SUMIF($G$7:$G$31,"PLN",$F$7:$F$31)</f>
        <v>0</v>
      </c>
      <c r="D44" s="117">
        <f>+C44+'15'!D44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1.2963867889275345</v>
      </c>
      <c r="J44" s="133">
        <f>J43/J38</f>
        <v>1.3322374218522186</v>
      </c>
      <c r="K44" s="129" t="s">
        <v>63</v>
      </c>
      <c r="N44" s="148" t="s">
        <v>522</v>
      </c>
      <c r="O44" s="148">
        <v>1186.029246344207</v>
      </c>
      <c r="P44" s="148">
        <v>896.5140607424072</v>
      </c>
      <c r="Q44" s="148">
        <v>889</v>
      </c>
    </row>
    <row r="45" spans="1:26" ht="17.45" customHeight="1">
      <c r="A45" s="759" t="s">
        <v>18</v>
      </c>
      <c r="B45" s="760"/>
      <c r="C45" s="163">
        <f>SUMIF($G$7:$G$31,"Boiler",$F$7:$F$31)</f>
        <v>0</v>
      </c>
      <c r="D45" s="117">
        <f>+C45+'15'!D45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1.4748201438848922</v>
      </c>
      <c r="J45" s="133">
        <f>J43/J40</f>
        <v>1.3846794338051622</v>
      </c>
      <c r="K45" s="129" t="s">
        <v>63</v>
      </c>
      <c r="Q45" s="148">
        <f>+Q43+Q44</f>
        <v>1324</v>
      </c>
    </row>
    <row r="46" spans="1:26" ht="17.45" customHeight="1">
      <c r="A46" s="759" t="s">
        <v>76</v>
      </c>
      <c r="B46" s="760"/>
      <c r="C46" s="163">
        <f>SUMIF($G$7:$G$31,"Gas",$F$7:$F$31)</f>
        <v>0</v>
      </c>
      <c r="D46" s="117">
        <f>+C46+'15'!D46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+SUMIF(Listrik!P23,"&gt;0")</f>
        <v>37053.540000001092</v>
      </c>
      <c r="J46" s="134">
        <f>+I46+'15'!J46</f>
        <v>593281.60000000009</v>
      </c>
      <c r="K46" s="129" t="s">
        <v>78</v>
      </c>
    </row>
    <row r="47" spans="1:26" ht="17.45" customHeight="1">
      <c r="A47" s="759" t="s">
        <v>79</v>
      </c>
      <c r="B47" s="760"/>
      <c r="C47" s="163">
        <f>SUMIF($G$7:$G$31,"Gas",$F$7:$F$31)</f>
        <v>0</v>
      </c>
      <c r="D47" s="117">
        <f>+C47+'15'!D47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1065.0935640576358</v>
      </c>
      <c r="J47" s="134">
        <f>J46/J38</f>
        <v>950.5615745235832</v>
      </c>
      <c r="K47" s="129" t="s">
        <v>24</v>
      </c>
    </row>
    <row r="48" spans="1:26" ht="17.45" customHeight="1">
      <c r="A48" s="759" t="s">
        <v>14</v>
      </c>
      <c r="B48" s="760"/>
      <c r="C48" s="163">
        <f>SUMIF($G$7:$G$31,"Start Up",$F$7:$F$31)</f>
        <v>0</v>
      </c>
      <c r="D48" s="117">
        <f>+C48+'15'!D48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1211.6919555265238</v>
      </c>
      <c r="J48" s="134">
        <f>J46/J40</f>
        <v>987.97935054121581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+C49+'15'!D49</f>
        <v>0</v>
      </c>
      <c r="E49" s="142">
        <f t="shared" si="0"/>
        <v>0</v>
      </c>
      <c r="F49" s="184"/>
      <c r="H49" s="187" t="s">
        <v>269</v>
      </c>
      <c r="I49" s="117">
        <f>+Report1!T24</f>
        <v>4078.4179024696796</v>
      </c>
      <c r="J49" s="134">
        <f>+I49+'15'!J49</f>
        <v>71269.270001617275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+C50+'15'!D50</f>
        <v>0</v>
      </c>
      <c r="E50" s="142">
        <f t="shared" si="0"/>
        <v>0</v>
      </c>
      <c r="F50" s="184"/>
      <c r="H50" s="187" t="s">
        <v>83</v>
      </c>
      <c r="I50" s="139">
        <f>I49/I38</f>
        <v>117.23297313718932</v>
      </c>
      <c r="J50" s="132">
        <f>J49/J38</f>
        <v>114.18832053426851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+C51+'15'!D51</f>
        <v>0</v>
      </c>
      <c r="E51" s="142">
        <f t="shared" si="0"/>
        <v>0</v>
      </c>
      <c r="F51" s="184"/>
      <c r="H51" s="189" t="s">
        <v>85</v>
      </c>
      <c r="I51" s="140">
        <f>I49/I40</f>
        <v>133.36879994995684</v>
      </c>
      <c r="J51" s="135">
        <f>J49/J40</f>
        <v>118.68321399103625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177</v>
      </c>
      <c r="D52" s="143">
        <f>SUM(D38:D51)</f>
        <v>1800</v>
      </c>
      <c r="E52" s="144">
        <f>SUM(E38:E51)</f>
        <v>29.999999999999996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0.12291666666666666</v>
      </c>
      <c r="D53" s="145">
        <f>D52/(24*60*G4)</f>
        <v>7.8125E-2</v>
      </c>
      <c r="E53" s="146">
        <f>E52/(G4*24)</f>
        <v>7.8124999999999986E-2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+D34+'15'!J56</f>
        <v>1985</v>
      </c>
      <c r="K56" s="200">
        <f>J56/(J40+J56/1000)/1000</f>
        <v>3.2946878345518973E-3</v>
      </c>
    </row>
    <row r="57" spans="1:11">
      <c r="A57" s="175"/>
      <c r="I57" s="198" t="s">
        <v>88</v>
      </c>
      <c r="J57" s="199">
        <f>+E34+'15'!J57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Z61"/>
  <sheetViews>
    <sheetView view="pageBreakPreview" topLeftCell="A3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15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522</v>
      </c>
      <c r="O6" s="148">
        <v>1160</v>
      </c>
      <c r="P6" s="148">
        <f>+O6-(O6*0.26)</f>
        <v>858.4</v>
      </c>
      <c r="Q6" s="148">
        <v>480</v>
      </c>
      <c r="R6" s="148">
        <f>+O6*Q6</f>
        <v>556800</v>
      </c>
      <c r="S6" s="148">
        <f>+P6*Q6</f>
        <v>412032</v>
      </c>
      <c r="U6" s="148" t="s">
        <v>522</v>
      </c>
      <c r="V6" s="148">
        <v>1160</v>
      </c>
      <c r="W6" s="148">
        <f>+V6-(V6*0.26)</f>
        <v>858.4</v>
      </c>
      <c r="X6" s="148">
        <v>480</v>
      </c>
      <c r="Y6" s="148">
        <f>+V6*X6</f>
        <v>556800</v>
      </c>
      <c r="Z6" s="148">
        <f>+W6*X6</f>
        <v>412032</v>
      </c>
    </row>
    <row r="7" spans="1:26" ht="13.5" customHeight="1" thickBot="1">
      <c r="A7" s="745" t="s">
        <v>387</v>
      </c>
      <c r="B7" s="214" t="s">
        <v>537</v>
      </c>
      <c r="C7" s="215">
        <v>13894</v>
      </c>
      <c r="D7" s="216">
        <f>370+167</f>
        <v>537</v>
      </c>
      <c r="E7" s="217"/>
      <c r="F7" s="227"/>
      <c r="G7" s="228" t="s">
        <v>12</v>
      </c>
      <c r="H7" s="229" t="s">
        <v>384</v>
      </c>
      <c r="I7" s="748" t="s">
        <v>545</v>
      </c>
      <c r="J7" s="213" t="str">
        <f>+'14'!J7</f>
        <v>F 14 VP OW</v>
      </c>
      <c r="K7" s="237"/>
      <c r="L7" s="241"/>
      <c r="M7" s="116">
        <f>+K7+'14'!M7+L7</f>
        <v>185476</v>
      </c>
      <c r="P7" s="148">
        <f>+O7-(O7*0.24)</f>
        <v>0</v>
      </c>
      <c r="R7" s="148">
        <f>+O7*Q7</f>
        <v>0</v>
      </c>
      <c r="S7" s="148">
        <f>+P7*Q7</f>
        <v>0</v>
      </c>
      <c r="U7" s="148" t="s">
        <v>522</v>
      </c>
      <c r="V7" s="148">
        <v>1170</v>
      </c>
      <c r="W7" s="148">
        <v>877.5</v>
      </c>
      <c r="X7" s="148">
        <v>80</v>
      </c>
      <c r="Y7" s="148">
        <f>+V7*X7</f>
        <v>93600</v>
      </c>
      <c r="Z7" s="148">
        <f>+W7*X7</f>
        <v>70200</v>
      </c>
    </row>
    <row r="8" spans="1:26" ht="13.5" thickBot="1">
      <c r="A8" s="746"/>
      <c r="B8" s="214"/>
      <c r="C8" s="215"/>
      <c r="D8" s="216"/>
      <c r="E8" s="218"/>
      <c r="F8" s="230">
        <v>6</v>
      </c>
      <c r="G8" s="231" t="s">
        <v>12</v>
      </c>
      <c r="H8" s="229" t="s">
        <v>549</v>
      </c>
      <c r="I8" s="749"/>
      <c r="J8" s="213" t="str">
        <f>+'14'!J8</f>
        <v>F 15 VP OW</v>
      </c>
      <c r="K8" s="238"/>
      <c r="L8" s="238"/>
      <c r="M8" s="116">
        <f>+K8+'14'!M8+L8</f>
        <v>95546</v>
      </c>
    </row>
    <row r="9" spans="1:26" ht="13.5" thickBot="1">
      <c r="A9" s="746"/>
      <c r="B9" s="214"/>
      <c r="C9" s="215"/>
      <c r="D9" s="216"/>
      <c r="E9" s="219"/>
      <c r="F9" s="227">
        <v>14</v>
      </c>
      <c r="G9" s="231" t="s">
        <v>12</v>
      </c>
      <c r="H9" s="232" t="s">
        <v>461</v>
      </c>
      <c r="I9" s="749"/>
      <c r="J9" s="213" t="str">
        <f>+'14'!J9</f>
        <v>T 12 VP OW</v>
      </c>
      <c r="K9" s="238"/>
      <c r="L9" s="238"/>
      <c r="M9" s="116">
        <f>+K9+'14'!M9+L9</f>
        <v>50578</v>
      </c>
      <c r="P9" s="148">
        <f>+O9-(O9*0.2)</f>
        <v>0</v>
      </c>
      <c r="R9" s="148">
        <f>+O9*Q9</f>
        <v>0</v>
      </c>
      <c r="S9" s="148">
        <f>+P9*Q9</f>
        <v>0</v>
      </c>
      <c r="W9" s="148">
        <f>+V9-(V9*0.2)</f>
        <v>0</v>
      </c>
      <c r="Y9" s="148">
        <f>+V9*X9</f>
        <v>0</v>
      </c>
      <c r="Z9" s="148">
        <f>+W9*X9</f>
        <v>0</v>
      </c>
    </row>
    <row r="10" spans="1:26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543</v>
      </c>
      <c r="I10" s="749"/>
      <c r="J10" s="213" t="str">
        <f>+'14'!J10</f>
        <v>T 13 VP OW</v>
      </c>
      <c r="K10" s="238"/>
      <c r="L10" s="238"/>
      <c r="M10" s="116">
        <f>+K10+'14'!M10+L10</f>
        <v>119099</v>
      </c>
      <c r="P10" s="148">
        <f>+O10-(O10*0.23)</f>
        <v>0</v>
      </c>
      <c r="R10" s="148">
        <f>+O10*Q10</f>
        <v>0</v>
      </c>
      <c r="S10" s="148">
        <f>+P10*Q10</f>
        <v>0</v>
      </c>
      <c r="W10" s="148">
        <f>+V10-(V10*0.23)</f>
        <v>0</v>
      </c>
      <c r="Y10" s="148">
        <f>+V10*X10</f>
        <v>0</v>
      </c>
      <c r="Z10" s="148">
        <f>+W10*X10</f>
        <v>0</v>
      </c>
    </row>
    <row r="11" spans="1:26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tr">
        <f>+'14'!J11</f>
        <v>T 15 VP OW</v>
      </c>
      <c r="K11" s="238"/>
      <c r="L11" s="238"/>
      <c r="M11" s="116">
        <f>+K11+'14'!M11+L11</f>
        <v>25864</v>
      </c>
      <c r="P11" s="148">
        <f>+O11-(O11*0.23)</f>
        <v>0</v>
      </c>
      <c r="R11" s="148">
        <f>+O11*Q11</f>
        <v>0</v>
      </c>
      <c r="S11" s="148">
        <f>+P11*Q11</f>
        <v>0</v>
      </c>
      <c r="W11" s="148">
        <f>+V11-(V11*0.23)</f>
        <v>0</v>
      </c>
      <c r="Y11" s="148">
        <f>+V11*X11</f>
        <v>0</v>
      </c>
      <c r="Z11" s="148">
        <f>+W11*X11</f>
        <v>0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+'14'!J12</f>
        <v>F 12 VP OW</v>
      </c>
      <c r="K12" s="238">
        <f>+C7+C16</f>
        <v>18882</v>
      </c>
      <c r="L12" s="238"/>
      <c r="M12" s="116">
        <f>+K12+'14'!M12+L12</f>
        <v>75066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 t="s">
        <v>552</v>
      </c>
      <c r="K13" s="238">
        <f>+C17+C25</f>
        <v>18291</v>
      </c>
      <c r="L13" s="238"/>
      <c r="M13" s="116">
        <f>+K13+'14'!M13+L13</f>
        <v>18291</v>
      </c>
    </row>
    <row r="14" spans="1:26" ht="13.5" thickBot="1">
      <c r="A14" s="747"/>
      <c r="B14" s="164" t="s">
        <v>2</v>
      </c>
      <c r="C14" s="98">
        <f>SUM(C7:C13)</f>
        <v>13894</v>
      </c>
      <c r="D14" s="110">
        <f>SUM(D7:D13)</f>
        <v>537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>
        <f>+'14'!J14</f>
        <v>0</v>
      </c>
      <c r="K14" s="238"/>
      <c r="L14" s="238"/>
      <c r="M14" s="116">
        <f>+K14+'14'!M14+L14</f>
        <v>0</v>
      </c>
      <c r="Q14" s="175">
        <f>SUM(Q6:Q11)</f>
        <v>480</v>
      </c>
      <c r="R14" s="175">
        <f>SUM(R6:R11)</f>
        <v>556800</v>
      </c>
      <c r="S14" s="175">
        <f>SUM(S6:S11)</f>
        <v>412032</v>
      </c>
      <c r="X14" s="175">
        <f>SUM(X6:X11)</f>
        <v>560</v>
      </c>
      <c r="Y14" s="175">
        <f>SUM(Y6:Y11)</f>
        <v>650400</v>
      </c>
      <c r="Z14" s="175">
        <f>SUM(Z6:Z11)</f>
        <v>482232</v>
      </c>
    </row>
    <row r="15" spans="1:26" ht="13.5" customHeight="1" thickBot="1">
      <c r="A15" s="745" t="s">
        <v>438</v>
      </c>
      <c r="B15" s="164"/>
      <c r="C15" s="112">
        <f>C14/($C$23+$D$23+$E$23)</f>
        <v>1.1147304236200257</v>
      </c>
      <c r="D15" s="113">
        <f>D14/($C$23+$D$23+$E$23)</f>
        <v>4.3084082156611039E-2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546</v>
      </c>
      <c r="J15" s="213">
        <f>+'14'!J15</f>
        <v>0</v>
      </c>
      <c r="K15" s="238"/>
      <c r="L15" s="238"/>
      <c r="M15" s="116">
        <f>+K15+'14'!M15+L15</f>
        <v>0</v>
      </c>
      <c r="R15" s="175">
        <f>+R14/Q14</f>
        <v>1160</v>
      </c>
      <c r="S15" s="175">
        <f>+S14/Q14</f>
        <v>858.4</v>
      </c>
      <c r="Y15" s="175">
        <f>+Y14/X14</f>
        <v>1161.4285714285713</v>
      </c>
      <c r="Z15" s="175">
        <f>+Z14/X14</f>
        <v>861.12857142857138</v>
      </c>
    </row>
    <row r="16" spans="1:26" ht="13.5" thickBot="1">
      <c r="A16" s="751"/>
      <c r="B16" s="214" t="s">
        <v>537</v>
      </c>
      <c r="C16" s="221">
        <f>3491+1497</f>
        <v>4988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+'14'!J16</f>
        <v>0</v>
      </c>
      <c r="K16" s="228"/>
      <c r="L16" s="228"/>
      <c r="M16" s="116">
        <f>+K16+'14'!M16+L16</f>
        <v>0</v>
      </c>
    </row>
    <row r="17" spans="1:26" ht="13.5" thickBot="1">
      <c r="A17" s="751"/>
      <c r="B17" s="214" t="s">
        <v>552</v>
      </c>
      <c r="C17" s="215">
        <v>7476</v>
      </c>
      <c r="D17" s="216"/>
      <c r="E17" s="224"/>
      <c r="F17" s="227">
        <v>20</v>
      </c>
      <c r="G17" s="231" t="s">
        <v>12</v>
      </c>
      <c r="H17" s="232" t="s">
        <v>385</v>
      </c>
      <c r="I17" s="749"/>
      <c r="J17" s="213">
        <f>+'14'!J17</f>
        <v>0</v>
      </c>
      <c r="K17" s="228"/>
      <c r="L17" s="228"/>
      <c r="M17" s="116">
        <f>+K17+'14'!M17+L17</f>
        <v>0</v>
      </c>
      <c r="N17" s="148" t="s">
        <v>522</v>
      </c>
      <c r="O17" s="148">
        <v>1170</v>
      </c>
      <c r="P17" s="148">
        <f>+O17-(O17*0.25)</f>
        <v>877.5</v>
      </c>
      <c r="Q17" s="148">
        <f>60+20</f>
        <v>80</v>
      </c>
      <c r="R17" s="148">
        <f t="shared" ref="R17:R22" si="0">+O17*Q17</f>
        <v>93600</v>
      </c>
      <c r="S17" s="148">
        <f t="shared" ref="S17:S22" si="1">+P17*Q17</f>
        <v>70200</v>
      </c>
    </row>
    <row r="18" spans="1:26" ht="51.7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541</v>
      </c>
      <c r="I18" s="749"/>
      <c r="J18" s="213">
        <f>+'14'!J18</f>
        <v>0</v>
      </c>
      <c r="K18" s="238"/>
      <c r="L18" s="238"/>
      <c r="M18" s="116">
        <f>+K18+'14'!M18+L18</f>
        <v>0</v>
      </c>
      <c r="N18" s="148" t="s">
        <v>544</v>
      </c>
      <c r="O18" s="148">
        <v>1150</v>
      </c>
      <c r="P18" s="148">
        <f>+O18-(O18*0.24)</f>
        <v>874</v>
      </c>
      <c r="Q18" s="148">
        <f>60-20+38</f>
        <v>78</v>
      </c>
      <c r="R18" s="148">
        <f t="shared" si="0"/>
        <v>89700</v>
      </c>
      <c r="S18" s="148">
        <f t="shared" si="1"/>
        <v>68172</v>
      </c>
    </row>
    <row r="19" spans="1:26" ht="51.75" thickBot="1">
      <c r="A19" s="751"/>
      <c r="B19" s="214"/>
      <c r="C19" s="215"/>
      <c r="D19" s="216"/>
      <c r="E19" s="224"/>
      <c r="F19" s="234"/>
      <c r="G19" s="231"/>
      <c r="H19" s="232" t="s">
        <v>542</v>
      </c>
      <c r="I19" s="749"/>
      <c r="J19" s="213">
        <f>+'14'!J19</f>
        <v>0</v>
      </c>
      <c r="K19" s="238"/>
      <c r="L19" s="238"/>
      <c r="M19" s="116">
        <f>+K19+'14'!M19+L19</f>
        <v>0</v>
      </c>
      <c r="O19" s="148">
        <v>1140</v>
      </c>
      <c r="P19" s="148">
        <f>+O19-(O19*0.24)</f>
        <v>866.40000000000009</v>
      </c>
      <c r="Q19" s="148">
        <f>60-38+300</f>
        <v>322</v>
      </c>
      <c r="R19" s="148">
        <f t="shared" si="0"/>
        <v>367080</v>
      </c>
      <c r="S19" s="148">
        <f t="shared" si="1"/>
        <v>278980.80000000005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+'14'!J20</f>
        <v>0</v>
      </c>
      <c r="K20" s="239"/>
      <c r="L20" s="239"/>
      <c r="M20" s="116">
        <f>+K20+'14'!M20+L20</f>
        <v>0</v>
      </c>
      <c r="P20" s="148">
        <f>+O20-(O20*0.2)</f>
        <v>0</v>
      </c>
      <c r="R20" s="148">
        <f t="shared" si="0"/>
        <v>0</v>
      </c>
      <c r="S20" s="148">
        <f t="shared" si="1"/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+'14'!J21</f>
        <v>0</v>
      </c>
      <c r="K21" s="238"/>
      <c r="L21" s="238"/>
      <c r="M21" s="116">
        <f>+K21+'14'!M21+L21</f>
        <v>0</v>
      </c>
      <c r="P21" s="148">
        <f>+O21-(O21*0.23)</f>
        <v>0</v>
      </c>
      <c r="R21" s="148">
        <f t="shared" si="0"/>
        <v>0</v>
      </c>
      <c r="S21" s="148">
        <f t="shared" si="1"/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+'14'!J22</f>
        <v>0</v>
      </c>
      <c r="K22" s="238"/>
      <c r="L22" s="238"/>
      <c r="M22" s="116">
        <f>+K22+'14'!M22+L22</f>
        <v>0</v>
      </c>
      <c r="P22" s="148">
        <f>+O22-(O22*0.23)</f>
        <v>0</v>
      </c>
      <c r="R22" s="148">
        <f t="shared" si="0"/>
        <v>0</v>
      </c>
      <c r="S22" s="148">
        <f t="shared" si="1"/>
        <v>0</v>
      </c>
    </row>
    <row r="23" spans="1:26" ht="13.5" thickBot="1">
      <c r="A23" s="752"/>
      <c r="B23" s="167" t="s">
        <v>2</v>
      </c>
      <c r="C23" s="99">
        <f>SUM(C16:C22)</f>
        <v>12464</v>
      </c>
      <c r="D23" s="110">
        <f>SUM(D16:D22)</f>
        <v>0</v>
      </c>
      <c r="E23" s="111">
        <f>SUM(E18:E22)</f>
        <v>0</v>
      </c>
      <c r="F23" s="115">
        <f>SUM(F15:F22)</f>
        <v>29</v>
      </c>
      <c r="G23" s="158"/>
      <c r="H23" s="165"/>
      <c r="I23" s="168"/>
      <c r="J23" s="213">
        <f>+'14'!J23</f>
        <v>0</v>
      </c>
      <c r="K23" s="238"/>
      <c r="L23" s="238"/>
      <c r="M23" s="116">
        <f>+K23+'14'!M23+L23</f>
        <v>0</v>
      </c>
    </row>
    <row r="24" spans="1:26" ht="13.5" customHeight="1" thickBot="1">
      <c r="A24" s="745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547</v>
      </c>
      <c r="J24" s="213">
        <f>+'14'!J24</f>
        <v>0</v>
      </c>
      <c r="K24" s="238"/>
      <c r="L24" s="238"/>
      <c r="M24" s="116">
        <f>+K24+'14'!M24+L24</f>
        <v>0</v>
      </c>
    </row>
    <row r="25" spans="1:26" ht="13.5" thickBot="1">
      <c r="A25" s="751"/>
      <c r="B25" s="214" t="s">
        <v>552</v>
      </c>
      <c r="C25" s="225">
        <v>10815</v>
      </c>
      <c r="D25" s="216"/>
      <c r="E25" s="224"/>
      <c r="F25" s="230">
        <v>9</v>
      </c>
      <c r="G25" s="231" t="s">
        <v>12</v>
      </c>
      <c r="H25" s="229" t="s">
        <v>549</v>
      </c>
      <c r="I25" s="749"/>
      <c r="J25" s="213">
        <f>+'14'!J25</f>
        <v>0</v>
      </c>
      <c r="K25" s="238"/>
      <c r="L25" s="238"/>
      <c r="M25" s="116">
        <f>+K25+'14'!M25+L25</f>
        <v>0</v>
      </c>
      <c r="Q25" s="175">
        <f>SUM(Q17:Q22)</f>
        <v>480</v>
      </c>
      <c r="R25" s="175">
        <f>SUM(R17:R22)</f>
        <v>550380</v>
      </c>
      <c r="S25" s="175">
        <f>SUM(S17:S22)</f>
        <v>417352.80000000005</v>
      </c>
    </row>
    <row r="26" spans="1:26" ht="13.5" thickBot="1">
      <c r="A26" s="751"/>
      <c r="B26" s="214"/>
      <c r="C26" s="225"/>
      <c r="D26" s="216"/>
      <c r="E26" s="226"/>
      <c r="F26" s="227">
        <v>10</v>
      </c>
      <c r="G26" s="231" t="s">
        <v>12</v>
      </c>
      <c r="H26" s="232" t="s">
        <v>406</v>
      </c>
      <c r="I26" s="749"/>
      <c r="J26" s="213">
        <f>+'14'!J26</f>
        <v>0</v>
      </c>
      <c r="K26" s="238"/>
      <c r="L26" s="238"/>
      <c r="M26" s="116">
        <f>+K26+'14'!M26+L26</f>
        <v>0</v>
      </c>
      <c r="R26" s="175">
        <f>+R25/Q25</f>
        <v>1146.625</v>
      </c>
      <c r="S26" s="175">
        <f>+S25/Q25</f>
        <v>869.48500000000013</v>
      </c>
    </row>
    <row r="27" spans="1:26" ht="51.7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539</v>
      </c>
      <c r="I27" s="749"/>
      <c r="J27" s="213">
        <f>+'14'!J27</f>
        <v>0</v>
      </c>
      <c r="K27" s="238"/>
      <c r="L27" s="238"/>
      <c r="M27" s="116">
        <f>+K27+'14'!M27+L27</f>
        <v>0</v>
      </c>
      <c r="N27" s="148" t="s">
        <v>544</v>
      </c>
      <c r="O27" s="148">
        <v>1190</v>
      </c>
      <c r="P27" s="148">
        <f>+O27-(O27*0.24)</f>
        <v>904.40000000000009</v>
      </c>
      <c r="Q27" s="148">
        <v>480</v>
      </c>
      <c r="R27" s="148">
        <f>+O27*Q27</f>
        <v>571200</v>
      </c>
      <c r="S27" s="148">
        <f>+P27*Q27</f>
        <v>434112.00000000006</v>
      </c>
      <c r="U27" s="148" t="s">
        <v>544</v>
      </c>
      <c r="V27" s="148">
        <v>1150</v>
      </c>
      <c r="W27" s="148">
        <v>874</v>
      </c>
      <c r="X27" s="148">
        <v>78</v>
      </c>
      <c r="Y27" s="148">
        <f t="shared" ref="Y27:Y32" si="2">+V27*X27</f>
        <v>89700</v>
      </c>
      <c r="Z27" s="148">
        <f t="shared" ref="Z27:Z32" si="3">+W27*X27</f>
        <v>68172</v>
      </c>
    </row>
    <row r="28" spans="1:26" ht="96" customHeight="1" thickBot="1">
      <c r="A28" s="751"/>
      <c r="B28" s="214"/>
      <c r="C28" s="215"/>
      <c r="D28" s="216"/>
      <c r="E28" s="224"/>
      <c r="F28" s="230"/>
      <c r="G28" s="231"/>
      <c r="H28" s="232" t="s">
        <v>540</v>
      </c>
      <c r="I28" s="749"/>
      <c r="J28" s="213">
        <f>+'14'!J28</f>
        <v>0</v>
      </c>
      <c r="K28" s="238"/>
      <c r="L28" s="238"/>
      <c r="M28" s="116">
        <f>+K28+'14'!M28+L28</f>
        <v>0</v>
      </c>
      <c r="V28" s="148">
        <v>1140</v>
      </c>
      <c r="W28" s="148">
        <v>866.40000000000009</v>
      </c>
      <c r="X28" s="148">
        <v>322</v>
      </c>
      <c r="Y28" s="148">
        <f t="shared" si="2"/>
        <v>367080</v>
      </c>
      <c r="Z28" s="148">
        <f t="shared" si="3"/>
        <v>278980.80000000005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+'14'!J29</f>
        <v>0</v>
      </c>
      <c r="K29" s="238"/>
      <c r="L29" s="238"/>
      <c r="M29" s="116">
        <f>+K29+'14'!M29+L29</f>
        <v>0</v>
      </c>
      <c r="U29" s="148" t="s">
        <v>544</v>
      </c>
      <c r="V29" s="148">
        <v>1190</v>
      </c>
      <c r="W29" s="148">
        <v>904.40000000000009</v>
      </c>
      <c r="X29" s="148">
        <v>480</v>
      </c>
      <c r="Y29" s="148">
        <f t="shared" si="2"/>
        <v>571200</v>
      </c>
      <c r="Z29" s="148">
        <f t="shared" si="3"/>
        <v>434112.00000000006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+'14'!J30</f>
        <v>0</v>
      </c>
      <c r="K30" s="238"/>
      <c r="L30" s="238"/>
      <c r="M30" s="116">
        <f>+K30+'14'!M30+L30</f>
        <v>0</v>
      </c>
      <c r="W30" s="148">
        <f>+V30-(V30*0.2)</f>
        <v>0</v>
      </c>
      <c r="Y30" s="148">
        <f t="shared" si="2"/>
        <v>0</v>
      </c>
      <c r="Z30" s="148">
        <f t="shared" si="3"/>
        <v>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+'14'!J31</f>
        <v>0</v>
      </c>
      <c r="K31" s="238"/>
      <c r="L31" s="238"/>
      <c r="M31" s="116">
        <f>+K31+'14'!M31+L31</f>
        <v>0</v>
      </c>
      <c r="W31" s="148">
        <f>+V31-(V31*0.23)</f>
        <v>0</v>
      </c>
      <c r="Y31" s="148">
        <f t="shared" si="2"/>
        <v>0</v>
      </c>
      <c r="Z31" s="148">
        <f t="shared" si="3"/>
        <v>0</v>
      </c>
    </row>
    <row r="32" spans="1:26" ht="13.5" thickBot="1">
      <c r="A32" s="752"/>
      <c r="B32" s="164" t="s">
        <v>2</v>
      </c>
      <c r="C32" s="98">
        <f>SUM(C25:C31)</f>
        <v>10815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+'14'!J32</f>
        <v>0</v>
      </c>
      <c r="K32" s="240"/>
      <c r="L32" s="242"/>
      <c r="M32" s="116">
        <f>+K32+'14'!M32+L32</f>
        <v>0</v>
      </c>
      <c r="W32" s="148">
        <f>+V32-(V32*0.23)</f>
        <v>0</v>
      </c>
      <c r="Y32" s="148">
        <f t="shared" si="2"/>
        <v>0</v>
      </c>
      <c r="Z32" s="148">
        <f t="shared" si="3"/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3" t="s">
        <v>57</v>
      </c>
      <c r="B34" s="754"/>
      <c r="C34" s="106">
        <f>C14+C23+C32</f>
        <v>37173</v>
      </c>
      <c r="D34" s="106">
        <f>D14+D23+D32</f>
        <v>537</v>
      </c>
      <c r="E34" s="106">
        <f>E14+E23+E32</f>
        <v>0</v>
      </c>
      <c r="F34" s="107">
        <f>F14+F23+F32</f>
        <v>68</v>
      </c>
      <c r="H34" s="177"/>
      <c r="I34" s="177"/>
      <c r="J34" s="122" t="s">
        <v>28</v>
      </c>
      <c r="K34" s="123">
        <f>SUM(K7:K32)</f>
        <v>37173</v>
      </c>
      <c r="L34" s="211">
        <f>SUM(L7:L32)</f>
        <v>0</v>
      </c>
      <c r="M34" s="119">
        <f>SUM(M7:M32)</f>
        <v>569920</v>
      </c>
    </row>
    <row r="35" spans="1:26" ht="13.5" thickBot="1">
      <c r="A35" s="178"/>
      <c r="B35" s="179"/>
      <c r="C35" s="103">
        <f>C34/($C$34+$D$34+$E$34)</f>
        <v>0.98575974542561651</v>
      </c>
      <c r="D35" s="103">
        <f>D34/($C$34+$D$34+$E$34)</f>
        <v>1.4240254574383453E-2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571200</v>
      </c>
      <c r="S35" s="175">
        <f>SUM(S27:S32)</f>
        <v>434112.00000000006</v>
      </c>
      <c r="X35" s="175">
        <f>SUM(X27:X32)</f>
        <v>880</v>
      </c>
      <c r="Y35" s="175">
        <f>SUM(Y27:Y32)</f>
        <v>1027980</v>
      </c>
      <c r="Z35" s="175">
        <f>SUM(Z27:Z32)</f>
        <v>781264.8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1190</v>
      </c>
      <c r="S36" s="175">
        <f>+S35/Q35</f>
        <v>904.40000000000009</v>
      </c>
      <c r="Y36" s="175">
        <f>+Y35/X35</f>
        <v>1168.159090909091</v>
      </c>
      <c r="Z36" s="175">
        <f>+Z35/X35</f>
        <v>887.80090909090916</v>
      </c>
    </row>
    <row r="37" spans="1:26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(12*560+880*13)/1440*G42*2.74*1440/1000000</f>
        <v>43.659429981333339</v>
      </c>
      <c r="J37" s="124">
        <f>+I37+'14'!J37</f>
        <v>660.98359636994462</v>
      </c>
      <c r="K37" s="125" t="s">
        <v>63</v>
      </c>
      <c r="N37" s="148" t="s">
        <v>522</v>
      </c>
      <c r="O37" s="148">
        <v>1161.4285714285713</v>
      </c>
      <c r="P37" s="148">
        <v>861.12857142857138</v>
      </c>
      <c r="Q37" s="148">
        <v>560</v>
      </c>
    </row>
    <row r="38" spans="1:26" ht="17.45" customHeight="1">
      <c r="A38" s="757" t="s">
        <v>12</v>
      </c>
      <c r="B38" s="758"/>
      <c r="C38" s="163">
        <f>SUMIF($G$7:$G$31,"Process",$F$7:$F$31)</f>
        <v>68</v>
      </c>
      <c r="D38" s="117">
        <f>+C38+'14'!D38</f>
        <v>1058</v>
      </c>
      <c r="E38" s="142">
        <f t="shared" ref="E38:E51" si="4">D38/60</f>
        <v>17.633333333333333</v>
      </c>
      <c r="F38" s="321">
        <v>1160</v>
      </c>
      <c r="G38" s="321">
        <v>858.4</v>
      </c>
      <c r="H38" s="186" t="s">
        <v>64</v>
      </c>
      <c r="I38" s="244">
        <f>11.099+13.842+13.285</f>
        <v>38.225999999999999</v>
      </c>
      <c r="J38" s="126">
        <f>+I38+'14'!J38</f>
        <v>589.34899999999993</v>
      </c>
      <c r="K38" s="127" t="s">
        <v>63</v>
      </c>
      <c r="N38" s="148" t="s">
        <v>544</v>
      </c>
      <c r="O38" s="148">
        <v>1168.159090909091</v>
      </c>
      <c r="P38" s="148">
        <v>887.80090909090916</v>
      </c>
      <c r="Q38" s="148">
        <v>880</v>
      </c>
    </row>
    <row r="39" spans="1:26" ht="17.45" customHeight="1">
      <c r="A39" s="759" t="s">
        <v>13</v>
      </c>
      <c r="B39" s="760"/>
      <c r="C39" s="163">
        <f>SUMIF($G$7:$G$31,"Cleaning",$F$7:$F$31)</f>
        <v>0</v>
      </c>
      <c r="D39" s="117">
        <f>+C39+'14'!D39</f>
        <v>0</v>
      </c>
      <c r="E39" s="142">
        <f t="shared" si="4"/>
        <v>0</v>
      </c>
      <c r="F39" s="321">
        <v>1146.625</v>
      </c>
      <c r="G39" s="321">
        <v>869.48500000000013</v>
      </c>
      <c r="H39" s="186" t="s">
        <v>65</v>
      </c>
      <c r="I39" s="141"/>
      <c r="J39" s="128">
        <f>J37/G4</f>
        <v>44.06557309132964</v>
      </c>
      <c r="K39" s="129" t="s">
        <v>63</v>
      </c>
      <c r="Q39" s="148">
        <f>+Q37+Q38</f>
        <v>1440</v>
      </c>
    </row>
    <row r="40" spans="1:26" ht="17.45" customHeight="1">
      <c r="A40" s="759" t="s">
        <v>66</v>
      </c>
      <c r="B40" s="760"/>
      <c r="C40" s="163">
        <f>SUMIF($G$7:$G$31,"Mechanical",$F$7:$F$31)</f>
        <v>0</v>
      </c>
      <c r="D40" s="117">
        <f>+C40+'14'!D40</f>
        <v>481</v>
      </c>
      <c r="E40" s="142">
        <f t="shared" si="4"/>
        <v>8.0166666666666675</v>
      </c>
      <c r="F40" s="321">
        <v>1190</v>
      </c>
      <c r="G40" s="321">
        <v>904.40000000000009</v>
      </c>
      <c r="H40" s="186" t="s">
        <v>67</v>
      </c>
      <c r="I40" s="117">
        <f>(K34+L34)/1000</f>
        <v>37.173000000000002</v>
      </c>
      <c r="J40" s="130">
        <f>+I40+'14'!J40</f>
        <v>569.91999999999996</v>
      </c>
      <c r="K40" s="129" t="s">
        <v>63</v>
      </c>
    </row>
    <row r="41" spans="1:26" ht="17.45" customHeight="1">
      <c r="A41" s="759" t="s">
        <v>68</v>
      </c>
      <c r="B41" s="760"/>
      <c r="C41" s="163">
        <f>SUMIF($G$7:$G$31,"Electrical",$F$7:$F$31)</f>
        <v>0</v>
      </c>
      <c r="D41" s="117">
        <f>+C41+'14'!D41</f>
        <v>84</v>
      </c>
      <c r="E41" s="142">
        <f t="shared" si="4"/>
        <v>1.4</v>
      </c>
      <c r="F41" s="321"/>
      <c r="G41" s="321"/>
      <c r="H41" s="186" t="s">
        <v>69</v>
      </c>
      <c r="I41" s="141"/>
      <c r="J41" s="128">
        <f>J40/G4</f>
        <v>37.994666666666667</v>
      </c>
      <c r="K41" s="129" t="s">
        <v>63</v>
      </c>
    </row>
    <row r="42" spans="1:26" ht="17.45" customHeight="1">
      <c r="A42" s="759" t="s">
        <v>16</v>
      </c>
      <c r="B42" s="760"/>
      <c r="C42" s="163">
        <f>SUMIF($G$7:$G$31,"Instrument",$F$7:$F$31)</f>
        <v>0</v>
      </c>
      <c r="D42" s="117">
        <f>+C42+'14'!D42</f>
        <v>0</v>
      </c>
      <c r="E42" s="142">
        <f t="shared" si="4"/>
        <v>0</v>
      </c>
      <c r="F42" s="321">
        <f>+(F38*480+F39*480+F40*480)/1440</f>
        <v>1165.5416666666667</v>
      </c>
      <c r="G42" s="321">
        <f>+(G38*480+G39*480+G40*480)/1440</f>
        <v>877.4283333333334</v>
      </c>
      <c r="H42" s="186" t="s">
        <v>70</v>
      </c>
      <c r="I42" s="245" t="s">
        <v>548</v>
      </c>
      <c r="J42" s="131"/>
      <c r="K42" s="129" t="s">
        <v>71</v>
      </c>
    </row>
    <row r="43" spans="1:26" ht="17.45" customHeight="1">
      <c r="A43" s="759" t="s">
        <v>220</v>
      </c>
      <c r="B43" s="760"/>
      <c r="C43" s="163">
        <f>SUMIF($G$7:$G$31,"Change Grade",$F$7:$F$31)</f>
        <v>0</v>
      </c>
      <c r="D43" s="117">
        <f>+C43+'14'!D43</f>
        <v>0</v>
      </c>
      <c r="E43" s="142">
        <f t="shared" si="4"/>
        <v>0</v>
      </c>
      <c r="F43" s="321"/>
      <c r="G43" s="322"/>
      <c r="H43" s="187" t="s">
        <v>73</v>
      </c>
      <c r="I43" s="117">
        <f>+Report1!Z23</f>
        <v>51</v>
      </c>
      <c r="J43" s="132">
        <f>+I43+'14'!J43</f>
        <v>786.39999999999986</v>
      </c>
      <c r="K43" s="129" t="s">
        <v>63</v>
      </c>
      <c r="L43" s="188"/>
    </row>
    <row r="44" spans="1:26" ht="17.45" customHeight="1">
      <c r="A44" s="759" t="s">
        <v>17</v>
      </c>
      <c r="B44" s="760"/>
      <c r="C44" s="163">
        <f>SUMIF($G$7:$G$31,"PLN",$F$7:$F$31)</f>
        <v>0</v>
      </c>
      <c r="D44" s="117">
        <f>+C44+'14'!D44</f>
        <v>0</v>
      </c>
      <c r="E44" s="142">
        <f t="shared" si="4"/>
        <v>0</v>
      </c>
      <c r="F44" s="321"/>
      <c r="G44" s="322"/>
      <c r="H44" s="187" t="s">
        <v>74</v>
      </c>
      <c r="I44" s="117">
        <f>I43/I38</f>
        <v>1.3341704598964057</v>
      </c>
      <c r="J44" s="133">
        <f>J43/J38</f>
        <v>1.3343536681999968</v>
      </c>
      <c r="K44" s="129" t="s">
        <v>63</v>
      </c>
    </row>
    <row r="45" spans="1:26" ht="17.45" customHeight="1">
      <c r="A45" s="759" t="s">
        <v>18</v>
      </c>
      <c r="B45" s="760"/>
      <c r="C45" s="163">
        <f>SUMIF($G$7:$G$31,"Boiler",$F$7:$F$31)</f>
        <v>0</v>
      </c>
      <c r="D45" s="117">
        <f>+C45+'14'!D45</f>
        <v>0</v>
      </c>
      <c r="E45" s="142">
        <f t="shared" si="4"/>
        <v>0</v>
      </c>
      <c r="F45" s="321"/>
      <c r="G45" s="324"/>
      <c r="H45" s="187" t="s">
        <v>75</v>
      </c>
      <c r="I45" s="117">
        <f>I43/I40</f>
        <v>1.3719635219110644</v>
      </c>
      <c r="J45" s="133">
        <f>J43/J40</f>
        <v>1.3798427849522739</v>
      </c>
      <c r="K45" s="129" t="s">
        <v>63</v>
      </c>
    </row>
    <row r="46" spans="1:26" ht="17.45" customHeight="1">
      <c r="A46" s="759" t="s">
        <v>76</v>
      </c>
      <c r="B46" s="760"/>
      <c r="C46" s="163">
        <f>SUMIF($G$7:$G$31,"Gas",$F$7:$F$31)</f>
        <v>0</v>
      </c>
      <c r="D46" s="117">
        <f>+C46+'14'!D46</f>
        <v>0</v>
      </c>
      <c r="E46" s="142">
        <f t="shared" si="4"/>
        <v>0</v>
      </c>
      <c r="F46" s="321"/>
      <c r="G46" s="322"/>
      <c r="H46" s="187" t="s">
        <v>77</v>
      </c>
      <c r="I46" s="139">
        <f>+SUMIF(Listrik!P22,"&gt;0")</f>
        <v>37221.1</v>
      </c>
      <c r="J46" s="134">
        <f>+I46+'14'!J46</f>
        <v>556228.05999999901</v>
      </c>
      <c r="K46" s="129" t="s">
        <v>78</v>
      </c>
    </row>
    <row r="47" spans="1:26" ht="17.45" customHeight="1">
      <c r="A47" s="759" t="s">
        <v>79</v>
      </c>
      <c r="B47" s="760"/>
      <c r="C47" s="163">
        <f>SUMIF($G$7:$G$31,"Gas",$F$7:$F$31)</f>
        <v>0</v>
      </c>
      <c r="D47" s="117">
        <f>+C47+'14'!D47</f>
        <v>0</v>
      </c>
      <c r="E47" s="142">
        <f t="shared" si="4"/>
        <v>0</v>
      </c>
      <c r="F47" s="321"/>
      <c r="G47" s="322"/>
      <c r="H47" s="187" t="s">
        <v>80</v>
      </c>
      <c r="I47" s="117">
        <f>I46/I38</f>
        <v>973.7116098990216</v>
      </c>
      <c r="J47" s="134">
        <f>J46/J38</f>
        <v>943.80080393790274</v>
      </c>
      <c r="K47" s="129" t="s">
        <v>24</v>
      </c>
    </row>
    <row r="48" spans="1:26" ht="17.45" customHeight="1">
      <c r="A48" s="759" t="s">
        <v>14</v>
      </c>
      <c r="B48" s="760"/>
      <c r="C48" s="163">
        <f>SUMIF($G$7:$G$31,"Start Up",$F$7:$F$31)</f>
        <v>0</v>
      </c>
      <c r="D48" s="117">
        <f>+C48+'14'!D48</f>
        <v>0</v>
      </c>
      <c r="E48" s="142">
        <f t="shared" si="4"/>
        <v>0</v>
      </c>
      <c r="F48" s="321"/>
      <c r="G48" s="322"/>
      <c r="H48" s="187" t="s">
        <v>81</v>
      </c>
      <c r="I48" s="117">
        <f>I46/I40</f>
        <v>1001.2939499098808</v>
      </c>
      <c r="J48" s="134">
        <f>J46/J40</f>
        <v>975.9756807973032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+C49+'14'!D49</f>
        <v>0</v>
      </c>
      <c r="E49" s="142">
        <f t="shared" si="4"/>
        <v>0</v>
      </c>
      <c r="F49" s="184"/>
      <c r="H49" s="187" t="s">
        <v>269</v>
      </c>
      <c r="I49" s="117">
        <f>+Report1!T23</f>
        <v>5032.133280838807</v>
      </c>
      <c r="J49" s="134">
        <f>+I49+'14'!J49</f>
        <v>67190.852099147596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+C50+'14'!D50</f>
        <v>0</v>
      </c>
      <c r="E50" s="142">
        <f t="shared" si="4"/>
        <v>0</v>
      </c>
      <c r="F50" s="184"/>
      <c r="H50" s="187" t="s">
        <v>83</v>
      </c>
      <c r="I50" s="139">
        <f>I49/I38</f>
        <v>131.64163869719059</v>
      </c>
      <c r="J50" s="132">
        <f>J49/J38</f>
        <v>114.00859609356698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+C51+'14'!D51</f>
        <v>0</v>
      </c>
      <c r="E51" s="142">
        <f t="shared" si="4"/>
        <v>0</v>
      </c>
      <c r="F51" s="184"/>
      <c r="H51" s="189" t="s">
        <v>85</v>
      </c>
      <c r="I51" s="140">
        <f>I49/I40</f>
        <v>135.3706529157939</v>
      </c>
      <c r="J51" s="135">
        <f>J49/J40</f>
        <v>117.89523459283338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68</v>
      </c>
      <c r="D52" s="143">
        <f>SUM(D38:D51)</f>
        <v>1623</v>
      </c>
      <c r="E52" s="144">
        <f>SUM(E38:E51)</f>
        <v>27.049999999999997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4.7222222222222221E-2</v>
      </c>
      <c r="D53" s="145">
        <f>D52/(24*60*G4)</f>
        <v>7.5138888888888894E-2</v>
      </c>
      <c r="E53" s="146">
        <f>E52/(G4*24)</f>
        <v>7.513888888888888E-2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+D34+'14'!J56</f>
        <v>1454</v>
      </c>
      <c r="K56" s="200">
        <f>J56/(J40+J56/1000)/1000</f>
        <v>2.544743022958693E-3</v>
      </c>
    </row>
    <row r="57" spans="1:11">
      <c r="A57" s="175"/>
      <c r="I57" s="198" t="s">
        <v>88</v>
      </c>
      <c r="J57" s="199">
        <f>+E34+'14'!J57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W78"/>
  <sheetViews>
    <sheetView view="pageBreakPreview" topLeftCell="A31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14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522</v>
      </c>
      <c r="O6" s="148">
        <v>1210</v>
      </c>
      <c r="P6" s="148">
        <f>+O6-(O6*0.27)</f>
        <v>883.3</v>
      </c>
      <c r="Q6" s="148">
        <v>480</v>
      </c>
      <c r="R6" s="148">
        <f>+O6*Q6</f>
        <v>580800</v>
      </c>
      <c r="S6" s="148">
        <f>+P6*Q6</f>
        <v>423984</v>
      </c>
    </row>
    <row r="7" spans="1:19" ht="13.5" customHeight="1" thickBot="1">
      <c r="A7" s="745" t="s">
        <v>387</v>
      </c>
      <c r="B7" s="214" t="s">
        <v>537</v>
      </c>
      <c r="C7" s="215">
        <v>8387</v>
      </c>
      <c r="D7" s="216"/>
      <c r="E7" s="217"/>
      <c r="F7" s="227"/>
      <c r="G7" s="228" t="s">
        <v>12</v>
      </c>
      <c r="H7" s="229" t="s">
        <v>384</v>
      </c>
      <c r="I7" s="748" t="s">
        <v>530</v>
      </c>
      <c r="J7" s="213" t="str">
        <f>+'13'!J7</f>
        <v>F 14 VP OW</v>
      </c>
      <c r="K7" s="237"/>
      <c r="L7" s="241"/>
      <c r="M7" s="116">
        <f>+K7+'13'!M7+L7</f>
        <v>185476</v>
      </c>
      <c r="P7" s="148">
        <f>+O7-(O7*0.24)</f>
        <v>0</v>
      </c>
      <c r="Q7" s="148">
        <f>480-Q6</f>
        <v>0</v>
      </c>
      <c r="R7" s="148">
        <f>+O7*Q7</f>
        <v>0</v>
      </c>
      <c r="S7" s="148">
        <f>+P7*Q7</f>
        <v>0</v>
      </c>
    </row>
    <row r="8" spans="1:19" ht="13.5" thickBot="1">
      <c r="A8" s="746"/>
      <c r="B8" s="214"/>
      <c r="C8" s="215"/>
      <c r="D8" s="216"/>
      <c r="E8" s="218"/>
      <c r="F8" s="230">
        <v>3</v>
      </c>
      <c r="G8" s="231" t="s">
        <v>12</v>
      </c>
      <c r="H8" s="229" t="s">
        <v>532</v>
      </c>
      <c r="I8" s="749"/>
      <c r="J8" s="213" t="str">
        <f>+'13'!J8</f>
        <v>F 15 VP OW</v>
      </c>
      <c r="K8" s="238"/>
      <c r="L8" s="238"/>
      <c r="M8" s="116">
        <f>+K8+'13'!M8+L8</f>
        <v>95546</v>
      </c>
    </row>
    <row r="9" spans="1:19" ht="13.5" thickBot="1">
      <c r="A9" s="746"/>
      <c r="B9" s="214"/>
      <c r="C9" s="215"/>
      <c r="D9" s="216"/>
      <c r="E9" s="219"/>
      <c r="F9" s="227">
        <v>17</v>
      </c>
      <c r="G9" s="231" t="s">
        <v>12</v>
      </c>
      <c r="H9" s="232" t="s">
        <v>461</v>
      </c>
      <c r="I9" s="749"/>
      <c r="J9" s="213" t="str">
        <f>+'13'!J9</f>
        <v>T 12 VP OW</v>
      </c>
      <c r="K9" s="238"/>
      <c r="L9" s="238"/>
      <c r="M9" s="116">
        <f>+K9+'13'!M9+L9</f>
        <v>50578</v>
      </c>
      <c r="P9" s="148">
        <f>+O9-(O9*0.2)</f>
        <v>0</v>
      </c>
      <c r="R9" s="148">
        <f>+O9*Q9</f>
        <v>0</v>
      </c>
      <c r="S9" s="148">
        <f>+P9*Q9</f>
        <v>0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516</v>
      </c>
      <c r="I10" s="749"/>
      <c r="J10" s="213" t="str">
        <f>+'13'!J10</f>
        <v>T 13 VP OW</v>
      </c>
      <c r="K10" s="238"/>
      <c r="L10" s="238"/>
      <c r="M10" s="116">
        <f>+K10+'13'!M10+L10</f>
        <v>119099</v>
      </c>
      <c r="P10" s="148">
        <f>+O10-(O10*0.23)</f>
        <v>0</v>
      </c>
      <c r="R10" s="148">
        <f>+O10*Q10</f>
        <v>0</v>
      </c>
      <c r="S10" s="148">
        <f>+P10*Q10</f>
        <v>0</v>
      </c>
    </row>
    <row r="11" spans="1:19" ht="39" thickBot="1">
      <c r="A11" s="746"/>
      <c r="B11" s="214"/>
      <c r="C11" s="215"/>
      <c r="D11" s="216"/>
      <c r="E11" s="218"/>
      <c r="F11" s="227"/>
      <c r="G11" s="231"/>
      <c r="H11" s="232" t="s">
        <v>517</v>
      </c>
      <c r="I11" s="749"/>
      <c r="J11" s="213" t="str">
        <f>+'13'!J11</f>
        <v>T 15 VP OW</v>
      </c>
      <c r="K11" s="238"/>
      <c r="L11" s="238"/>
      <c r="M11" s="116">
        <f>+K11+'13'!M11+L11</f>
        <v>25864</v>
      </c>
      <c r="P11" s="148">
        <f>+O11-(O11*0.23)</f>
        <v>0</v>
      </c>
      <c r="R11" s="148">
        <f>+O11*Q11</f>
        <v>0</v>
      </c>
      <c r="S11" s="148">
        <f>+P11*Q11</f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tr">
        <f>+'13'!J12</f>
        <v>F 12 VP OW</v>
      </c>
      <c r="K12" s="238">
        <f>+C34</f>
        <v>33350</v>
      </c>
      <c r="L12" s="238"/>
      <c r="M12" s="116">
        <f>+K12+'13'!M12+L12</f>
        <v>56184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+'13'!J13</f>
        <v>0</v>
      </c>
      <c r="K13" s="238"/>
      <c r="L13" s="238"/>
      <c r="M13" s="116">
        <f>+K13+'13'!M13+L13</f>
        <v>0</v>
      </c>
    </row>
    <row r="14" spans="1:19" ht="13.5" thickBot="1">
      <c r="A14" s="747"/>
      <c r="B14" s="164" t="s">
        <v>2</v>
      </c>
      <c r="C14" s="98">
        <f>SUM(C7:C13)</f>
        <v>8387</v>
      </c>
      <c r="D14" s="110">
        <f>SUM(D7:D13)</f>
        <v>0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>
        <f>+'13'!J14</f>
        <v>0</v>
      </c>
      <c r="K14" s="238"/>
      <c r="L14" s="238"/>
      <c r="M14" s="116">
        <f>+K14+'13'!M14+L14</f>
        <v>0</v>
      </c>
      <c r="Q14" s="175">
        <f>SUM(Q6:Q11)</f>
        <v>480</v>
      </c>
      <c r="R14" s="175">
        <f>SUM(R6:R11)</f>
        <v>580800</v>
      </c>
      <c r="S14" s="175">
        <f>SUM(S6:S11)</f>
        <v>423984</v>
      </c>
    </row>
    <row r="15" spans="1:19" ht="13.5" customHeight="1" thickBot="1">
      <c r="A15" s="745" t="s">
        <v>438</v>
      </c>
      <c r="B15" s="164"/>
      <c r="C15" s="112">
        <f>C14/($C$23+$D$23+$E$23)</f>
        <v>0.70550134589502023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529</v>
      </c>
      <c r="J15" s="213">
        <f>+'13'!J15</f>
        <v>0</v>
      </c>
      <c r="K15" s="238"/>
      <c r="L15" s="238"/>
      <c r="M15" s="116">
        <f>+K15+'13'!M15+L15</f>
        <v>0</v>
      </c>
      <c r="R15" s="175">
        <f>+R14/Q14</f>
        <v>1210</v>
      </c>
      <c r="S15" s="175">
        <f>+S14/Q14</f>
        <v>883.3</v>
      </c>
    </row>
    <row r="16" spans="1:19" ht="13.5" thickBot="1">
      <c r="A16" s="751"/>
      <c r="B16" s="214" t="s">
        <v>537</v>
      </c>
      <c r="C16" s="221">
        <v>11888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+'13'!J16</f>
        <v>0</v>
      </c>
      <c r="K16" s="228"/>
      <c r="L16" s="228"/>
      <c r="M16" s="116">
        <f>+K16+'13'!M16+L16</f>
        <v>0</v>
      </c>
    </row>
    <row r="17" spans="1:19" ht="13.5" thickBot="1">
      <c r="A17" s="751"/>
      <c r="B17" s="214"/>
      <c r="C17" s="215"/>
      <c r="D17" s="216"/>
      <c r="E17" s="224"/>
      <c r="F17" s="227">
        <f>23-9</f>
        <v>14</v>
      </c>
      <c r="G17" s="231" t="s">
        <v>12</v>
      </c>
      <c r="H17" s="232" t="s">
        <v>434</v>
      </c>
      <c r="I17" s="749"/>
      <c r="J17" s="213">
        <f>+'13'!J17</f>
        <v>0</v>
      </c>
      <c r="K17" s="228"/>
      <c r="L17" s="228"/>
      <c r="M17" s="116">
        <f>+K17+'13'!M17+L17</f>
        <v>0</v>
      </c>
      <c r="N17" s="148" t="s">
        <v>522</v>
      </c>
      <c r="O17" s="148">
        <v>1210</v>
      </c>
      <c r="P17" s="148">
        <f>+O17-(O17*0.275)</f>
        <v>877.25</v>
      </c>
      <c r="Q17" s="148">
        <v>240</v>
      </c>
      <c r="R17" s="148">
        <f>+O17*Q17</f>
        <v>290400</v>
      </c>
      <c r="S17" s="148">
        <f>+P17*Q17</f>
        <v>210540</v>
      </c>
    </row>
    <row r="18" spans="1:19" ht="51.7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514</v>
      </c>
      <c r="I18" s="749"/>
      <c r="J18" s="213">
        <f>+'13'!J18</f>
        <v>0</v>
      </c>
      <c r="K18" s="238"/>
      <c r="L18" s="238"/>
      <c r="M18" s="116">
        <f>+K18+'13'!M18+L18</f>
        <v>0</v>
      </c>
      <c r="O18" s="148">
        <v>1180</v>
      </c>
      <c r="P18" s="148">
        <f>+O18-(O18*0.275)</f>
        <v>855.5</v>
      </c>
      <c r="Q18" s="148">
        <f>480-Q17</f>
        <v>240</v>
      </c>
      <c r="R18" s="148">
        <f>+O18*Q18</f>
        <v>283200</v>
      </c>
      <c r="S18" s="148">
        <f>+P18*Q18</f>
        <v>205320</v>
      </c>
    </row>
    <row r="19" spans="1:19" ht="26.25" thickBot="1">
      <c r="A19" s="751"/>
      <c r="B19" s="214"/>
      <c r="C19" s="215"/>
      <c r="D19" s="216"/>
      <c r="E19" s="224"/>
      <c r="F19" s="234"/>
      <c r="G19" s="231"/>
      <c r="H19" s="232" t="s">
        <v>515</v>
      </c>
      <c r="I19" s="749"/>
      <c r="J19" s="213">
        <f>+'13'!J19</f>
        <v>0</v>
      </c>
      <c r="K19" s="238"/>
      <c r="L19" s="238"/>
      <c r="M19" s="116">
        <f>+K19+'13'!M19+L19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+'13'!J20</f>
        <v>0</v>
      </c>
      <c r="K20" s="239"/>
      <c r="L20" s="239"/>
      <c r="M20" s="116">
        <f>+K20+'13'!M20+L20</f>
        <v>0</v>
      </c>
      <c r="P20" s="148">
        <f>+O20-(O20*0.2)</f>
        <v>0</v>
      </c>
      <c r="R20" s="148">
        <f>+O20*Q20</f>
        <v>0</v>
      </c>
      <c r="S20" s="148">
        <f>+P20*Q20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+'13'!J21</f>
        <v>0</v>
      </c>
      <c r="K21" s="238"/>
      <c r="L21" s="238"/>
      <c r="M21" s="116">
        <f>+K21+'13'!M21+L21</f>
        <v>0</v>
      </c>
      <c r="P21" s="148">
        <f>+O21-(O21*0.23)</f>
        <v>0</v>
      </c>
      <c r="R21" s="148">
        <f>+O21*Q21</f>
        <v>0</v>
      </c>
      <c r="S21" s="148">
        <f>+P21*Q21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+'13'!J22</f>
        <v>0</v>
      </c>
      <c r="K22" s="238"/>
      <c r="L22" s="238"/>
      <c r="M22" s="116">
        <f>+K22+'13'!M22+L22</f>
        <v>0</v>
      </c>
      <c r="P22" s="148">
        <f>+O22-(O22*0.23)</f>
        <v>0</v>
      </c>
      <c r="R22" s="148">
        <f>+O22*Q22</f>
        <v>0</v>
      </c>
      <c r="S22" s="148">
        <f>+P22*Q22</f>
        <v>0</v>
      </c>
    </row>
    <row r="23" spans="1:19" ht="13.5" thickBot="1">
      <c r="A23" s="752"/>
      <c r="B23" s="167" t="s">
        <v>2</v>
      </c>
      <c r="C23" s="99">
        <f>SUM(C16:C22)</f>
        <v>11888</v>
      </c>
      <c r="D23" s="110">
        <f>SUM(D16:D22)</f>
        <v>0</v>
      </c>
      <c r="E23" s="111">
        <f>SUM(E18:E22)</f>
        <v>0</v>
      </c>
      <c r="F23" s="115">
        <f>SUM(F15:F22)</f>
        <v>23</v>
      </c>
      <c r="G23" s="158"/>
      <c r="H23" s="165"/>
      <c r="I23" s="168"/>
      <c r="J23" s="213">
        <f>+'13'!J23</f>
        <v>0</v>
      </c>
      <c r="K23" s="238"/>
      <c r="L23" s="238"/>
      <c r="M23" s="116">
        <f>+K23+'13'!M23+L23</f>
        <v>0</v>
      </c>
    </row>
    <row r="24" spans="1:19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423</v>
      </c>
      <c r="I24" s="748" t="s">
        <v>528</v>
      </c>
      <c r="J24" s="213">
        <f>+'13'!J24</f>
        <v>0</v>
      </c>
      <c r="K24" s="238"/>
      <c r="L24" s="238"/>
      <c r="M24" s="116">
        <f>+K24+'13'!M24+L24</f>
        <v>0</v>
      </c>
    </row>
    <row r="25" spans="1:19" ht="13.5" thickBot="1">
      <c r="A25" s="751"/>
      <c r="B25" s="214" t="s">
        <v>537</v>
      </c>
      <c r="C25" s="225">
        <v>13075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+'13'!J25</f>
        <v>0</v>
      </c>
      <c r="K25" s="238"/>
      <c r="L25" s="238"/>
      <c r="M25" s="116">
        <f>+K25+'13'!M25+L25</f>
        <v>0</v>
      </c>
      <c r="Q25" s="175">
        <f>SUM(Q17:Q22)</f>
        <v>480</v>
      </c>
      <c r="R25" s="175">
        <f>SUM(R17:R22)</f>
        <v>573600</v>
      </c>
      <c r="S25" s="175">
        <f>SUM(S17:S22)</f>
        <v>415860</v>
      </c>
    </row>
    <row r="26" spans="1:19" ht="13.5" thickBot="1">
      <c r="A26" s="751"/>
      <c r="B26" s="214"/>
      <c r="C26" s="225"/>
      <c r="D26" s="216"/>
      <c r="E26" s="226"/>
      <c r="F26" s="227">
        <v>12</v>
      </c>
      <c r="G26" s="231" t="s">
        <v>12</v>
      </c>
      <c r="H26" s="232" t="s">
        <v>406</v>
      </c>
      <c r="I26" s="749"/>
      <c r="J26" s="213">
        <f>+'13'!J26</f>
        <v>0</v>
      </c>
      <c r="K26" s="238"/>
      <c r="L26" s="238"/>
      <c r="M26" s="116">
        <f>+K26+'13'!M26+L26</f>
        <v>0</v>
      </c>
      <c r="R26" s="175">
        <f>+R25/Q25</f>
        <v>1195</v>
      </c>
      <c r="S26" s="175">
        <f>+S25/Q25</f>
        <v>866.375</v>
      </c>
    </row>
    <row r="27" spans="1:19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512</v>
      </c>
      <c r="I27" s="749"/>
      <c r="J27" s="213">
        <f>+'13'!J27</f>
        <v>0</v>
      </c>
      <c r="K27" s="238"/>
      <c r="L27" s="238"/>
      <c r="M27" s="116">
        <f>+K27+'13'!M27+L27</f>
        <v>0</v>
      </c>
      <c r="N27" s="148" t="s">
        <v>522</v>
      </c>
      <c r="O27" s="148">
        <v>1190</v>
      </c>
      <c r="P27" s="148">
        <f>+O27-(O27*0.24)</f>
        <v>904.40000000000009</v>
      </c>
      <c r="Q27" s="148">
        <f>60*5+56</f>
        <v>356</v>
      </c>
      <c r="R27" s="148">
        <f>+O27*Q27</f>
        <v>423640</v>
      </c>
      <c r="S27" s="148">
        <f>+P27*Q27</f>
        <v>321966.40000000002</v>
      </c>
    </row>
    <row r="28" spans="1:19" ht="39" thickBot="1">
      <c r="A28" s="751"/>
      <c r="B28" s="214"/>
      <c r="C28" s="215"/>
      <c r="D28" s="216"/>
      <c r="E28" s="224"/>
      <c r="F28" s="230"/>
      <c r="G28" s="231"/>
      <c r="H28" s="232" t="s">
        <v>513</v>
      </c>
      <c r="I28" s="749"/>
      <c r="J28" s="213">
        <f>+'13'!J28</f>
        <v>0</v>
      </c>
      <c r="K28" s="238"/>
      <c r="L28" s="238"/>
      <c r="M28" s="116">
        <f>+K28+'13'!M28+L28</f>
        <v>0</v>
      </c>
      <c r="O28" s="148">
        <f>+O27-30</f>
        <v>1160</v>
      </c>
      <c r="P28" s="148">
        <f>+O28-(O28*0.24)</f>
        <v>881.6</v>
      </c>
      <c r="Q28" s="148">
        <f>480-Q27</f>
        <v>124</v>
      </c>
      <c r="R28" s="148">
        <f>+O28*Q28</f>
        <v>143840</v>
      </c>
      <c r="S28" s="148">
        <f>+P28*Q28</f>
        <v>109318.40000000001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+'13'!J29</f>
        <v>0</v>
      </c>
      <c r="K29" s="238"/>
      <c r="L29" s="238"/>
      <c r="M29" s="116">
        <f>+K29+'13'!M29+L29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+'13'!J30</f>
        <v>0</v>
      </c>
      <c r="K30" s="238"/>
      <c r="L30" s="238"/>
      <c r="M30" s="116">
        <f>+K30+'13'!M30+L30</f>
        <v>0</v>
      </c>
      <c r="P30" s="148">
        <f>+O30-(O30*0.2)</f>
        <v>0</v>
      </c>
      <c r="R30" s="148">
        <f>+O30*Q30</f>
        <v>0</v>
      </c>
      <c r="S30" s="148">
        <f>+P30*Q30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+'13'!J31</f>
        <v>0</v>
      </c>
      <c r="K31" s="238"/>
      <c r="L31" s="238"/>
      <c r="M31" s="116">
        <f>+K31+'13'!M31+L31</f>
        <v>0</v>
      </c>
      <c r="P31" s="148">
        <f>+O31-(O31*0.23)</f>
        <v>0</v>
      </c>
      <c r="R31" s="148">
        <f>+O31*Q31</f>
        <v>0</v>
      </c>
      <c r="S31" s="148">
        <f>+P31*Q31</f>
        <v>0</v>
      </c>
    </row>
    <row r="32" spans="1:19" ht="13.5" thickBot="1">
      <c r="A32" s="752"/>
      <c r="B32" s="164" t="s">
        <v>2</v>
      </c>
      <c r="C32" s="98">
        <f>SUM(C25:C31)</f>
        <v>13075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+'13'!J32</f>
        <v>0</v>
      </c>
      <c r="K32" s="240"/>
      <c r="L32" s="242"/>
      <c r="M32" s="116">
        <f>+K32+'13'!M32+L32</f>
        <v>0</v>
      </c>
      <c r="P32" s="148">
        <f>+O32-(O32*0.23)</f>
        <v>0</v>
      </c>
      <c r="R32" s="148">
        <f>+O32*Q32</f>
        <v>0</v>
      </c>
      <c r="S32" s="148">
        <f>+P32*Q32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33350</v>
      </c>
      <c r="D34" s="106">
        <f>D14+D23+D32</f>
        <v>0</v>
      </c>
      <c r="E34" s="106">
        <f>E14+E23+E32</f>
        <v>0</v>
      </c>
      <c r="F34" s="107">
        <f>F14+F23+F32</f>
        <v>61</v>
      </c>
      <c r="H34" s="177"/>
      <c r="I34" s="177"/>
      <c r="J34" s="122" t="s">
        <v>28</v>
      </c>
      <c r="K34" s="123">
        <f>SUM(K7:K32)</f>
        <v>33350</v>
      </c>
      <c r="L34" s="211">
        <f>SUM(L7:L32)</f>
        <v>0</v>
      </c>
      <c r="M34" s="119">
        <f>SUM(M7:M32)</f>
        <v>532747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567480</v>
      </c>
      <c r="S35" s="175">
        <f>SUM(S27:S32)</f>
        <v>431284.80000000005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1182.25</v>
      </c>
      <c r="S36" s="175">
        <f>+S35/Q35</f>
        <v>898.5100000000001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(12*1440)/1440*G42*2.74*1440/1000000</f>
        <v>41.794714944000006</v>
      </c>
      <c r="J37" s="124">
        <f>+I37+'13'!J37</f>
        <v>617.32416638861127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61</v>
      </c>
      <c r="D38" s="117">
        <f>+C38+'13'!D38</f>
        <v>990</v>
      </c>
      <c r="E38" s="142">
        <f t="shared" ref="E38:E51" si="0">D38/60</f>
        <v>16.5</v>
      </c>
      <c r="F38" s="321">
        <v>1210</v>
      </c>
      <c r="G38" s="321">
        <v>883.3</v>
      </c>
      <c r="H38" s="186" t="s">
        <v>64</v>
      </c>
      <c r="I38" s="244">
        <f>12.515+12.082+12.212</f>
        <v>36.808999999999997</v>
      </c>
      <c r="J38" s="126">
        <f>+I38+'13'!J38</f>
        <v>551.12299999999993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+C39+'13'!D39</f>
        <v>0</v>
      </c>
      <c r="E39" s="142">
        <f t="shared" si="0"/>
        <v>0</v>
      </c>
      <c r="F39" s="321">
        <v>1195</v>
      </c>
      <c r="G39" s="321">
        <v>866.375</v>
      </c>
      <c r="H39" s="186" t="s">
        <v>65</v>
      </c>
      <c r="I39" s="141"/>
      <c r="J39" s="128">
        <f>J37/G4</f>
        <v>44.094583313472235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+C40+'13'!D40</f>
        <v>481</v>
      </c>
      <c r="E40" s="142">
        <f t="shared" si="0"/>
        <v>8.0166666666666675</v>
      </c>
      <c r="F40" s="321">
        <v>1182.25</v>
      </c>
      <c r="G40" s="321">
        <v>898.5100000000001</v>
      </c>
      <c r="H40" s="186" t="s">
        <v>67</v>
      </c>
      <c r="I40" s="117">
        <f>(K34+L34)/1000</f>
        <v>33.35</v>
      </c>
      <c r="J40" s="130">
        <f>+I40+'13'!J40</f>
        <v>532.74699999999996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+C41+'13'!D41</f>
        <v>84</v>
      </c>
      <c r="E41" s="142">
        <f t="shared" si="0"/>
        <v>1.4</v>
      </c>
      <c r="F41" s="321"/>
      <c r="G41" s="321"/>
      <c r="H41" s="186" t="s">
        <v>69</v>
      </c>
      <c r="I41" s="141"/>
      <c r="J41" s="128">
        <f>J40/G4</f>
        <v>38.053357142857138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+C42+'13'!D42</f>
        <v>0</v>
      </c>
      <c r="E42" s="142">
        <f t="shared" si="0"/>
        <v>0</v>
      </c>
      <c r="F42" s="321">
        <f>+(480*F38+480*F39+480*F40)/1440</f>
        <v>1195.75</v>
      </c>
      <c r="G42" s="321">
        <f>+(480*G38+480*G39+480*G40)/1440</f>
        <v>882.72833333333335</v>
      </c>
      <c r="H42" s="186" t="s">
        <v>70</v>
      </c>
      <c r="I42" s="245" t="s">
        <v>531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+C43+'13'!D43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+Report1!Z22</f>
        <v>55.3</v>
      </c>
      <c r="J43" s="132">
        <f>+I43+'13'!J43</f>
        <v>735.39999999999986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+C44+'13'!D44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1.5023499687576409</v>
      </c>
      <c r="J44" s="133">
        <f>J43/J38</f>
        <v>1.3343663755640753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+C45+'13'!D45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1.6581709145427286</v>
      </c>
      <c r="J45" s="133">
        <f>J43/J40</f>
        <v>1.3803925690806329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+C46+'13'!D46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+SUMIF(Listrik!P21,"&gt;0")</f>
        <v>34866.820000000364</v>
      </c>
      <c r="J46" s="134">
        <f>+I46+'13'!J46</f>
        <v>519006.95999999897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+C47+'13'!D47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947.23627373741112</v>
      </c>
      <c r="J47" s="134">
        <f>J46/J38</f>
        <v>941.72618453593668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+C48+'13'!D48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1045.4818590704756</v>
      </c>
      <c r="J48" s="134">
        <f>J46/J40</f>
        <v>974.20907109753603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+C49+'13'!D49</f>
        <v>0</v>
      </c>
      <c r="E49" s="142">
        <f t="shared" si="0"/>
        <v>0</v>
      </c>
      <c r="F49" s="184"/>
      <c r="H49" s="187" t="s">
        <v>269</v>
      </c>
      <c r="I49" s="117">
        <f>+Report1!T22</f>
        <v>4993.6499833684438</v>
      </c>
      <c r="J49" s="134">
        <f>+I49+'13'!J49</f>
        <v>62158.718818308786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+C50+'13'!D50</f>
        <v>0</v>
      </c>
      <c r="E50" s="142">
        <f t="shared" si="0"/>
        <v>0</v>
      </c>
      <c r="F50" s="184"/>
      <c r="H50" s="187" t="s">
        <v>83</v>
      </c>
      <c r="I50" s="139">
        <f>I49/I38</f>
        <v>135.66383176311348</v>
      </c>
      <c r="J50" s="132">
        <f>J49/J38</f>
        <v>112.78556478011042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+C51+'13'!D51</f>
        <v>0</v>
      </c>
      <c r="E51" s="142">
        <f t="shared" si="0"/>
        <v>0</v>
      </c>
      <c r="F51" s="184"/>
      <c r="H51" s="189" t="s">
        <v>85</v>
      </c>
      <c r="I51" s="140">
        <f>I49/I40</f>
        <v>149.73463218496082</v>
      </c>
      <c r="J51" s="135">
        <f>J49/J40</f>
        <v>116.67586831706005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61</v>
      </c>
      <c r="D52" s="143">
        <f>SUM(D38:D51)</f>
        <v>1555</v>
      </c>
      <c r="E52" s="144">
        <f>SUM(E38:E51)</f>
        <v>25.916666666666664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4.2361111111111113E-2</v>
      </c>
      <c r="D53" s="145">
        <f>D52/(24*60*G4)</f>
        <v>7.7132936507936511E-2</v>
      </c>
      <c r="E53" s="146">
        <f>E52/(G4*24)</f>
        <v>7.7132936507936498E-2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+D34+'13'!J56</f>
        <v>917</v>
      </c>
      <c r="K56" s="200">
        <f>J56/(J40+J56/1000)/1000</f>
        <v>1.7183096480182288E-3</v>
      </c>
    </row>
    <row r="57" spans="1:11">
      <c r="A57" s="175"/>
      <c r="I57" s="198" t="s">
        <v>88</v>
      </c>
      <c r="J57" s="199">
        <f>+E34+'13'!J57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  <row r="78" spans="23:23">
      <c r="W78" s="148">
        <f>+'14'!K8/1000</f>
        <v>0</v>
      </c>
    </row>
  </sheetData>
  <mergeCells count="24"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A61"/>
  <sheetViews>
    <sheetView view="pageBreakPreview" topLeftCell="A34" zoomScale="85" zoomScaleNormal="70" zoomScaleSheetLayoutView="85" workbookViewId="0">
      <selection activeCell="C9" sqref="C9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13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456</v>
      </c>
      <c r="O6" s="148">
        <v>1210</v>
      </c>
      <c r="P6" s="148">
        <f>+O6-(O6*0.24)</f>
        <v>919.6</v>
      </c>
      <c r="Q6" s="148">
        <f>60*2+35</f>
        <v>155</v>
      </c>
      <c r="R6" s="148">
        <f>+O6*Q6</f>
        <v>187550</v>
      </c>
      <c r="S6" s="148">
        <f>+P6*Q6</f>
        <v>142538</v>
      </c>
    </row>
    <row r="7" spans="1:19" ht="13.5" customHeight="1" thickBot="1">
      <c r="A7" s="745" t="s">
        <v>387</v>
      </c>
      <c r="B7" s="214" t="s">
        <v>469</v>
      </c>
      <c r="C7" s="215">
        <f>7519+3703</f>
        <v>11222</v>
      </c>
      <c r="D7" s="216"/>
      <c r="E7" s="217"/>
      <c r="F7" s="227">
        <v>12</v>
      </c>
      <c r="G7" s="228" t="s">
        <v>12</v>
      </c>
      <c r="H7" s="229" t="s">
        <v>423</v>
      </c>
      <c r="I7" s="748" t="s">
        <v>503</v>
      </c>
      <c r="J7" s="213" t="str">
        <f>+'12'!J7</f>
        <v>F 14 VP OW</v>
      </c>
      <c r="K7" s="237"/>
      <c r="L7" s="241"/>
      <c r="M7" s="116">
        <f>+K7+'12'!M7+L7</f>
        <v>185476</v>
      </c>
      <c r="N7" s="148" t="s">
        <v>522</v>
      </c>
      <c r="O7" s="148">
        <v>1210</v>
      </c>
      <c r="P7" s="148">
        <f>+O7-(O7*0.24)</f>
        <v>919.6</v>
      </c>
      <c r="Q7" s="148">
        <f>480-Q6</f>
        <v>325</v>
      </c>
      <c r="R7" s="148">
        <f>+O7*Q7</f>
        <v>393250</v>
      </c>
      <c r="S7" s="148">
        <f>+P7*Q7</f>
        <v>298870</v>
      </c>
    </row>
    <row r="8" spans="1:19" ht="13.5" thickBot="1">
      <c r="A8" s="746"/>
      <c r="B8" s="214" t="s">
        <v>537</v>
      </c>
      <c r="C8" s="215">
        <f>1221+525</f>
        <v>1746</v>
      </c>
      <c r="D8" s="216"/>
      <c r="E8" s="218"/>
      <c r="F8" s="230"/>
      <c r="G8" s="231" t="s">
        <v>12</v>
      </c>
      <c r="H8" s="229" t="s">
        <v>284</v>
      </c>
      <c r="I8" s="749"/>
      <c r="J8" s="213" t="str">
        <f>+'12'!J8</f>
        <v>F 15 VP OW</v>
      </c>
      <c r="K8" s="238"/>
      <c r="L8" s="238"/>
      <c r="M8" s="116">
        <f>+K8+'12'!M8+L8</f>
        <v>95546</v>
      </c>
    </row>
    <row r="9" spans="1:19" ht="13.5" thickBot="1">
      <c r="A9" s="746"/>
      <c r="B9" s="214"/>
      <c r="C9" s="215"/>
      <c r="D9" s="216"/>
      <c r="E9" s="219"/>
      <c r="F9" s="227">
        <f>23-12</f>
        <v>11</v>
      </c>
      <c r="G9" s="231" t="s">
        <v>12</v>
      </c>
      <c r="H9" s="232" t="s">
        <v>406</v>
      </c>
      <c r="I9" s="749"/>
      <c r="J9" s="213" t="str">
        <f>+'12'!J9</f>
        <v>T 12 VP OW</v>
      </c>
      <c r="K9" s="238">
        <f>+C7</f>
        <v>11222</v>
      </c>
      <c r="L9" s="238"/>
      <c r="M9" s="116">
        <f>+K9+'12'!M9+L9</f>
        <v>50578</v>
      </c>
      <c r="P9" s="148">
        <f>+O9-(O9*0.2)</f>
        <v>0</v>
      </c>
      <c r="R9" s="148">
        <f>+O9*Q9</f>
        <v>0</v>
      </c>
      <c r="S9" s="148">
        <f>+P9*Q9</f>
        <v>0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521</v>
      </c>
      <c r="I10" s="749"/>
      <c r="J10" s="213" t="str">
        <f>+'12'!J10</f>
        <v>T 13 VP OW</v>
      </c>
      <c r="K10" s="238"/>
      <c r="L10" s="238"/>
      <c r="M10" s="116">
        <f>+K10+'12'!M10+L10</f>
        <v>119099</v>
      </c>
      <c r="P10" s="148">
        <f>+O10-(O10*0.23)</f>
        <v>0</v>
      </c>
      <c r="R10" s="148">
        <f>+O10*Q10</f>
        <v>0</v>
      </c>
      <c r="S10" s="148">
        <f>+P10*Q10</f>
        <v>0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 t="s">
        <v>520</v>
      </c>
      <c r="I11" s="749"/>
      <c r="J11" s="213" t="str">
        <f>+'12'!J11</f>
        <v>T 15 VP OW</v>
      </c>
      <c r="K11" s="238"/>
      <c r="L11" s="238"/>
      <c r="M11" s="116">
        <f>+K11+'12'!M11+L11</f>
        <v>25864</v>
      </c>
      <c r="P11" s="148">
        <f>+O11-(O11*0.23)</f>
        <v>0</v>
      </c>
      <c r="R11" s="148">
        <f>+O11*Q11</f>
        <v>0</v>
      </c>
      <c r="S11" s="148">
        <f>+P11*Q11</f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 t="s">
        <v>537</v>
      </c>
      <c r="K12" s="238">
        <f>+C8+C16+C25</f>
        <v>22834</v>
      </c>
      <c r="L12" s="238"/>
      <c r="M12" s="116">
        <f>+K12+'12'!M12+L12</f>
        <v>22834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+'12'!J13</f>
        <v>0</v>
      </c>
      <c r="K13" s="238"/>
      <c r="L13" s="238"/>
      <c r="M13" s="116">
        <f>+K13+'12'!M13+L13</f>
        <v>0</v>
      </c>
    </row>
    <row r="14" spans="1:19" ht="13.5" thickBot="1">
      <c r="A14" s="747"/>
      <c r="B14" s="164" t="s">
        <v>2</v>
      </c>
      <c r="C14" s="98">
        <f>SUM(C7:C13)</f>
        <v>12968</v>
      </c>
      <c r="D14" s="110">
        <f>SUM(D7:D13)</f>
        <v>0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>
        <f>+'12'!J14</f>
        <v>0</v>
      </c>
      <c r="K14" s="238"/>
      <c r="L14" s="238"/>
      <c r="M14" s="116">
        <f>+K14+'12'!M14+L14</f>
        <v>0</v>
      </c>
      <c r="Q14" s="175">
        <f>SUM(Q6:Q11)</f>
        <v>480</v>
      </c>
      <c r="R14" s="175">
        <f>SUM(R6:R11)</f>
        <v>580800</v>
      </c>
      <c r="S14" s="175">
        <f>SUM(S6:S11)</f>
        <v>441408</v>
      </c>
    </row>
    <row r="15" spans="1:19" ht="13.5" customHeight="1" thickBot="1">
      <c r="A15" s="745" t="s">
        <v>438</v>
      </c>
      <c r="B15" s="164"/>
      <c r="C15" s="112">
        <f>C14/($C$23+$D$23+$E$23)</f>
        <v>1.0969379123667737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525</v>
      </c>
      <c r="J15" s="213">
        <f>+'12'!J15</f>
        <v>0</v>
      </c>
      <c r="K15" s="238"/>
      <c r="L15" s="238"/>
      <c r="M15" s="116">
        <f>+K15+'12'!M15+L15</f>
        <v>0</v>
      </c>
      <c r="R15" s="175">
        <f>+R14/Q14</f>
        <v>1210</v>
      </c>
      <c r="S15" s="175">
        <f>+S14/Q14</f>
        <v>919.6</v>
      </c>
    </row>
    <row r="16" spans="1:19" ht="13.5" thickBot="1">
      <c r="A16" s="751"/>
      <c r="B16" s="214" t="s">
        <v>537</v>
      </c>
      <c r="C16" s="221">
        <f>8274+3548</f>
        <v>11822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+'12'!J16</f>
        <v>0</v>
      </c>
      <c r="K16" s="228"/>
      <c r="L16" s="228"/>
      <c r="M16" s="116">
        <f>+K16+'12'!M16+L16</f>
        <v>0</v>
      </c>
      <c r="N16" s="148" t="s">
        <v>522</v>
      </c>
      <c r="O16" s="148">
        <v>1220</v>
      </c>
      <c r="P16" s="148">
        <f>+O16-(O16*0.25)</f>
        <v>915</v>
      </c>
      <c r="Q16" s="148">
        <v>480</v>
      </c>
      <c r="R16" s="148">
        <f>+O16*Q16</f>
        <v>585600</v>
      </c>
      <c r="S16" s="148">
        <f>+P16*Q16</f>
        <v>439200</v>
      </c>
    </row>
    <row r="17" spans="1:27" ht="13.5" thickBot="1">
      <c r="A17" s="751"/>
      <c r="B17" s="214"/>
      <c r="C17" s="215"/>
      <c r="D17" s="216"/>
      <c r="E17" s="224"/>
      <c r="F17" s="227">
        <v>20</v>
      </c>
      <c r="G17" s="231" t="s">
        <v>12</v>
      </c>
      <c r="H17" s="232" t="s">
        <v>406</v>
      </c>
      <c r="I17" s="749"/>
      <c r="J17" s="213">
        <f>+'12'!J17</f>
        <v>0</v>
      </c>
      <c r="K17" s="228"/>
      <c r="L17" s="228"/>
      <c r="M17" s="116">
        <f>+K17+'12'!M17+L17</f>
        <v>0</v>
      </c>
      <c r="P17" s="148">
        <f>+O17-(O17*0.24)</f>
        <v>0</v>
      </c>
      <c r="Q17" s="148">
        <f>480-Q16</f>
        <v>0</v>
      </c>
      <c r="R17" s="148">
        <f>+O17*Q17</f>
        <v>0</v>
      </c>
      <c r="S17" s="148">
        <f>+P17*Q17</f>
        <v>0</v>
      </c>
    </row>
    <row r="18" spans="1:27" ht="51.7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519</v>
      </c>
      <c r="I18" s="749"/>
      <c r="J18" s="213">
        <f>+'12'!J18</f>
        <v>0</v>
      </c>
      <c r="K18" s="238"/>
      <c r="L18" s="238"/>
      <c r="M18" s="116">
        <f>+K18+'12'!M18+L18</f>
        <v>0</v>
      </c>
    </row>
    <row r="19" spans="1:27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+'12'!J19</f>
        <v>0</v>
      </c>
      <c r="K19" s="238"/>
      <c r="L19" s="238"/>
      <c r="M19" s="116">
        <f>+K19+'12'!M19+L19</f>
        <v>0</v>
      </c>
      <c r="P19" s="148">
        <f>+O19-(O19*0.2)</f>
        <v>0</v>
      </c>
      <c r="R19" s="148">
        <f>+O19*Q19</f>
        <v>0</v>
      </c>
      <c r="S19" s="148">
        <f>+P19*Q19</f>
        <v>0</v>
      </c>
    </row>
    <row r="20" spans="1:27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+'12'!J20</f>
        <v>0</v>
      </c>
      <c r="K20" s="239"/>
      <c r="L20" s="239"/>
      <c r="M20" s="116">
        <f>+K20+'12'!M20+L20</f>
        <v>0</v>
      </c>
      <c r="P20" s="148">
        <f>+O20-(O20*0.23)</f>
        <v>0</v>
      </c>
      <c r="R20" s="148">
        <f>+O20*Q20</f>
        <v>0</v>
      </c>
      <c r="S20" s="148">
        <f>+P20*Q20</f>
        <v>0</v>
      </c>
    </row>
    <row r="21" spans="1:27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+'12'!J21</f>
        <v>0</v>
      </c>
      <c r="K21" s="238"/>
      <c r="L21" s="238"/>
      <c r="M21" s="116">
        <f>+K21+'12'!M21+L21</f>
        <v>0</v>
      </c>
      <c r="P21" s="148">
        <f>+O21-(O21*0.23)</f>
        <v>0</v>
      </c>
      <c r="R21" s="148">
        <f>+O21*Q21</f>
        <v>0</v>
      </c>
      <c r="S21" s="148">
        <f>+P21*Q21</f>
        <v>0</v>
      </c>
    </row>
    <row r="22" spans="1:27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+'12'!J22</f>
        <v>0</v>
      </c>
      <c r="K22" s="238"/>
      <c r="L22" s="238"/>
      <c r="M22" s="116">
        <f>+K22+'12'!M22+L22</f>
        <v>0</v>
      </c>
    </row>
    <row r="23" spans="1:27" ht="13.5" thickBot="1">
      <c r="A23" s="752"/>
      <c r="B23" s="167" t="s">
        <v>2</v>
      </c>
      <c r="C23" s="99">
        <f>SUM(C16:C22)</f>
        <v>11822</v>
      </c>
      <c r="D23" s="110">
        <f>SUM(D16:D22)</f>
        <v>0</v>
      </c>
      <c r="E23" s="111">
        <f>SUM(E18:E22)</f>
        <v>0</v>
      </c>
      <c r="F23" s="115">
        <f>SUM(F15:F22)</f>
        <v>29</v>
      </c>
      <c r="G23" s="158"/>
      <c r="H23" s="165"/>
      <c r="I23" s="168"/>
      <c r="J23" s="213">
        <f>+'12'!J23</f>
        <v>0</v>
      </c>
      <c r="K23" s="238"/>
      <c r="L23" s="238"/>
      <c r="M23" s="116">
        <f>+K23+'12'!M23+L23</f>
        <v>0</v>
      </c>
    </row>
    <row r="24" spans="1:27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50</v>
      </c>
      <c r="G24" s="228" t="s">
        <v>12</v>
      </c>
      <c r="H24" s="229" t="s">
        <v>527</v>
      </c>
      <c r="I24" s="748" t="s">
        <v>524</v>
      </c>
      <c r="J24" s="213">
        <f>+'12'!J24</f>
        <v>0</v>
      </c>
      <c r="K24" s="238"/>
      <c r="L24" s="238"/>
      <c r="M24" s="116">
        <f>+K24+'12'!M24+L24</f>
        <v>0</v>
      </c>
      <c r="Q24" s="175">
        <f>SUM(Q16:Q21)</f>
        <v>480</v>
      </c>
      <c r="R24" s="175">
        <f>SUM(R16:R21)</f>
        <v>585600</v>
      </c>
      <c r="S24" s="175">
        <f>SUM(S16:S21)</f>
        <v>439200</v>
      </c>
    </row>
    <row r="25" spans="1:27" ht="13.5" thickBot="1">
      <c r="A25" s="751"/>
      <c r="B25" s="214" t="s">
        <v>537</v>
      </c>
      <c r="C25" s="225">
        <f>6486+2780</f>
        <v>9266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+'12'!J25</f>
        <v>0</v>
      </c>
      <c r="K25" s="238"/>
      <c r="L25" s="238"/>
      <c r="M25" s="116">
        <f>+K25+'12'!M25+L25</f>
        <v>0</v>
      </c>
      <c r="R25" s="175">
        <f>+R24/Q24</f>
        <v>1220</v>
      </c>
      <c r="S25" s="175">
        <f>+S24/Q24</f>
        <v>915</v>
      </c>
    </row>
    <row r="26" spans="1:27" ht="13.5" thickBot="1">
      <c r="A26" s="751"/>
      <c r="B26" s="214"/>
      <c r="C26" s="225"/>
      <c r="D26" s="216"/>
      <c r="E26" s="226"/>
      <c r="F26" s="227">
        <f>63-50</f>
        <v>13</v>
      </c>
      <c r="G26" s="231" t="s">
        <v>12</v>
      </c>
      <c r="H26" s="232" t="s">
        <v>406</v>
      </c>
      <c r="I26" s="749"/>
      <c r="J26" s="213">
        <f>+'12'!J26</f>
        <v>0</v>
      </c>
      <c r="K26" s="238"/>
      <c r="L26" s="238"/>
      <c r="M26" s="116">
        <f>+K26+'12'!M26+L26</f>
        <v>0</v>
      </c>
    </row>
    <row r="27" spans="1:27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518</v>
      </c>
      <c r="I27" s="749"/>
      <c r="J27" s="213">
        <f>+'12'!J27</f>
        <v>0</v>
      </c>
      <c r="K27" s="238"/>
      <c r="L27" s="238"/>
      <c r="M27" s="116">
        <f>+K27+'12'!M27+L27</f>
        <v>0</v>
      </c>
      <c r="N27" s="148" t="s">
        <v>522</v>
      </c>
      <c r="O27" s="148">
        <v>1230</v>
      </c>
      <c r="P27" s="148">
        <f>+O27-(O27*0.24)</f>
        <v>934.8</v>
      </c>
      <c r="Q27" s="148">
        <f>60+10</f>
        <v>70</v>
      </c>
      <c r="R27" s="148">
        <f>+O27*Q27</f>
        <v>86100</v>
      </c>
      <c r="S27" s="148">
        <f>+P27*Q27</f>
        <v>65436</v>
      </c>
      <c r="V27" s="148" t="s">
        <v>522</v>
      </c>
      <c r="W27" s="148">
        <v>1230</v>
      </c>
      <c r="X27" s="148">
        <f>+W27-(W27*0.24)</f>
        <v>934.8</v>
      </c>
      <c r="Y27" s="148">
        <f>60+10</f>
        <v>70</v>
      </c>
      <c r="Z27" s="148">
        <f t="shared" ref="Z27:Z36" si="0">+W27*Y27</f>
        <v>86100</v>
      </c>
      <c r="AA27" s="148">
        <f t="shared" ref="AA27:AA36" si="1">+X27*Y27</f>
        <v>65436</v>
      </c>
    </row>
    <row r="28" spans="1:27" ht="231.75" customHeight="1" thickBot="1">
      <c r="A28" s="751"/>
      <c r="B28" s="214"/>
      <c r="C28" s="215"/>
      <c r="D28" s="216"/>
      <c r="E28" s="224"/>
      <c r="F28" s="230"/>
      <c r="G28" s="231"/>
      <c r="H28" s="232" t="s">
        <v>523</v>
      </c>
      <c r="I28" s="749"/>
      <c r="J28" s="213">
        <f>+'12'!J28</f>
        <v>0</v>
      </c>
      <c r="K28" s="238"/>
      <c r="L28" s="238"/>
      <c r="M28" s="116">
        <f>+K28+'12'!M28+L28</f>
        <v>0</v>
      </c>
      <c r="O28" s="148">
        <f>+O27-20</f>
        <v>1210</v>
      </c>
      <c r="P28" s="148">
        <f t="shared" ref="P28:P34" si="2">+O28-(O28*0.24)</f>
        <v>919.6</v>
      </c>
      <c r="Q28" s="148">
        <f>60-10+1</f>
        <v>51</v>
      </c>
      <c r="R28" s="148">
        <f t="shared" ref="R28:R34" si="3">+O28*Q28</f>
        <v>61710</v>
      </c>
      <c r="S28" s="148">
        <f t="shared" ref="S28:S34" si="4">+P28*Q28</f>
        <v>46899.6</v>
      </c>
      <c r="W28" s="148">
        <f>+W27-20</f>
        <v>1210</v>
      </c>
      <c r="X28" s="148">
        <f t="shared" ref="X28:X34" si="5">+W28-(W28*0.24)</f>
        <v>919.6</v>
      </c>
      <c r="Y28" s="148">
        <f>60-10+1</f>
        <v>51</v>
      </c>
      <c r="Z28" s="148">
        <f t="shared" si="0"/>
        <v>61710</v>
      </c>
      <c r="AA28" s="148">
        <f t="shared" si="1"/>
        <v>46899.6</v>
      </c>
    </row>
    <row r="29" spans="1:27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+'12'!J29</f>
        <v>0</v>
      </c>
      <c r="K29" s="238"/>
      <c r="L29" s="238"/>
      <c r="M29" s="116">
        <f>+K29+'12'!M29+L29</f>
        <v>0</v>
      </c>
      <c r="O29" s="148">
        <f>+O28-40</f>
        <v>1170</v>
      </c>
      <c r="P29" s="148">
        <f t="shared" si="2"/>
        <v>889.2</v>
      </c>
      <c r="Q29" s="148">
        <f>60-1+1</f>
        <v>60</v>
      </c>
      <c r="R29" s="148">
        <f t="shared" si="3"/>
        <v>70200</v>
      </c>
      <c r="S29" s="148">
        <f t="shared" si="4"/>
        <v>53352</v>
      </c>
      <c r="W29" s="148">
        <f>+W28-40</f>
        <v>1170</v>
      </c>
      <c r="X29" s="148">
        <f t="shared" si="5"/>
        <v>889.2</v>
      </c>
      <c r="Y29" s="148">
        <f>60-1+1</f>
        <v>60</v>
      </c>
      <c r="Z29" s="148">
        <f t="shared" si="0"/>
        <v>70200</v>
      </c>
      <c r="AA29" s="148">
        <f t="shared" si="1"/>
        <v>53352</v>
      </c>
    </row>
    <row r="30" spans="1:27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+'12'!J30</f>
        <v>0</v>
      </c>
      <c r="K30" s="238"/>
      <c r="L30" s="238"/>
      <c r="M30" s="116">
        <f>+K30+'12'!M30+L30</f>
        <v>0</v>
      </c>
      <c r="O30" s="148">
        <f>+O29-60</f>
        <v>1110</v>
      </c>
      <c r="P30" s="148">
        <f t="shared" si="2"/>
        <v>843.6</v>
      </c>
      <c r="Q30" s="148">
        <f>27-1</f>
        <v>26</v>
      </c>
      <c r="R30" s="148">
        <f t="shared" si="3"/>
        <v>28860</v>
      </c>
      <c r="S30" s="148">
        <f t="shared" si="4"/>
        <v>21933.600000000002</v>
      </c>
      <c r="W30" s="148">
        <f>+W29-60</f>
        <v>1110</v>
      </c>
      <c r="X30" s="148">
        <f t="shared" si="5"/>
        <v>843.6</v>
      </c>
      <c r="Y30" s="148">
        <f>27-1</f>
        <v>26</v>
      </c>
      <c r="Z30" s="148">
        <f t="shared" si="0"/>
        <v>28860</v>
      </c>
      <c r="AA30" s="148">
        <f t="shared" si="1"/>
        <v>21933.600000000002</v>
      </c>
    </row>
    <row r="31" spans="1:27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+'12'!J31</f>
        <v>0</v>
      </c>
      <c r="K31" s="238"/>
      <c r="L31" s="238"/>
      <c r="M31" s="116">
        <f>+K31+'12'!M31+L31</f>
        <v>0</v>
      </c>
      <c r="O31" s="148">
        <f>+O30+50</f>
        <v>1160</v>
      </c>
      <c r="P31" s="148">
        <f t="shared" si="2"/>
        <v>881.6</v>
      </c>
      <c r="Q31" s="148">
        <f>60-27+45</f>
        <v>78</v>
      </c>
      <c r="R31" s="148">
        <f t="shared" si="3"/>
        <v>90480</v>
      </c>
      <c r="S31" s="148">
        <f t="shared" si="4"/>
        <v>68764.800000000003</v>
      </c>
      <c r="W31" s="148">
        <f>+W30+50</f>
        <v>1160</v>
      </c>
      <c r="X31" s="148">
        <f t="shared" si="5"/>
        <v>881.6</v>
      </c>
      <c r="Y31" s="148">
        <f>60-27+45</f>
        <v>78</v>
      </c>
      <c r="Z31" s="148">
        <f t="shared" si="0"/>
        <v>90480</v>
      </c>
      <c r="AA31" s="148">
        <f t="shared" si="1"/>
        <v>68764.800000000003</v>
      </c>
    </row>
    <row r="32" spans="1:27" ht="13.5" thickBot="1">
      <c r="A32" s="752"/>
      <c r="B32" s="164" t="s">
        <v>2</v>
      </c>
      <c r="C32" s="98">
        <f>SUM(C25:C31)</f>
        <v>9266</v>
      </c>
      <c r="D32" s="99">
        <f>SUM(D25:D31)</f>
        <v>0</v>
      </c>
      <c r="E32" s="100">
        <f>SUM(E25:E31)</f>
        <v>0</v>
      </c>
      <c r="F32" s="101">
        <f>SUM(F24:F31)</f>
        <v>63</v>
      </c>
      <c r="G32" s="170"/>
      <c r="H32" s="171"/>
      <c r="I32" s="168"/>
      <c r="J32" s="213">
        <f>+'12'!J32</f>
        <v>0</v>
      </c>
      <c r="K32" s="240"/>
      <c r="L32" s="242"/>
      <c r="M32" s="116">
        <f>+K32+'12'!M32+L32</f>
        <v>0</v>
      </c>
      <c r="O32" s="148">
        <f>+O31+20</f>
        <v>1180</v>
      </c>
      <c r="P32" s="148">
        <f t="shared" si="2"/>
        <v>896.8</v>
      </c>
      <c r="Q32" s="148">
        <f>60-45+30</f>
        <v>45</v>
      </c>
      <c r="R32" s="148">
        <f t="shared" si="3"/>
        <v>53100</v>
      </c>
      <c r="S32" s="148">
        <f t="shared" si="4"/>
        <v>40356</v>
      </c>
      <c r="W32" s="148">
        <f>+W31+20</f>
        <v>1180</v>
      </c>
      <c r="X32" s="148">
        <f t="shared" si="5"/>
        <v>896.8</v>
      </c>
      <c r="Y32" s="148">
        <f>60-45+30</f>
        <v>45</v>
      </c>
      <c r="Z32" s="148">
        <f t="shared" si="0"/>
        <v>53100</v>
      </c>
      <c r="AA32" s="148">
        <f t="shared" si="1"/>
        <v>40356</v>
      </c>
    </row>
    <row r="33" spans="1:27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O33" s="148">
        <f>+O32-10</f>
        <v>1170</v>
      </c>
      <c r="P33" s="148">
        <f t="shared" si="2"/>
        <v>889.2</v>
      </c>
      <c r="Q33" s="148">
        <f>60-30+14</f>
        <v>44</v>
      </c>
      <c r="R33" s="148">
        <f t="shared" si="3"/>
        <v>51480</v>
      </c>
      <c r="S33" s="148">
        <f t="shared" si="4"/>
        <v>39124.800000000003</v>
      </c>
      <c r="W33" s="148">
        <f>+W32-10</f>
        <v>1170</v>
      </c>
      <c r="X33" s="148">
        <f t="shared" si="5"/>
        <v>889.2</v>
      </c>
      <c r="Y33" s="148">
        <f>60-30+14</f>
        <v>44</v>
      </c>
      <c r="Z33" s="148">
        <f t="shared" si="0"/>
        <v>51480</v>
      </c>
      <c r="AA33" s="148">
        <f t="shared" si="1"/>
        <v>39124.800000000003</v>
      </c>
    </row>
    <row r="34" spans="1:27" ht="13.5" thickBot="1">
      <c r="A34" s="753" t="s">
        <v>57</v>
      </c>
      <c r="B34" s="754"/>
      <c r="C34" s="106">
        <f>C14+C23+C32</f>
        <v>34056</v>
      </c>
      <c r="D34" s="106">
        <f>D14+D23+D32</f>
        <v>0</v>
      </c>
      <c r="E34" s="106">
        <f>E14+E23+E32</f>
        <v>0</v>
      </c>
      <c r="F34" s="107">
        <f>F14+F23+F32</f>
        <v>115</v>
      </c>
      <c r="H34" s="177"/>
      <c r="I34" s="177"/>
      <c r="J34" s="122" t="s">
        <v>28</v>
      </c>
      <c r="K34" s="123">
        <f>SUM(K7:K32)</f>
        <v>34056</v>
      </c>
      <c r="L34" s="211">
        <f>SUM(L7:L32)</f>
        <v>0</v>
      </c>
      <c r="M34" s="119">
        <f>SUM(M7:M32)</f>
        <v>499397</v>
      </c>
      <c r="O34" s="148">
        <v>1210</v>
      </c>
      <c r="P34" s="148">
        <f t="shared" si="2"/>
        <v>919.6</v>
      </c>
      <c r="Q34" s="148">
        <f>60-14+60</f>
        <v>106</v>
      </c>
      <c r="R34" s="148">
        <f t="shared" si="3"/>
        <v>128260</v>
      </c>
      <c r="S34" s="148">
        <f t="shared" si="4"/>
        <v>97477.6</v>
      </c>
      <c r="W34" s="148">
        <v>1210</v>
      </c>
      <c r="X34" s="148">
        <f t="shared" si="5"/>
        <v>919.6</v>
      </c>
      <c r="Y34" s="148">
        <f>60-14+60</f>
        <v>106</v>
      </c>
      <c r="Z34" s="148">
        <f t="shared" si="0"/>
        <v>128260</v>
      </c>
      <c r="AA34" s="148">
        <f t="shared" si="1"/>
        <v>97477.6</v>
      </c>
    </row>
    <row r="35" spans="1:27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SUM(Q27:Q34)</f>
        <v>480</v>
      </c>
      <c r="R35" s="175">
        <f>SUM(R27:R34)</f>
        <v>570190</v>
      </c>
      <c r="S35" s="175">
        <f>SUM(S27:S34)</f>
        <v>433344.4</v>
      </c>
      <c r="V35" s="148" t="s">
        <v>522</v>
      </c>
      <c r="W35" s="148">
        <v>1210</v>
      </c>
      <c r="X35" s="148">
        <v>919.6</v>
      </c>
      <c r="Y35" s="148">
        <v>325</v>
      </c>
      <c r="Z35" s="148">
        <f t="shared" si="0"/>
        <v>393250</v>
      </c>
      <c r="AA35" s="148">
        <f t="shared" si="1"/>
        <v>298870</v>
      </c>
    </row>
    <row r="36" spans="1:27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1187.8958333333333</v>
      </c>
      <c r="S36" s="175">
        <f>+S35/Q35</f>
        <v>902.80083333333334</v>
      </c>
      <c r="V36" s="148" t="s">
        <v>522</v>
      </c>
      <c r="W36" s="148">
        <v>1220</v>
      </c>
      <c r="X36" s="148">
        <f>+W36-(W36*0.25)</f>
        <v>915</v>
      </c>
      <c r="Y36" s="148">
        <v>480</v>
      </c>
      <c r="Z36" s="148">
        <f t="shared" si="0"/>
        <v>585600</v>
      </c>
      <c r="AA36" s="148">
        <f t="shared" si="1"/>
        <v>439200</v>
      </c>
    </row>
    <row r="37" spans="1:27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(12*155+12*1285)/1440*G42*2.74*1440/1000000</f>
        <v>43.202754912000003</v>
      </c>
      <c r="J37" s="124">
        <f>+I37+'12'!J37</f>
        <v>575.52945144461125</v>
      </c>
      <c r="K37" s="125" t="s">
        <v>63</v>
      </c>
    </row>
    <row r="38" spans="1:27" ht="17.45" customHeight="1">
      <c r="A38" s="757" t="s">
        <v>12</v>
      </c>
      <c r="B38" s="758"/>
      <c r="C38" s="163">
        <f>SUMIF($G$7:$G$31,"Process",$F$7:$F$31)</f>
        <v>115</v>
      </c>
      <c r="D38" s="117">
        <f>+C38+'12'!D38</f>
        <v>929</v>
      </c>
      <c r="E38" s="142">
        <f t="shared" ref="E38:E51" si="6">D38/60</f>
        <v>15.483333333333333</v>
      </c>
      <c r="F38" s="321">
        <v>1210</v>
      </c>
      <c r="G38" s="321">
        <v>919.6</v>
      </c>
      <c r="H38" s="186" t="s">
        <v>64</v>
      </c>
      <c r="I38" s="244">
        <f>11.803+13.673+10.336</f>
        <v>35.811999999999998</v>
      </c>
      <c r="J38" s="126">
        <f>+I38+'12'!J38</f>
        <v>514.31399999999996</v>
      </c>
      <c r="K38" s="127" t="s">
        <v>63</v>
      </c>
      <c r="Y38" s="175">
        <f>SUM(Y27:Y36)</f>
        <v>1285</v>
      </c>
      <c r="Z38" s="175">
        <f>SUM(Z27:Z36)</f>
        <v>1549040</v>
      </c>
      <c r="AA38" s="175">
        <f>SUM(AA27:AA36)</f>
        <v>1171414.3999999999</v>
      </c>
    </row>
    <row r="39" spans="1:27" ht="17.45" customHeight="1">
      <c r="A39" s="759" t="s">
        <v>13</v>
      </c>
      <c r="B39" s="760"/>
      <c r="C39" s="163">
        <f>SUMIF($G$7:$G$31,"Cleaning",$F$7:$F$31)</f>
        <v>0</v>
      </c>
      <c r="D39" s="117">
        <f>+C39+'12'!D39</f>
        <v>0</v>
      </c>
      <c r="E39" s="142">
        <f t="shared" si="6"/>
        <v>0</v>
      </c>
      <c r="F39" s="321">
        <v>1220</v>
      </c>
      <c r="G39" s="321">
        <v>915</v>
      </c>
      <c r="H39" s="186" t="s">
        <v>65</v>
      </c>
      <c r="I39" s="141"/>
      <c r="J39" s="128">
        <f>J37/G4</f>
        <v>44.271496264970096</v>
      </c>
      <c r="K39" s="129" t="s">
        <v>63</v>
      </c>
      <c r="N39" s="148" t="s">
        <v>456</v>
      </c>
      <c r="O39" s="148">
        <v>1210</v>
      </c>
      <c r="P39" s="148">
        <v>919.6</v>
      </c>
      <c r="Q39" s="148">
        <v>155</v>
      </c>
      <c r="Z39" s="175">
        <f>+Z38/Y38</f>
        <v>1205.4785992217899</v>
      </c>
      <c r="AA39" s="175">
        <f>+AA38/Y38</f>
        <v>911.60653696498048</v>
      </c>
    </row>
    <row r="40" spans="1:27" ht="17.45" customHeight="1">
      <c r="A40" s="759" t="s">
        <v>66</v>
      </c>
      <c r="B40" s="760"/>
      <c r="C40" s="163">
        <f>SUMIF($G$7:$G$31,"Mechanical",$F$7:$F$31)</f>
        <v>0</v>
      </c>
      <c r="D40" s="117">
        <f>+C40+'12'!D40</f>
        <v>481</v>
      </c>
      <c r="E40" s="142">
        <f t="shared" si="6"/>
        <v>8.0166666666666675</v>
      </c>
      <c r="F40" s="321">
        <v>1187.8958333333333</v>
      </c>
      <c r="G40" s="321">
        <v>902.80083333333334</v>
      </c>
      <c r="H40" s="186" t="s">
        <v>67</v>
      </c>
      <c r="I40" s="117">
        <f>(K34+L34)/1000</f>
        <v>34.055999999999997</v>
      </c>
      <c r="J40" s="130">
        <f>+I40+'12'!J40</f>
        <v>499.39699999999999</v>
      </c>
      <c r="K40" s="129" t="s">
        <v>63</v>
      </c>
      <c r="N40" s="148" t="s">
        <v>522</v>
      </c>
      <c r="O40" s="148">
        <v>1205.4785992217899</v>
      </c>
      <c r="P40" s="148">
        <v>911.60653696498048</v>
      </c>
      <c r="Q40" s="148">
        <v>1285</v>
      </c>
    </row>
    <row r="41" spans="1:27" ht="17.45" customHeight="1">
      <c r="A41" s="759" t="s">
        <v>68</v>
      </c>
      <c r="B41" s="760"/>
      <c r="C41" s="163">
        <f>SUMIF($G$7:$G$31,"Electrical",$F$7:$F$31)</f>
        <v>0</v>
      </c>
      <c r="D41" s="117">
        <f>+C41+'12'!D41</f>
        <v>84</v>
      </c>
      <c r="E41" s="142">
        <f t="shared" si="6"/>
        <v>1.4</v>
      </c>
      <c r="F41" s="321"/>
      <c r="G41" s="321"/>
      <c r="H41" s="186" t="s">
        <v>69</v>
      </c>
      <c r="I41" s="141"/>
      <c r="J41" s="128">
        <f>J40/G4</f>
        <v>38.415153846153842</v>
      </c>
      <c r="K41" s="129" t="s">
        <v>63</v>
      </c>
      <c r="Q41" s="148">
        <f>+Q39+Q40</f>
        <v>1440</v>
      </c>
    </row>
    <row r="42" spans="1:27" ht="17.45" customHeight="1">
      <c r="A42" s="759" t="s">
        <v>16</v>
      </c>
      <c r="B42" s="760"/>
      <c r="C42" s="163">
        <f>SUMIF($G$7:$G$31,"Instrument",$F$7:$F$31)</f>
        <v>0</v>
      </c>
      <c r="D42" s="117">
        <f>+C42+'12'!D42</f>
        <v>0</v>
      </c>
      <c r="E42" s="142">
        <f t="shared" si="6"/>
        <v>0</v>
      </c>
      <c r="F42" s="321">
        <f>+(480*F38+480*F39+480*F40)/1440</f>
        <v>1205.9652777777778</v>
      </c>
      <c r="G42" s="321">
        <f>+(480*G38+480*G39+480*G40)/1440</f>
        <v>912.46694444444438</v>
      </c>
      <c r="H42" s="186" t="s">
        <v>70</v>
      </c>
      <c r="I42" s="245" t="s">
        <v>526</v>
      </c>
      <c r="J42" s="131"/>
      <c r="K42" s="129" t="s">
        <v>71</v>
      </c>
    </row>
    <row r="43" spans="1:27" ht="17.45" customHeight="1">
      <c r="A43" s="759" t="s">
        <v>72</v>
      </c>
      <c r="B43" s="760"/>
      <c r="C43" s="163">
        <f>SUMIF($G$7:$G$31,"Water",$F$7:$F$31)</f>
        <v>0</v>
      </c>
      <c r="D43" s="117">
        <f>+C43+'12'!D43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+Report1!Z21</f>
        <v>51.3</v>
      </c>
      <c r="J43" s="132">
        <f>+I43+'12'!J43</f>
        <v>680.09999999999991</v>
      </c>
      <c r="K43" s="129" t="s">
        <v>63</v>
      </c>
      <c r="L43" s="188"/>
    </row>
    <row r="44" spans="1:27" ht="17.45" customHeight="1">
      <c r="A44" s="759" t="s">
        <v>17</v>
      </c>
      <c r="B44" s="760"/>
      <c r="C44" s="163">
        <f>SUMIF($G$7:$G$31,"PLN",$F$7:$F$31)</f>
        <v>0</v>
      </c>
      <c r="D44" s="117">
        <f>+C44+'12'!D44</f>
        <v>0</v>
      </c>
      <c r="E44" s="142">
        <f t="shared" si="6"/>
        <v>0</v>
      </c>
      <c r="F44" s="321"/>
      <c r="G44" s="322"/>
      <c r="H44" s="187" t="s">
        <v>74</v>
      </c>
      <c r="I44" s="117">
        <f>I43/I38</f>
        <v>1.4324807327152911</v>
      </c>
      <c r="J44" s="133">
        <f>J43/J38</f>
        <v>1.3223439377500903</v>
      </c>
      <c r="K44" s="129" t="s">
        <v>63</v>
      </c>
    </row>
    <row r="45" spans="1:27" ht="17.45" customHeight="1">
      <c r="A45" s="759" t="s">
        <v>18</v>
      </c>
      <c r="B45" s="760"/>
      <c r="C45" s="163">
        <f>SUMIF($G$7:$G$31,"Boiler",$F$7:$F$31)</f>
        <v>0</v>
      </c>
      <c r="D45" s="117">
        <f>+C45+'12'!D45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1.5063424947145878</v>
      </c>
      <c r="J45" s="133">
        <f>J43/J40</f>
        <v>1.3618423819125864</v>
      </c>
      <c r="K45" s="129" t="s">
        <v>63</v>
      </c>
    </row>
    <row r="46" spans="1:27" ht="17.45" customHeight="1">
      <c r="A46" s="759" t="s">
        <v>76</v>
      </c>
      <c r="B46" s="760"/>
      <c r="C46" s="163">
        <f>SUMIF($G$7:$G$31,"Gas",$F$7:$F$31)</f>
        <v>0</v>
      </c>
      <c r="D46" s="117">
        <f>+C46+'12'!D46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+SUMIF(Listrik!P20,"&gt;0")</f>
        <v>40970.819999998908</v>
      </c>
      <c r="J46" s="134">
        <f>+I46+'12'!J46</f>
        <v>484140.13999999862</v>
      </c>
      <c r="K46" s="129" t="s">
        <v>78</v>
      </c>
    </row>
    <row r="47" spans="1:27" ht="17.45" customHeight="1">
      <c r="A47" s="759" t="s">
        <v>79</v>
      </c>
      <c r="B47" s="760"/>
      <c r="C47" s="163">
        <f>SUMIF($G$7:$G$31,"Gas",$F$7:$F$31)</f>
        <v>0</v>
      </c>
      <c r="D47" s="117">
        <f>+C47+'12'!D47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1144.0528314531139</v>
      </c>
      <c r="J47" s="134">
        <f>J46/J38</f>
        <v>941.33183230477619</v>
      </c>
      <c r="K47" s="129" t="s">
        <v>24</v>
      </c>
    </row>
    <row r="48" spans="1:27" ht="17.45" customHeight="1">
      <c r="A48" s="759" t="s">
        <v>14</v>
      </c>
      <c r="B48" s="760"/>
      <c r="C48" s="163">
        <f>SUMIF($G$7:$G$31,"Start Up",$F$7:$F$31)</f>
        <v>0</v>
      </c>
      <c r="D48" s="117">
        <f>+C48+'12'!D48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1203.0426356588828</v>
      </c>
      <c r="J48" s="134">
        <f>J46/J40</f>
        <v>969.44943601983721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+C49+'12'!D49</f>
        <v>0</v>
      </c>
      <c r="E49" s="142">
        <f t="shared" si="6"/>
        <v>0</v>
      </c>
      <c r="F49" s="184"/>
      <c r="H49" s="187" t="s">
        <v>269</v>
      </c>
      <c r="I49" s="117">
        <f>+Report1!T21</f>
        <v>4948.3810776543023</v>
      </c>
      <c r="J49" s="134">
        <f>+I49+'12'!J49</f>
        <v>57165.068834940343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+C50+'12'!D50</f>
        <v>0</v>
      </c>
      <c r="E50" s="142">
        <f t="shared" si="6"/>
        <v>0</v>
      </c>
      <c r="F50" s="184"/>
      <c r="H50" s="187" t="s">
        <v>83</v>
      </c>
      <c r="I50" s="139">
        <f>I49/I38</f>
        <v>138.17661894488725</v>
      </c>
      <c r="J50" s="132">
        <f>J49/J38</f>
        <v>111.1481873620791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+C51+'12'!D51</f>
        <v>0</v>
      </c>
      <c r="E51" s="142">
        <f t="shared" si="6"/>
        <v>0</v>
      </c>
      <c r="F51" s="184"/>
      <c r="H51" s="189" t="s">
        <v>85</v>
      </c>
      <c r="I51" s="140">
        <f>I49/I40</f>
        <v>145.30130014253885</v>
      </c>
      <c r="J51" s="135">
        <f>J49/J40</f>
        <v>114.46818630256158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115</v>
      </c>
      <c r="D52" s="143">
        <f>SUM(D38:D51)</f>
        <v>1494</v>
      </c>
      <c r="E52" s="144">
        <f>SUM(E38:E51)</f>
        <v>24.9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7.9861111111111105E-2</v>
      </c>
      <c r="D53" s="145">
        <f>D52/(24*60*G4)</f>
        <v>7.9807692307692302E-2</v>
      </c>
      <c r="E53" s="146">
        <f>E52/(G4*24)</f>
        <v>7.9807692307692302E-2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+D34+'12'!J56</f>
        <v>917</v>
      </c>
      <c r="K56" s="200">
        <f>J56/(J40+J56/1000)/1000</f>
        <v>1.8328489708463087E-3</v>
      </c>
    </row>
    <row r="57" spans="1:11">
      <c r="A57" s="175"/>
      <c r="I57" s="198" t="s">
        <v>88</v>
      </c>
      <c r="J57" s="199">
        <f>+E34+'12'!J57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Z61"/>
  <sheetViews>
    <sheetView topLeftCell="A13" zoomScale="80" zoomScaleNormal="80" workbookViewId="0">
      <selection activeCell="H37" sqref="H3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" style="148" bestFit="1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12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493</v>
      </c>
      <c r="O6" s="148">
        <v>1000</v>
      </c>
      <c r="P6" s="148">
        <f>+O6-(O6*0.24)</f>
        <v>760</v>
      </c>
      <c r="Q6" s="148">
        <v>480</v>
      </c>
      <c r="R6" s="148">
        <f t="shared" ref="R6:R11" si="0">+O6*Q6</f>
        <v>480000</v>
      </c>
      <c r="S6" s="148">
        <f t="shared" ref="S6:S11" si="1">+P6*Q6</f>
        <v>364800</v>
      </c>
      <c r="U6" s="148" t="s">
        <v>493</v>
      </c>
      <c r="V6" s="148">
        <v>1000</v>
      </c>
      <c r="W6" s="148">
        <f>+V6-(V6*0.24)</f>
        <v>760</v>
      </c>
      <c r="X6" s="148">
        <v>480</v>
      </c>
      <c r="Y6" s="148">
        <f>+V6*X6</f>
        <v>480000</v>
      </c>
      <c r="Z6" s="148">
        <f>+W6*X6</f>
        <v>364800</v>
      </c>
    </row>
    <row r="7" spans="1:26" ht="13.5" customHeight="1" thickBot="1">
      <c r="A7" s="745" t="s">
        <v>389</v>
      </c>
      <c r="B7" s="214" t="s">
        <v>470</v>
      </c>
      <c r="C7" s="215">
        <v>2754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505</v>
      </c>
      <c r="J7" s="213" t="str">
        <f>+'11'!J7</f>
        <v>F 14 VP OW</v>
      </c>
      <c r="K7" s="237"/>
      <c r="L7" s="241"/>
      <c r="M7" s="116">
        <f>+K7+'11'!M7+L7</f>
        <v>185476</v>
      </c>
      <c r="U7" s="148" t="s">
        <v>493</v>
      </c>
      <c r="V7" s="148">
        <v>1000</v>
      </c>
      <c r="W7" s="148">
        <v>755</v>
      </c>
      <c r="X7" s="148">
        <v>350</v>
      </c>
      <c r="Y7" s="148">
        <f>+V7*X7</f>
        <v>350000</v>
      </c>
      <c r="Z7" s="148">
        <f>+W7*X7</f>
        <v>264250</v>
      </c>
    </row>
    <row r="8" spans="1:26" ht="13.5" thickBot="1">
      <c r="A8" s="746"/>
      <c r="B8" s="214" t="s">
        <v>510</v>
      </c>
      <c r="C8" s="215">
        <f>665+9954</f>
        <v>10619</v>
      </c>
      <c r="D8" s="216"/>
      <c r="E8" s="218"/>
      <c r="F8" s="230"/>
      <c r="G8" s="231" t="s">
        <v>12</v>
      </c>
      <c r="H8" s="229" t="s">
        <v>284</v>
      </c>
      <c r="I8" s="749"/>
      <c r="J8" s="213" t="str">
        <f>+'11'!J8</f>
        <v>F 15 VP OW</v>
      </c>
      <c r="K8" s="238"/>
      <c r="L8" s="238"/>
      <c r="M8" s="116">
        <f>+K8+'11'!M8+L8</f>
        <v>95546</v>
      </c>
    </row>
    <row r="9" spans="1:26" ht="13.5" thickBot="1">
      <c r="A9" s="746"/>
      <c r="B9" s="214"/>
      <c r="C9" s="215"/>
      <c r="D9" s="216"/>
      <c r="E9" s="219"/>
      <c r="F9" s="227">
        <f>26-9</f>
        <v>17</v>
      </c>
      <c r="G9" s="231" t="s">
        <v>12</v>
      </c>
      <c r="H9" s="232" t="s">
        <v>434</v>
      </c>
      <c r="I9" s="749"/>
      <c r="J9" s="213" t="str">
        <f>+'11'!J9</f>
        <v>T 12 VP OW</v>
      </c>
      <c r="K9" s="238">
        <f>+C26</f>
        <v>12889</v>
      </c>
      <c r="L9" s="238"/>
      <c r="M9" s="116">
        <f>+K9+'11'!M9+L9</f>
        <v>39356</v>
      </c>
      <c r="P9" s="148">
        <f>+O9-(O9*0.2)</f>
        <v>0</v>
      </c>
      <c r="R9" s="148">
        <f t="shared" si="0"/>
        <v>0</v>
      </c>
      <c r="S9" s="148">
        <f t="shared" si="1"/>
        <v>0</v>
      </c>
      <c r="W9" s="148">
        <f>+V9-(V9*0.2)</f>
        <v>0</v>
      </c>
      <c r="Y9" s="148">
        <f>+V9*X9</f>
        <v>0</v>
      </c>
      <c r="Z9" s="148">
        <f>+W9*X9</f>
        <v>0</v>
      </c>
    </row>
    <row r="10" spans="1:26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502</v>
      </c>
      <c r="I10" s="749"/>
      <c r="J10" s="213" t="str">
        <f>+'11'!J10</f>
        <v>T 13 VP OW</v>
      </c>
      <c r="K10" s="238">
        <f>+C7</f>
        <v>2754</v>
      </c>
      <c r="L10" s="238"/>
      <c r="M10" s="116">
        <f>+K10+'11'!M10+L10</f>
        <v>119099</v>
      </c>
      <c r="P10" s="148">
        <f>+O10-(O10*0.23)</f>
        <v>0</v>
      </c>
      <c r="R10" s="148">
        <f t="shared" si="0"/>
        <v>0</v>
      </c>
      <c r="S10" s="148">
        <f t="shared" si="1"/>
        <v>0</v>
      </c>
      <c r="W10" s="148">
        <f>+V10-(V10*0.23)</f>
        <v>0</v>
      </c>
      <c r="Y10" s="148">
        <f>+V10*X10</f>
        <v>0</v>
      </c>
      <c r="Z10" s="148">
        <f>+W10*X10</f>
        <v>0</v>
      </c>
    </row>
    <row r="11" spans="1:26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 t="s">
        <v>510</v>
      </c>
      <c r="K11" s="238">
        <f>+C8+C16+C25</f>
        <v>25864</v>
      </c>
      <c r="L11" s="238"/>
      <c r="M11" s="116">
        <f>+K11+'11'!M11+L11</f>
        <v>25864</v>
      </c>
      <c r="P11" s="148">
        <f>+O11-(O11*0.23)</f>
        <v>0</v>
      </c>
      <c r="R11" s="148">
        <f t="shared" si="0"/>
        <v>0</v>
      </c>
      <c r="S11" s="148">
        <f t="shared" si="1"/>
        <v>0</v>
      </c>
      <c r="W11" s="148">
        <f>+V11-(V11*0.23)</f>
        <v>0</v>
      </c>
      <c r="Y11" s="148">
        <f>+V11*X11</f>
        <v>0</v>
      </c>
      <c r="Z11" s="148">
        <f>+W11*X11</f>
        <v>0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+'11'!J12</f>
        <v>0</v>
      </c>
      <c r="K12" s="238"/>
      <c r="L12" s="238"/>
      <c r="M12" s="116">
        <f>+K12+'11'!M12+L12</f>
        <v>0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+'11'!J13</f>
        <v>0</v>
      </c>
      <c r="K13" s="238"/>
      <c r="L13" s="238"/>
      <c r="M13" s="116">
        <f>+K13+'11'!M13+L13</f>
        <v>0</v>
      </c>
    </row>
    <row r="14" spans="1:26" ht="13.5" thickBot="1">
      <c r="A14" s="747"/>
      <c r="B14" s="164" t="s">
        <v>2</v>
      </c>
      <c r="C14" s="98">
        <f>SUM(C7:C13)</f>
        <v>13373</v>
      </c>
      <c r="D14" s="110">
        <f>SUM(D7:D13)</f>
        <v>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>
        <f>+'11'!J14</f>
        <v>0</v>
      </c>
      <c r="K14" s="238"/>
      <c r="L14" s="238"/>
      <c r="M14" s="116">
        <f>+K14+'11'!M14+L14</f>
        <v>0</v>
      </c>
      <c r="Q14" s="175">
        <f>SUM(Q6:Q11)</f>
        <v>480</v>
      </c>
      <c r="R14" s="175">
        <f>SUM(R6:R11)</f>
        <v>480000</v>
      </c>
      <c r="S14" s="175">
        <f>SUM(S6:S11)</f>
        <v>364800</v>
      </c>
      <c r="X14" s="175">
        <f>SUM(X6:X11)</f>
        <v>830</v>
      </c>
      <c r="Y14" s="175">
        <f>SUM(Y6:Y11)</f>
        <v>830000</v>
      </c>
      <c r="Z14" s="175">
        <f>SUM(Z6:Z11)</f>
        <v>629050</v>
      </c>
    </row>
    <row r="15" spans="1:26" ht="13.5" customHeight="1" thickBot="1">
      <c r="A15" s="745" t="s">
        <v>438</v>
      </c>
      <c r="B15" s="164"/>
      <c r="C15" s="112">
        <f>C14/($C$23+$D$23+$E$23)</f>
        <v>1.0499332652900997</v>
      </c>
      <c r="D15" s="113">
        <f>D14/($C$23+$D$23+$E$23)</f>
        <v>0</v>
      </c>
      <c r="E15" s="114">
        <f>E14/($C$23+$D$23+$E$23)</f>
        <v>0</v>
      </c>
      <c r="F15" s="227">
        <v>12</v>
      </c>
      <c r="G15" s="228" t="s">
        <v>12</v>
      </c>
      <c r="H15" s="229" t="s">
        <v>423</v>
      </c>
      <c r="I15" s="748" t="s">
        <v>504</v>
      </c>
      <c r="J15" s="213">
        <f>+'11'!J15</f>
        <v>0</v>
      </c>
      <c r="K15" s="238"/>
      <c r="L15" s="238"/>
      <c r="M15" s="116">
        <f>+K15+'11'!M15+L15</f>
        <v>0</v>
      </c>
      <c r="R15" s="175">
        <f>+R14/Q14</f>
        <v>1000</v>
      </c>
      <c r="S15" s="175">
        <f>+S14/Q14</f>
        <v>760</v>
      </c>
      <c r="Y15" s="175">
        <f>+Y14/X14</f>
        <v>1000</v>
      </c>
      <c r="Z15" s="175">
        <f>+Z14/X14</f>
        <v>757.89156626506019</v>
      </c>
    </row>
    <row r="16" spans="1:26" ht="13.5" thickBot="1">
      <c r="A16" s="751"/>
      <c r="B16" s="214" t="s">
        <v>510</v>
      </c>
      <c r="C16" s="221">
        <v>12737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+'11'!J16</f>
        <v>0</v>
      </c>
      <c r="K16" s="228"/>
      <c r="L16" s="228"/>
      <c r="M16" s="116">
        <f>+K16+'11'!M16+L16</f>
        <v>0</v>
      </c>
      <c r="N16" s="148" t="s">
        <v>493</v>
      </c>
      <c r="O16" s="148">
        <v>1000</v>
      </c>
      <c r="P16" s="148">
        <f>+O16-(O16*0.245)</f>
        <v>755</v>
      </c>
      <c r="Q16" s="148">
        <f>60*5+50</f>
        <v>350</v>
      </c>
      <c r="R16" s="148">
        <f t="shared" ref="R16:R21" si="2">+O16*Q16</f>
        <v>350000</v>
      </c>
      <c r="S16" s="148">
        <f t="shared" ref="S16:S21" si="3">+P16*Q16</f>
        <v>264250</v>
      </c>
    </row>
    <row r="17" spans="1:26" ht="13.5" thickBot="1">
      <c r="A17" s="751"/>
      <c r="B17" s="214"/>
      <c r="C17" s="215"/>
      <c r="D17" s="216"/>
      <c r="E17" s="224"/>
      <c r="F17" s="227">
        <f>28-12</f>
        <v>16</v>
      </c>
      <c r="G17" s="231" t="s">
        <v>12</v>
      </c>
      <c r="H17" s="232" t="s">
        <v>434</v>
      </c>
      <c r="I17" s="749"/>
      <c r="J17" s="213">
        <f>+'11'!J17</f>
        <v>0</v>
      </c>
      <c r="K17" s="228"/>
      <c r="L17" s="228"/>
      <c r="M17" s="116">
        <f>+K17+'11'!M17+L17</f>
        <v>0</v>
      </c>
      <c r="N17" s="148" t="s">
        <v>456</v>
      </c>
      <c r="O17" s="148">
        <v>1200</v>
      </c>
      <c r="P17" s="148">
        <f>+O17-(O17*0.24)</f>
        <v>912</v>
      </c>
      <c r="Q17" s="148">
        <f>60-50+15</f>
        <v>25</v>
      </c>
      <c r="R17" s="148">
        <f t="shared" si="2"/>
        <v>30000</v>
      </c>
      <c r="S17" s="148">
        <f t="shared" si="3"/>
        <v>22800</v>
      </c>
    </row>
    <row r="18" spans="1:26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500</v>
      </c>
      <c r="I18" s="749"/>
      <c r="J18" s="213">
        <f>+'11'!J18</f>
        <v>0</v>
      </c>
      <c r="K18" s="238"/>
      <c r="L18" s="238"/>
      <c r="M18" s="116">
        <f>+K18+'11'!M18+L18</f>
        <v>0</v>
      </c>
      <c r="O18" s="148">
        <v>1160</v>
      </c>
      <c r="P18" s="148">
        <f>+O18-(O18*0.24)</f>
        <v>881.6</v>
      </c>
      <c r="Q18" s="148">
        <f>60-15+60</f>
        <v>105</v>
      </c>
      <c r="R18" s="148">
        <f t="shared" si="2"/>
        <v>121800</v>
      </c>
      <c r="S18" s="148">
        <f t="shared" si="3"/>
        <v>92568</v>
      </c>
      <c r="U18" s="148" t="s">
        <v>456</v>
      </c>
      <c r="V18" s="148">
        <v>1200</v>
      </c>
      <c r="W18" s="148">
        <v>912</v>
      </c>
      <c r="X18" s="148">
        <v>25</v>
      </c>
      <c r="Y18" s="148">
        <f t="shared" ref="Y18:Y23" si="4">+V18*X18</f>
        <v>30000</v>
      </c>
      <c r="Z18" s="148">
        <f t="shared" ref="Z18:Z23" si="5">+W18*X18</f>
        <v>22800</v>
      </c>
    </row>
    <row r="19" spans="1:26" ht="39" thickBot="1">
      <c r="A19" s="751"/>
      <c r="B19" s="214"/>
      <c r="C19" s="215"/>
      <c r="D19" s="216"/>
      <c r="E19" s="224"/>
      <c r="F19" s="234"/>
      <c r="G19" s="231"/>
      <c r="H19" s="232" t="s">
        <v>501</v>
      </c>
      <c r="I19" s="749"/>
      <c r="J19" s="213">
        <f>+'11'!J19</f>
        <v>0</v>
      </c>
      <c r="K19" s="238"/>
      <c r="L19" s="238"/>
      <c r="M19" s="116">
        <f>+K19+'11'!M19+L19</f>
        <v>0</v>
      </c>
      <c r="P19" s="148">
        <f>+O19-(O19*0.2)</f>
        <v>0</v>
      </c>
      <c r="R19" s="148">
        <f t="shared" si="2"/>
        <v>0</v>
      </c>
      <c r="S19" s="148">
        <f t="shared" si="3"/>
        <v>0</v>
      </c>
      <c r="V19" s="148">
        <v>1160</v>
      </c>
      <c r="W19" s="148">
        <v>881.6</v>
      </c>
      <c r="X19" s="148">
        <v>105</v>
      </c>
      <c r="Y19" s="148">
        <f t="shared" si="4"/>
        <v>121800</v>
      </c>
      <c r="Z19" s="148">
        <f t="shared" si="5"/>
        <v>92568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+'11'!J20</f>
        <v>0</v>
      </c>
      <c r="K20" s="239"/>
      <c r="L20" s="239"/>
      <c r="M20" s="116">
        <f>+K20+'11'!M20+L20</f>
        <v>0</v>
      </c>
      <c r="P20" s="148">
        <f>+O20-(O20*0.23)</f>
        <v>0</v>
      </c>
      <c r="R20" s="148">
        <f t="shared" si="2"/>
        <v>0</v>
      </c>
      <c r="S20" s="148">
        <f t="shared" si="3"/>
        <v>0</v>
      </c>
      <c r="U20" s="148" t="s">
        <v>456</v>
      </c>
      <c r="V20" s="148">
        <v>1210</v>
      </c>
      <c r="W20" s="148">
        <v>919.6</v>
      </c>
      <c r="X20" s="148">
        <v>480</v>
      </c>
      <c r="Y20" s="148">
        <f t="shared" si="4"/>
        <v>580800</v>
      </c>
      <c r="Z20" s="148">
        <f t="shared" si="5"/>
        <v>441408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+'11'!J21</f>
        <v>0</v>
      </c>
      <c r="K21" s="238"/>
      <c r="L21" s="238"/>
      <c r="M21" s="116">
        <f>+K21+'11'!M21+L21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  <c r="W21" s="148">
        <f>+V21-(V21*0.2)</f>
        <v>0</v>
      </c>
      <c r="Y21" s="148">
        <f t="shared" si="4"/>
        <v>0</v>
      </c>
      <c r="Z21" s="148">
        <f t="shared" si="5"/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+'11'!J22</f>
        <v>0</v>
      </c>
      <c r="K22" s="238"/>
      <c r="L22" s="238"/>
      <c r="M22" s="116">
        <f>+K22+'11'!M22+L22</f>
        <v>0</v>
      </c>
      <c r="W22" s="148">
        <f>+V22-(V22*0.23)</f>
        <v>0</v>
      </c>
      <c r="Y22" s="148">
        <f t="shared" si="4"/>
        <v>0</v>
      </c>
      <c r="Z22" s="148">
        <f t="shared" si="5"/>
        <v>0</v>
      </c>
    </row>
    <row r="23" spans="1:26" ht="13.5" thickBot="1">
      <c r="A23" s="752"/>
      <c r="B23" s="167" t="s">
        <v>2</v>
      </c>
      <c r="C23" s="99">
        <f>SUM(C16:C22)</f>
        <v>12737</v>
      </c>
      <c r="D23" s="110">
        <f>SUM(D16:D22)</f>
        <v>0</v>
      </c>
      <c r="E23" s="111">
        <f>SUM(E18:E22)</f>
        <v>0</v>
      </c>
      <c r="F23" s="115">
        <f>SUM(F15:F22)</f>
        <v>28</v>
      </c>
      <c r="G23" s="158"/>
      <c r="H23" s="165"/>
      <c r="I23" s="168"/>
      <c r="J23" s="213">
        <f>+'11'!J23</f>
        <v>0</v>
      </c>
      <c r="K23" s="238"/>
      <c r="L23" s="238"/>
      <c r="M23" s="116">
        <f>+K23+'11'!M23+L23</f>
        <v>0</v>
      </c>
      <c r="W23" s="148">
        <f>+V23-(V23*0.23)</f>
        <v>0</v>
      </c>
      <c r="Y23" s="148">
        <f t="shared" si="4"/>
        <v>0</v>
      </c>
      <c r="Z23" s="148">
        <f t="shared" si="5"/>
        <v>0</v>
      </c>
    </row>
    <row r="24" spans="1:26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503</v>
      </c>
      <c r="J24" s="213">
        <f>+'11'!J24</f>
        <v>0</v>
      </c>
      <c r="K24" s="238"/>
      <c r="L24" s="238"/>
      <c r="M24" s="116">
        <f>+K24+'11'!M24+L24</f>
        <v>0</v>
      </c>
      <c r="Q24" s="175">
        <f>SUM(Q16:Q21)</f>
        <v>480</v>
      </c>
      <c r="R24" s="175">
        <f>SUM(R16:R21)</f>
        <v>501800</v>
      </c>
      <c r="S24" s="175">
        <f>SUM(S16:S21)</f>
        <v>379618</v>
      </c>
    </row>
    <row r="25" spans="1:26" ht="13.5" customHeight="1" thickBot="1">
      <c r="A25" s="751"/>
      <c r="B25" s="214" t="s">
        <v>510</v>
      </c>
      <c r="C25" s="225">
        <f>156+2352</f>
        <v>2508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+'11'!J25</f>
        <v>0</v>
      </c>
      <c r="K25" s="238"/>
      <c r="L25" s="238"/>
      <c r="M25" s="116">
        <f>+K25+'11'!M25+L25</f>
        <v>0</v>
      </c>
      <c r="R25" s="175">
        <f>+R24/Q24</f>
        <v>1045.4166666666667</v>
      </c>
      <c r="S25" s="175">
        <f>+S24/Q24</f>
        <v>790.87083333333328</v>
      </c>
    </row>
    <row r="26" spans="1:26" ht="13.5" customHeight="1" thickBot="1">
      <c r="A26" s="751"/>
      <c r="B26" s="214" t="s">
        <v>469</v>
      </c>
      <c r="C26" s="225">
        <v>12889</v>
      </c>
      <c r="D26" s="216"/>
      <c r="E26" s="226"/>
      <c r="F26" s="227">
        <f>26-9</f>
        <v>17</v>
      </c>
      <c r="G26" s="231" t="s">
        <v>12</v>
      </c>
      <c r="H26" s="232" t="s">
        <v>385</v>
      </c>
      <c r="I26" s="749"/>
      <c r="J26" s="213">
        <f>+'11'!J26</f>
        <v>0</v>
      </c>
      <c r="K26" s="238"/>
      <c r="L26" s="238"/>
      <c r="M26" s="116">
        <f>+K26+'11'!M26+L26</f>
        <v>0</v>
      </c>
      <c r="X26" s="175">
        <f>SUM(X18:X23)</f>
        <v>610</v>
      </c>
      <c r="Y26" s="175">
        <f>SUM(Y18:Y23)</f>
        <v>732600</v>
      </c>
      <c r="Z26" s="175">
        <f>SUM(Z18:Z23)</f>
        <v>556776</v>
      </c>
    </row>
    <row r="27" spans="1:26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499</v>
      </c>
      <c r="I27" s="749"/>
      <c r="J27" s="213">
        <f>+'11'!J27</f>
        <v>0</v>
      </c>
      <c r="K27" s="238"/>
      <c r="L27" s="238"/>
      <c r="M27" s="116">
        <f>+K27+'11'!M27+L27</f>
        <v>0</v>
      </c>
      <c r="N27" s="148" t="s">
        <v>456</v>
      </c>
      <c r="O27" s="148">
        <v>1210</v>
      </c>
      <c r="P27" s="148">
        <f>+O27-(O27*0.24)</f>
        <v>919.6</v>
      </c>
      <c r="Q27" s="148">
        <v>480</v>
      </c>
      <c r="R27" s="148">
        <f>+O27*Q27</f>
        <v>580800</v>
      </c>
      <c r="S27" s="148">
        <f>+P27*Q27</f>
        <v>441408</v>
      </c>
      <c r="Y27" s="175">
        <f>+Y26/X26</f>
        <v>1200.983606557377</v>
      </c>
      <c r="Z27" s="175">
        <f>+Z26/X26</f>
        <v>912.74754098360654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+'11'!J28</f>
        <v>0</v>
      </c>
      <c r="K28" s="238"/>
      <c r="L28" s="238"/>
      <c r="M28" s="116">
        <f>+K28+'11'!M28+L28</f>
        <v>0</v>
      </c>
    </row>
    <row r="29" spans="1:26" ht="13.5" customHeight="1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+'11'!J29</f>
        <v>0</v>
      </c>
      <c r="K29" s="238"/>
      <c r="L29" s="238"/>
      <c r="M29" s="116">
        <f>+K29+'11'!M29+L29</f>
        <v>0</v>
      </c>
    </row>
    <row r="30" spans="1:26" ht="13.5" customHeight="1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+'11'!J30</f>
        <v>0</v>
      </c>
      <c r="K30" s="238"/>
      <c r="L30" s="238"/>
      <c r="M30" s="116">
        <f>+K30+'11'!M30+L30</f>
        <v>0</v>
      </c>
      <c r="P30" s="148">
        <f>+O30-(O30*0.2)</f>
        <v>0</v>
      </c>
      <c r="R30" s="148">
        <f>+O30*Q30</f>
        <v>0</v>
      </c>
      <c r="S30" s="148">
        <f>+P30*Q30</f>
        <v>0</v>
      </c>
    </row>
    <row r="31" spans="1:26" ht="13.5" customHeight="1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+'11'!J31</f>
        <v>0</v>
      </c>
      <c r="K31" s="238"/>
      <c r="L31" s="238"/>
      <c r="M31" s="116">
        <f>+K31+'11'!M31+L31</f>
        <v>0</v>
      </c>
      <c r="P31" s="148">
        <f>+O31-(O31*0.23)</f>
        <v>0</v>
      </c>
      <c r="R31" s="148">
        <f>+O31*Q31</f>
        <v>0</v>
      </c>
      <c r="S31" s="148">
        <f>+P31*Q31</f>
        <v>0</v>
      </c>
    </row>
    <row r="32" spans="1:26" ht="13.5" customHeight="1" thickBot="1">
      <c r="A32" s="752"/>
      <c r="B32" s="164" t="s">
        <v>2</v>
      </c>
      <c r="C32" s="98">
        <f>SUM(C25:C31)</f>
        <v>15397</v>
      </c>
      <c r="D32" s="99">
        <f>SUM(D25:D31)</f>
        <v>0</v>
      </c>
      <c r="E32" s="100">
        <f>SUM(E25:E31)</f>
        <v>0</v>
      </c>
      <c r="F32" s="101">
        <f>SUM(F24:F31)</f>
        <v>26</v>
      </c>
      <c r="G32" s="170"/>
      <c r="H32" s="171"/>
      <c r="I32" s="168"/>
      <c r="J32" s="213">
        <f>+'1'!J32</f>
        <v>0</v>
      </c>
      <c r="K32" s="240"/>
      <c r="L32" s="242"/>
      <c r="M32" s="116">
        <f>+K32+'11'!M32+L32</f>
        <v>0</v>
      </c>
      <c r="P32" s="148">
        <f>+O32-(O32*0.23)</f>
        <v>0</v>
      </c>
      <c r="R32" s="148">
        <f>+O32*Q32</f>
        <v>0</v>
      </c>
      <c r="S32" s="148">
        <f>+P32*Q32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41507</v>
      </c>
      <c r="D34" s="106">
        <f>D14+D23+D32</f>
        <v>0</v>
      </c>
      <c r="E34" s="106">
        <f>E14+E23+E32</f>
        <v>0</v>
      </c>
      <c r="F34" s="107">
        <f>F14+F23+F32</f>
        <v>80</v>
      </c>
      <c r="H34" s="177"/>
      <c r="I34" s="177"/>
      <c r="J34" s="122" t="s">
        <v>28</v>
      </c>
      <c r="K34" s="123">
        <f>SUM(K7:K32)</f>
        <v>41507</v>
      </c>
      <c r="L34" s="211">
        <f>SUM(L7:L32)</f>
        <v>0</v>
      </c>
      <c r="M34" s="119">
        <f>SUM(M7:M32)</f>
        <v>465341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580800</v>
      </c>
      <c r="S35" s="175">
        <f>SUM(S27:S32)</f>
        <v>441408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1210</v>
      </c>
      <c r="S36" s="175">
        <f>+S35/Q35</f>
        <v>919.6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(15*830+12*610)/1440*G42*2.74*1440/1000000</f>
        <v>44.608303649166665</v>
      </c>
      <c r="J37" s="124">
        <f>+I37+'11'!J37</f>
        <v>532.32669653261121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80</v>
      </c>
      <c r="D38" s="117">
        <f>+C38+'11'!D38</f>
        <v>814</v>
      </c>
      <c r="E38" s="142">
        <f t="shared" ref="E38:E51" si="6">D38/60</f>
        <v>13.566666666666666</v>
      </c>
      <c r="F38" s="321">
        <v>1000</v>
      </c>
      <c r="G38" s="321">
        <v>760</v>
      </c>
      <c r="H38" s="186" t="s">
        <v>64</v>
      </c>
      <c r="I38" s="244">
        <f>14.054+12.398+1.81+14.227</f>
        <v>42.488999999999997</v>
      </c>
      <c r="J38" s="126">
        <f>+I38+'11'!J38</f>
        <v>478.50200000000001</v>
      </c>
      <c r="K38" s="127" t="s">
        <v>63</v>
      </c>
      <c r="N38" s="148" t="s">
        <v>493</v>
      </c>
      <c r="O38" s="148">
        <v>1000</v>
      </c>
      <c r="P38" s="148">
        <v>757.89156626506019</v>
      </c>
      <c r="Q38" s="148">
        <v>830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+C39+'11'!D39</f>
        <v>0</v>
      </c>
      <c r="E39" s="142">
        <f t="shared" si="6"/>
        <v>0</v>
      </c>
      <c r="F39" s="321">
        <v>1045.4166666666667</v>
      </c>
      <c r="G39" s="321">
        <v>790.87083333333328</v>
      </c>
      <c r="H39" s="186" t="s">
        <v>65</v>
      </c>
      <c r="I39" s="141"/>
      <c r="J39" s="128">
        <f>J37/G4</f>
        <v>44.36055804438427</v>
      </c>
      <c r="K39" s="129" t="s">
        <v>63</v>
      </c>
      <c r="N39" s="148" t="s">
        <v>456</v>
      </c>
      <c r="O39" s="148">
        <v>1200.983606557377</v>
      </c>
      <c r="P39" s="148">
        <v>912.74754098360654</v>
      </c>
      <c r="Q39" s="148">
        <v>610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+C40+'11'!D40</f>
        <v>481</v>
      </c>
      <c r="E40" s="142">
        <f t="shared" si="6"/>
        <v>8.0166666666666675</v>
      </c>
      <c r="F40" s="321">
        <v>1210</v>
      </c>
      <c r="G40" s="321">
        <v>919.6</v>
      </c>
      <c r="H40" s="186" t="s">
        <v>67</v>
      </c>
      <c r="I40" s="117">
        <f>(K34+L34)/1000</f>
        <v>41.506999999999998</v>
      </c>
      <c r="J40" s="130">
        <f>+I40+'11'!J40</f>
        <v>465.34100000000001</v>
      </c>
      <c r="K40" s="129" t="s">
        <v>63</v>
      </c>
      <c r="Q40" s="148">
        <f>+Q38+Q39</f>
        <v>1440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+C41+'11'!D41</f>
        <v>84</v>
      </c>
      <c r="E41" s="142">
        <f t="shared" si="6"/>
        <v>1.4</v>
      </c>
      <c r="F41" s="321"/>
      <c r="G41" s="321"/>
      <c r="H41" s="186" t="s">
        <v>69</v>
      </c>
      <c r="I41" s="141"/>
      <c r="J41" s="128">
        <f>J40/G4</f>
        <v>38.778416666666665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+C42+'11'!D42</f>
        <v>0</v>
      </c>
      <c r="E42" s="142">
        <f t="shared" si="6"/>
        <v>0</v>
      </c>
      <c r="F42" s="321">
        <f>+(480*F38+480*F39+480*F40)/1440</f>
        <v>1085.1388888888889</v>
      </c>
      <c r="G42" s="321">
        <f>+(480*G38+480*G39+480*G40)/1440</f>
        <v>823.49027777777781</v>
      </c>
      <c r="H42" s="186" t="s">
        <v>70</v>
      </c>
      <c r="I42" s="245" t="s">
        <v>506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+C43+'11'!D43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+Report1!Z20</f>
        <v>52</v>
      </c>
      <c r="J43" s="132">
        <f>+I43+'11'!J43</f>
        <v>628.79999999999995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+C44+'11'!D44</f>
        <v>0</v>
      </c>
      <c r="E44" s="142">
        <f t="shared" si="6"/>
        <v>0</v>
      </c>
      <c r="F44" s="321"/>
      <c r="G44" s="322"/>
      <c r="H44" s="187" t="s">
        <v>74</v>
      </c>
      <c r="I44" s="117">
        <f>I43/I38</f>
        <v>1.2238461719503873</v>
      </c>
      <c r="J44" s="133">
        <f>J43/J38</f>
        <v>1.31410109048656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+C45+'11'!D45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1.2528007324065822</v>
      </c>
      <c r="J45" s="133">
        <f>J43/J40</f>
        <v>1.3512671352835877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+C46+'11'!D46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+SUMIF(Listrik!P19,"&gt;0")</f>
        <v>41938.480000000367</v>
      </c>
      <c r="J46" s="134">
        <f>+I46+'11'!J46</f>
        <v>443169.31999999972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+C47+'11'!D47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987.04323471958321</v>
      </c>
      <c r="J47" s="134">
        <f>J46/J38</f>
        <v>926.15980706454661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+C48+'11'!D48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1010.3953550003703</v>
      </c>
      <c r="J48" s="134">
        <f>J46/J40</f>
        <v>952.35390820924806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+C49+'11'!D49</f>
        <v>0</v>
      </c>
      <c r="E49" s="142">
        <f t="shared" si="6"/>
        <v>0</v>
      </c>
      <c r="F49" s="184"/>
      <c r="H49" s="187" t="s">
        <v>269</v>
      </c>
      <c r="I49" s="117">
        <f>+Report1!T20</f>
        <v>5272.542759445827</v>
      </c>
      <c r="J49" s="134">
        <f>+I49+'11'!J49</f>
        <v>52216.687757286039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+C50+'11'!D50</f>
        <v>0</v>
      </c>
      <c r="E50" s="142">
        <f t="shared" si="6"/>
        <v>0</v>
      </c>
      <c r="F50" s="184"/>
      <c r="H50" s="187" t="s">
        <v>83</v>
      </c>
      <c r="I50" s="139">
        <f>I49/I38</f>
        <v>124.0919475498559</v>
      </c>
      <c r="J50" s="132">
        <f>J49/J38</f>
        <v>109.1253281225283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+C51+'11'!D51</f>
        <v>0</v>
      </c>
      <c r="E51" s="142">
        <f t="shared" si="6"/>
        <v>0</v>
      </c>
      <c r="F51" s="184"/>
      <c r="H51" s="189" t="s">
        <v>85</v>
      </c>
      <c r="I51" s="140">
        <f>I49/I40</f>
        <v>127.02779674382218</v>
      </c>
      <c r="J51" s="135">
        <f>J49/J40</f>
        <v>112.21166361289042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80</v>
      </c>
      <c r="D52" s="143">
        <f>SUM(D38:D51)</f>
        <v>1379</v>
      </c>
      <c r="E52" s="144">
        <f>SUM(E38:E51)</f>
        <v>22.983333333333334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5.5555555555555552E-2</v>
      </c>
      <c r="D53" s="145">
        <f>D52/(24*60*G4)</f>
        <v>7.9803240740740744E-2</v>
      </c>
      <c r="E53" s="146">
        <f>E52/(G4*24)</f>
        <v>7.9803240740740744E-2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+D34+'11'!J56</f>
        <v>917</v>
      </c>
      <c r="K56" s="200">
        <f>J56/(J40+J56/1000)/1000</f>
        <v>1.9667222868025858E-3</v>
      </c>
    </row>
    <row r="57" spans="1:11">
      <c r="A57" s="175"/>
      <c r="I57" s="198" t="s">
        <v>88</v>
      </c>
      <c r="J57" s="199">
        <f>+E34+'11'!J57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8:B48"/>
    <mergeCell ref="A49:B49"/>
    <mergeCell ref="A50:B50"/>
    <mergeCell ref="A51:B51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7:A14"/>
    <mergeCell ref="I7:I13"/>
    <mergeCell ref="A15:A23"/>
    <mergeCell ref="I15:I22"/>
    <mergeCell ref="A24:A32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Z61"/>
  <sheetViews>
    <sheetView view="pageBreakPreview" topLeftCell="A19" zoomScale="80" zoomScaleNormal="70" zoomScaleSheetLayoutView="80" workbookViewId="0">
      <selection activeCell="H41" sqref="H4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11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1100</v>
      </c>
      <c r="P6" s="148">
        <f>+O6-(O6*0.24)</f>
        <v>836</v>
      </c>
      <c r="Q6" s="148">
        <v>480</v>
      </c>
      <c r="R6" s="148">
        <f t="shared" ref="R6:R11" si="0">+O6*Q6</f>
        <v>528000</v>
      </c>
      <c r="S6" s="148">
        <f t="shared" ref="S6:S11" si="1">+P6*Q6</f>
        <v>401280</v>
      </c>
      <c r="U6" s="148" t="s">
        <v>457</v>
      </c>
      <c r="V6" s="148">
        <v>1100</v>
      </c>
      <c r="W6" s="148">
        <f>+V6-(V6*0.24)</f>
        <v>836</v>
      </c>
      <c r="X6" s="148">
        <v>480</v>
      </c>
      <c r="Y6" s="148">
        <f>+V6*X6</f>
        <v>528000</v>
      </c>
      <c r="Z6" s="148">
        <f>+W6*X6</f>
        <v>401280</v>
      </c>
    </row>
    <row r="7" spans="1:26" ht="13.5" customHeight="1" thickBot="1">
      <c r="A7" s="745" t="s">
        <v>389</v>
      </c>
      <c r="B7" s="214" t="s">
        <v>470</v>
      </c>
      <c r="C7" s="215">
        <v>12778</v>
      </c>
      <c r="D7" s="216"/>
      <c r="E7" s="217"/>
      <c r="F7" s="227"/>
      <c r="G7" s="228" t="s">
        <v>12</v>
      </c>
      <c r="H7" s="229" t="s">
        <v>384</v>
      </c>
      <c r="I7" s="748" t="s">
        <v>478</v>
      </c>
      <c r="J7" s="213" t="str">
        <f>+'10'!J7</f>
        <v>F 14 VP OW</v>
      </c>
      <c r="K7" s="237"/>
      <c r="L7" s="241"/>
      <c r="M7" s="116">
        <f>+K7+'10'!M7+L7</f>
        <v>185476</v>
      </c>
      <c r="U7" s="148" t="s">
        <v>457</v>
      </c>
      <c r="V7" s="148">
        <v>1100</v>
      </c>
      <c r="W7" s="148">
        <v>836</v>
      </c>
      <c r="X7" s="148">
        <v>425</v>
      </c>
      <c r="Y7" s="148">
        <f>+V7*X7</f>
        <v>467500</v>
      </c>
      <c r="Z7" s="148">
        <f>+W7*X7</f>
        <v>355300</v>
      </c>
    </row>
    <row r="8" spans="1:26" ht="13.5" thickBot="1">
      <c r="A8" s="746"/>
      <c r="B8" s="214"/>
      <c r="C8" s="215"/>
      <c r="D8" s="216"/>
      <c r="E8" s="218"/>
      <c r="F8" s="230">
        <v>8</v>
      </c>
      <c r="G8" s="231" t="s">
        <v>12</v>
      </c>
      <c r="H8" s="229" t="s">
        <v>407</v>
      </c>
      <c r="I8" s="749"/>
      <c r="J8" s="213" t="str">
        <f>+'10'!J8</f>
        <v>F 15 VP OW</v>
      </c>
      <c r="K8" s="238"/>
      <c r="L8" s="238"/>
      <c r="M8" s="116">
        <f>+K8+'10'!M8+L8</f>
        <v>95546</v>
      </c>
    </row>
    <row r="9" spans="1:26" ht="13.5" thickBot="1">
      <c r="A9" s="746"/>
      <c r="B9" s="214"/>
      <c r="C9" s="215"/>
      <c r="D9" s="216"/>
      <c r="E9" s="219"/>
      <c r="F9" s="227">
        <v>10</v>
      </c>
      <c r="G9" s="231" t="s">
        <v>12</v>
      </c>
      <c r="H9" s="232" t="s">
        <v>434</v>
      </c>
      <c r="I9" s="749"/>
      <c r="J9" s="213" t="str">
        <f>+'10'!J9</f>
        <v>T 12 VP OW</v>
      </c>
      <c r="K9" s="238"/>
      <c r="L9" s="238"/>
      <c r="M9" s="116">
        <f>+K9+'10'!M9+L9</f>
        <v>26467</v>
      </c>
      <c r="P9" s="148">
        <f>+O9-(O9*0.2)</f>
        <v>0</v>
      </c>
      <c r="R9" s="148">
        <f t="shared" si="0"/>
        <v>0</v>
      </c>
      <c r="S9" s="148">
        <f t="shared" si="1"/>
        <v>0</v>
      </c>
      <c r="U9" s="148" t="s">
        <v>457</v>
      </c>
      <c r="V9" s="148">
        <v>1111</v>
      </c>
      <c r="W9" s="148">
        <v>844.36</v>
      </c>
      <c r="X9" s="148">
        <v>480</v>
      </c>
      <c r="Y9" s="148">
        <f>+V9*X9</f>
        <v>533280</v>
      </c>
      <c r="Z9" s="148">
        <f>+W9*X9</f>
        <v>405292.79999999999</v>
      </c>
    </row>
    <row r="10" spans="1:26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492</v>
      </c>
      <c r="I10" s="749"/>
      <c r="J10" s="213" t="str">
        <f>+'10'!J10</f>
        <v>T 13 VP OW</v>
      </c>
      <c r="K10" s="238">
        <f>+C34</f>
        <v>36599</v>
      </c>
      <c r="L10" s="238"/>
      <c r="M10" s="116">
        <f>+K10+'10'!M10+L10</f>
        <v>116345</v>
      </c>
      <c r="P10" s="148">
        <f>+O10-(O10*0.23)</f>
        <v>0</v>
      </c>
      <c r="R10" s="148">
        <f t="shared" si="0"/>
        <v>0</v>
      </c>
      <c r="S10" s="148">
        <f t="shared" si="1"/>
        <v>0</v>
      </c>
      <c r="W10" s="148">
        <f>+V10-(V10*0.23)</f>
        <v>0</v>
      </c>
      <c r="Y10" s="148">
        <f>+V10*X10</f>
        <v>0</v>
      </c>
      <c r="Z10" s="148">
        <f>+W10*X10</f>
        <v>0</v>
      </c>
    </row>
    <row r="11" spans="1:26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>
        <f>+'10'!J11</f>
        <v>0</v>
      </c>
      <c r="K11" s="238"/>
      <c r="L11" s="238"/>
      <c r="M11" s="116">
        <f>+K11+'10'!M11+L11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  <c r="W11" s="148">
        <f>+V11-(V11*0.23)</f>
        <v>0</v>
      </c>
      <c r="Y11" s="148">
        <f>+V11*X11</f>
        <v>0</v>
      </c>
      <c r="Z11" s="148">
        <f>+W11*X11</f>
        <v>0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+'10'!J12</f>
        <v>0</v>
      </c>
      <c r="K12" s="238"/>
      <c r="L12" s="238"/>
      <c r="M12" s="116">
        <f>+K12+'10'!M12+L12</f>
        <v>0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+'10'!J13</f>
        <v>0</v>
      </c>
      <c r="K13" s="238"/>
      <c r="L13" s="238"/>
      <c r="M13" s="116">
        <f>+K13+'10'!M13+L13</f>
        <v>0</v>
      </c>
    </row>
    <row r="14" spans="1:26" ht="13.5" thickBot="1">
      <c r="A14" s="747"/>
      <c r="B14" s="164" t="s">
        <v>2</v>
      </c>
      <c r="C14" s="98">
        <f>SUM(C7:C13)</f>
        <v>12778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>
        <f>+'10'!J14</f>
        <v>0</v>
      </c>
      <c r="K14" s="238"/>
      <c r="L14" s="238"/>
      <c r="M14" s="116">
        <f>+K14+'10'!M14+L14</f>
        <v>0</v>
      </c>
      <c r="Q14" s="175">
        <f>SUM(Q6:Q11)</f>
        <v>480</v>
      </c>
      <c r="R14" s="175">
        <f>SUM(R6:R11)</f>
        <v>528000</v>
      </c>
      <c r="S14" s="175">
        <f>SUM(S6:S11)</f>
        <v>401280</v>
      </c>
      <c r="X14" s="175">
        <f>SUM(X6:X11)</f>
        <v>1385</v>
      </c>
      <c r="Y14" s="175">
        <f>SUM(Y6:Y11)</f>
        <v>1528780</v>
      </c>
      <c r="Z14" s="175">
        <f>SUM(Z6:Z11)</f>
        <v>1161872.8</v>
      </c>
    </row>
    <row r="15" spans="1:26" ht="13.5" customHeight="1" thickBot="1">
      <c r="A15" s="745" t="s">
        <v>438</v>
      </c>
      <c r="B15" s="164"/>
      <c r="C15" s="112">
        <f>C14/($C$23+$D$23+$E$23)</f>
        <v>0.968470516901622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494</v>
      </c>
      <c r="J15" s="213">
        <f>+'10'!J15</f>
        <v>0</v>
      </c>
      <c r="K15" s="238"/>
      <c r="L15" s="238"/>
      <c r="M15" s="116">
        <f>+K15+'10'!M15+L15</f>
        <v>0</v>
      </c>
      <c r="R15" s="175">
        <f>+R14/Q14</f>
        <v>1100</v>
      </c>
      <c r="S15" s="175">
        <f>+S14/Q14</f>
        <v>836</v>
      </c>
      <c r="Y15" s="175">
        <f>+Y14/X14</f>
        <v>1103.8122743682311</v>
      </c>
      <c r="Z15" s="175">
        <f>+Z14/X14</f>
        <v>838.89732851985559</v>
      </c>
    </row>
    <row r="16" spans="1:26" ht="13.5" thickBot="1">
      <c r="A16" s="751"/>
      <c r="B16" s="214" t="s">
        <v>470</v>
      </c>
      <c r="C16" s="221">
        <v>13194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+'10'!J16</f>
        <v>0</v>
      </c>
      <c r="K16" s="228"/>
      <c r="L16" s="228"/>
      <c r="M16" s="116">
        <f>+K16+'10'!M16+L16</f>
        <v>0</v>
      </c>
    </row>
    <row r="17" spans="1:19" ht="13.5" thickBot="1">
      <c r="A17" s="751"/>
      <c r="B17" s="214"/>
      <c r="C17" s="215"/>
      <c r="D17" s="216"/>
      <c r="E17" s="224"/>
      <c r="F17" s="227">
        <f>24-9</f>
        <v>15</v>
      </c>
      <c r="G17" s="231" t="s">
        <v>12</v>
      </c>
      <c r="H17" s="232" t="s">
        <v>434</v>
      </c>
      <c r="I17" s="749"/>
      <c r="J17" s="213">
        <f>+'10'!J17</f>
        <v>0</v>
      </c>
      <c r="K17" s="228"/>
      <c r="L17" s="228"/>
      <c r="M17" s="116">
        <f>+K17+'10'!M17+L17</f>
        <v>0</v>
      </c>
      <c r="N17" s="148" t="s">
        <v>457</v>
      </c>
      <c r="O17" s="148">
        <v>1111</v>
      </c>
      <c r="P17" s="148">
        <f>+O17-(O17*0.24)</f>
        <v>844.36</v>
      </c>
      <c r="Q17" s="148">
        <v>480</v>
      </c>
      <c r="R17" s="148">
        <f>+O17*Q17</f>
        <v>533280</v>
      </c>
      <c r="S17" s="148">
        <f>+P17*Q17</f>
        <v>405292.79999999999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491</v>
      </c>
      <c r="I18" s="749"/>
      <c r="J18" s="213">
        <f>+'10'!J18</f>
        <v>0</v>
      </c>
      <c r="K18" s="238"/>
      <c r="L18" s="238"/>
      <c r="M18" s="116">
        <f>+K18+'10'!M18+L18</f>
        <v>0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+'10'!J19</f>
        <v>0</v>
      </c>
      <c r="K19" s="238"/>
      <c r="L19" s="238"/>
      <c r="M19" s="116">
        <f>+K19+'10'!M19+L19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+'10'!J20</f>
        <v>0</v>
      </c>
      <c r="K20" s="239"/>
      <c r="L20" s="239"/>
      <c r="M20" s="116">
        <f>+K20+'10'!M20+L20</f>
        <v>0</v>
      </c>
      <c r="P20" s="148">
        <f>+O20-(O20*0.2)</f>
        <v>0</v>
      </c>
      <c r="R20" s="148">
        <f>+O20*Q20</f>
        <v>0</v>
      </c>
      <c r="S20" s="148">
        <f>+P20*Q20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+'10'!J21</f>
        <v>0</v>
      </c>
      <c r="K21" s="238"/>
      <c r="L21" s="238"/>
      <c r="M21" s="116">
        <f>+K21+'10'!M21+L21</f>
        <v>0</v>
      </c>
      <c r="P21" s="148">
        <f>+O21-(O21*0.23)</f>
        <v>0</v>
      </c>
      <c r="R21" s="148">
        <f>+O21*Q21</f>
        <v>0</v>
      </c>
      <c r="S21" s="148">
        <f>+P21*Q21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+'10'!J22</f>
        <v>0</v>
      </c>
      <c r="K22" s="238"/>
      <c r="L22" s="238"/>
      <c r="M22" s="116">
        <f>+K22+'10'!M22+L22</f>
        <v>0</v>
      </c>
      <c r="P22" s="148">
        <f>+O22-(O22*0.23)</f>
        <v>0</v>
      </c>
      <c r="R22" s="148">
        <f>+O22*Q22</f>
        <v>0</v>
      </c>
      <c r="S22" s="148">
        <f>+P22*Q22</f>
        <v>0</v>
      </c>
    </row>
    <row r="23" spans="1:19" ht="13.5" thickBot="1">
      <c r="A23" s="752"/>
      <c r="B23" s="167" t="s">
        <v>2</v>
      </c>
      <c r="C23" s="99">
        <f>SUM(C16:C22)</f>
        <v>13194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+'10'!J23</f>
        <v>0</v>
      </c>
      <c r="K23" s="238"/>
      <c r="L23" s="238"/>
      <c r="M23" s="116">
        <f>+K23+'10'!M23+L23</f>
        <v>0</v>
      </c>
    </row>
    <row r="24" spans="1:19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495</v>
      </c>
      <c r="J24" s="213">
        <f>+'10'!J24</f>
        <v>0</v>
      </c>
      <c r="K24" s="238"/>
      <c r="L24" s="238"/>
      <c r="M24" s="116">
        <f>+K24+'10'!M24+L24</f>
        <v>0</v>
      </c>
    </row>
    <row r="25" spans="1:19" ht="13.5" thickBot="1">
      <c r="A25" s="751"/>
      <c r="B25" s="214" t="s">
        <v>470</v>
      </c>
      <c r="C25" s="225">
        <v>10627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+'10'!J25</f>
        <v>0</v>
      </c>
      <c r="K25" s="238"/>
      <c r="L25" s="238"/>
      <c r="M25" s="116">
        <f>+K25+'10'!M25+L25</f>
        <v>0</v>
      </c>
      <c r="Q25" s="175">
        <f>SUM(Q17:Q22)</f>
        <v>480</v>
      </c>
      <c r="R25" s="175">
        <f>SUM(R17:R22)</f>
        <v>533280</v>
      </c>
      <c r="S25" s="175">
        <f>SUM(S17:S22)</f>
        <v>405292.79999999999</v>
      </c>
    </row>
    <row r="26" spans="1:19" ht="13.5" thickBot="1">
      <c r="A26" s="751"/>
      <c r="B26" s="214"/>
      <c r="C26" s="225"/>
      <c r="D26" s="216"/>
      <c r="E26" s="226"/>
      <c r="F26" s="227">
        <f>24-9</f>
        <v>15</v>
      </c>
      <c r="G26" s="231" t="s">
        <v>12</v>
      </c>
      <c r="H26" s="232" t="s">
        <v>434</v>
      </c>
      <c r="I26" s="749"/>
      <c r="J26" s="213">
        <f>+'10'!J26</f>
        <v>0</v>
      </c>
      <c r="K26" s="228"/>
      <c r="L26" s="228"/>
      <c r="M26" s="116">
        <f>+K26+'10'!M26+L26</f>
        <v>0</v>
      </c>
      <c r="R26" s="175">
        <f>+R25/Q25</f>
        <v>1111</v>
      </c>
      <c r="S26" s="175">
        <f>+S25/Q25</f>
        <v>844.36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486</v>
      </c>
      <c r="I27" s="749"/>
      <c r="J27" s="213">
        <f>+'10'!J27</f>
        <v>0</v>
      </c>
      <c r="K27" s="228"/>
      <c r="L27" s="228"/>
      <c r="M27" s="116">
        <f>+K27+'10'!M27+L27</f>
        <v>0</v>
      </c>
      <c r="N27" s="148" t="s">
        <v>457</v>
      </c>
      <c r="O27" s="148">
        <v>1100</v>
      </c>
      <c r="P27" s="148">
        <f>+O27-(O27*0.24)</f>
        <v>836</v>
      </c>
      <c r="Q27" s="148">
        <f>480-Q28</f>
        <v>425</v>
      </c>
      <c r="R27" s="148">
        <f>+O27*Q27</f>
        <v>467500</v>
      </c>
      <c r="S27" s="148">
        <f>+P27*Q27</f>
        <v>355300</v>
      </c>
    </row>
    <row r="28" spans="1:19" ht="39" thickBot="1">
      <c r="A28" s="751"/>
      <c r="B28" s="214"/>
      <c r="C28" s="215"/>
      <c r="D28" s="216"/>
      <c r="E28" s="224"/>
      <c r="F28" s="230"/>
      <c r="G28" s="231"/>
      <c r="H28" s="232" t="s">
        <v>490</v>
      </c>
      <c r="I28" s="749"/>
      <c r="J28" s="213">
        <f>+'10'!J28</f>
        <v>0</v>
      </c>
      <c r="K28" s="238"/>
      <c r="L28" s="238"/>
      <c r="M28" s="116">
        <f>+K28+'10'!M28+L28</f>
        <v>0</v>
      </c>
      <c r="N28" s="148" t="s">
        <v>493</v>
      </c>
      <c r="O28" s="148">
        <v>1020</v>
      </c>
      <c r="P28" s="148">
        <f>+O28-(O28*0.24)</f>
        <v>775.2</v>
      </c>
      <c r="Q28" s="148">
        <f>60-5</f>
        <v>55</v>
      </c>
      <c r="R28" s="148">
        <f>+O28*Q28</f>
        <v>56100</v>
      </c>
      <c r="S28" s="148">
        <f>+P28*Q28</f>
        <v>42636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+'10'!J29</f>
        <v>0</v>
      </c>
      <c r="K29" s="238"/>
      <c r="L29" s="238"/>
      <c r="M29" s="116">
        <f>+K29+'10'!M29+L29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+'10'!J30</f>
        <v>0</v>
      </c>
      <c r="K30" s="239"/>
      <c r="L30" s="239"/>
      <c r="M30" s="116">
        <f>+K30+'10'!M30+L30</f>
        <v>0</v>
      </c>
      <c r="P30" s="148">
        <f>+O30-(O30*0.2)</f>
        <v>0</v>
      </c>
      <c r="R30" s="148">
        <f>+O30*Q30</f>
        <v>0</v>
      </c>
      <c r="S30" s="148">
        <f>+P30*Q30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+'10'!J31</f>
        <v>0</v>
      </c>
      <c r="K31" s="238"/>
      <c r="L31" s="238"/>
      <c r="M31" s="116">
        <f>+K31+'10'!M31+L31</f>
        <v>0</v>
      </c>
      <c r="P31" s="148">
        <f>+O31-(O31*0.23)</f>
        <v>0</v>
      </c>
      <c r="R31" s="148">
        <f>+O31*Q31</f>
        <v>0</v>
      </c>
      <c r="S31" s="148">
        <f>+P31*Q31</f>
        <v>0</v>
      </c>
    </row>
    <row r="32" spans="1:19" ht="13.5" thickBot="1">
      <c r="A32" s="752"/>
      <c r="B32" s="164" t="s">
        <v>2</v>
      </c>
      <c r="C32" s="98">
        <f>SUM(C25:C31)</f>
        <v>10627</v>
      </c>
      <c r="D32" s="99">
        <f>SUM(D25:D31)</f>
        <v>0</v>
      </c>
      <c r="E32" s="100">
        <f>SUM(E25:E31)</f>
        <v>0</v>
      </c>
      <c r="F32" s="101">
        <f>SUM(F24:F31)</f>
        <v>24</v>
      </c>
      <c r="G32" s="170"/>
      <c r="H32" s="171"/>
      <c r="I32" s="168"/>
      <c r="J32" s="213">
        <f>+'10'!J32</f>
        <v>0</v>
      </c>
      <c r="K32" s="238"/>
      <c r="L32" s="238"/>
      <c r="M32" s="116">
        <f>+K32+'10'!M32+L32</f>
        <v>0</v>
      </c>
      <c r="P32" s="148">
        <f>+O32-(O32*0.23)</f>
        <v>0</v>
      </c>
      <c r="R32" s="148">
        <f>+O32*Q32</f>
        <v>0</v>
      </c>
      <c r="S32" s="148">
        <f>+P32*Q32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36599</v>
      </c>
      <c r="D34" s="106">
        <f>D14+D23+D32</f>
        <v>0</v>
      </c>
      <c r="E34" s="106">
        <f>E14+E23+E32</f>
        <v>0</v>
      </c>
      <c r="F34" s="107">
        <f>F14+F23+F32</f>
        <v>66</v>
      </c>
      <c r="H34" s="177"/>
      <c r="I34" s="177"/>
      <c r="J34" s="122" t="s">
        <v>28</v>
      </c>
      <c r="K34" s="123">
        <f>SUM(K7:K32)</f>
        <v>36599</v>
      </c>
      <c r="L34" s="211">
        <f>SUM(L7:L32)</f>
        <v>0</v>
      </c>
      <c r="M34" s="119">
        <f>SUM(M7:M32)</f>
        <v>423834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523600</v>
      </c>
      <c r="S35" s="175">
        <f>SUM(S27:S32)</f>
        <v>397936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1090.8333333333333</v>
      </c>
      <c r="S36" s="175">
        <f>+S35/Q35</f>
        <v>829.0333333333333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(13*1385+15*55)/1440*G42*2.74*1440/1000000</f>
        <v>43.156713839555565</v>
      </c>
      <c r="J37" s="124">
        <f>+I37+'10'!J37</f>
        <v>487.71839288344449</v>
      </c>
      <c r="K37" s="125" t="s">
        <v>63</v>
      </c>
      <c r="N37" s="148" t="s">
        <v>457</v>
      </c>
      <c r="O37" s="148">
        <v>1103.8122743682311</v>
      </c>
      <c r="P37" s="148">
        <v>838.89732851985559</v>
      </c>
      <c r="Q37" s="148">
        <v>1385</v>
      </c>
    </row>
    <row r="38" spans="1:19" ht="17.45" customHeight="1">
      <c r="A38" s="757" t="s">
        <v>12</v>
      </c>
      <c r="B38" s="758"/>
      <c r="C38" s="163">
        <f>SUMIF($G$7:$G$31,"Process",$F$7:$F$31)</f>
        <v>66</v>
      </c>
      <c r="D38" s="117">
        <f>+C38+'10'!D38</f>
        <v>734</v>
      </c>
      <c r="E38" s="142">
        <f t="shared" ref="E38:E51" si="2">D38/60</f>
        <v>12.233333333333333</v>
      </c>
      <c r="F38" s="321">
        <v>1100</v>
      </c>
      <c r="G38" s="321">
        <v>836</v>
      </c>
      <c r="H38" s="186" t="s">
        <v>64</v>
      </c>
      <c r="I38" s="244">
        <f>12.609+11.67+12.695</f>
        <v>36.974000000000004</v>
      </c>
      <c r="J38" s="126">
        <f>+I38+'10'!J38</f>
        <v>436.01300000000003</v>
      </c>
      <c r="K38" s="127" t="s">
        <v>63</v>
      </c>
      <c r="N38" s="148" t="s">
        <v>493</v>
      </c>
      <c r="O38" s="148">
        <v>1020</v>
      </c>
      <c r="P38" s="148">
        <v>775.2</v>
      </c>
      <c r="Q38" s="148">
        <v>55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+C39+'10'!D39</f>
        <v>0</v>
      </c>
      <c r="E39" s="142">
        <f t="shared" si="2"/>
        <v>0</v>
      </c>
      <c r="F39" s="321">
        <v>1111</v>
      </c>
      <c r="G39" s="321">
        <v>844.36</v>
      </c>
      <c r="H39" s="186" t="s">
        <v>65</v>
      </c>
      <c r="I39" s="141"/>
      <c r="J39" s="128">
        <f>J37/G4</f>
        <v>44.338035716676771</v>
      </c>
      <c r="K39" s="129" t="s">
        <v>63</v>
      </c>
      <c r="Q39" s="148">
        <f>+Q37+Q38</f>
        <v>1440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+C40+'10'!D40</f>
        <v>481</v>
      </c>
      <c r="E40" s="142">
        <f t="shared" si="2"/>
        <v>8.0166666666666675</v>
      </c>
      <c r="F40" s="321">
        <v>1090.8333333333333</v>
      </c>
      <c r="G40" s="321">
        <v>829.0333333333333</v>
      </c>
      <c r="H40" s="186" t="s">
        <v>67</v>
      </c>
      <c r="I40" s="117">
        <f>(K34+L34)/1000</f>
        <v>36.598999999999997</v>
      </c>
      <c r="J40" s="130">
        <f>+I40+'10'!J40</f>
        <v>423.834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+C41+'10'!D41</f>
        <v>84</v>
      </c>
      <c r="E41" s="142">
        <f t="shared" si="2"/>
        <v>1.4</v>
      </c>
      <c r="F41" s="321"/>
      <c r="G41" s="321"/>
      <c r="H41" s="186" t="s">
        <v>69</v>
      </c>
      <c r="I41" s="141"/>
      <c r="J41" s="128">
        <f>J40/G4</f>
        <v>38.530363636363639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+C42+'10'!D42</f>
        <v>0</v>
      </c>
      <c r="E42" s="142">
        <f t="shared" si="2"/>
        <v>0</v>
      </c>
      <c r="F42" s="321">
        <f>+(480*F38+480*F39+480*F40)/1440</f>
        <v>1100.6111111111111</v>
      </c>
      <c r="G42" s="321">
        <f>+(480*G38+480*G39+480*G40)/1440</f>
        <v>836.46444444444444</v>
      </c>
      <c r="H42" s="186" t="s">
        <v>70</v>
      </c>
      <c r="I42" s="245" t="s">
        <v>497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+C43+'10'!D43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+Report1!Z19</f>
        <v>52.8</v>
      </c>
      <c r="J43" s="132">
        <f>+I43+'10'!J43</f>
        <v>576.79999999999995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+C44+'10'!D44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1.4280305079244873</v>
      </c>
      <c r="J44" s="133">
        <f>J43/J38</f>
        <v>1.3228963356597163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+C45+'10'!D45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1.4426623678242576</v>
      </c>
      <c r="J45" s="133">
        <f>J43/J40</f>
        <v>1.36091016765998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+C46+'10'!D46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+SUMIF(Listrik!P18,"&gt;0")</f>
        <v>34865.240000000726</v>
      </c>
      <c r="J46" s="134">
        <f>+I46+'10'!J46</f>
        <v>401230.83999999933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+C47+'10'!D47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942.96640882784448</v>
      </c>
      <c r="J47" s="134">
        <f>J46/J38</f>
        <v>920.22678222896866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+C48+'10'!D48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952.62821388564521</v>
      </c>
      <c r="J48" s="134">
        <f>J46/J40</f>
        <v>946.66978109353977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+C49+'10'!D49</f>
        <v>0</v>
      </c>
      <c r="E49" s="142">
        <f t="shared" si="2"/>
        <v>0</v>
      </c>
      <c r="F49" s="184"/>
      <c r="H49" s="187" t="s">
        <v>268</v>
      </c>
      <c r="I49" s="117">
        <f>+Report1!T18</f>
        <v>5137.1496952336993</v>
      </c>
      <c r="J49" s="339">
        <f>+I49+'9'!J49</f>
        <v>46944.144997840209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+C50+'10'!D50</f>
        <v>0</v>
      </c>
      <c r="E50" s="142">
        <f t="shared" si="2"/>
        <v>0</v>
      </c>
      <c r="F50" s="184"/>
      <c r="H50" s="187" t="s">
        <v>83</v>
      </c>
      <c r="I50" s="139">
        <f>I49/I38</f>
        <v>138.93951682895275</v>
      </c>
      <c r="J50" s="339">
        <f>J49/J38</f>
        <v>107.66684708446813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+C51+'10'!D51</f>
        <v>0</v>
      </c>
      <c r="E51" s="142">
        <f t="shared" si="2"/>
        <v>0</v>
      </c>
      <c r="F51" s="184"/>
      <c r="H51" s="189" t="s">
        <v>85</v>
      </c>
      <c r="I51" s="140">
        <f>I49/I40</f>
        <v>140.36311634836198</v>
      </c>
      <c r="J51" s="340">
        <f>J49/J40</f>
        <v>110.76068696197146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66</v>
      </c>
      <c r="D52" s="143">
        <f>SUM(D38:D51)</f>
        <v>1299</v>
      </c>
      <c r="E52" s="144">
        <f>SUM(E38:E51)</f>
        <v>21.65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4.583333333333333E-2</v>
      </c>
      <c r="D53" s="145">
        <f>D52/(24*60*G4)</f>
        <v>8.2007575757575751E-2</v>
      </c>
      <c r="E53" s="146">
        <f>E52/(G4*24)</f>
        <v>8.2007575757575751E-2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+D34+'10'!J56</f>
        <v>917</v>
      </c>
      <c r="K56" s="200">
        <f>J56/(J40+J56/1000)/1000</f>
        <v>2.1589119272232438E-3</v>
      </c>
    </row>
    <row r="57" spans="1:11">
      <c r="A57" s="175"/>
      <c r="I57" s="198" t="s">
        <v>88</v>
      </c>
      <c r="J57" s="199">
        <f>+E34+'10'!J57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S61"/>
  <sheetViews>
    <sheetView view="pageBreakPreview" topLeftCell="A13" zoomScale="80" zoomScaleNormal="75" zoomScaleSheetLayoutView="80" workbookViewId="0">
      <selection activeCell="J32" sqref="J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10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1100</v>
      </c>
      <c r="P6" s="148">
        <f>+O6-(O6*0.23)</f>
        <v>847</v>
      </c>
      <c r="Q6" s="148">
        <v>480</v>
      </c>
      <c r="R6" s="148">
        <f t="shared" ref="R6:R11" si="0">+O6*Q6</f>
        <v>528000</v>
      </c>
      <c r="S6" s="148">
        <f t="shared" ref="S6:S11" si="1">+P6*Q6</f>
        <v>406560</v>
      </c>
    </row>
    <row r="7" spans="1:19" ht="13.5" customHeight="1" thickBot="1">
      <c r="A7" s="745" t="s">
        <v>389</v>
      </c>
      <c r="B7" s="214" t="s">
        <v>470</v>
      </c>
      <c r="C7" s="215">
        <v>12177</v>
      </c>
      <c r="D7" s="216"/>
      <c r="E7" s="217"/>
      <c r="F7" s="227"/>
      <c r="G7" s="228" t="s">
        <v>12</v>
      </c>
      <c r="H7" s="229" t="s">
        <v>384</v>
      </c>
      <c r="I7" s="748" t="s">
        <v>421</v>
      </c>
      <c r="J7" s="213" t="str">
        <f>+'9'!J7</f>
        <v>F 14 VP OW</v>
      </c>
      <c r="K7" s="237"/>
      <c r="L7" s="241"/>
      <c r="M7" s="116">
        <f>+K7+'9'!M7+L7</f>
        <v>185476</v>
      </c>
      <c r="O7" s="148">
        <v>1110</v>
      </c>
      <c r="P7" s="148">
        <f>+O7-(O7*0.24)</f>
        <v>843.6</v>
      </c>
      <c r="Q7" s="148">
        <v>480</v>
      </c>
      <c r="R7" s="148">
        <f t="shared" si="0"/>
        <v>532800</v>
      </c>
      <c r="S7" s="148">
        <f t="shared" si="1"/>
        <v>404928</v>
      </c>
    </row>
    <row r="8" spans="1:19" ht="13.5" thickBot="1">
      <c r="A8" s="746"/>
      <c r="B8" s="214"/>
      <c r="C8" s="215"/>
      <c r="D8" s="216"/>
      <c r="E8" s="218"/>
      <c r="F8" s="230">
        <v>8</v>
      </c>
      <c r="G8" s="231" t="s">
        <v>12</v>
      </c>
      <c r="H8" s="229" t="s">
        <v>407</v>
      </c>
      <c r="I8" s="749"/>
      <c r="J8" s="213" t="str">
        <f>+'9'!J8</f>
        <v>F 15 VP OW</v>
      </c>
      <c r="K8" s="238"/>
      <c r="L8" s="238"/>
      <c r="M8" s="116">
        <f>+K8+'9'!M8+L8</f>
        <v>95546</v>
      </c>
      <c r="O8" s="148">
        <v>1100</v>
      </c>
      <c r="P8" s="148">
        <f>+O8-(O8*0.23)</f>
        <v>847</v>
      </c>
      <c r="Q8" s="148">
        <v>480</v>
      </c>
      <c r="R8" s="148">
        <f t="shared" si="0"/>
        <v>528000</v>
      </c>
      <c r="S8" s="148">
        <f t="shared" si="1"/>
        <v>406560</v>
      </c>
    </row>
    <row r="9" spans="1:19" ht="13.5" thickBot="1">
      <c r="A9" s="746"/>
      <c r="B9" s="214"/>
      <c r="C9" s="215"/>
      <c r="D9" s="216"/>
      <c r="E9" s="219"/>
      <c r="F9" s="227">
        <v>10</v>
      </c>
      <c r="G9" s="231" t="s">
        <v>12</v>
      </c>
      <c r="H9" s="232" t="s">
        <v>434</v>
      </c>
      <c r="I9" s="749"/>
      <c r="J9" s="213" t="str">
        <f>+'9'!J9</f>
        <v>T 12 VP OW</v>
      </c>
      <c r="K9" s="238"/>
      <c r="L9" s="238"/>
      <c r="M9" s="116">
        <f>+K9+'9'!M9+L9</f>
        <v>26467</v>
      </c>
      <c r="P9" s="148">
        <f>+O9-(O9*0.2)</f>
        <v>0</v>
      </c>
      <c r="R9" s="148">
        <f t="shared" si="0"/>
        <v>0</v>
      </c>
      <c r="S9" s="148">
        <f t="shared" si="1"/>
        <v>0</v>
      </c>
    </row>
    <row r="10" spans="1:19" ht="39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472</v>
      </c>
      <c r="I10" s="749"/>
      <c r="J10" s="213" t="str">
        <f>+'9'!J10</f>
        <v>T 13 VP OW</v>
      </c>
      <c r="K10" s="238">
        <f>+C34</f>
        <v>37624</v>
      </c>
      <c r="L10" s="238"/>
      <c r="M10" s="116">
        <f>+K10+'9'!M10+L10</f>
        <v>79746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>
        <f>+'9'!J11</f>
        <v>0</v>
      </c>
      <c r="K11" s="238"/>
      <c r="L11" s="238"/>
      <c r="M11" s="116">
        <f>+K11+'9'!M11+L11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+'9'!J12</f>
        <v>0</v>
      </c>
      <c r="K12" s="238"/>
      <c r="L12" s="238"/>
      <c r="M12" s="116">
        <f>+K12+'9'!M12+L12</f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+'9'!J13</f>
        <v>0</v>
      </c>
      <c r="K13" s="238"/>
      <c r="L13" s="238"/>
      <c r="M13" s="116">
        <f>+K13+'9'!M13+L13</f>
        <v>0</v>
      </c>
    </row>
    <row r="14" spans="1:19" ht="13.5" thickBot="1">
      <c r="A14" s="747"/>
      <c r="B14" s="164" t="s">
        <v>2</v>
      </c>
      <c r="C14" s="98">
        <f>SUM(C7:C13)</f>
        <v>12177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>
        <f>+'9'!J14</f>
        <v>0</v>
      </c>
      <c r="K14" s="238"/>
      <c r="L14" s="238"/>
      <c r="M14" s="116">
        <f>+K14+'9'!M14+L14</f>
        <v>0</v>
      </c>
      <c r="Q14" s="175">
        <f>SUM(Q6:Q11)</f>
        <v>1440</v>
      </c>
      <c r="R14" s="175">
        <f>SUM(R6:R11)</f>
        <v>1588800</v>
      </c>
      <c r="S14" s="175">
        <f>SUM(S6:S11)</f>
        <v>1218048</v>
      </c>
    </row>
    <row r="15" spans="1:19" ht="13.5" customHeight="1" thickBot="1">
      <c r="A15" s="745" t="s">
        <v>387</v>
      </c>
      <c r="B15" s="164"/>
      <c r="C15" s="112">
        <f>C14/($C$23+$D$23+$E$23)</f>
        <v>0.93762993762993763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488</v>
      </c>
      <c r="J15" s="213">
        <f>+'9'!J15</f>
        <v>0</v>
      </c>
      <c r="K15" s="238"/>
      <c r="L15" s="238"/>
      <c r="M15" s="116">
        <f>+K15+'9'!M15+L15</f>
        <v>0</v>
      </c>
      <c r="R15" s="175">
        <f>+R14/Q14</f>
        <v>1103.3333333333333</v>
      </c>
      <c r="S15" s="175">
        <f>+S14/Q14</f>
        <v>845.86666666666667</v>
      </c>
    </row>
    <row r="16" spans="1:19" ht="13.5" thickBot="1">
      <c r="A16" s="751"/>
      <c r="B16" s="214" t="s">
        <v>470</v>
      </c>
      <c r="C16" s="221">
        <v>12987</v>
      </c>
      <c r="D16" s="222"/>
      <c r="E16" s="223"/>
      <c r="F16" s="230">
        <v>8</v>
      </c>
      <c r="G16" s="231" t="s">
        <v>12</v>
      </c>
      <c r="H16" s="229" t="s">
        <v>407</v>
      </c>
      <c r="I16" s="749"/>
      <c r="J16" s="213">
        <f>+'9'!J16</f>
        <v>0</v>
      </c>
      <c r="K16" s="228"/>
      <c r="L16" s="228"/>
      <c r="M16" s="116">
        <f>+K16+'9'!M16+L16</f>
        <v>0</v>
      </c>
    </row>
    <row r="17" spans="1:13" ht="13.5" thickBot="1">
      <c r="A17" s="751"/>
      <c r="B17" s="214"/>
      <c r="C17" s="215"/>
      <c r="D17" s="216"/>
      <c r="E17" s="224"/>
      <c r="F17" s="227">
        <v>13</v>
      </c>
      <c r="G17" s="231" t="s">
        <v>12</v>
      </c>
      <c r="H17" s="232" t="s">
        <v>461</v>
      </c>
      <c r="I17" s="749"/>
      <c r="J17" s="213">
        <f>+'9'!J17</f>
        <v>0</v>
      </c>
      <c r="K17" s="228"/>
      <c r="L17" s="228"/>
      <c r="M17" s="116">
        <f>+K17+'9'!M17+L17</f>
        <v>0</v>
      </c>
    </row>
    <row r="18" spans="1:13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487</v>
      </c>
      <c r="I18" s="749"/>
      <c r="J18" s="213">
        <f>+'9'!J18</f>
        <v>0</v>
      </c>
      <c r="K18" s="238"/>
      <c r="L18" s="238"/>
      <c r="M18" s="116">
        <f>+K18+'9'!M18+L18</f>
        <v>0</v>
      </c>
    </row>
    <row r="19" spans="1:1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+'9'!J19</f>
        <v>0</v>
      </c>
      <c r="K19" s="238"/>
      <c r="L19" s="238"/>
      <c r="M19" s="116">
        <f>+K19+'9'!M19+L19</f>
        <v>0</v>
      </c>
    </row>
    <row r="20" spans="1:1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+'9'!J20</f>
        <v>0</v>
      </c>
      <c r="K20" s="239"/>
      <c r="L20" s="239"/>
      <c r="M20" s="116">
        <f>+K20+'9'!M20+L20</f>
        <v>0</v>
      </c>
    </row>
    <row r="21" spans="1:1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+'9'!J21</f>
        <v>0</v>
      </c>
      <c r="K21" s="238"/>
      <c r="L21" s="238"/>
      <c r="M21" s="116">
        <f>+K21+'9'!M21+L21</f>
        <v>0</v>
      </c>
    </row>
    <row r="22" spans="1:1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+'9'!J22</f>
        <v>0</v>
      </c>
      <c r="K22" s="238"/>
      <c r="L22" s="238"/>
      <c r="M22" s="116">
        <f>+K22+'9'!M22+L22</f>
        <v>0</v>
      </c>
    </row>
    <row r="23" spans="1:13" ht="13.5" thickBot="1">
      <c r="A23" s="752"/>
      <c r="B23" s="167" t="s">
        <v>2</v>
      </c>
      <c r="C23" s="99">
        <f>SUM(C16:C22)</f>
        <v>12987</v>
      </c>
      <c r="D23" s="110">
        <f>SUM(D16:D22)</f>
        <v>0</v>
      </c>
      <c r="E23" s="111">
        <f>SUM(E18:E22)</f>
        <v>0</v>
      </c>
      <c r="F23" s="115">
        <f>SUM(F15:F22)</f>
        <v>21</v>
      </c>
      <c r="G23" s="158"/>
      <c r="H23" s="165"/>
      <c r="I23" s="168"/>
      <c r="J23" s="213">
        <f>+'9'!J23</f>
        <v>0</v>
      </c>
      <c r="K23" s="238"/>
      <c r="L23" s="238"/>
      <c r="M23" s="116">
        <f>+K23+'9'!M23+L23</f>
        <v>0</v>
      </c>
    </row>
    <row r="24" spans="1:13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423</v>
      </c>
      <c r="I24" s="748" t="s">
        <v>421</v>
      </c>
      <c r="J24" s="213">
        <f>+'8'!J24</f>
        <v>0</v>
      </c>
      <c r="K24" s="238"/>
      <c r="L24" s="238"/>
      <c r="M24" s="116">
        <f>+K24+'9'!M24+L24</f>
        <v>0</v>
      </c>
    </row>
    <row r="25" spans="1:13" ht="13.5" customHeight="1" thickBot="1">
      <c r="A25" s="751"/>
      <c r="B25" s="214" t="s">
        <v>470</v>
      </c>
      <c r="C25" s="225">
        <v>12460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+'8'!J25</f>
        <v>0</v>
      </c>
      <c r="K25" s="238"/>
      <c r="L25" s="238"/>
      <c r="M25" s="116">
        <f>+K25+'9'!M25+L25</f>
        <v>0</v>
      </c>
    </row>
    <row r="26" spans="1:13" ht="13.5" customHeight="1" thickBot="1">
      <c r="A26" s="751"/>
      <c r="B26" s="214"/>
      <c r="C26" s="225"/>
      <c r="D26" s="216"/>
      <c r="E26" s="226"/>
      <c r="F26" s="227">
        <v>14</v>
      </c>
      <c r="G26" s="231" t="s">
        <v>12</v>
      </c>
      <c r="H26" s="232" t="s">
        <v>406</v>
      </c>
      <c r="I26" s="749"/>
      <c r="J26" s="213">
        <f>+'8'!J26</f>
        <v>0</v>
      </c>
      <c r="K26" s="238"/>
      <c r="L26" s="238"/>
      <c r="M26" s="116">
        <f>+K26+'9'!M26+L26</f>
        <v>0</v>
      </c>
    </row>
    <row r="27" spans="1:13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486</v>
      </c>
      <c r="I27" s="749"/>
      <c r="J27" s="213">
        <f>+'8'!J27</f>
        <v>0</v>
      </c>
      <c r="K27" s="238"/>
      <c r="L27" s="238"/>
      <c r="M27" s="116">
        <f>+K27+'9'!M27+L27</f>
        <v>0</v>
      </c>
    </row>
    <row r="28" spans="1:13" ht="13.5" customHeight="1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+'8'!J28</f>
        <v>0</v>
      </c>
      <c r="K28" s="238"/>
      <c r="L28" s="238"/>
      <c r="M28" s="116">
        <f>+K28+'9'!M28+L28</f>
        <v>0</v>
      </c>
    </row>
    <row r="29" spans="1:13" ht="13.5" customHeight="1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+'8'!J29</f>
        <v>0</v>
      </c>
      <c r="K29" s="238"/>
      <c r="L29" s="238"/>
      <c r="M29" s="116">
        <f>+K29+'9'!M29+L29</f>
        <v>0</v>
      </c>
    </row>
    <row r="30" spans="1:13" ht="13.5" customHeight="1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+'8'!J30</f>
        <v>0</v>
      </c>
      <c r="K30" s="238"/>
      <c r="L30" s="238"/>
      <c r="M30" s="116">
        <f>+K30+'9'!M30+L30</f>
        <v>0</v>
      </c>
    </row>
    <row r="31" spans="1:13" ht="13.5" customHeight="1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+'8'!J31</f>
        <v>0</v>
      </c>
      <c r="K31" s="238"/>
      <c r="L31" s="238"/>
      <c r="M31" s="116">
        <f>+K31+'9'!M31+L31</f>
        <v>0</v>
      </c>
    </row>
    <row r="32" spans="1:13" ht="13.5" customHeight="1" thickBot="1">
      <c r="A32" s="752"/>
      <c r="B32" s="164" t="s">
        <v>2</v>
      </c>
      <c r="C32" s="98">
        <f>SUM(C25:C31)</f>
        <v>12460</v>
      </c>
      <c r="D32" s="99">
        <f>SUM(D25:D31)</f>
        <v>0</v>
      </c>
      <c r="E32" s="100">
        <f>SUM(E25:E31)</f>
        <v>0</v>
      </c>
      <c r="F32" s="101">
        <f>SUM(F24:F31)</f>
        <v>20</v>
      </c>
      <c r="G32" s="170"/>
      <c r="H32" s="171"/>
      <c r="I32" s="168"/>
      <c r="J32" s="213">
        <f>+'8'!J32</f>
        <v>0</v>
      </c>
      <c r="K32" s="240"/>
      <c r="L32" s="242"/>
      <c r="M32" s="116">
        <f>+K32+'9'!M32+L32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37624</v>
      </c>
      <c r="D34" s="106">
        <f>D14+D23+D32</f>
        <v>0</v>
      </c>
      <c r="E34" s="106">
        <f>E14+E23+E32</f>
        <v>0</v>
      </c>
      <c r="F34" s="107">
        <f>F14+F23+F32</f>
        <v>59</v>
      </c>
      <c r="H34" s="177"/>
      <c r="I34" s="177"/>
      <c r="J34" s="122" t="s">
        <v>28</v>
      </c>
      <c r="K34" s="123">
        <f>SUM(K7:K32)</f>
        <v>37624</v>
      </c>
      <c r="L34" s="211">
        <f>SUM(L7:L32)</f>
        <v>0</v>
      </c>
      <c r="M34" s="119">
        <f>SUM(M7:M32)</f>
        <v>387235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43.386869759999996</v>
      </c>
      <c r="J37" s="334">
        <f>+I37+'9'!J37</f>
        <v>444.56167904388894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59</v>
      </c>
      <c r="D38" s="117">
        <f>+C38+'9'!D38</f>
        <v>668</v>
      </c>
      <c r="E38" s="142">
        <f t="shared" ref="E38:E51" si="2">D38/60</f>
        <v>11.133333333333333</v>
      </c>
      <c r="F38" s="321">
        <v>1100</v>
      </c>
      <c r="G38" s="321">
        <v>847</v>
      </c>
      <c r="H38" s="186" t="s">
        <v>64</v>
      </c>
      <c r="I38" s="244">
        <f>12.879+11.891+14.02</f>
        <v>38.79</v>
      </c>
      <c r="J38" s="335">
        <f>+I38+'9'!J38</f>
        <v>399.03900000000004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+C39+'9'!D39</f>
        <v>0</v>
      </c>
      <c r="E39" s="142">
        <f t="shared" si="2"/>
        <v>0</v>
      </c>
      <c r="F39" s="321">
        <v>1110</v>
      </c>
      <c r="G39" s="321">
        <v>843.6</v>
      </c>
      <c r="H39" s="186" t="s">
        <v>65</v>
      </c>
      <c r="I39" s="141"/>
      <c r="J39" s="336">
        <f>J37/G4</f>
        <v>44.456167904388892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+C40+'9'!D40</f>
        <v>481</v>
      </c>
      <c r="E40" s="142">
        <f t="shared" si="2"/>
        <v>8.0166666666666675</v>
      </c>
      <c r="F40" s="321">
        <v>1100</v>
      </c>
      <c r="G40" s="321">
        <v>847</v>
      </c>
      <c r="H40" s="186" t="s">
        <v>67</v>
      </c>
      <c r="I40" s="117">
        <f>+(K34+L34)/1000</f>
        <v>37.624000000000002</v>
      </c>
      <c r="J40" s="337">
        <f>+I40+'9'!J40</f>
        <v>387.23500000000001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SUMIF($G$7:$G$23,"Electrical",$F$7:$F$23)</f>
        <v>0</v>
      </c>
      <c r="D41" s="117">
        <f>+C41+'9'!D41</f>
        <v>84</v>
      </c>
      <c r="E41" s="142">
        <f t="shared" si="2"/>
        <v>1.4</v>
      </c>
      <c r="F41" s="321"/>
      <c r="G41" s="321"/>
      <c r="H41" s="186" t="s">
        <v>69</v>
      </c>
      <c r="I41" s="141"/>
      <c r="J41" s="336">
        <f>J40/G4</f>
        <v>38.723500000000001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SUMIF($G$7:$G$23,"Instrument",$F$7:$F$23)</f>
        <v>0</v>
      </c>
      <c r="D42" s="117">
        <f>+C42+'9'!D42</f>
        <v>0</v>
      </c>
      <c r="E42" s="142">
        <f t="shared" si="2"/>
        <v>0</v>
      </c>
      <c r="F42" s="321">
        <f>+(480*F38+480*F39+480*F40)/1440</f>
        <v>1103.3333333333333</v>
      </c>
      <c r="G42" s="321">
        <f>+(480*G38+480*G39+480*G40)/1440</f>
        <v>845.86666666666667</v>
      </c>
      <c r="H42" s="186" t="s">
        <v>70</v>
      </c>
      <c r="I42" s="245" t="s">
        <v>489</v>
      </c>
      <c r="J42" s="338"/>
      <c r="K42" s="129" t="s">
        <v>71</v>
      </c>
    </row>
    <row r="43" spans="1:13" ht="17.45" customHeight="1">
      <c r="A43" s="759" t="s">
        <v>72</v>
      </c>
      <c r="B43" s="760"/>
      <c r="C43" s="163">
        <f>SUMIF($G$7:$G$23,"Water",$F$7:$F$23)</f>
        <v>0</v>
      </c>
      <c r="D43" s="117">
        <f>+C43+'9'!D43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+Report1!Z18</f>
        <v>53.8</v>
      </c>
      <c r="J43" s="339">
        <f>+I43+'9'!J43</f>
        <v>524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SUMIF($G$7:$G$23,"PLN",$F$7:$F$23)</f>
        <v>0</v>
      </c>
      <c r="D44" s="117">
        <f>+C44+'9'!D44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1.3869554008765146</v>
      </c>
      <c r="J44" s="339">
        <f>J43/J38</f>
        <v>1.3131548545380274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SUMIF($G$7:$G$23,"Boiler",$F$7:$F$23)</f>
        <v>0</v>
      </c>
      <c r="D45" s="117">
        <f>+C45+'9'!D45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1.4299383372315542</v>
      </c>
      <c r="J45" s="339">
        <f>J43/J40</f>
        <v>1.3531834674035146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SUMIF($G$7:$G$23,"Gas",$F$7:$F$23)</f>
        <v>0</v>
      </c>
      <c r="D46" s="117">
        <f>+C46+'9'!D46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+SUMIF(Listrik!P17,"&gt;0")</f>
        <v>39012.599999998907</v>
      </c>
      <c r="J46" s="339">
        <f>+I46+'9'!J46</f>
        <v>366365.59999999858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SUMIF($G$7:$G$23,"Gas",$F$7:$F$23)</f>
        <v>0</v>
      </c>
      <c r="D47" s="117">
        <f>+C47+'9'!D47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1005.7385924206989</v>
      </c>
      <c r="J47" s="339">
        <f>J46/J38</f>
        <v>918.11978277812079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SUMIF($G$7:$G$23,"Start Up",$F$7:$F$23)</f>
        <v>0</v>
      </c>
      <c r="D48" s="117">
        <f>+C48+'9'!D48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1036.9072932170664</v>
      </c>
      <c r="J48" s="339">
        <f>J46/J40</f>
        <v>946.1066277583343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SUMIF($G$7:$G$23,"Others",$F$7:$F$23)</f>
        <v>0</v>
      </c>
      <c r="D49" s="117">
        <f>+C49+'9'!D49</f>
        <v>0</v>
      </c>
      <c r="E49" s="142">
        <f t="shared" si="2"/>
        <v>0</v>
      </c>
      <c r="F49" s="184"/>
      <c r="H49" s="187" t="s">
        <v>268</v>
      </c>
      <c r="I49" s="117">
        <f>+Report1!T18</f>
        <v>5137.1496952336993</v>
      </c>
      <c r="J49" s="339">
        <f>+I49+'9'!J49</f>
        <v>46944.144997840209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SUMIF($G$7:$G$23,"Steam",$F$7:$F$23)</f>
        <v>0</v>
      </c>
      <c r="D50" s="117">
        <f>+C50+'9'!D50</f>
        <v>0</v>
      </c>
      <c r="E50" s="142">
        <f t="shared" si="2"/>
        <v>0</v>
      </c>
      <c r="F50" s="184"/>
      <c r="H50" s="187" t="s">
        <v>83</v>
      </c>
      <c r="I50" s="139">
        <f>I49/I38</f>
        <v>132.43489804675687</v>
      </c>
      <c r="J50" s="339">
        <f>J49/J38</f>
        <v>117.64299980162392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SUMIF($G$7:$G$23,"Planned shut",$F$7:$F$23)</f>
        <v>0</v>
      </c>
      <c r="D51" s="117">
        <f>+C51+'9'!D51</f>
        <v>0</v>
      </c>
      <c r="E51" s="142">
        <f t="shared" si="2"/>
        <v>0</v>
      </c>
      <c r="F51" s="184"/>
      <c r="H51" s="189" t="s">
        <v>85</v>
      </c>
      <c r="I51" s="140">
        <f>I49/I40</f>
        <v>136.5391690206703</v>
      </c>
      <c r="J51" s="340">
        <f>J49/J40</f>
        <v>121.22908569173811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59</v>
      </c>
      <c r="D52" s="143">
        <f>SUM(D38:D51)</f>
        <v>1233</v>
      </c>
      <c r="E52" s="144">
        <f>SUM(E38:E51)</f>
        <v>20.549999999999997</v>
      </c>
      <c r="F52" s="184"/>
      <c r="H52" s="190"/>
      <c r="I52" s="191"/>
      <c r="J52" s="341"/>
      <c r="K52" s="138"/>
    </row>
    <row r="53" spans="1:11" ht="13.5" thickBot="1">
      <c r="A53" s="763"/>
      <c r="B53" s="764"/>
      <c r="C53" s="145">
        <f>C52/(24*60)</f>
        <v>4.0972222222222222E-2</v>
      </c>
      <c r="D53" s="145">
        <f>D52/(24*60*G4)</f>
        <v>8.5625000000000007E-2</v>
      </c>
      <c r="E53" s="146">
        <f>E52/(G4*24)</f>
        <v>8.5624999999999993E-2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+D34+'9'!J56</f>
        <v>917</v>
      </c>
      <c r="K56" s="200">
        <f>J56/(J40+J56/1000)/1000</f>
        <v>2.3624765555761659E-3</v>
      </c>
    </row>
    <row r="57" spans="1:11">
      <c r="A57" s="175"/>
      <c r="I57" s="198" t="s">
        <v>88</v>
      </c>
      <c r="J57" s="199"/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S61"/>
  <sheetViews>
    <sheetView view="pageBreakPreview" topLeftCell="A22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10.5703125" style="148" bestFit="1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9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457</v>
      </c>
      <c r="O6" s="148">
        <v>1150</v>
      </c>
      <c r="P6" s="148">
        <f>+O6-(O6*0.248)</f>
        <v>864.8</v>
      </c>
      <c r="Q6" s="148">
        <f>60*5+59</f>
        <v>359</v>
      </c>
      <c r="R6" s="148">
        <f>+O6*Q6</f>
        <v>412850</v>
      </c>
      <c r="S6" s="148">
        <f>+P6*Q6</f>
        <v>310463.2</v>
      </c>
    </row>
    <row r="7" spans="1:19" ht="13.5" customHeight="1" thickBot="1">
      <c r="A7" s="745" t="s">
        <v>389</v>
      </c>
      <c r="B7" s="214" t="s">
        <v>470</v>
      </c>
      <c r="C7" s="215">
        <v>11287</v>
      </c>
      <c r="D7" s="216"/>
      <c r="E7" s="217"/>
      <c r="F7" s="227"/>
      <c r="G7" s="228" t="s">
        <v>12</v>
      </c>
      <c r="H7" s="229" t="s">
        <v>384</v>
      </c>
      <c r="I7" s="748" t="s">
        <v>479</v>
      </c>
      <c r="J7" s="213" t="str">
        <f>+'8'!J7</f>
        <v>F 14 VP OW</v>
      </c>
      <c r="K7" s="237"/>
      <c r="L7" s="241"/>
      <c r="M7" s="116">
        <f>+K7+'8'!M7+L7</f>
        <v>185476</v>
      </c>
      <c r="O7" s="148">
        <v>1100</v>
      </c>
      <c r="P7" s="148">
        <f>+O7-(O7*0.248)</f>
        <v>827.2</v>
      </c>
      <c r="Q7" s="148">
        <f>480-Q6</f>
        <v>121</v>
      </c>
      <c r="R7" s="148">
        <f>+O7*Q7</f>
        <v>133100</v>
      </c>
      <c r="S7" s="148">
        <f>+P7*Q7</f>
        <v>100091.20000000001</v>
      </c>
    </row>
    <row r="8" spans="1:19" ht="13.5" thickBot="1">
      <c r="A8" s="746"/>
      <c r="B8" s="214"/>
      <c r="C8" s="215"/>
      <c r="D8" s="216"/>
      <c r="E8" s="218"/>
      <c r="F8" s="230">
        <v>10</v>
      </c>
      <c r="G8" s="231" t="s">
        <v>12</v>
      </c>
      <c r="H8" s="229" t="s">
        <v>386</v>
      </c>
      <c r="I8" s="749"/>
      <c r="J8" s="213" t="str">
        <f>+'8'!J8</f>
        <v>F 15 VP OW</v>
      </c>
      <c r="K8" s="238"/>
      <c r="L8" s="238"/>
      <c r="M8" s="116">
        <f>+K8+'8'!M8+L8</f>
        <v>95546</v>
      </c>
    </row>
    <row r="9" spans="1:19" ht="13.5" thickBot="1">
      <c r="A9" s="746"/>
      <c r="B9" s="214"/>
      <c r="C9" s="215"/>
      <c r="D9" s="216"/>
      <c r="E9" s="219"/>
      <c r="F9" s="227">
        <v>11</v>
      </c>
      <c r="G9" s="231" t="s">
        <v>12</v>
      </c>
      <c r="H9" s="232" t="s">
        <v>461</v>
      </c>
      <c r="I9" s="749"/>
      <c r="J9" s="213" t="str">
        <f>+'8'!J9</f>
        <v>T 12 VP OW</v>
      </c>
      <c r="K9" s="238"/>
      <c r="L9" s="238"/>
      <c r="M9" s="116">
        <f>+K9+'8'!M9+L9</f>
        <v>26467</v>
      </c>
      <c r="P9" s="148">
        <f>+O9-(O9*0.2)</f>
        <v>0</v>
      </c>
      <c r="R9" s="148">
        <f>+O9*Q9</f>
        <v>0</v>
      </c>
      <c r="S9" s="148">
        <f>+P9*Q9</f>
        <v>0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476</v>
      </c>
      <c r="I10" s="749"/>
      <c r="J10" s="213" t="str">
        <f>+'8'!J10</f>
        <v>T 13 VP OW</v>
      </c>
      <c r="K10" s="238">
        <f>+C34</f>
        <v>37178</v>
      </c>
      <c r="L10" s="238"/>
      <c r="M10" s="116">
        <f>+K10+'8'!M10+L10</f>
        <v>42122</v>
      </c>
      <c r="P10" s="148">
        <f>+O10-(O10*0.23)</f>
        <v>0</v>
      </c>
      <c r="R10" s="148">
        <f>+O10*Q10</f>
        <v>0</v>
      </c>
      <c r="S10" s="148">
        <f>+P10*Q10</f>
        <v>0</v>
      </c>
    </row>
    <row r="11" spans="1:19" ht="125.25" customHeight="1" thickBot="1">
      <c r="A11" s="746"/>
      <c r="B11" s="214"/>
      <c r="C11" s="215"/>
      <c r="D11" s="216"/>
      <c r="E11" s="218"/>
      <c r="F11" s="227"/>
      <c r="G11" s="231"/>
      <c r="H11" s="232" t="s">
        <v>477</v>
      </c>
      <c r="I11" s="749"/>
      <c r="J11" s="213">
        <f>+'8'!J11</f>
        <v>0</v>
      </c>
      <c r="K11" s="238"/>
      <c r="L11" s="238"/>
      <c r="M11" s="116">
        <f>+K11+'8'!M11+L11</f>
        <v>0</v>
      </c>
      <c r="P11" s="148">
        <f>+O11-(O11*0.23)</f>
        <v>0</v>
      </c>
      <c r="R11" s="148">
        <f>+O11*Q11</f>
        <v>0</v>
      </c>
      <c r="S11" s="148">
        <f>+P11*Q11</f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+'8'!J12</f>
        <v>0</v>
      </c>
      <c r="K12" s="238"/>
      <c r="L12" s="238"/>
      <c r="M12" s="116">
        <f>+K12+'8'!M12+L12</f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+'8'!J13</f>
        <v>0</v>
      </c>
      <c r="K13" s="238"/>
      <c r="L13" s="238"/>
      <c r="M13" s="116">
        <f>+K13+'8'!M13+L13</f>
        <v>0</v>
      </c>
    </row>
    <row r="14" spans="1:19" ht="13.5" thickBot="1">
      <c r="A14" s="747"/>
      <c r="B14" s="164" t="s">
        <v>2</v>
      </c>
      <c r="C14" s="98">
        <f>SUM(C7:C13)</f>
        <v>11287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>
        <f>+'8'!J14</f>
        <v>0</v>
      </c>
      <c r="K14" s="238"/>
      <c r="L14" s="238"/>
      <c r="M14" s="116">
        <f>+K14+'8'!M14+L14</f>
        <v>0</v>
      </c>
      <c r="Q14" s="175">
        <f>SUM(Q6:Q11)</f>
        <v>480</v>
      </c>
      <c r="R14" s="175">
        <f>SUM(R6:R11)</f>
        <v>545950</v>
      </c>
      <c r="S14" s="175">
        <f>SUM(S6:S11)</f>
        <v>410554.4</v>
      </c>
    </row>
    <row r="15" spans="1:19" ht="13.5" customHeight="1" thickBot="1">
      <c r="A15" s="745" t="s">
        <v>387</v>
      </c>
      <c r="B15" s="164"/>
      <c r="C15" s="112">
        <f>C14/($C$23+$D$23+$E$23)</f>
        <v>0.82718944668376693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478</v>
      </c>
      <c r="J15" s="213">
        <f>+'8'!J15</f>
        <v>0</v>
      </c>
      <c r="K15" s="238"/>
      <c r="L15" s="238"/>
      <c r="M15" s="116">
        <f>+K15+'8'!M15+L15</f>
        <v>0</v>
      </c>
      <c r="R15" s="175">
        <f>+R14/Q14</f>
        <v>1137.3958333333333</v>
      </c>
      <c r="S15" s="175">
        <f>+S14/Q14</f>
        <v>855.32166666666672</v>
      </c>
    </row>
    <row r="16" spans="1:19" ht="13.5" thickBot="1">
      <c r="A16" s="751"/>
      <c r="B16" s="214" t="s">
        <v>470</v>
      </c>
      <c r="C16" s="221">
        <v>13645</v>
      </c>
      <c r="D16" s="222"/>
      <c r="E16" s="223"/>
      <c r="F16" s="230">
        <v>9</v>
      </c>
      <c r="G16" s="231" t="s">
        <v>12</v>
      </c>
      <c r="H16" s="229" t="s">
        <v>481</v>
      </c>
      <c r="I16" s="749"/>
      <c r="J16" s="213">
        <f>+'8'!J16</f>
        <v>0</v>
      </c>
      <c r="K16" s="238"/>
      <c r="L16" s="228"/>
      <c r="M16" s="116">
        <f>+K16+'8'!M16+L16</f>
        <v>0</v>
      </c>
    </row>
    <row r="17" spans="1:19" ht="13.5" thickBot="1">
      <c r="A17" s="751"/>
      <c r="B17" s="214"/>
      <c r="C17" s="215"/>
      <c r="D17" s="216"/>
      <c r="E17" s="224"/>
      <c r="F17" s="227">
        <f>23-9</f>
        <v>14</v>
      </c>
      <c r="G17" s="231" t="s">
        <v>12</v>
      </c>
      <c r="H17" s="232" t="s">
        <v>461</v>
      </c>
      <c r="I17" s="749"/>
      <c r="J17" s="213">
        <f>+'8'!J17</f>
        <v>0</v>
      </c>
      <c r="K17" s="228"/>
      <c r="L17" s="228"/>
      <c r="M17" s="116">
        <f>+K17+'8'!M17+L17</f>
        <v>0</v>
      </c>
      <c r="N17" s="148" t="s">
        <v>457</v>
      </c>
      <c r="O17" s="148">
        <v>1100</v>
      </c>
      <c r="P17" s="148">
        <f>+O17-(O17*0.24)</f>
        <v>836</v>
      </c>
      <c r="Q17" s="148">
        <v>480</v>
      </c>
      <c r="R17" s="148">
        <f>+O17*Q17</f>
        <v>528000</v>
      </c>
      <c r="S17" s="148">
        <f>+P17*Q17</f>
        <v>401280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474</v>
      </c>
      <c r="I18" s="749"/>
      <c r="J18" s="213">
        <f>+'8'!J18</f>
        <v>0</v>
      </c>
      <c r="K18" s="238"/>
      <c r="L18" s="238"/>
      <c r="M18" s="116">
        <f>+K18+'8'!M18+L18</f>
        <v>0</v>
      </c>
      <c r="P18" s="148">
        <f>+O18-(O18*0.248)</f>
        <v>0</v>
      </c>
      <c r="Q18" s="148">
        <f>480-Q17</f>
        <v>0</v>
      </c>
      <c r="R18" s="148">
        <f>+O18*Q18</f>
        <v>0</v>
      </c>
      <c r="S18" s="148">
        <f>+P18*Q18</f>
        <v>0</v>
      </c>
    </row>
    <row r="19" spans="1:19" ht="26.25" thickBot="1">
      <c r="A19" s="751"/>
      <c r="B19" s="214"/>
      <c r="C19" s="215"/>
      <c r="D19" s="216"/>
      <c r="E19" s="224"/>
      <c r="F19" s="234"/>
      <c r="G19" s="231"/>
      <c r="H19" s="232" t="s">
        <v>475</v>
      </c>
      <c r="I19" s="749"/>
      <c r="J19" s="213">
        <f>+'8'!J19</f>
        <v>0</v>
      </c>
      <c r="K19" s="238"/>
      <c r="L19" s="238"/>
      <c r="M19" s="116">
        <f>+K19+'8'!M19+L19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+'8'!J20</f>
        <v>0</v>
      </c>
      <c r="K20" s="239"/>
      <c r="L20" s="239"/>
      <c r="M20" s="116">
        <f>+K20+'8'!M20+L20</f>
        <v>0</v>
      </c>
      <c r="P20" s="148">
        <f>+O20-(O20*0.2)</f>
        <v>0</v>
      </c>
      <c r="R20" s="148">
        <f>+O20*Q20</f>
        <v>0</v>
      </c>
      <c r="S20" s="148">
        <f>+P20*Q20</f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+'8'!J21</f>
        <v>0</v>
      </c>
      <c r="K21" s="238"/>
      <c r="L21" s="238"/>
      <c r="M21" s="116">
        <f>+K21+'8'!M21+L21</f>
        <v>0</v>
      </c>
      <c r="P21" s="148">
        <f>+O21-(O21*0.23)</f>
        <v>0</v>
      </c>
      <c r="R21" s="148">
        <f>+O21*Q21</f>
        <v>0</v>
      </c>
      <c r="S21" s="148">
        <f>+P21*Q21</f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+'8'!J22</f>
        <v>0</v>
      </c>
      <c r="K22" s="238"/>
      <c r="L22" s="238"/>
      <c r="M22" s="116">
        <f>+K22+'8'!M22+L22</f>
        <v>0</v>
      </c>
      <c r="P22" s="148">
        <f>+O22-(O22*0.23)</f>
        <v>0</v>
      </c>
      <c r="R22" s="148">
        <f>+O22*Q22</f>
        <v>0</v>
      </c>
      <c r="S22" s="148">
        <f>+P22*Q22</f>
        <v>0</v>
      </c>
    </row>
    <row r="23" spans="1:19" ht="13.5" thickBot="1">
      <c r="A23" s="752"/>
      <c r="B23" s="167" t="s">
        <v>2</v>
      </c>
      <c r="C23" s="99">
        <f>SUM(C16:C22)</f>
        <v>13645</v>
      </c>
      <c r="D23" s="110">
        <f>SUM(D16:D22)</f>
        <v>0</v>
      </c>
      <c r="E23" s="111">
        <f>SUM(E18:E22)</f>
        <v>0</v>
      </c>
      <c r="F23" s="115">
        <f>SUM(F15:F22)</f>
        <v>23</v>
      </c>
      <c r="G23" s="158"/>
      <c r="H23" s="165"/>
      <c r="I23" s="168"/>
      <c r="J23" s="213">
        <f>+'8'!J23</f>
        <v>0</v>
      </c>
      <c r="K23" s="238"/>
      <c r="L23" s="238"/>
      <c r="M23" s="116">
        <f>+K23+'8'!M23+L23</f>
        <v>0</v>
      </c>
    </row>
    <row r="24" spans="1:19" ht="13.5" customHeight="1" thickBot="1">
      <c r="A24" s="745" t="s">
        <v>388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421</v>
      </c>
      <c r="J24" s="213">
        <f>+'8'!J24</f>
        <v>0</v>
      </c>
      <c r="K24" s="238"/>
      <c r="L24" s="238"/>
      <c r="M24" s="116">
        <f>+K24+'8'!M24+L24</f>
        <v>0</v>
      </c>
    </row>
    <row r="25" spans="1:19" ht="13.5" thickBot="1">
      <c r="A25" s="751"/>
      <c r="B25" s="214" t="s">
        <v>470</v>
      </c>
      <c r="C25" s="225">
        <v>12246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+'8'!J25</f>
        <v>0</v>
      </c>
      <c r="K25" s="238"/>
      <c r="L25" s="238"/>
      <c r="M25" s="116">
        <f>+K25+'8'!M25+L25</f>
        <v>0</v>
      </c>
      <c r="Q25" s="175">
        <f>SUM(Q17:Q22)</f>
        <v>480</v>
      </c>
      <c r="R25" s="175">
        <f>SUM(R17:R22)</f>
        <v>528000</v>
      </c>
      <c r="S25" s="175">
        <f>SUM(S17:S22)</f>
        <v>401280</v>
      </c>
    </row>
    <row r="26" spans="1:19" ht="13.5" thickBot="1">
      <c r="A26" s="751"/>
      <c r="B26" s="214"/>
      <c r="C26" s="225"/>
      <c r="D26" s="216"/>
      <c r="E26" s="226"/>
      <c r="F26" s="227">
        <f>22-9</f>
        <v>13</v>
      </c>
      <c r="G26" s="231" t="s">
        <v>12</v>
      </c>
      <c r="H26" s="232" t="s">
        <v>434</v>
      </c>
      <c r="I26" s="749"/>
      <c r="J26" s="213">
        <f>+'8'!J26</f>
        <v>0</v>
      </c>
      <c r="K26" s="238"/>
      <c r="L26" s="238"/>
      <c r="M26" s="116">
        <f>+K26+'8'!M26+L26</f>
        <v>0</v>
      </c>
      <c r="R26" s="175">
        <f>+R25/Q25</f>
        <v>1100</v>
      </c>
      <c r="S26" s="175">
        <f>+S25/Q25</f>
        <v>836</v>
      </c>
    </row>
    <row r="27" spans="1:19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472</v>
      </c>
      <c r="I27" s="749"/>
      <c r="J27" s="213">
        <f>+'8'!J27</f>
        <v>0</v>
      </c>
      <c r="K27" s="238"/>
      <c r="L27" s="238"/>
      <c r="M27" s="116">
        <f>+K27+'8'!M27+L27</f>
        <v>0</v>
      </c>
      <c r="N27" s="148" t="s">
        <v>457</v>
      </c>
      <c r="O27" s="148">
        <v>1100</v>
      </c>
      <c r="P27" s="148">
        <f>+O27-(O27*0.23)</f>
        <v>847</v>
      </c>
      <c r="Q27" s="148">
        <v>480</v>
      </c>
      <c r="R27" s="148">
        <f>+O27*Q27</f>
        <v>528000</v>
      </c>
      <c r="S27" s="148">
        <f>+P27*Q27</f>
        <v>406560</v>
      </c>
    </row>
    <row r="28" spans="1:19" ht="26.25" thickBot="1">
      <c r="A28" s="751"/>
      <c r="B28" s="214"/>
      <c r="C28" s="215"/>
      <c r="D28" s="216"/>
      <c r="E28" s="224"/>
      <c r="F28" s="230"/>
      <c r="G28" s="231"/>
      <c r="H28" s="232" t="s">
        <v>473</v>
      </c>
      <c r="I28" s="749"/>
      <c r="J28" s="213">
        <f>+'8'!J28</f>
        <v>0</v>
      </c>
      <c r="K28" s="238"/>
      <c r="L28" s="238"/>
      <c r="M28" s="116">
        <f>+K28+'8'!M28+L28</f>
        <v>0</v>
      </c>
      <c r="P28" s="148">
        <f>+O28-(O28*0.248)</f>
        <v>0</v>
      </c>
      <c r="Q28" s="148">
        <f>480-Q27</f>
        <v>0</v>
      </c>
      <c r="R28" s="148">
        <f>+O28*Q28</f>
        <v>0</v>
      </c>
      <c r="S28" s="148">
        <f>+P28*Q28</f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+'8'!J29</f>
        <v>0</v>
      </c>
      <c r="K29" s="238"/>
      <c r="L29" s="238"/>
      <c r="M29" s="116">
        <f>+K29+'8'!M29+L29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+'8'!J30</f>
        <v>0</v>
      </c>
      <c r="K30" s="238"/>
      <c r="L30" s="238"/>
      <c r="M30" s="116">
        <f>+K30+'8'!M30+L30</f>
        <v>0</v>
      </c>
      <c r="P30" s="148">
        <f>+O30-(O30*0.2)</f>
        <v>0</v>
      </c>
      <c r="R30" s="148">
        <f>+O30*Q30</f>
        <v>0</v>
      </c>
      <c r="S30" s="148">
        <f>+P30*Q30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+'8'!J31</f>
        <v>0</v>
      </c>
      <c r="K31" s="238"/>
      <c r="L31" s="238"/>
      <c r="M31" s="116">
        <f>+K31+'8'!M31+L31</f>
        <v>0</v>
      </c>
      <c r="P31" s="148">
        <f>+O31-(O31*0.23)</f>
        <v>0</v>
      </c>
      <c r="R31" s="148">
        <f>+O31*Q31</f>
        <v>0</v>
      </c>
      <c r="S31" s="148">
        <f>+P31*Q31</f>
        <v>0</v>
      </c>
    </row>
    <row r="32" spans="1:19" ht="13.5" thickBot="1">
      <c r="A32" s="752"/>
      <c r="B32" s="164" t="s">
        <v>2</v>
      </c>
      <c r="C32" s="98">
        <f>SUM(C25:C31)</f>
        <v>12246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+'8'!J32</f>
        <v>0</v>
      </c>
      <c r="K32" s="240"/>
      <c r="L32" s="242"/>
      <c r="M32" s="116">
        <f>+K32+'8'!M32+L32</f>
        <v>0</v>
      </c>
      <c r="P32" s="148">
        <f>+O32-(O32*0.23)</f>
        <v>0</v>
      </c>
      <c r="R32" s="148">
        <f>+O32*Q32</f>
        <v>0</v>
      </c>
      <c r="S32" s="148">
        <f>+P32*Q32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37178</v>
      </c>
      <c r="D34" s="106">
        <f>D14+D23+D32</f>
        <v>0</v>
      </c>
      <c r="E34" s="106">
        <f>E14+E23+E32</f>
        <v>0</v>
      </c>
      <c r="F34" s="107">
        <f>F14+F23+F32</f>
        <v>66</v>
      </c>
      <c r="H34" s="177"/>
      <c r="I34" s="177"/>
      <c r="J34" s="122" t="s">
        <v>28</v>
      </c>
      <c r="K34" s="123">
        <f>SUM(K7:K32)</f>
        <v>37178</v>
      </c>
      <c r="L34" s="211">
        <f>SUM(L7:L32)</f>
        <v>0</v>
      </c>
      <c r="M34" s="119">
        <f>SUM(M7:M32)</f>
        <v>349611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528000</v>
      </c>
      <c r="S35" s="175">
        <f>SUM(S27:S32)</f>
        <v>406560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1100</v>
      </c>
      <c r="S36" s="175">
        <f>+S35/Q35</f>
        <v>847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43.399208527999996</v>
      </c>
      <c r="J37" s="124">
        <f>+I37+'8'!J37</f>
        <v>401.17480928388892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66</v>
      </c>
      <c r="D38" s="117">
        <f>+C38+'8'!D38</f>
        <v>609</v>
      </c>
      <c r="E38" s="142">
        <f t="shared" ref="E38:E51" si="0">D38/60</f>
        <v>10.15</v>
      </c>
      <c r="F38" s="321">
        <v>1137.3958333333333</v>
      </c>
      <c r="G38" s="321">
        <v>855.32166666666672</v>
      </c>
      <c r="H38" s="186" t="s">
        <v>64</v>
      </c>
      <c r="I38" s="244">
        <f>12.074+12.846+13.228</f>
        <v>38.148000000000003</v>
      </c>
      <c r="J38" s="126">
        <f>+I38+'8'!J38</f>
        <v>360.24900000000002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+C39+'8'!D39</f>
        <v>0</v>
      </c>
      <c r="E39" s="142">
        <f t="shared" si="0"/>
        <v>0</v>
      </c>
      <c r="F39" s="321">
        <v>1100</v>
      </c>
      <c r="G39" s="321">
        <v>836</v>
      </c>
      <c r="H39" s="186" t="s">
        <v>65</v>
      </c>
      <c r="I39" s="141"/>
      <c r="J39" s="128">
        <f>J37/G4</f>
        <v>44.574978809320989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+C40+'8'!D40</f>
        <v>481</v>
      </c>
      <c r="E40" s="142">
        <f t="shared" si="0"/>
        <v>8.0166666666666675</v>
      </c>
      <c r="F40" s="321">
        <v>1100</v>
      </c>
      <c r="G40" s="321">
        <v>847</v>
      </c>
      <c r="H40" s="186" t="s">
        <v>67</v>
      </c>
      <c r="I40" s="117">
        <f>(K34+L34)/1000</f>
        <v>37.177999999999997</v>
      </c>
      <c r="J40" s="130">
        <f>+I40+'8'!J40</f>
        <v>349.61099999999999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+C41+'8'!D41</f>
        <v>84</v>
      </c>
      <c r="E41" s="142">
        <f t="shared" si="0"/>
        <v>1.4</v>
      </c>
      <c r="F41" s="321"/>
      <c r="G41" s="321"/>
      <c r="H41" s="186" t="s">
        <v>69</v>
      </c>
      <c r="I41" s="141"/>
      <c r="J41" s="128">
        <f>J40/G4</f>
        <v>38.845666666666666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+C42+'8'!D42</f>
        <v>0</v>
      </c>
      <c r="E42" s="142">
        <f t="shared" si="0"/>
        <v>0</v>
      </c>
      <c r="F42" s="321">
        <f>+(480*F38+480*F39+480*F40)/1440</f>
        <v>1112.4652777777778</v>
      </c>
      <c r="G42" s="321">
        <f>+(480*G38+480*G39+480*G40)/1440</f>
        <v>846.10722222222216</v>
      </c>
      <c r="H42" s="186" t="s">
        <v>70</v>
      </c>
      <c r="I42" s="245" t="s">
        <v>480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+C43+'8'!D43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+Report1!Z17</f>
        <v>54.1</v>
      </c>
      <c r="J43" s="132">
        <f>+I43+'8'!J43</f>
        <v>470.20000000000005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+C44+'8'!D44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1.4181608472265912</v>
      </c>
      <c r="J44" s="133">
        <f>J43/J38</f>
        <v>1.305208342007889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+C45+'8'!D45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1.4551616547420518</v>
      </c>
      <c r="J45" s="133">
        <f>J43/J40</f>
        <v>1.3449233576746729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+C46+'8'!D46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+SUMIF(Listrik!P16,"&gt;0")</f>
        <v>39758.320000000364</v>
      </c>
      <c r="J46" s="134">
        <f>+I46+'8'!J46</f>
        <v>327352.99999999965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+C47+'8'!D47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1042.212435776459</v>
      </c>
      <c r="J47" s="134">
        <f>J46/J38</f>
        <v>908.685381500017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+C48+'8'!D48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1069.4044865242984</v>
      </c>
      <c r="J48" s="134">
        <f>J46/J40</f>
        <v>936.33495513585001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+C49+'8'!D49</f>
        <v>0</v>
      </c>
      <c r="E49" s="142">
        <f t="shared" si="0"/>
        <v>0</v>
      </c>
      <c r="F49" s="184"/>
      <c r="H49" s="187" t="s">
        <v>268</v>
      </c>
      <c r="I49" s="117">
        <f>+Report1!T17</f>
        <v>5276.7245846777323</v>
      </c>
      <c r="J49" s="134">
        <f>+I49+'8'!J49</f>
        <v>41806.995302606512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+C50+'8'!D50</f>
        <v>0</v>
      </c>
      <c r="E50" s="142">
        <f t="shared" si="0"/>
        <v>0</v>
      </c>
      <c r="F50" s="184"/>
      <c r="H50" s="187" t="s">
        <v>83</v>
      </c>
      <c r="I50" s="139">
        <f>I49/I38</f>
        <v>138.32244376317846</v>
      </c>
      <c r="J50" s="132">
        <f>J49/J38</f>
        <v>116.05027440077977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+C51+'8'!D51</f>
        <v>0</v>
      </c>
      <c r="E51" s="142">
        <f t="shared" si="0"/>
        <v>0</v>
      </c>
      <c r="F51" s="184"/>
      <c r="H51" s="189" t="s">
        <v>85</v>
      </c>
      <c r="I51" s="140">
        <f>I49/I40</f>
        <v>141.9313729807341</v>
      </c>
      <c r="J51" s="135">
        <f>J49/J40</f>
        <v>119.58146426344284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66</v>
      </c>
      <c r="D52" s="143">
        <f>SUM(D38:D51)</f>
        <v>1174</v>
      </c>
      <c r="E52" s="144">
        <f>SUM(E38:E51)</f>
        <v>19.566666666666666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4.583333333333333E-2</v>
      </c>
      <c r="D53" s="145">
        <f>D52/(24*60*G4)</f>
        <v>9.0586419753086414E-2</v>
      </c>
      <c r="E53" s="146">
        <f>E52/(G4*24)</f>
        <v>9.0586419753086414E-2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+D34+'8'!J56</f>
        <v>917</v>
      </c>
      <c r="K56" s="200">
        <f>J56/(J40+J56/1000)/1000</f>
        <v>2.6160534964396569E-3</v>
      </c>
    </row>
    <row r="57" spans="1:11">
      <c r="A57" s="175"/>
      <c r="I57" s="198" t="s">
        <v>88</v>
      </c>
      <c r="J57" s="199">
        <f>+E34+'8'!J57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Y61"/>
  <sheetViews>
    <sheetView view="pageBreakPreview" topLeftCell="D4" zoomScale="80" zoomScaleNormal="75" zoomScaleSheetLayoutView="80" workbookViewId="0">
      <selection activeCell="H25" sqref="H2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13.7109375" style="148" bestFit="1" customWidth="1"/>
    <col min="13" max="13" width="15" style="148" bestFit="1" customWidth="1"/>
    <col min="14" max="16384" width="9.140625" style="148"/>
  </cols>
  <sheetData>
    <row r="1" spans="1:25" ht="15.75">
      <c r="A1" s="147"/>
    </row>
    <row r="2" spans="1:25" ht="15.75">
      <c r="A2" s="147" t="s">
        <v>183</v>
      </c>
    </row>
    <row r="3" spans="1:25" ht="15">
      <c r="A3" s="149"/>
    </row>
    <row r="4" spans="1:25" ht="20.25">
      <c r="A4" s="150" t="s">
        <v>3</v>
      </c>
      <c r="B4" s="151"/>
      <c r="F4" s="152" t="s">
        <v>29</v>
      </c>
      <c r="G4" s="153">
        <v>8</v>
      </c>
      <c r="H4" s="153" t="str">
        <f>+'1'!H4</f>
        <v>.12.25</v>
      </c>
    </row>
    <row r="5" spans="1:25" ht="13.5" thickBot="1">
      <c r="C5" s="154"/>
      <c r="D5" s="154"/>
    </row>
    <row r="6" spans="1:25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403</v>
      </c>
      <c r="O6" s="148">
        <v>1070</v>
      </c>
      <c r="P6" s="148">
        <f>+O6-(O6*0.24)</f>
        <v>813.2</v>
      </c>
      <c r="Q6" s="148">
        <f>60*2+50</f>
        <v>170</v>
      </c>
      <c r="R6" s="148">
        <f t="shared" ref="R6:R11" si="0">+O6*Q6</f>
        <v>181900</v>
      </c>
      <c r="S6" s="148">
        <f t="shared" ref="S6:S11" si="1">+P6*Q6</f>
        <v>138244</v>
      </c>
      <c r="T6" s="148" t="s">
        <v>456</v>
      </c>
      <c r="U6" s="148">
        <v>1150</v>
      </c>
      <c r="V6" s="148">
        <v>943</v>
      </c>
      <c r="W6" s="148">
        <v>480</v>
      </c>
      <c r="X6" s="148">
        <f t="shared" ref="X6:X11" si="2">+U6*W6</f>
        <v>552000</v>
      </c>
      <c r="Y6" s="148">
        <f t="shared" ref="Y6:Y11" si="3">+V6*W6</f>
        <v>452640</v>
      </c>
    </row>
    <row r="7" spans="1:25" ht="13.5" customHeight="1" thickBot="1">
      <c r="A7" s="745" t="s">
        <v>389</v>
      </c>
      <c r="B7" s="214" t="s">
        <v>409</v>
      </c>
      <c r="C7" s="215">
        <f>1568+2022+2367</f>
        <v>5957</v>
      </c>
      <c r="D7" s="216"/>
      <c r="E7" s="217"/>
      <c r="F7" s="227"/>
      <c r="G7" s="228" t="s">
        <v>12</v>
      </c>
      <c r="H7" s="229" t="s">
        <v>384</v>
      </c>
      <c r="I7" s="748" t="s">
        <v>695</v>
      </c>
      <c r="J7" s="213" t="str">
        <f>+'7'!J7</f>
        <v>F 14 VP OW</v>
      </c>
      <c r="K7" s="237">
        <f>+C7</f>
        <v>5957</v>
      </c>
      <c r="L7" s="241"/>
      <c r="M7" s="116">
        <f>+K7+'7'!M7+L7</f>
        <v>185476</v>
      </c>
      <c r="N7" s="148" t="s">
        <v>456</v>
      </c>
      <c r="O7" s="148">
        <v>1140</v>
      </c>
      <c r="P7" s="148">
        <f>+O7-(O7*0.23)</f>
        <v>877.8</v>
      </c>
      <c r="Q7" s="148">
        <f>60-50+10</f>
        <v>20</v>
      </c>
      <c r="R7" s="148">
        <f t="shared" si="0"/>
        <v>22800</v>
      </c>
      <c r="S7" s="148">
        <f t="shared" si="1"/>
        <v>17556</v>
      </c>
      <c r="T7" s="148" t="s">
        <v>456</v>
      </c>
      <c r="U7" s="148">
        <v>1140</v>
      </c>
      <c r="V7" s="148">
        <f>+U7-(U7*0.23)</f>
        <v>877.8</v>
      </c>
      <c r="W7" s="148">
        <f>60-50+10</f>
        <v>20</v>
      </c>
      <c r="X7" s="148">
        <f t="shared" si="2"/>
        <v>22800</v>
      </c>
      <c r="Y7" s="148">
        <f t="shared" si="3"/>
        <v>17556</v>
      </c>
    </row>
    <row r="8" spans="1:25" ht="13.5" thickBot="1">
      <c r="A8" s="746"/>
      <c r="B8" s="214" t="s">
        <v>469</v>
      </c>
      <c r="C8" s="215">
        <v>4027</v>
      </c>
      <c r="D8" s="216"/>
      <c r="E8" s="218"/>
      <c r="F8" s="230">
        <v>8</v>
      </c>
      <c r="G8" s="231" t="s">
        <v>12</v>
      </c>
      <c r="H8" s="229" t="s">
        <v>407</v>
      </c>
      <c r="I8" s="749"/>
      <c r="J8" s="213" t="str">
        <f>+'7'!J8</f>
        <v>F 15 VP OW</v>
      </c>
      <c r="K8" s="238"/>
      <c r="L8" s="238"/>
      <c r="M8" s="116">
        <f>+K8+'7'!M8+L8</f>
        <v>95546</v>
      </c>
      <c r="O8" s="148">
        <v>1230</v>
      </c>
      <c r="P8" s="148">
        <f>+O8-(O8*0.2)</f>
        <v>984</v>
      </c>
      <c r="Q8" s="148">
        <f>60-10+240</f>
        <v>290</v>
      </c>
      <c r="R8" s="148">
        <f t="shared" si="0"/>
        <v>356700</v>
      </c>
      <c r="S8" s="148">
        <f t="shared" si="1"/>
        <v>285360</v>
      </c>
      <c r="U8" s="148">
        <v>1230</v>
      </c>
      <c r="V8" s="148">
        <f>+U8-(U8*0.2)</f>
        <v>984</v>
      </c>
      <c r="W8" s="148">
        <f>60-10+240</f>
        <v>290</v>
      </c>
      <c r="X8" s="148">
        <f t="shared" si="2"/>
        <v>356700</v>
      </c>
      <c r="Y8" s="148">
        <f t="shared" si="3"/>
        <v>285360</v>
      </c>
    </row>
    <row r="9" spans="1:25" ht="13.5" thickBot="1">
      <c r="A9" s="746"/>
      <c r="B9" s="214"/>
      <c r="C9" s="215"/>
      <c r="D9" s="216"/>
      <c r="E9" s="219"/>
      <c r="F9" s="227">
        <v>11</v>
      </c>
      <c r="G9" s="231" t="s">
        <v>12</v>
      </c>
      <c r="H9" s="232" t="s">
        <v>406</v>
      </c>
      <c r="I9" s="749"/>
      <c r="J9" s="213" t="s">
        <v>469</v>
      </c>
      <c r="K9" s="238">
        <f>+C8+C16+C25</f>
        <v>26467</v>
      </c>
      <c r="L9" s="238"/>
      <c r="M9" s="116">
        <f>+K9+'7'!M9+L9</f>
        <v>26467</v>
      </c>
      <c r="P9" s="148">
        <f>+O9-(O9*0.2)</f>
        <v>0</v>
      </c>
      <c r="R9" s="148">
        <f t="shared" si="0"/>
        <v>0</v>
      </c>
      <c r="S9" s="148">
        <f t="shared" si="1"/>
        <v>0</v>
      </c>
      <c r="T9" s="148" t="s">
        <v>456</v>
      </c>
      <c r="U9" s="148">
        <v>1150</v>
      </c>
      <c r="V9" s="148">
        <v>943</v>
      </c>
      <c r="W9" s="148">
        <v>152</v>
      </c>
      <c r="X9" s="148">
        <f t="shared" si="2"/>
        <v>174800</v>
      </c>
      <c r="Y9" s="148">
        <f t="shared" si="3"/>
        <v>143336</v>
      </c>
    </row>
    <row r="10" spans="1:25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696</v>
      </c>
      <c r="I10" s="749"/>
      <c r="J10" s="213" t="s">
        <v>470</v>
      </c>
      <c r="K10" s="238">
        <f>+C26</f>
        <v>4944</v>
      </c>
      <c r="L10" s="238"/>
      <c r="M10" s="116">
        <f>+K10+'7'!M10+L10</f>
        <v>4944</v>
      </c>
      <c r="P10" s="148">
        <f>+O10-(O10*0.23)</f>
        <v>0</v>
      </c>
      <c r="R10" s="148">
        <f t="shared" si="0"/>
        <v>0</v>
      </c>
      <c r="S10" s="148">
        <f t="shared" si="1"/>
        <v>0</v>
      </c>
      <c r="V10" s="148">
        <f>+U10-(U10*0.23)</f>
        <v>0</v>
      </c>
      <c r="X10" s="148">
        <f t="shared" si="2"/>
        <v>0</v>
      </c>
      <c r="Y10" s="148">
        <f t="shared" si="3"/>
        <v>0</v>
      </c>
    </row>
    <row r="11" spans="1:25" ht="77.25" thickBot="1">
      <c r="A11" s="746"/>
      <c r="B11" s="214"/>
      <c r="C11" s="215"/>
      <c r="D11" s="216"/>
      <c r="E11" s="218"/>
      <c r="F11" s="227"/>
      <c r="G11" s="231"/>
      <c r="H11" s="232" t="s">
        <v>455</v>
      </c>
      <c r="I11" s="749"/>
      <c r="J11" s="213">
        <f>+'7'!J11</f>
        <v>0</v>
      </c>
      <c r="K11" s="238"/>
      <c r="L11" s="238"/>
      <c r="M11" s="116">
        <f>+K11+'7'!M11+L11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  <c r="V11" s="148">
        <f>+U11-(U11*0.23)</f>
        <v>0</v>
      </c>
      <c r="X11" s="148">
        <f t="shared" si="2"/>
        <v>0</v>
      </c>
      <c r="Y11" s="148">
        <f t="shared" si="3"/>
        <v>0</v>
      </c>
    </row>
    <row r="12" spans="1:25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+'7'!J12</f>
        <v>0</v>
      </c>
      <c r="K12" s="238"/>
      <c r="L12" s="238"/>
      <c r="M12" s="116">
        <f>+K12+'7'!M12+L12</f>
        <v>0</v>
      </c>
    </row>
    <row r="13" spans="1:25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+'7'!J13</f>
        <v>0</v>
      </c>
      <c r="K13" s="238"/>
      <c r="L13" s="238"/>
      <c r="M13" s="116">
        <f>+K13+'7'!M13+L13</f>
        <v>0</v>
      </c>
    </row>
    <row r="14" spans="1:25" ht="13.5" thickBot="1">
      <c r="A14" s="747"/>
      <c r="B14" s="164" t="s">
        <v>2</v>
      </c>
      <c r="C14" s="98">
        <f>SUM(C7:C13)</f>
        <v>9984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>
        <f>+'7'!J14</f>
        <v>0</v>
      </c>
      <c r="K14" s="238"/>
      <c r="L14" s="238"/>
      <c r="M14" s="116">
        <f>+K14+'7'!M14+L14</f>
        <v>0</v>
      </c>
      <c r="Q14" s="175">
        <f>SUM(Q6:Q11)</f>
        <v>480</v>
      </c>
      <c r="R14" s="175">
        <f>SUM(R6:R11)</f>
        <v>561400</v>
      </c>
      <c r="S14" s="175">
        <f>SUM(S6:S11)</f>
        <v>441160</v>
      </c>
      <c r="W14" s="175">
        <f>SUM(W6:W11)</f>
        <v>942</v>
      </c>
      <c r="X14" s="175">
        <f>SUM(X6:X11)</f>
        <v>1106300</v>
      </c>
      <c r="Y14" s="175">
        <f>SUM(Y6:Y11)</f>
        <v>898892</v>
      </c>
    </row>
    <row r="15" spans="1:25" ht="13.5" customHeight="1" thickBot="1">
      <c r="A15" s="745" t="s">
        <v>387</v>
      </c>
      <c r="B15" s="164"/>
      <c r="C15" s="112">
        <f>C14/($C$23+$D$23+$E$23)</f>
        <v>0.6882669240314353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423</v>
      </c>
      <c r="I15" s="748" t="s">
        <v>459</v>
      </c>
      <c r="J15" s="213">
        <f>+'7'!J15</f>
        <v>0</v>
      </c>
      <c r="K15" s="238"/>
      <c r="L15" s="238"/>
      <c r="M15" s="116">
        <f>+K15+'7'!M15+L15</f>
        <v>0</v>
      </c>
      <c r="R15" s="175">
        <f>+R14/Q14</f>
        <v>1169.5833333333333</v>
      </c>
      <c r="S15" s="175">
        <f>+S14/Q14</f>
        <v>919.08333333333337</v>
      </c>
      <c r="X15" s="175">
        <f>+X14/W14</f>
        <v>1174.4161358811041</v>
      </c>
      <c r="Y15" s="175">
        <f>+Y14/W14</f>
        <v>954.23779193205939</v>
      </c>
    </row>
    <row r="16" spans="1:25" ht="13.5" thickBot="1">
      <c r="A16" s="751"/>
      <c r="B16" s="214" t="s">
        <v>469</v>
      </c>
      <c r="C16" s="221">
        <v>14506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+'7'!J16</f>
        <v>0</v>
      </c>
      <c r="K16" s="228"/>
      <c r="L16" s="228"/>
      <c r="M16" s="116">
        <f>+K16+'7'!M16+L16</f>
        <v>0</v>
      </c>
    </row>
    <row r="17" spans="1:19" ht="13.5" thickBot="1">
      <c r="A17" s="751"/>
      <c r="B17" s="214"/>
      <c r="C17" s="215"/>
      <c r="D17" s="216"/>
      <c r="E17" s="224"/>
      <c r="F17" s="227">
        <v>11</v>
      </c>
      <c r="G17" s="231" t="s">
        <v>12</v>
      </c>
      <c r="H17" s="232" t="s">
        <v>461</v>
      </c>
      <c r="I17" s="749"/>
      <c r="J17" s="213">
        <f>+'7'!J17</f>
        <v>0</v>
      </c>
      <c r="K17" s="228"/>
      <c r="L17" s="228"/>
      <c r="M17" s="116">
        <f>+K17+'7'!M17+L17</f>
        <v>0</v>
      </c>
      <c r="N17" s="148" t="s">
        <v>456</v>
      </c>
      <c r="O17" s="148">
        <v>1150</v>
      </c>
      <c r="P17" s="148">
        <f>+O17-(O17*0.18)</f>
        <v>943</v>
      </c>
      <c r="Q17" s="148">
        <v>480</v>
      </c>
      <c r="R17" s="148">
        <f t="shared" ref="R17:R22" si="4">+O17*Q17</f>
        <v>552000</v>
      </c>
      <c r="S17" s="148">
        <f t="shared" ref="S17:S22" si="5">+P17*Q17</f>
        <v>452640</v>
      </c>
    </row>
    <row r="18" spans="1:19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454</v>
      </c>
      <c r="I18" s="749"/>
      <c r="J18" s="213">
        <f>+'7'!J18</f>
        <v>0</v>
      </c>
      <c r="K18" s="238"/>
      <c r="L18" s="238"/>
      <c r="M18" s="116">
        <f>+K18+'7'!M18+L18</f>
        <v>0</v>
      </c>
    </row>
    <row r="19" spans="1:19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+'7'!J19</f>
        <v>0</v>
      </c>
      <c r="K19" s="238"/>
      <c r="L19" s="238"/>
      <c r="M19" s="116">
        <f>+K19+'7'!M19+L19</f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+'7'!J20</f>
        <v>0</v>
      </c>
      <c r="K20" s="239"/>
      <c r="L20" s="239"/>
      <c r="M20" s="116">
        <f>+K20+'7'!M20+L20</f>
        <v>0</v>
      </c>
      <c r="P20" s="148">
        <f>+O20-(O20*0.2)</f>
        <v>0</v>
      </c>
      <c r="R20" s="148">
        <f t="shared" si="4"/>
        <v>0</v>
      </c>
      <c r="S20" s="148">
        <f t="shared" si="5"/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+'7'!J21</f>
        <v>0</v>
      </c>
      <c r="K21" s="238"/>
      <c r="L21" s="238"/>
      <c r="M21" s="116">
        <f>+K21+'7'!M21+L21</f>
        <v>0</v>
      </c>
      <c r="P21" s="148">
        <f>+O21-(O21*0.23)</f>
        <v>0</v>
      </c>
      <c r="R21" s="148">
        <f t="shared" si="4"/>
        <v>0</v>
      </c>
      <c r="S21" s="148">
        <f t="shared" si="5"/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+'7'!J22</f>
        <v>0</v>
      </c>
      <c r="K22" s="238"/>
      <c r="L22" s="238"/>
      <c r="M22" s="116">
        <f>+K22+'7'!M22+L22</f>
        <v>0</v>
      </c>
      <c r="P22" s="148">
        <f>+O22-(O22*0.23)</f>
        <v>0</v>
      </c>
      <c r="R22" s="148">
        <f t="shared" si="4"/>
        <v>0</v>
      </c>
      <c r="S22" s="148">
        <f t="shared" si="5"/>
        <v>0</v>
      </c>
    </row>
    <row r="23" spans="1:19" ht="13.5" thickBot="1">
      <c r="A23" s="752"/>
      <c r="B23" s="167" t="s">
        <v>2</v>
      </c>
      <c r="C23" s="99">
        <f>SUM(C16:C22)</f>
        <v>14506</v>
      </c>
      <c r="D23" s="110">
        <f>SUM(D16:D22)</f>
        <v>0</v>
      </c>
      <c r="E23" s="111">
        <f>SUM(E18:E22)</f>
        <v>0</v>
      </c>
      <c r="F23" s="115">
        <f>SUM(F15:F22)</f>
        <v>17</v>
      </c>
      <c r="G23" s="158"/>
      <c r="H23" s="165"/>
      <c r="I23" s="168"/>
      <c r="J23" s="213">
        <f>+'7'!J23</f>
        <v>0</v>
      </c>
      <c r="K23" s="238"/>
      <c r="L23" s="238"/>
      <c r="M23" s="116">
        <f>+K23+'7'!M23+L23</f>
        <v>0</v>
      </c>
    </row>
    <row r="24" spans="1:19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423</v>
      </c>
      <c r="I24" s="748" t="s">
        <v>458</v>
      </c>
      <c r="J24" s="213">
        <f>+'7'!J24</f>
        <v>0</v>
      </c>
      <c r="K24" s="238"/>
      <c r="L24" s="238"/>
      <c r="M24" s="116">
        <f>+K24+'7'!M24+L24</f>
        <v>0</v>
      </c>
    </row>
    <row r="25" spans="1:19" ht="13.5" thickBot="1">
      <c r="A25" s="751"/>
      <c r="B25" s="214" t="s">
        <v>469</v>
      </c>
      <c r="C25" s="225">
        <v>7934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+'7'!J25</f>
        <v>0</v>
      </c>
      <c r="K25" s="238"/>
      <c r="L25" s="238"/>
      <c r="M25" s="116">
        <f>+K25+'7'!M25+L25</f>
        <v>0</v>
      </c>
      <c r="Q25" s="175">
        <f>SUM(Q17:Q22)</f>
        <v>480</v>
      </c>
      <c r="R25" s="175">
        <f>SUM(R17:R22)</f>
        <v>552000</v>
      </c>
      <c r="S25" s="175">
        <f>SUM(S17:S22)</f>
        <v>452640</v>
      </c>
    </row>
    <row r="26" spans="1:19" ht="13.5" thickBot="1">
      <c r="A26" s="751"/>
      <c r="B26" s="214" t="s">
        <v>470</v>
      </c>
      <c r="C26" s="225">
        <v>4944</v>
      </c>
      <c r="D26" s="216"/>
      <c r="E26" s="226"/>
      <c r="F26" s="227">
        <f>27-6</f>
        <v>21</v>
      </c>
      <c r="G26" s="231" t="s">
        <v>12</v>
      </c>
      <c r="H26" s="232" t="s">
        <v>385</v>
      </c>
      <c r="I26" s="749"/>
      <c r="J26" s="213">
        <f>+'7'!J26</f>
        <v>0</v>
      </c>
      <c r="K26" s="238"/>
      <c r="L26" s="238"/>
      <c r="M26" s="116">
        <f>+K26+'7'!M26+L26</f>
        <v>0</v>
      </c>
      <c r="R26" s="175">
        <f>+R25/Q25</f>
        <v>1150</v>
      </c>
      <c r="S26" s="175">
        <f>+S25/Q25</f>
        <v>943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452</v>
      </c>
      <c r="I27" s="749"/>
      <c r="J27" s="213">
        <f>+'7'!J27</f>
        <v>0</v>
      </c>
      <c r="K27" s="238"/>
      <c r="L27" s="238"/>
      <c r="M27" s="116">
        <f>+K27+'7'!M27+L27</f>
        <v>0</v>
      </c>
      <c r="N27" s="148" t="s">
        <v>456</v>
      </c>
      <c r="O27" s="148">
        <v>1150</v>
      </c>
      <c r="P27" s="148">
        <f>+O27-(O27*0.18)</f>
        <v>943</v>
      </c>
      <c r="Q27" s="148">
        <f>60*2+32</f>
        <v>152</v>
      </c>
      <c r="R27" s="148">
        <f>+O27*Q27</f>
        <v>174800</v>
      </c>
      <c r="S27" s="148">
        <f>+P27*Q27</f>
        <v>143336</v>
      </c>
    </row>
    <row r="28" spans="1:19" ht="26.25" thickBot="1">
      <c r="A28" s="751"/>
      <c r="B28" s="214"/>
      <c r="C28" s="215"/>
      <c r="D28" s="216"/>
      <c r="E28" s="224"/>
      <c r="F28" s="230"/>
      <c r="G28" s="231"/>
      <c r="H28" s="232" t="s">
        <v>453</v>
      </c>
      <c r="I28" s="749"/>
      <c r="J28" s="213">
        <f>+'7'!J28</f>
        <v>0</v>
      </c>
      <c r="K28" s="238"/>
      <c r="L28" s="238"/>
      <c r="M28" s="116">
        <f>+K28+'7'!M28+L28</f>
        <v>0</v>
      </c>
      <c r="N28" s="148" t="s">
        <v>457</v>
      </c>
      <c r="O28" s="148">
        <v>1150</v>
      </c>
      <c r="P28" s="148">
        <f>+O28-(O28*0.24)</f>
        <v>874</v>
      </c>
      <c r="Q28" s="148">
        <f>480-Q27</f>
        <v>328</v>
      </c>
      <c r="R28" s="148">
        <f>+O28*Q28</f>
        <v>377200</v>
      </c>
      <c r="S28" s="148">
        <f>+P28*Q28</f>
        <v>286672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+'7'!J29</f>
        <v>0</v>
      </c>
      <c r="K29" s="238"/>
      <c r="L29" s="238"/>
      <c r="M29" s="116">
        <f>+K29+'7'!M29+L29</f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+'7'!J30</f>
        <v>0</v>
      </c>
      <c r="K30" s="238"/>
      <c r="L30" s="238"/>
      <c r="M30" s="116">
        <f>+K30+'7'!M30+L30</f>
        <v>0</v>
      </c>
      <c r="P30" s="148">
        <f>+O30-(O30*0.2)</f>
        <v>0</v>
      </c>
      <c r="R30" s="148">
        <f>+O30*Q30</f>
        <v>0</v>
      </c>
      <c r="S30" s="148">
        <f>+P30*Q30</f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+'7'!J31</f>
        <v>0</v>
      </c>
      <c r="K31" s="238"/>
      <c r="L31" s="238"/>
      <c r="M31" s="116">
        <f>+K31+'7'!M31+L31</f>
        <v>0</v>
      </c>
      <c r="P31" s="148">
        <f>+O31-(O31*0.23)</f>
        <v>0</v>
      </c>
      <c r="R31" s="148">
        <f>+O31*Q31</f>
        <v>0</v>
      </c>
      <c r="S31" s="148">
        <f>+P31*Q31</f>
        <v>0</v>
      </c>
    </row>
    <row r="32" spans="1:19" ht="13.5" thickBot="1">
      <c r="A32" s="752"/>
      <c r="B32" s="164" t="s">
        <v>2</v>
      </c>
      <c r="C32" s="98">
        <f>SUM(C25:C31)</f>
        <v>12878</v>
      </c>
      <c r="D32" s="99">
        <f>SUM(D25:D31)</f>
        <v>0</v>
      </c>
      <c r="E32" s="100">
        <f>SUM(E25:E31)</f>
        <v>0</v>
      </c>
      <c r="F32" s="101">
        <f>SUM(F24:F31)</f>
        <v>27</v>
      </c>
      <c r="G32" s="170"/>
      <c r="H32" s="171"/>
      <c r="I32" s="168"/>
      <c r="J32" s="213">
        <f>+'7'!J32</f>
        <v>0</v>
      </c>
      <c r="K32" s="240"/>
      <c r="L32" s="242"/>
      <c r="M32" s="116">
        <f>+K32+'7'!M32+L32</f>
        <v>0</v>
      </c>
      <c r="P32" s="148">
        <f>+O32-(O32*0.23)</f>
        <v>0</v>
      </c>
      <c r="R32" s="148">
        <f>+O32*Q32</f>
        <v>0</v>
      </c>
      <c r="S32" s="148">
        <f>+P32*Q32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37368</v>
      </c>
      <c r="D34" s="106">
        <f>D14+D23+D32</f>
        <v>0</v>
      </c>
      <c r="E34" s="106">
        <f>E14+E23+E32</f>
        <v>0</v>
      </c>
      <c r="F34" s="107">
        <f>F14+F23+F32</f>
        <v>63</v>
      </c>
      <c r="H34" s="177"/>
      <c r="I34" s="177"/>
      <c r="J34" s="122" t="s">
        <v>28</v>
      </c>
      <c r="K34" s="123">
        <f>SUM(K7:K32)</f>
        <v>37368</v>
      </c>
      <c r="L34" s="211">
        <f>SUM(L7:L32)</f>
        <v>0</v>
      </c>
      <c r="M34" s="119">
        <f>SUM(M7:M32)</f>
        <v>312433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552000</v>
      </c>
      <c r="S35" s="175">
        <f>SUM(S27:S32)</f>
        <v>430008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1150</v>
      </c>
      <c r="S36" s="175">
        <f>+S35/Q35</f>
        <v>895.85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(14*170+12*942+328*13)/1440*G42*2.74*1440/1000000</f>
        <v>45.209440552888893</v>
      </c>
      <c r="J37" s="124">
        <f>+I37+'7'!J37</f>
        <v>357.77560075588895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63</v>
      </c>
      <c r="D38" s="117">
        <f>+C38+'7'!D38</f>
        <v>543</v>
      </c>
      <c r="E38" s="142">
        <f t="shared" ref="E38:E51" si="6">D38/60</f>
        <v>9.0500000000000007</v>
      </c>
      <c r="F38" s="321">
        <v>1169.5833333333333</v>
      </c>
      <c r="G38" s="321">
        <v>919.08333333333337</v>
      </c>
      <c r="H38" s="186" t="s">
        <v>64</v>
      </c>
      <c r="I38" s="244">
        <f>11.758+13.616+13.441</f>
        <v>38.814999999999998</v>
      </c>
      <c r="J38" s="126">
        <f>+I38+'7'!J38</f>
        <v>322.101</v>
      </c>
      <c r="K38" s="127" t="s">
        <v>63</v>
      </c>
      <c r="N38" s="148" t="s">
        <v>403</v>
      </c>
      <c r="O38" s="148">
        <v>1070</v>
      </c>
      <c r="P38" s="148">
        <v>813.2</v>
      </c>
      <c r="Q38" s="148">
        <v>170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+C39+'7'!D39</f>
        <v>0</v>
      </c>
      <c r="E39" s="142">
        <f t="shared" si="6"/>
        <v>0</v>
      </c>
      <c r="F39" s="321">
        <v>1150</v>
      </c>
      <c r="G39" s="321">
        <v>943</v>
      </c>
      <c r="H39" s="186" t="s">
        <v>65</v>
      </c>
      <c r="I39" s="141"/>
      <c r="J39" s="128">
        <f>J37/G4</f>
        <v>44.721950094486118</v>
      </c>
      <c r="K39" s="129" t="s">
        <v>63</v>
      </c>
      <c r="N39" s="148" t="s">
        <v>456</v>
      </c>
      <c r="O39" s="148">
        <v>1174.4161358811041</v>
      </c>
      <c r="P39" s="148">
        <v>954.23779193205939</v>
      </c>
      <c r="Q39" s="148">
        <v>942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+C40+'7'!D40</f>
        <v>481</v>
      </c>
      <c r="E40" s="142">
        <f t="shared" si="6"/>
        <v>8.0166666666666675</v>
      </c>
      <c r="F40" s="321">
        <v>1150</v>
      </c>
      <c r="G40" s="321">
        <v>895.85</v>
      </c>
      <c r="H40" s="186" t="s">
        <v>67</v>
      </c>
      <c r="I40" s="117">
        <f>(K34+L34)/1000</f>
        <v>37.368000000000002</v>
      </c>
      <c r="J40" s="130">
        <f>+I40+'7'!J40</f>
        <v>312.43299999999999</v>
      </c>
      <c r="K40" s="129" t="s">
        <v>63</v>
      </c>
      <c r="N40" s="148" t="s">
        <v>457</v>
      </c>
      <c r="O40" s="148">
        <v>1150</v>
      </c>
      <c r="P40" s="148">
        <v>874</v>
      </c>
      <c r="Q40" s="148">
        <v>328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+C41+'7'!D41</f>
        <v>84</v>
      </c>
      <c r="E41" s="142">
        <f t="shared" si="6"/>
        <v>1.4</v>
      </c>
      <c r="F41" s="321"/>
      <c r="G41" s="321"/>
      <c r="H41" s="186" t="s">
        <v>69</v>
      </c>
      <c r="I41" s="141"/>
      <c r="J41" s="128">
        <f>J40/G4</f>
        <v>39.054124999999999</v>
      </c>
      <c r="K41" s="129" t="s">
        <v>63</v>
      </c>
      <c r="Q41" s="148">
        <f>+Q38+Q39+Q40</f>
        <v>1440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+C42+'7'!D42</f>
        <v>0</v>
      </c>
      <c r="E42" s="142">
        <f t="shared" si="6"/>
        <v>0</v>
      </c>
      <c r="F42" s="321">
        <f>+(480*F38+480*F39+480*F40)/1440</f>
        <v>1156.5277777777778</v>
      </c>
      <c r="G42" s="321">
        <f>+(480*G38+480*G39+480*G40)/1440</f>
        <v>919.31111111111113</v>
      </c>
      <c r="H42" s="186" t="s">
        <v>70</v>
      </c>
      <c r="I42" s="245" t="s">
        <v>460</v>
      </c>
      <c r="J42" s="131"/>
      <c r="K42" s="129" t="s">
        <v>71</v>
      </c>
    </row>
    <row r="43" spans="1:19" ht="17.45" customHeight="1">
      <c r="A43" s="759" t="s">
        <v>220</v>
      </c>
      <c r="B43" s="760"/>
      <c r="C43" s="163">
        <f>SUMIF($G$7:$G$31,"Change Grade",$F$7:$F$31)</f>
        <v>0</v>
      </c>
      <c r="D43" s="117">
        <f>+C43+'7'!D43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+Report1!Z16</f>
        <v>57</v>
      </c>
      <c r="J43" s="132">
        <f>+I43+'7'!J43</f>
        <v>416.1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+C44+'7'!D44</f>
        <v>0</v>
      </c>
      <c r="E44" s="142">
        <f t="shared" si="6"/>
        <v>0</v>
      </c>
      <c r="F44" s="321"/>
      <c r="G44" s="322"/>
      <c r="H44" s="187" t="s">
        <v>74</v>
      </c>
      <c r="I44" s="117">
        <f>I43/I38</f>
        <v>1.4685044441581863</v>
      </c>
      <c r="J44" s="133">
        <f>J43/J38</f>
        <v>1.2918308232510922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+C45+'7'!D45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1.5253692999357737</v>
      </c>
      <c r="J45" s="133">
        <f>J43/J40</f>
        <v>1.3318055391075847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+C46+'7'!D46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+SUMIF(Listrik!P15,"&gt;0")</f>
        <v>36590.380000000361</v>
      </c>
      <c r="J46" s="134">
        <f>+I46+'7'!J46</f>
        <v>287594.67999999929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+C47+'7'!D47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942.68659023574298</v>
      </c>
      <c r="J47" s="134">
        <f>J46/J38</f>
        <v>892.87111806544931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+C48+'7'!D48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979.19021622779815</v>
      </c>
      <c r="J48" s="134">
        <f>J46/J40</f>
        <v>920.50033127102222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+C49+'7'!D49</f>
        <v>0</v>
      </c>
      <c r="E49" s="142">
        <f t="shared" si="6"/>
        <v>0</v>
      </c>
      <c r="F49" s="184"/>
      <c r="H49" s="187" t="s">
        <v>268</v>
      </c>
      <c r="I49" s="117">
        <f>+Report1!T16</f>
        <v>5056.3638347048845</v>
      </c>
      <c r="J49" s="134">
        <f>+I49+'7'!J49</f>
        <v>36530.270717928783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+C50+'7'!D50</f>
        <v>0</v>
      </c>
      <c r="E50" s="142">
        <f t="shared" si="6"/>
        <v>0</v>
      </c>
      <c r="F50" s="184"/>
      <c r="H50" s="187" t="s">
        <v>83</v>
      </c>
      <c r="I50" s="139">
        <f>I49/I38</f>
        <v>130.26829407973426</v>
      </c>
      <c r="J50" s="132">
        <f>J49/J38</f>
        <v>113.41247223053881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+C51+'7'!D51</f>
        <v>0</v>
      </c>
      <c r="E51" s="142">
        <f t="shared" si="6"/>
        <v>0</v>
      </c>
      <c r="F51" s="184"/>
      <c r="H51" s="189" t="s">
        <v>85</v>
      </c>
      <c r="I51" s="140">
        <f>I49/I40</f>
        <v>135.31266952218166</v>
      </c>
      <c r="J51" s="135">
        <f>J49/J40</f>
        <v>116.92193436009892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63</v>
      </c>
      <c r="D52" s="143">
        <f>SUM(D38:D51)</f>
        <v>1108</v>
      </c>
      <c r="E52" s="144">
        <f>SUM(E38:E51)</f>
        <v>18.466666666666669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4.3749999999999997E-2</v>
      </c>
      <c r="D53" s="145">
        <f>D52/(24*60*G4)</f>
        <v>9.6180555555555561E-2</v>
      </c>
      <c r="E53" s="146">
        <f>E52/(G4*24)</f>
        <v>9.6180555555555561E-2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+D34+'7'!J56</f>
        <v>917</v>
      </c>
      <c r="K56" s="200">
        <f>J56/(J40+J56/1000)/1000</f>
        <v>2.9264400829743099E-3</v>
      </c>
    </row>
    <row r="57" spans="1:11">
      <c r="A57" s="175"/>
      <c r="I57" s="198" t="s">
        <v>88</v>
      </c>
      <c r="J57" s="199">
        <f>+E34+'7'!J57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S61"/>
  <sheetViews>
    <sheetView view="pageBreakPreview" topLeftCell="C4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28515625" style="148" bestFit="1" customWidth="1"/>
    <col min="12" max="12" width="12" style="148" bestFit="1" customWidth="1"/>
    <col min="13" max="13" width="15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7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403</v>
      </c>
      <c r="O6" s="148">
        <v>1100</v>
      </c>
      <c r="P6" s="148">
        <f>+O6-(O6*0.24)</f>
        <v>836</v>
      </c>
      <c r="Q6" s="148">
        <v>480</v>
      </c>
      <c r="R6" s="148">
        <f t="shared" ref="R6:R11" si="0">+O6*Q6</f>
        <v>528000</v>
      </c>
      <c r="S6" s="148">
        <f t="shared" ref="S6:S11" si="1">+P6*Q6</f>
        <v>401280</v>
      </c>
    </row>
    <row r="7" spans="1:19" ht="13.5" customHeight="1" thickBot="1">
      <c r="A7" s="745" t="s">
        <v>389</v>
      </c>
      <c r="B7" s="214" t="s">
        <v>409</v>
      </c>
      <c r="C7" s="215">
        <v>10513</v>
      </c>
      <c r="D7" s="216"/>
      <c r="E7" s="217"/>
      <c r="F7" s="227"/>
      <c r="G7" s="228" t="s">
        <v>12</v>
      </c>
      <c r="H7" s="229" t="s">
        <v>384</v>
      </c>
      <c r="I7" s="748" t="s">
        <v>478</v>
      </c>
      <c r="J7" s="213" t="str">
        <f>+'6'!J7</f>
        <v>F 14 VP OW</v>
      </c>
      <c r="K7" s="237">
        <f>+C34</f>
        <v>41706</v>
      </c>
      <c r="L7" s="241"/>
      <c r="M7" s="116">
        <f>+K7+'6'!M7+L7</f>
        <v>179519</v>
      </c>
      <c r="P7" s="148">
        <f>+O7-(O7*0.24)</f>
        <v>0</v>
      </c>
    </row>
    <row r="8" spans="1:19" ht="13.5" thickBot="1">
      <c r="A8" s="746"/>
      <c r="B8" s="214"/>
      <c r="C8" s="215"/>
      <c r="D8" s="216"/>
      <c r="E8" s="218"/>
      <c r="F8" s="230">
        <v>9</v>
      </c>
      <c r="G8" s="231" t="s">
        <v>12</v>
      </c>
      <c r="H8" s="229" t="s">
        <v>424</v>
      </c>
      <c r="I8" s="749"/>
      <c r="J8" s="213" t="str">
        <f>+'6'!J8</f>
        <v>F 15 VP OW</v>
      </c>
      <c r="K8" s="238"/>
      <c r="L8" s="238"/>
      <c r="M8" s="116">
        <f>+K8+'6'!M8+L8</f>
        <v>95546</v>
      </c>
    </row>
    <row r="9" spans="1:19" ht="13.5" thickBot="1">
      <c r="A9" s="746"/>
      <c r="B9" s="214"/>
      <c r="C9" s="215"/>
      <c r="D9" s="216"/>
      <c r="E9" s="219"/>
      <c r="F9" s="227">
        <v>10</v>
      </c>
      <c r="G9" s="231" t="s">
        <v>12</v>
      </c>
      <c r="H9" s="232" t="s">
        <v>434</v>
      </c>
      <c r="I9" s="749"/>
      <c r="J9" s="213">
        <f>+'6'!J9</f>
        <v>0</v>
      </c>
      <c r="K9" s="238"/>
      <c r="L9" s="238"/>
      <c r="M9" s="116">
        <f>+K9+'6'!M9+L9</f>
        <v>0</v>
      </c>
      <c r="P9" s="148">
        <f>+O9-(O9*0.2)</f>
        <v>0</v>
      </c>
      <c r="R9" s="148">
        <f t="shared" si="0"/>
        <v>0</v>
      </c>
      <c r="S9" s="148">
        <f t="shared" si="1"/>
        <v>0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692</v>
      </c>
      <c r="I10" s="749"/>
      <c r="J10" s="213">
        <f>+'6'!J10</f>
        <v>0</v>
      </c>
      <c r="K10" s="238"/>
      <c r="L10" s="238"/>
      <c r="M10" s="116">
        <f>+K10+'6'!M10+L10</f>
        <v>0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51.75" thickBot="1">
      <c r="A11" s="746"/>
      <c r="B11" s="214"/>
      <c r="C11" s="215"/>
      <c r="D11" s="216"/>
      <c r="E11" s="218"/>
      <c r="F11" s="227"/>
      <c r="G11" s="231"/>
      <c r="H11" s="232" t="s">
        <v>448</v>
      </c>
      <c r="I11" s="749"/>
      <c r="J11" s="213">
        <f>+'6'!J11</f>
        <v>0</v>
      </c>
      <c r="K11" s="238"/>
      <c r="L11" s="238"/>
      <c r="M11" s="116">
        <f>+K11+'6'!M11+L11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+'6'!J12</f>
        <v>0</v>
      </c>
      <c r="K12" s="238"/>
      <c r="L12" s="238"/>
      <c r="M12" s="116">
        <f>+K12+'6'!M12+L12</f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+'6'!J13</f>
        <v>0</v>
      </c>
      <c r="K13" s="238"/>
      <c r="L13" s="238"/>
      <c r="M13" s="116">
        <f>+K13+'6'!M13+L13</f>
        <v>0</v>
      </c>
    </row>
    <row r="14" spans="1:19" ht="13.5" thickBot="1">
      <c r="A14" s="747"/>
      <c r="B14" s="164" t="s">
        <v>2</v>
      </c>
      <c r="C14" s="98">
        <f>SUM(C7:C13)</f>
        <v>10513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>
        <f>+'6'!J14</f>
        <v>0</v>
      </c>
      <c r="K14" s="238"/>
      <c r="L14" s="238"/>
      <c r="M14" s="116">
        <f>+K14+'6'!M14+L14</f>
        <v>0</v>
      </c>
      <c r="Q14" s="175">
        <f>SUM(Q6:Q11)</f>
        <v>480</v>
      </c>
      <c r="R14" s="175">
        <f>SUM(R6:R11)</f>
        <v>528000</v>
      </c>
      <c r="S14" s="175">
        <f>SUM(S6:S11)</f>
        <v>401280</v>
      </c>
    </row>
    <row r="15" spans="1:19" ht="13.5" customHeight="1" thickBot="1">
      <c r="A15" s="745" t="s">
        <v>387</v>
      </c>
      <c r="B15" s="164"/>
      <c r="C15" s="112">
        <f>C14/($C$23+$D$23+$E$23)</f>
        <v>0.6616110761485211</v>
      </c>
      <c r="D15" s="113">
        <f>D14/($C$23+$D$23+$E$23)</f>
        <v>0</v>
      </c>
      <c r="E15" s="114">
        <f>E14/($C$23+$D$23+$E$23)</f>
        <v>0</v>
      </c>
      <c r="F15" s="227">
        <v>12</v>
      </c>
      <c r="G15" s="228" t="s">
        <v>12</v>
      </c>
      <c r="H15" s="229" t="s">
        <v>423</v>
      </c>
      <c r="I15" s="748" t="s">
        <v>690</v>
      </c>
      <c r="J15" s="213">
        <f>+'6'!J15</f>
        <v>0</v>
      </c>
      <c r="K15" s="238"/>
      <c r="L15" s="238"/>
      <c r="M15" s="116">
        <f>+K15+'6'!M15+L15</f>
        <v>0</v>
      </c>
      <c r="R15" s="175">
        <f>+R14/Q14</f>
        <v>1100</v>
      </c>
      <c r="S15" s="175">
        <f>+S14/Q14</f>
        <v>836</v>
      </c>
    </row>
    <row r="16" spans="1:19" ht="13.5" thickBot="1">
      <c r="A16" s="751"/>
      <c r="B16" s="214" t="s">
        <v>409</v>
      </c>
      <c r="C16" s="221">
        <v>15890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+'6'!J16</f>
        <v>0</v>
      </c>
      <c r="K16" s="228"/>
      <c r="L16" s="228"/>
      <c r="M16" s="116">
        <f>+K16+'6'!M16+L16</f>
        <v>0</v>
      </c>
      <c r="N16" s="148" t="s">
        <v>403</v>
      </c>
      <c r="O16" s="148">
        <v>1050</v>
      </c>
      <c r="P16" s="148">
        <f>+O16-(O16*0.24)</f>
        <v>798</v>
      </c>
      <c r="Q16" s="148">
        <v>33</v>
      </c>
      <c r="R16" s="148">
        <f t="shared" ref="R16:R21" si="2">+O16*Q16</f>
        <v>34650</v>
      </c>
      <c r="S16" s="148">
        <f t="shared" ref="S16:S21" si="3">+P16*Q16</f>
        <v>26334</v>
      </c>
    </row>
    <row r="17" spans="1:19" ht="13.5" thickBot="1">
      <c r="A17" s="751"/>
      <c r="B17" s="214"/>
      <c r="C17" s="215"/>
      <c r="D17" s="216"/>
      <c r="E17" s="224"/>
      <c r="F17" s="227">
        <v>19</v>
      </c>
      <c r="G17" s="231" t="s">
        <v>12</v>
      </c>
      <c r="H17" s="232" t="s">
        <v>434</v>
      </c>
      <c r="I17" s="749"/>
      <c r="J17" s="213">
        <f>+'6'!J17</f>
        <v>0</v>
      </c>
      <c r="K17" s="228"/>
      <c r="L17" s="228"/>
      <c r="M17" s="116">
        <f>+K17+'6'!M17+L17</f>
        <v>0</v>
      </c>
      <c r="O17" s="148">
        <v>1030</v>
      </c>
      <c r="P17" s="148">
        <f>+O17-(O17*0.24)</f>
        <v>782.8</v>
      </c>
      <c r="Q17" s="148">
        <f>60-33</f>
        <v>27</v>
      </c>
      <c r="R17" s="148">
        <f t="shared" si="2"/>
        <v>27810</v>
      </c>
      <c r="S17" s="148">
        <f t="shared" si="3"/>
        <v>21135.599999999999</v>
      </c>
    </row>
    <row r="18" spans="1:19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693</v>
      </c>
      <c r="I18" s="749"/>
      <c r="J18" s="213">
        <f>+'6'!J18</f>
        <v>0</v>
      </c>
      <c r="K18" s="238"/>
      <c r="L18" s="238"/>
      <c r="M18" s="116">
        <f>+K18+'6'!M18+L18</f>
        <v>0</v>
      </c>
      <c r="O18" s="148">
        <v>1050</v>
      </c>
      <c r="P18" s="148">
        <f>+O18-(O18*0.24)</f>
        <v>798</v>
      </c>
      <c r="Q18" s="148">
        <v>420</v>
      </c>
      <c r="R18" s="148">
        <f t="shared" si="2"/>
        <v>441000</v>
      </c>
      <c r="S18" s="148">
        <f t="shared" si="3"/>
        <v>335160</v>
      </c>
    </row>
    <row r="19" spans="1:19" ht="64.5" thickBot="1">
      <c r="A19" s="751"/>
      <c r="B19" s="214"/>
      <c r="C19" s="215"/>
      <c r="D19" s="216"/>
      <c r="E19" s="224"/>
      <c r="F19" s="234"/>
      <c r="G19" s="231"/>
      <c r="H19" s="232" t="s">
        <v>447</v>
      </c>
      <c r="I19" s="749"/>
      <c r="J19" s="213">
        <f>+'6'!J19</f>
        <v>0</v>
      </c>
      <c r="K19" s="238"/>
      <c r="L19" s="238"/>
      <c r="M19" s="116">
        <f>+K19+'6'!M19+L19</f>
        <v>0</v>
      </c>
      <c r="P19" s="148">
        <f>+O19-(O19*0.2)</f>
        <v>0</v>
      </c>
      <c r="R19" s="148">
        <f t="shared" si="2"/>
        <v>0</v>
      </c>
      <c r="S19" s="148">
        <f t="shared" si="3"/>
        <v>0</v>
      </c>
    </row>
    <row r="20" spans="1:19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+'6'!J20</f>
        <v>0</v>
      </c>
      <c r="K20" s="239"/>
      <c r="L20" s="239"/>
      <c r="M20" s="116">
        <f>+K20+'6'!M20+L20</f>
        <v>0</v>
      </c>
      <c r="P20" s="148">
        <f>+O20-(O20*0.23)</f>
        <v>0</v>
      </c>
      <c r="R20" s="148">
        <f t="shared" si="2"/>
        <v>0</v>
      </c>
      <c r="S20" s="148">
        <f t="shared" si="3"/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+'6'!J21</f>
        <v>0</v>
      </c>
      <c r="K21" s="238"/>
      <c r="L21" s="238"/>
      <c r="M21" s="116">
        <f>+K21+'6'!M21+L21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+'6'!J22</f>
        <v>0</v>
      </c>
      <c r="K22" s="238"/>
      <c r="L22" s="238"/>
      <c r="M22" s="116">
        <f>+K22+'6'!M22+L22</f>
        <v>0</v>
      </c>
    </row>
    <row r="23" spans="1:19" ht="13.5" thickBot="1">
      <c r="A23" s="752"/>
      <c r="B23" s="167" t="s">
        <v>2</v>
      </c>
      <c r="C23" s="99">
        <f>SUM(C16:C22)</f>
        <v>15890</v>
      </c>
      <c r="D23" s="110">
        <f>SUM(D16:D22)</f>
        <v>0</v>
      </c>
      <c r="E23" s="111">
        <f>SUM(E18:E22)</f>
        <v>0</v>
      </c>
      <c r="F23" s="115">
        <f>SUM(F15:F22)</f>
        <v>31</v>
      </c>
      <c r="G23" s="158"/>
      <c r="H23" s="165"/>
      <c r="I23" s="168"/>
      <c r="J23" s="213">
        <f>+'6'!J23</f>
        <v>0</v>
      </c>
      <c r="K23" s="238"/>
      <c r="L23" s="238"/>
      <c r="M23" s="116">
        <f>+K23+'6'!M23+L23</f>
        <v>0</v>
      </c>
    </row>
    <row r="24" spans="1:19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691</v>
      </c>
      <c r="J24" s="213">
        <f>+'6'!J24</f>
        <v>0</v>
      </c>
      <c r="K24" s="238"/>
      <c r="L24" s="238"/>
      <c r="M24" s="116">
        <f>+K24+'6'!M24+L24</f>
        <v>0</v>
      </c>
      <c r="Q24" s="175">
        <f>SUM(Q16:Q21)</f>
        <v>480</v>
      </c>
      <c r="R24" s="175">
        <f>SUM(R16:R21)</f>
        <v>503460</v>
      </c>
      <c r="S24" s="175">
        <f>SUM(S16:S21)</f>
        <v>382629.6</v>
      </c>
    </row>
    <row r="25" spans="1:19" ht="13.5" thickBot="1">
      <c r="A25" s="751"/>
      <c r="B25" s="214" t="s">
        <v>409</v>
      </c>
      <c r="C25" s="225">
        <v>15303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+'6'!J25</f>
        <v>0</v>
      </c>
      <c r="K25" s="238"/>
      <c r="L25" s="238"/>
      <c r="M25" s="116">
        <f>+K25+'6'!M25+L25</f>
        <v>0</v>
      </c>
      <c r="R25" s="175">
        <f>+R24/Q24</f>
        <v>1048.875</v>
      </c>
      <c r="S25" s="175">
        <f>+S24/Q24</f>
        <v>797.14499999999998</v>
      </c>
    </row>
    <row r="26" spans="1:19" ht="13.5" thickBot="1">
      <c r="A26" s="751"/>
      <c r="B26" s="214"/>
      <c r="C26" s="225"/>
      <c r="D26" s="216"/>
      <c r="E26" s="226"/>
      <c r="F26" s="227">
        <f>25-9</f>
        <v>16</v>
      </c>
      <c r="G26" s="231" t="s">
        <v>12</v>
      </c>
      <c r="H26" s="232" t="s">
        <v>385</v>
      </c>
      <c r="I26" s="749"/>
      <c r="J26" s="213">
        <f>+'6'!J26</f>
        <v>0</v>
      </c>
      <c r="K26" s="238"/>
      <c r="L26" s="238"/>
      <c r="M26" s="116">
        <f>+K26+'6'!M26+L26</f>
        <v>0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694</v>
      </c>
      <c r="I27" s="749"/>
      <c r="J27" s="213">
        <f>+'6'!J27</f>
        <v>0</v>
      </c>
      <c r="K27" s="238"/>
      <c r="L27" s="238"/>
      <c r="M27" s="116">
        <f>+K27+'6'!M27+L27</f>
        <v>0</v>
      </c>
      <c r="N27" s="148" t="s">
        <v>403</v>
      </c>
      <c r="O27" s="148">
        <v>1060</v>
      </c>
      <c r="P27" s="148">
        <f>+O27-(O27*0.24)</f>
        <v>805.6</v>
      </c>
      <c r="Q27" s="148">
        <f>60*4+38</f>
        <v>278</v>
      </c>
      <c r="R27" s="148">
        <f t="shared" ref="R27:R32" si="4">+O27*Q27</f>
        <v>294680</v>
      </c>
      <c r="S27" s="148">
        <f t="shared" ref="S27:S32" si="5">+P27*Q27</f>
        <v>223956.80000000002</v>
      </c>
    </row>
    <row r="28" spans="1:19" ht="13.5" thickBot="1">
      <c r="A28" s="751"/>
      <c r="B28" s="214"/>
      <c r="C28" s="215"/>
      <c r="D28" s="216"/>
      <c r="E28" s="224"/>
      <c r="F28" s="230"/>
      <c r="G28" s="231"/>
      <c r="H28" s="232" t="s">
        <v>450</v>
      </c>
      <c r="I28" s="749"/>
      <c r="J28" s="213">
        <f>+'6'!J28</f>
        <v>0</v>
      </c>
      <c r="K28" s="238"/>
      <c r="L28" s="238"/>
      <c r="M28" s="116">
        <f>+K28+'6'!M28+L28</f>
        <v>0</v>
      </c>
      <c r="O28" s="148">
        <v>1070</v>
      </c>
      <c r="P28" s="148">
        <f>+O28-(O28*0.24)</f>
        <v>813.2</v>
      </c>
      <c r="Q28" s="148">
        <f>480-Q27</f>
        <v>202</v>
      </c>
      <c r="R28" s="148">
        <f t="shared" si="4"/>
        <v>216140</v>
      </c>
      <c r="S28" s="148">
        <f t="shared" si="5"/>
        <v>164266.40000000002</v>
      </c>
    </row>
    <row r="29" spans="1:19" ht="14.25" customHeight="1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+'6'!J29</f>
        <v>0</v>
      </c>
      <c r="K29" s="238"/>
      <c r="L29" s="238"/>
      <c r="M29" s="116">
        <f>+K29+'6'!M29+L29</f>
        <v>0</v>
      </c>
      <c r="P29" s="148">
        <f>+O29-(O29*0.23)</f>
        <v>0</v>
      </c>
      <c r="R29" s="148">
        <f t="shared" si="4"/>
        <v>0</v>
      </c>
      <c r="S29" s="148">
        <f t="shared" si="5"/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+'6'!J30</f>
        <v>0</v>
      </c>
      <c r="K30" s="238"/>
      <c r="L30" s="238"/>
      <c r="M30" s="116">
        <f>+K30+'6'!M30+L30</f>
        <v>0</v>
      </c>
      <c r="P30" s="148">
        <f>+O30-(O30*0.2)</f>
        <v>0</v>
      </c>
      <c r="R30" s="148">
        <f t="shared" si="4"/>
        <v>0</v>
      </c>
      <c r="S30" s="148">
        <f t="shared" si="5"/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+'6'!J31</f>
        <v>0</v>
      </c>
      <c r="K31" s="238"/>
      <c r="L31" s="238"/>
      <c r="M31" s="116">
        <f>+K31+'6'!M31+L31</f>
        <v>0</v>
      </c>
      <c r="P31" s="148">
        <f>+O31-(O31*0.23)</f>
        <v>0</v>
      </c>
      <c r="R31" s="148">
        <f t="shared" si="4"/>
        <v>0</v>
      </c>
      <c r="S31" s="148">
        <f t="shared" si="5"/>
        <v>0</v>
      </c>
    </row>
    <row r="32" spans="1:19" ht="13.5" thickBot="1">
      <c r="A32" s="752"/>
      <c r="B32" s="164" t="s">
        <v>2</v>
      </c>
      <c r="C32" s="98">
        <f>SUM(C25:C31)</f>
        <v>15303</v>
      </c>
      <c r="D32" s="99">
        <f>SUM(D25:D31)</f>
        <v>0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13">
        <f>+'6'!J32</f>
        <v>0</v>
      </c>
      <c r="K32" s="240"/>
      <c r="L32" s="242"/>
      <c r="M32" s="116">
        <f>+K32+'6'!M32+L32</f>
        <v>0</v>
      </c>
      <c r="P32" s="148">
        <f>+O32-(O32*0.23)</f>
        <v>0</v>
      </c>
      <c r="R32" s="148">
        <f t="shared" si="4"/>
        <v>0</v>
      </c>
      <c r="S32" s="148">
        <f t="shared" si="5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41706</v>
      </c>
      <c r="D34" s="106">
        <f>D14+D23+D32</f>
        <v>0</v>
      </c>
      <c r="E34" s="106">
        <f>E14+E23+E32</f>
        <v>0</v>
      </c>
      <c r="F34" s="107">
        <f>F14+F23+F32</f>
        <v>75</v>
      </c>
      <c r="H34" s="177"/>
      <c r="I34" s="177"/>
      <c r="J34" s="122" t="s">
        <v>28</v>
      </c>
      <c r="K34" s="123">
        <f>SUM(K7:K32)</f>
        <v>41706</v>
      </c>
      <c r="L34" s="211">
        <f>SUM(L7:L32)</f>
        <v>0</v>
      </c>
      <c r="M34" s="119">
        <f>SUM(M7:M32)</f>
        <v>275065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510820</v>
      </c>
      <c r="S35" s="175">
        <f>SUM(S27:S32)</f>
        <v>388223.20000000007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1064.2083333333333</v>
      </c>
      <c r="S36" s="175">
        <f>+S35/Q35</f>
        <v>808.79833333333352</v>
      </c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(14*1440)/1440*G42*2.74*1440/1000000</f>
        <v>44.963014207999997</v>
      </c>
      <c r="J37" s="124">
        <f>+I37+'6'!J37</f>
        <v>312.56616020300004</v>
      </c>
      <c r="K37" s="125" t="s">
        <v>63</v>
      </c>
    </row>
    <row r="38" spans="1:19" ht="17.45" customHeight="1">
      <c r="A38" s="757" t="s">
        <v>12</v>
      </c>
      <c r="B38" s="758"/>
      <c r="C38" s="163">
        <f>SUMIF($G$7:$G$31,"Process",$F$7:$F$31)</f>
        <v>75</v>
      </c>
      <c r="D38" s="117">
        <f>+C38+'6'!D38</f>
        <v>480</v>
      </c>
      <c r="E38" s="142">
        <f t="shared" ref="E38:E51" si="6">D38/60</f>
        <v>8</v>
      </c>
      <c r="F38" s="321">
        <v>1100</v>
      </c>
      <c r="G38" s="321">
        <v>836</v>
      </c>
      <c r="H38" s="186" t="s">
        <v>64</v>
      </c>
      <c r="I38" s="244">
        <f>13.888+13.282+14.56</f>
        <v>41.730000000000004</v>
      </c>
      <c r="J38" s="126">
        <f>+I38+'6'!J38</f>
        <v>283.286</v>
      </c>
      <c r="K38" s="127" t="s">
        <v>63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+C39+'6'!D39</f>
        <v>0</v>
      </c>
      <c r="E39" s="142">
        <f t="shared" si="6"/>
        <v>0</v>
      </c>
      <c r="F39" s="321">
        <v>1048.875</v>
      </c>
      <c r="G39" s="321">
        <v>797.14499999999998</v>
      </c>
      <c r="H39" s="186" t="s">
        <v>65</v>
      </c>
      <c r="I39" s="141"/>
      <c r="J39" s="128">
        <f>J37/G4</f>
        <v>44.652308600428576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+C40+'6'!D40</f>
        <v>481</v>
      </c>
      <c r="E40" s="142">
        <f t="shared" si="6"/>
        <v>8.0166666666666675</v>
      </c>
      <c r="F40" s="321">
        <v>1064.2083333333333</v>
      </c>
      <c r="G40" s="321">
        <v>808.79833333333352</v>
      </c>
      <c r="H40" s="186" t="s">
        <v>67</v>
      </c>
      <c r="I40" s="117">
        <f>(K34+L34)/1000</f>
        <v>41.706000000000003</v>
      </c>
      <c r="J40" s="130">
        <f>+I40+'6'!J40</f>
        <v>275.065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+C41+'6'!D41</f>
        <v>84</v>
      </c>
      <c r="E41" s="142">
        <f t="shared" si="6"/>
        <v>1.4</v>
      </c>
      <c r="F41" s="321"/>
      <c r="G41" s="321"/>
      <c r="H41" s="186" t="s">
        <v>69</v>
      </c>
      <c r="I41" s="141"/>
      <c r="J41" s="128">
        <f>J40/G4</f>
        <v>39.295000000000002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+C42+'6'!D42</f>
        <v>0</v>
      </c>
      <c r="E42" s="142">
        <f t="shared" si="6"/>
        <v>0</v>
      </c>
      <c r="F42" s="321">
        <f>+(480*F38+480*F39+480*F40)/1440</f>
        <v>1071.0277777777778</v>
      </c>
      <c r="G42" s="321">
        <f>+(480*G38+480*G39+480*G40)/1440</f>
        <v>813.98111111111109</v>
      </c>
      <c r="H42" s="186" t="s">
        <v>70</v>
      </c>
      <c r="I42" s="245" t="s">
        <v>451</v>
      </c>
      <c r="J42" s="131"/>
      <c r="K42" s="129" t="s">
        <v>71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+C43+'6'!D43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+Report1!Z15</f>
        <v>54.6</v>
      </c>
      <c r="J43" s="132">
        <f>+I43+'6'!J43</f>
        <v>359.1</v>
      </c>
      <c r="K43" s="129" t="s">
        <v>63</v>
      </c>
      <c r="L43" s="188"/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+C44+'6'!D44</f>
        <v>0</v>
      </c>
      <c r="E44" s="142">
        <f t="shared" si="6"/>
        <v>0</v>
      </c>
      <c r="F44" s="321"/>
      <c r="G44" s="322"/>
      <c r="H44" s="187" t="s">
        <v>74</v>
      </c>
      <c r="I44" s="117">
        <f>I43/I38</f>
        <v>1.308411214953271</v>
      </c>
      <c r="J44" s="133">
        <f>J43/J38</f>
        <v>1.2676235324018836</v>
      </c>
      <c r="K44" s="129" t="s">
        <v>63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+C45+'6'!D45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1.309164149043303</v>
      </c>
      <c r="J45" s="133">
        <f>J43/J40</f>
        <v>1.3055096068202063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+C46+'6'!D46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+SUMIF(Listrik!P14,"&gt;0")</f>
        <v>38483.579999999638</v>
      </c>
      <c r="J46" s="134">
        <f>+I46+'6'!J46</f>
        <v>251004.29999999894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+C47+'6'!D47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922.20416966210485</v>
      </c>
      <c r="J47" s="134">
        <f>J46/J38</f>
        <v>886.04555113912772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+C48+'6'!D48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922.73485829376193</v>
      </c>
      <c r="J48" s="134">
        <f>J46/J40</f>
        <v>912.52722083870697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+C49+'6'!D49</f>
        <v>0</v>
      </c>
      <c r="E49" s="142">
        <f t="shared" si="6"/>
        <v>0</v>
      </c>
      <c r="F49" s="184"/>
      <c r="H49" s="187" t="s">
        <v>268</v>
      </c>
      <c r="I49" s="117">
        <f>+Report1!T15</f>
        <v>4795.9416811217116</v>
      </c>
      <c r="J49" s="134">
        <f>+I49+'6'!J49</f>
        <v>31473.906883223899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+C50+'6'!D50</f>
        <v>0</v>
      </c>
      <c r="E50" s="142">
        <f t="shared" si="6"/>
        <v>0</v>
      </c>
      <c r="F50" s="184"/>
      <c r="H50" s="187" t="s">
        <v>83</v>
      </c>
      <c r="I50" s="139">
        <f>I49/I38</f>
        <v>114.92790992383684</v>
      </c>
      <c r="J50" s="132">
        <f>J49/J38</f>
        <v>111.10293796101431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+C51+'6'!D51</f>
        <v>0</v>
      </c>
      <c r="E51" s="142">
        <f t="shared" si="6"/>
        <v>0</v>
      </c>
      <c r="F51" s="184"/>
      <c r="H51" s="189" t="s">
        <v>85</v>
      </c>
      <c r="I51" s="140">
        <f>I49/I40</f>
        <v>114.99404596752773</v>
      </c>
      <c r="J51" s="135">
        <f>J49/J40</f>
        <v>114.42352492401396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75</v>
      </c>
      <c r="D52" s="143">
        <f>SUM(D38:D51)</f>
        <v>1045</v>
      </c>
      <c r="E52" s="144">
        <f>SUM(E38:E51)</f>
        <v>17.416666666666664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5.2083333333333336E-2</v>
      </c>
      <c r="D53" s="145">
        <f>D52/(24*60*G4)</f>
        <v>0.10367063492063493</v>
      </c>
      <c r="E53" s="146">
        <f>E52/(G4*24)</f>
        <v>0.10367063492063491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+D34+'6'!J56</f>
        <v>917</v>
      </c>
      <c r="K56" s="200">
        <f>J56/(J40+J56/1000)/1000</f>
        <v>3.3226804646679861E-3</v>
      </c>
    </row>
    <row r="57" spans="1:11">
      <c r="A57" s="175"/>
      <c r="I57" s="198" t="s">
        <v>88</v>
      </c>
      <c r="J57" s="199">
        <f>+E34+'6'!J57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61"/>
  <sheetViews>
    <sheetView view="pageBreakPreview" topLeftCell="E1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855468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6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403</v>
      </c>
      <c r="O6" s="148">
        <v>1100</v>
      </c>
      <c r="P6" s="148">
        <f>+O6-(O6*0.24)</f>
        <v>836</v>
      </c>
      <c r="Q6" s="148">
        <v>480</v>
      </c>
      <c r="R6" s="148">
        <f t="shared" ref="R6:R11" si="0">+O6*Q6</f>
        <v>528000</v>
      </c>
      <c r="S6" s="148">
        <f t="shared" ref="S6:S11" si="1">+P6*Q6</f>
        <v>401280</v>
      </c>
    </row>
    <row r="7" spans="1:19" ht="13.5" customHeight="1" thickBot="1">
      <c r="A7" s="745" t="s">
        <v>388</v>
      </c>
      <c r="B7" s="214" t="s">
        <v>409</v>
      </c>
      <c r="C7" s="215">
        <v>14004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478</v>
      </c>
      <c r="J7" s="213" t="str">
        <f>+'5'!J7</f>
        <v>F 14 VP OW</v>
      </c>
      <c r="K7" s="237">
        <f>+C34</f>
        <v>40382</v>
      </c>
      <c r="L7" s="241"/>
      <c r="M7" s="116">
        <f>+K7+'5'!M7+L7</f>
        <v>137813</v>
      </c>
      <c r="N7" s="148" t="s">
        <v>403</v>
      </c>
      <c r="O7" s="148">
        <v>1100</v>
      </c>
      <c r="P7" s="148">
        <f>+O7-(O7*0.24)</f>
        <v>836</v>
      </c>
      <c r="Q7" s="148">
        <v>480</v>
      </c>
      <c r="R7" s="148">
        <f t="shared" si="0"/>
        <v>528000</v>
      </c>
      <c r="S7" s="148">
        <f t="shared" si="1"/>
        <v>401280</v>
      </c>
    </row>
    <row r="8" spans="1:19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+'5'!J8</f>
        <v>F 15 VP OW</v>
      </c>
      <c r="K8" s="238"/>
      <c r="L8" s="238"/>
      <c r="M8" s="116">
        <f>+K8+'5'!M8+L8</f>
        <v>95546</v>
      </c>
      <c r="N8" s="148" t="s">
        <v>403</v>
      </c>
      <c r="O8" s="148">
        <v>1100</v>
      </c>
      <c r="P8" s="148">
        <f>+O8-(O8*0.24)</f>
        <v>836</v>
      </c>
      <c r="Q8" s="148">
        <v>480</v>
      </c>
      <c r="R8" s="148">
        <f t="shared" si="0"/>
        <v>528000</v>
      </c>
      <c r="S8" s="148">
        <f t="shared" si="1"/>
        <v>401280</v>
      </c>
    </row>
    <row r="9" spans="1:19" ht="13.5" thickBot="1">
      <c r="A9" s="746"/>
      <c r="B9" s="214"/>
      <c r="C9" s="215"/>
      <c r="D9" s="216"/>
      <c r="E9" s="219"/>
      <c r="F9" s="227">
        <f>22-9</f>
        <v>13</v>
      </c>
      <c r="G9" s="231" t="s">
        <v>12</v>
      </c>
      <c r="H9" s="232" t="s">
        <v>406</v>
      </c>
      <c r="I9" s="749"/>
      <c r="J9" s="213">
        <f>+'5'!J9</f>
        <v>0</v>
      </c>
      <c r="K9" s="238"/>
      <c r="L9" s="238"/>
      <c r="M9" s="116">
        <f>+K9+'5'!M9+L9</f>
        <v>0</v>
      </c>
      <c r="P9" s="148">
        <f>+O9-(O9*0.2)</f>
        <v>0</v>
      </c>
      <c r="R9" s="148">
        <f t="shared" si="0"/>
        <v>0</v>
      </c>
      <c r="S9" s="148">
        <f t="shared" si="1"/>
        <v>0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688</v>
      </c>
      <c r="I10" s="749"/>
      <c r="J10" s="213">
        <f>+'5'!J10</f>
        <v>0</v>
      </c>
      <c r="K10" s="238"/>
      <c r="L10" s="238"/>
      <c r="M10" s="116">
        <f>+K10+'5'!M10+L10</f>
        <v>0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>
        <f>+'5'!J11</f>
        <v>0</v>
      </c>
      <c r="K11" s="238"/>
      <c r="L11" s="238"/>
      <c r="M11" s="116">
        <f>+K11+'5'!M11+L11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+'5'!J12</f>
        <v>0</v>
      </c>
      <c r="K12" s="238"/>
      <c r="L12" s="238"/>
      <c r="M12" s="116">
        <f>+K12+'5'!M12+L12</f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+'5'!J13</f>
        <v>0</v>
      </c>
      <c r="K13" s="238"/>
      <c r="L13" s="238"/>
      <c r="M13" s="116">
        <f>+K13+'5'!M13+L13</f>
        <v>0</v>
      </c>
    </row>
    <row r="14" spans="1:19" ht="13.5" thickBot="1">
      <c r="A14" s="747"/>
      <c r="B14" s="164" t="s">
        <v>2</v>
      </c>
      <c r="C14" s="98">
        <f>SUM(C7:C13)</f>
        <v>14004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+'5'!J14</f>
        <v>0</v>
      </c>
      <c r="K14" s="238"/>
      <c r="L14" s="238"/>
      <c r="M14" s="116">
        <f>+K14+'5'!M14+L14</f>
        <v>0</v>
      </c>
      <c r="Q14" s="175">
        <f>SUM(Q6:Q11)</f>
        <v>1440</v>
      </c>
      <c r="R14" s="175">
        <f>SUM(R6:R11)</f>
        <v>1584000</v>
      </c>
      <c r="S14" s="175">
        <f>SUM(S6:S11)</f>
        <v>1203840</v>
      </c>
    </row>
    <row r="15" spans="1:19" ht="13.5" customHeight="1" thickBot="1">
      <c r="A15" s="745" t="s">
        <v>387</v>
      </c>
      <c r="B15" s="164"/>
      <c r="C15" s="112">
        <f>C14/($C$23+$D$23+$E$23)</f>
        <v>1.1047649100662669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478</v>
      </c>
      <c r="J15" s="213">
        <f>+'5'!J15</f>
        <v>0</v>
      </c>
      <c r="K15" s="238"/>
      <c r="L15" s="238"/>
      <c r="M15" s="116">
        <f>+K15+'5'!M15+L15</f>
        <v>0</v>
      </c>
      <c r="R15" s="175">
        <f>+R14/Q14</f>
        <v>1100</v>
      </c>
      <c r="S15" s="175">
        <f>+S14/Q14</f>
        <v>836</v>
      </c>
    </row>
    <row r="16" spans="1:19" ht="13.5" thickBot="1">
      <c r="A16" s="751"/>
      <c r="B16" s="214" t="s">
        <v>409</v>
      </c>
      <c r="C16" s="221">
        <v>12676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+'5'!J16</f>
        <v>0</v>
      </c>
      <c r="K16" s="228"/>
      <c r="L16" s="228"/>
      <c r="M16" s="116">
        <f>+K16+'5'!M16+L16</f>
        <v>0</v>
      </c>
    </row>
    <row r="17" spans="1:13" ht="13.5" thickBot="1">
      <c r="A17" s="751"/>
      <c r="B17" s="214"/>
      <c r="C17" s="215"/>
      <c r="D17" s="216"/>
      <c r="E17" s="224"/>
      <c r="F17" s="227">
        <f>26-9</f>
        <v>17</v>
      </c>
      <c r="G17" s="231" t="s">
        <v>12</v>
      </c>
      <c r="H17" s="232" t="s">
        <v>406</v>
      </c>
      <c r="I17" s="749"/>
      <c r="J17" s="213">
        <f>+'5'!J17</f>
        <v>0</v>
      </c>
      <c r="K17" s="228"/>
      <c r="L17" s="228"/>
      <c r="M17" s="116">
        <f>+K17+'5'!M17+L17</f>
        <v>0</v>
      </c>
    </row>
    <row r="18" spans="1:13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686</v>
      </c>
      <c r="I18" s="749"/>
      <c r="J18" s="213">
        <f>+'5'!J18</f>
        <v>0</v>
      </c>
      <c r="K18" s="238"/>
      <c r="L18" s="238"/>
      <c r="M18" s="116">
        <f>+K18+'5'!M18+L18</f>
        <v>0</v>
      </c>
    </row>
    <row r="19" spans="1:1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+'5'!J19</f>
        <v>0</v>
      </c>
      <c r="K19" s="238"/>
      <c r="L19" s="238"/>
      <c r="M19" s="116">
        <f>+K19+'5'!M19+L19</f>
        <v>0</v>
      </c>
    </row>
    <row r="20" spans="1:1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+'5'!J20</f>
        <v>0</v>
      </c>
      <c r="K20" s="239"/>
      <c r="L20" s="239"/>
      <c r="M20" s="116">
        <f>+K20+'5'!M20+L20</f>
        <v>0</v>
      </c>
    </row>
    <row r="21" spans="1:1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+'5'!J21</f>
        <v>0</v>
      </c>
      <c r="K21" s="238"/>
      <c r="L21" s="238"/>
      <c r="M21" s="116">
        <f>+K21+'5'!M21+L21</f>
        <v>0</v>
      </c>
    </row>
    <row r="22" spans="1:1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+'5'!J22</f>
        <v>0</v>
      </c>
      <c r="K22" s="238"/>
      <c r="L22" s="238"/>
      <c r="M22" s="116">
        <f>+K22+'5'!M22+L22</f>
        <v>0</v>
      </c>
    </row>
    <row r="23" spans="1:13" ht="13.5" thickBot="1">
      <c r="A23" s="752"/>
      <c r="B23" s="167" t="s">
        <v>2</v>
      </c>
      <c r="C23" s="99">
        <f>SUM(C16:C22)</f>
        <v>12676</v>
      </c>
      <c r="D23" s="110">
        <f>SUM(D16:D22)</f>
        <v>0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+'5'!J23</f>
        <v>0</v>
      </c>
      <c r="K23" s="238"/>
      <c r="L23" s="238"/>
      <c r="M23" s="116">
        <f>+K23+'5'!M23+L23</f>
        <v>0</v>
      </c>
    </row>
    <row r="24" spans="1:13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12</v>
      </c>
      <c r="G24" s="228" t="s">
        <v>12</v>
      </c>
      <c r="H24" s="229" t="s">
        <v>423</v>
      </c>
      <c r="I24" s="748" t="s">
        <v>478</v>
      </c>
      <c r="J24" s="213">
        <f>+'5'!J24</f>
        <v>0</v>
      </c>
      <c r="K24" s="238"/>
      <c r="L24" s="238"/>
      <c r="M24" s="116">
        <f>+K24+'5'!M24+L24</f>
        <v>0</v>
      </c>
    </row>
    <row r="25" spans="1:13" ht="13.5" thickBot="1">
      <c r="A25" s="751"/>
      <c r="B25" s="214" t="s">
        <v>409</v>
      </c>
      <c r="C25" s="225">
        <v>13702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+'5'!J25</f>
        <v>0</v>
      </c>
      <c r="K25" s="238"/>
      <c r="L25" s="238"/>
      <c r="M25" s="116">
        <f>+K25+'5'!M25+L25</f>
        <v>0</v>
      </c>
    </row>
    <row r="26" spans="1:13" ht="13.5" thickBot="1">
      <c r="A26" s="751"/>
      <c r="B26" s="214"/>
      <c r="C26" s="225"/>
      <c r="D26" s="216"/>
      <c r="E26" s="226"/>
      <c r="F26" s="227">
        <f>32-12</f>
        <v>20</v>
      </c>
      <c r="G26" s="231" t="s">
        <v>12</v>
      </c>
      <c r="H26" s="232" t="s">
        <v>385</v>
      </c>
      <c r="I26" s="749"/>
      <c r="J26" s="213">
        <f>+'5'!J26</f>
        <v>0</v>
      </c>
      <c r="K26" s="238"/>
      <c r="L26" s="238"/>
      <c r="M26" s="116">
        <f>+K26+'5'!M26+L26</f>
        <v>0</v>
      </c>
    </row>
    <row r="27" spans="1:13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689</v>
      </c>
      <c r="I27" s="749"/>
      <c r="J27" s="213">
        <f>+'5'!J27</f>
        <v>0</v>
      </c>
      <c r="K27" s="238"/>
      <c r="L27" s="238"/>
      <c r="M27" s="116">
        <f>+K27+'5'!M27+L27</f>
        <v>0</v>
      </c>
    </row>
    <row r="28" spans="1:13" ht="26.25" thickBot="1">
      <c r="A28" s="751"/>
      <c r="B28" s="214"/>
      <c r="C28" s="215"/>
      <c r="D28" s="216"/>
      <c r="E28" s="224"/>
      <c r="F28" s="230"/>
      <c r="G28" s="231"/>
      <c r="H28" s="232" t="s">
        <v>449</v>
      </c>
      <c r="I28" s="749"/>
      <c r="J28" s="213">
        <f>+'5'!J28</f>
        <v>0</v>
      </c>
      <c r="K28" s="238"/>
      <c r="L28" s="238"/>
      <c r="M28" s="116">
        <f>+K28+'5'!M28+L28</f>
        <v>0</v>
      </c>
    </row>
    <row r="29" spans="1:1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+'5'!J29</f>
        <v>0</v>
      </c>
      <c r="K29" s="238"/>
      <c r="L29" s="238"/>
      <c r="M29" s="116">
        <f>+K29+'5'!M29+L29</f>
        <v>0</v>
      </c>
    </row>
    <row r="30" spans="1:1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+'5'!J30</f>
        <v>0</v>
      </c>
      <c r="K30" s="238"/>
      <c r="L30" s="238"/>
      <c r="M30" s="116">
        <f>+K30+'5'!M30+L30</f>
        <v>0</v>
      </c>
    </row>
    <row r="31" spans="1:13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+'5'!J31</f>
        <v>0</v>
      </c>
      <c r="K31" s="238"/>
      <c r="L31" s="238"/>
      <c r="M31" s="116">
        <f>+K31+'5'!M31+L31</f>
        <v>0</v>
      </c>
    </row>
    <row r="32" spans="1:13" ht="13.5" thickBot="1">
      <c r="A32" s="752"/>
      <c r="B32" s="164" t="s">
        <v>2</v>
      </c>
      <c r="C32" s="98">
        <f>SUM(C25:C31)</f>
        <v>13702</v>
      </c>
      <c r="D32" s="99">
        <f>SUM(D25:D31)</f>
        <v>0</v>
      </c>
      <c r="E32" s="100">
        <f>SUM(E25:E31)</f>
        <v>0</v>
      </c>
      <c r="F32" s="101">
        <f>SUM(F24:F31)</f>
        <v>32</v>
      </c>
      <c r="G32" s="170"/>
      <c r="H32" s="171"/>
      <c r="I32" s="168"/>
      <c r="J32" s="213">
        <f>+'5'!J32</f>
        <v>0</v>
      </c>
      <c r="K32" s="240"/>
      <c r="L32" s="242"/>
      <c r="M32" s="116">
        <f>+K32+'5'!M32+L32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40382</v>
      </c>
      <c r="D34" s="106">
        <f>D14+D23+D32</f>
        <v>0</v>
      </c>
      <c r="E34" s="106">
        <f>E14+E23+E32</f>
        <v>0</v>
      </c>
      <c r="F34" s="107">
        <f>F14+F23+F32</f>
        <v>80</v>
      </c>
      <c r="H34" s="177"/>
      <c r="I34" s="177"/>
      <c r="J34" s="122" t="s">
        <v>28</v>
      </c>
      <c r="K34" s="123">
        <f>SUM(K7:K32)</f>
        <v>40382</v>
      </c>
      <c r="L34" s="211">
        <f>SUM(L7:L32)</f>
        <v>0</v>
      </c>
      <c r="M34" s="119">
        <f>SUM(M7:M32)</f>
        <v>233359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(14*1440)/1440*G42*2.74*1440/1000000</f>
        <v>46.179302400000005</v>
      </c>
      <c r="J37" s="124">
        <f>+I37+'5'!J37</f>
        <v>267.60314599500003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80</v>
      </c>
      <c r="D38" s="117">
        <f>+C38+'5'!D38</f>
        <v>405</v>
      </c>
      <c r="E38" s="142">
        <f t="shared" ref="E38:E51" si="2">D38/60</f>
        <v>6.75</v>
      </c>
      <c r="F38" s="321">
        <v>1100</v>
      </c>
      <c r="G38" s="321">
        <v>836</v>
      </c>
      <c r="H38" s="186" t="s">
        <v>64</v>
      </c>
      <c r="I38" s="244">
        <f>13.563+13.72+14.542</f>
        <v>41.825000000000003</v>
      </c>
      <c r="J38" s="126">
        <f>+I38+'5'!J38</f>
        <v>241.55599999999998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+C39+'5'!D39</f>
        <v>0</v>
      </c>
      <c r="E39" s="142">
        <f t="shared" si="2"/>
        <v>0</v>
      </c>
      <c r="F39" s="321">
        <v>1100</v>
      </c>
      <c r="G39" s="321">
        <v>836</v>
      </c>
      <c r="H39" s="186" t="s">
        <v>65</v>
      </c>
      <c r="I39" s="141"/>
      <c r="J39" s="128">
        <f>J37/G4</f>
        <v>44.600524332500008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+C40+'5'!D40</f>
        <v>481</v>
      </c>
      <c r="E40" s="142">
        <f t="shared" si="2"/>
        <v>8.0166666666666675</v>
      </c>
      <c r="F40" s="321">
        <v>1100</v>
      </c>
      <c r="G40" s="321">
        <v>836</v>
      </c>
      <c r="H40" s="186" t="s">
        <v>67</v>
      </c>
      <c r="I40" s="117">
        <f>(K34+L34)/1000</f>
        <v>40.381999999999998</v>
      </c>
      <c r="J40" s="130">
        <f>+I40+'5'!J40</f>
        <v>233.35900000000001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+C41+'5'!D41</f>
        <v>84</v>
      </c>
      <c r="E41" s="142">
        <f t="shared" si="2"/>
        <v>1.4</v>
      </c>
      <c r="F41" s="321"/>
      <c r="G41" s="321"/>
      <c r="H41" s="186" t="s">
        <v>69</v>
      </c>
      <c r="I41" s="141"/>
      <c r="J41" s="128">
        <f>J40/G4</f>
        <v>38.893166666666666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+C42+'5'!D42</f>
        <v>0</v>
      </c>
      <c r="E42" s="142">
        <f t="shared" si="2"/>
        <v>0</v>
      </c>
      <c r="F42" s="321">
        <f>+(F38*480+F39*480+F40*480)/1440</f>
        <v>1100</v>
      </c>
      <c r="G42" s="321">
        <f>+(G38*480+G39*480+G40*480)/1440</f>
        <v>836</v>
      </c>
      <c r="H42" s="186" t="s">
        <v>70</v>
      </c>
      <c r="I42" s="245" t="s">
        <v>421</v>
      </c>
      <c r="J42" s="131"/>
      <c r="K42" s="129" t="s">
        <v>71</v>
      </c>
    </row>
    <row r="43" spans="1:13" ht="17.45" customHeight="1">
      <c r="A43" s="759" t="s">
        <v>220</v>
      </c>
      <c r="B43" s="760"/>
      <c r="C43" s="163">
        <f>SUMIF($G$7:$G$31,"Change Grade",$F$7:$F$31)</f>
        <v>0</v>
      </c>
      <c r="D43" s="117">
        <f>+C43+'5'!D43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+Report1!Z14</f>
        <v>55.6</v>
      </c>
      <c r="J43" s="132">
        <f>+I43+'5'!J43</f>
        <v>304.5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+C44+'5'!D44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1.3293484757919904</v>
      </c>
      <c r="J44" s="133">
        <f>J43/J38</f>
        <v>1.2605772574475484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+C45+'5'!D45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1.3768510722599179</v>
      </c>
      <c r="J45" s="133">
        <f>J43/J40</f>
        <v>1.3048564657887631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+C46+'5'!D46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+SUMIF(Listrik!P13,"&gt;0")</f>
        <v>33993.980000000731</v>
      </c>
      <c r="J46" s="134">
        <f>+I46+'5'!J46</f>
        <v>212520.7199999993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+C47+'5'!D47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812.76700537957515</v>
      </c>
      <c r="J47" s="134">
        <f>J46/J38</f>
        <v>879.79897001109191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+C48+'5'!D48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841.81021247092099</v>
      </c>
      <c r="J48" s="134">
        <f>J46/J40</f>
        <v>910.70290839435927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+C49+'5'!D49</f>
        <v>0</v>
      </c>
      <c r="E49" s="142">
        <f t="shared" si="2"/>
        <v>0</v>
      </c>
      <c r="F49" s="184"/>
      <c r="H49" s="187" t="s">
        <v>268</v>
      </c>
      <c r="I49" s="117">
        <f>+Report1!T14</f>
        <v>4624.4871880827168</v>
      </c>
      <c r="J49" s="134">
        <f>+I49+'5'!J49</f>
        <v>26677.965202102187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+C50+'5'!D50</f>
        <v>0</v>
      </c>
      <c r="E50" s="142">
        <f t="shared" si="2"/>
        <v>0</v>
      </c>
      <c r="F50" s="184"/>
      <c r="H50" s="187" t="s">
        <v>83</v>
      </c>
      <c r="I50" s="139">
        <f>I49/I38</f>
        <v>110.56753587765013</v>
      </c>
      <c r="J50" s="132">
        <f>J49/J38</f>
        <v>110.44215503693631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+C51+'5'!D51</f>
        <v>0</v>
      </c>
      <c r="E51" s="142">
        <f t="shared" si="2"/>
        <v>0</v>
      </c>
      <c r="F51" s="184"/>
      <c r="H51" s="189" t="s">
        <v>85</v>
      </c>
      <c r="I51" s="140">
        <f>I49/I40</f>
        <v>114.51852776194139</v>
      </c>
      <c r="J51" s="135">
        <f>J49/J40</f>
        <v>114.32156120870498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80</v>
      </c>
      <c r="D52" s="143">
        <f>SUM(D38:D51)</f>
        <v>970</v>
      </c>
      <c r="E52" s="144">
        <f>SUM(E38:E51)</f>
        <v>16.166666666666668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5.5555555555555552E-2</v>
      </c>
      <c r="D53" s="145">
        <f>D52/(24*60*G4)</f>
        <v>0.11226851851851852</v>
      </c>
      <c r="E53" s="146">
        <f>E52/(G4*24)</f>
        <v>0.11226851851851853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+D34+'5'!J56</f>
        <v>917</v>
      </c>
      <c r="K56" s="200">
        <f>J56/(J40+J56/1000)/1000</f>
        <v>3.9141866857894106E-3</v>
      </c>
    </row>
    <row r="57" spans="1:11">
      <c r="A57" s="175"/>
      <c r="I57" s="198" t="s">
        <v>88</v>
      </c>
      <c r="J57" s="199">
        <f>+E34+'5'!J57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R61"/>
  <sheetViews>
    <sheetView view="pageBreakPreview" topLeftCell="F1" zoomScale="80" zoomScaleNormal="75" zoomScaleSheetLayoutView="80" workbookViewId="0">
      <selection activeCell="I7" sqref="I7:I3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8" ht="15.75">
      <c r="A1" s="147"/>
    </row>
    <row r="2" spans="1:18" ht="15.75">
      <c r="A2" s="147" t="s">
        <v>183</v>
      </c>
    </row>
    <row r="3" spans="1:18" ht="15">
      <c r="A3" s="149"/>
    </row>
    <row r="4" spans="1:18" ht="20.25">
      <c r="A4" s="150" t="s">
        <v>3</v>
      </c>
      <c r="B4" s="151"/>
      <c r="F4" s="152" t="s">
        <v>29</v>
      </c>
      <c r="G4" s="153">
        <v>5</v>
      </c>
      <c r="H4" s="153" t="str">
        <f>+'1'!H4</f>
        <v>.12.25</v>
      </c>
    </row>
    <row r="5" spans="1:18" ht="13.5" thickBot="1">
      <c r="C5" s="154"/>
      <c r="D5" s="154"/>
    </row>
    <row r="6" spans="1:18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</row>
    <row r="7" spans="1:18" ht="13.5" customHeight="1" thickBot="1">
      <c r="A7" s="745" t="s">
        <v>388</v>
      </c>
      <c r="B7" s="214" t="s">
        <v>409</v>
      </c>
      <c r="C7" s="215">
        <v>17403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478</v>
      </c>
      <c r="J7" s="213" t="str">
        <f>+'4'!J7</f>
        <v>F 14 VP OW</v>
      </c>
      <c r="K7" s="237">
        <f>+C34</f>
        <v>45196</v>
      </c>
      <c r="L7" s="241"/>
      <c r="M7" s="116">
        <f>+K7+'4'!M7+L7</f>
        <v>97431</v>
      </c>
      <c r="N7" s="148">
        <v>1100</v>
      </c>
      <c r="O7" s="148">
        <f>+N7-(N7*0.24)</f>
        <v>836</v>
      </c>
      <c r="P7" s="148">
        <v>480</v>
      </c>
      <c r="Q7" s="148">
        <f t="shared" ref="Q7:Q12" si="0">+N7*P7</f>
        <v>528000</v>
      </c>
      <c r="R7" s="148">
        <f t="shared" ref="R7:R12" si="1">+O7*P7</f>
        <v>401280</v>
      </c>
    </row>
    <row r="8" spans="1:18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+'4'!J8</f>
        <v>F 15 VP OW</v>
      </c>
      <c r="K8" s="238"/>
      <c r="L8" s="238"/>
      <c r="M8" s="116">
        <f>+K8+'4'!M8+L8</f>
        <v>95546</v>
      </c>
      <c r="N8" s="148">
        <v>1100</v>
      </c>
      <c r="O8" s="148">
        <f>+N8-(N8*0.24)</f>
        <v>836</v>
      </c>
      <c r="P8" s="148">
        <v>480</v>
      </c>
      <c r="Q8" s="148">
        <f>+N8*P8</f>
        <v>528000</v>
      </c>
      <c r="R8" s="148">
        <f>+O8*P8</f>
        <v>401280</v>
      </c>
    </row>
    <row r="9" spans="1:18" ht="13.5" thickBot="1">
      <c r="A9" s="746"/>
      <c r="B9" s="214"/>
      <c r="C9" s="215"/>
      <c r="D9" s="216"/>
      <c r="E9" s="219"/>
      <c r="F9" s="227">
        <f>27-9</f>
        <v>18</v>
      </c>
      <c r="G9" s="231" t="s">
        <v>12</v>
      </c>
      <c r="H9" s="232" t="s">
        <v>406</v>
      </c>
      <c r="I9" s="749"/>
      <c r="J9" s="213">
        <f>+'4'!J9</f>
        <v>0</v>
      </c>
      <c r="K9" s="238"/>
      <c r="L9" s="238"/>
      <c r="M9" s="116">
        <f>+K9+'4'!M9+L9</f>
        <v>0</v>
      </c>
      <c r="N9" s="148">
        <v>1100</v>
      </c>
      <c r="O9" s="148">
        <f>+N9-(N9*0.24)</f>
        <v>836</v>
      </c>
      <c r="P9" s="148">
        <v>480</v>
      </c>
      <c r="Q9" s="148">
        <f>+N9*P9</f>
        <v>528000</v>
      </c>
      <c r="R9" s="148">
        <f>+O9*P9</f>
        <v>401280</v>
      </c>
    </row>
    <row r="10" spans="1:18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685</v>
      </c>
      <c r="I10" s="749"/>
      <c r="J10" s="213">
        <f>+'4'!J10</f>
        <v>0</v>
      </c>
      <c r="K10" s="238"/>
      <c r="L10" s="238"/>
      <c r="M10" s="116">
        <f>+K10+'4'!M10+L10</f>
        <v>0</v>
      </c>
      <c r="O10" s="148">
        <f>+N10-(N10*0.2)</f>
        <v>0</v>
      </c>
      <c r="Q10" s="148">
        <f t="shared" si="0"/>
        <v>0</v>
      </c>
      <c r="R10" s="148">
        <f t="shared" si="1"/>
        <v>0</v>
      </c>
    </row>
    <row r="11" spans="1:18" ht="39" thickBot="1">
      <c r="A11" s="746"/>
      <c r="B11" s="214"/>
      <c r="C11" s="215"/>
      <c r="D11" s="216"/>
      <c r="E11" s="218"/>
      <c r="F11" s="227"/>
      <c r="G11" s="231"/>
      <c r="H11" s="232" t="s">
        <v>444</v>
      </c>
      <c r="I11" s="749"/>
      <c r="J11" s="213">
        <f>+'4'!J11</f>
        <v>0</v>
      </c>
      <c r="K11" s="238"/>
      <c r="L11" s="238"/>
      <c r="M11" s="116">
        <f>+K11+'4'!M11+L11</f>
        <v>0</v>
      </c>
      <c r="O11" s="148">
        <f>+N11-(N11*0.23)</f>
        <v>0</v>
      </c>
      <c r="Q11" s="148">
        <f t="shared" si="0"/>
        <v>0</v>
      </c>
      <c r="R11" s="148">
        <f t="shared" si="1"/>
        <v>0</v>
      </c>
    </row>
    <row r="12" spans="1:18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+'4'!J12</f>
        <v>0</v>
      </c>
      <c r="K12" s="238"/>
      <c r="L12" s="238"/>
      <c r="M12" s="116">
        <f>+K12+'4'!M12+L12</f>
        <v>0</v>
      </c>
      <c r="O12" s="148">
        <f>+N12-(N12*0.23)</f>
        <v>0</v>
      </c>
      <c r="Q12" s="148">
        <f t="shared" si="0"/>
        <v>0</v>
      </c>
      <c r="R12" s="148">
        <f t="shared" si="1"/>
        <v>0</v>
      </c>
    </row>
    <row r="13" spans="1:18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+'4'!J13</f>
        <v>0</v>
      </c>
      <c r="K13" s="238"/>
      <c r="L13" s="238"/>
      <c r="M13" s="116">
        <f>+K13+'4'!M13+L13</f>
        <v>0</v>
      </c>
    </row>
    <row r="14" spans="1:18" ht="13.5" thickBot="1">
      <c r="A14" s="747"/>
      <c r="B14" s="164" t="s">
        <v>2</v>
      </c>
      <c r="C14" s="98">
        <f>SUM(C7:C13)</f>
        <v>17403</v>
      </c>
      <c r="D14" s="110">
        <f>SUM(D7:D13)</f>
        <v>0</v>
      </c>
      <c r="E14" s="111">
        <f>SUM(E5:E13)</f>
        <v>0</v>
      </c>
      <c r="F14" s="115">
        <f>SUM(F7:F13)</f>
        <v>27</v>
      </c>
      <c r="G14" s="158"/>
      <c r="H14" s="165"/>
      <c r="I14" s="166"/>
      <c r="J14" s="213">
        <f>+'4'!J14</f>
        <v>0</v>
      </c>
      <c r="K14" s="238"/>
      <c r="L14" s="238"/>
      <c r="M14" s="116">
        <f>+K14+'4'!M14+L14</f>
        <v>0</v>
      </c>
    </row>
    <row r="15" spans="1:18" ht="13.5" customHeight="1" thickBot="1">
      <c r="A15" s="745" t="s">
        <v>387</v>
      </c>
      <c r="B15" s="164"/>
      <c r="C15" s="112">
        <f>C14/($C$23+$D$23+$E$23)</f>
        <v>1.2804797292325805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478</v>
      </c>
      <c r="J15" s="213">
        <f>+'4'!J15</f>
        <v>0</v>
      </c>
      <c r="K15" s="238"/>
      <c r="L15" s="238"/>
      <c r="M15" s="116">
        <f>+K15+'4'!M15+L15</f>
        <v>0</v>
      </c>
      <c r="P15" s="175">
        <f>SUM(P7:P12)</f>
        <v>1440</v>
      </c>
      <c r="Q15" s="175">
        <f>SUM(Q7:Q12)</f>
        <v>1584000</v>
      </c>
      <c r="R15" s="175">
        <f>SUM(R7:R12)</f>
        <v>1203840</v>
      </c>
    </row>
    <row r="16" spans="1:18" ht="13.5" thickBot="1">
      <c r="A16" s="751"/>
      <c r="B16" s="214" t="s">
        <v>409</v>
      </c>
      <c r="C16" s="221">
        <v>13591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+'4'!J16</f>
        <v>0</v>
      </c>
      <c r="K16" s="228"/>
      <c r="L16" s="228"/>
      <c r="M16" s="116">
        <f>+K16+'4'!M16+L16</f>
        <v>0</v>
      </c>
      <c r="Q16" s="175">
        <f>+Q15/P15</f>
        <v>1100</v>
      </c>
      <c r="R16" s="175">
        <f>+R15/P15</f>
        <v>836</v>
      </c>
    </row>
    <row r="17" spans="1:13" ht="13.5" thickBot="1">
      <c r="A17" s="751"/>
      <c r="B17" s="214"/>
      <c r="C17" s="215"/>
      <c r="D17" s="216"/>
      <c r="E17" s="224"/>
      <c r="F17" s="227">
        <f>24-9</f>
        <v>15</v>
      </c>
      <c r="G17" s="231" t="s">
        <v>12</v>
      </c>
      <c r="H17" s="232" t="s">
        <v>406</v>
      </c>
      <c r="I17" s="749"/>
      <c r="J17" s="213">
        <f>+'4'!J17</f>
        <v>0</v>
      </c>
      <c r="K17" s="228"/>
      <c r="L17" s="228"/>
      <c r="M17" s="116">
        <f>+K17+'4'!M17+L17</f>
        <v>0</v>
      </c>
    </row>
    <row r="18" spans="1:13" ht="26.2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686</v>
      </c>
      <c r="I18" s="749"/>
      <c r="J18" s="213">
        <f>+'4'!J18</f>
        <v>0</v>
      </c>
      <c r="K18" s="238"/>
      <c r="L18" s="238"/>
      <c r="M18" s="116">
        <f>+K18+'4'!M18+L18</f>
        <v>0</v>
      </c>
    </row>
    <row r="19" spans="1:1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+'4'!J19</f>
        <v>0</v>
      </c>
      <c r="K19" s="238"/>
      <c r="L19" s="238"/>
      <c r="M19" s="116">
        <f>+K19+'4'!M19+L19</f>
        <v>0</v>
      </c>
    </row>
    <row r="20" spans="1:1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+'4'!J20</f>
        <v>0</v>
      </c>
      <c r="K20" s="239"/>
      <c r="L20" s="239"/>
      <c r="M20" s="116">
        <f>+K20+'4'!M20+L20</f>
        <v>0</v>
      </c>
    </row>
    <row r="21" spans="1:1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+'4'!J21</f>
        <v>0</v>
      </c>
      <c r="K21" s="238"/>
      <c r="L21" s="238"/>
      <c r="M21" s="116">
        <f>+K21+'4'!M21+L21</f>
        <v>0</v>
      </c>
    </row>
    <row r="22" spans="1:1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+'4'!J22</f>
        <v>0</v>
      </c>
      <c r="K22" s="238"/>
      <c r="L22" s="238"/>
      <c r="M22" s="116">
        <f>+K22+'4'!M22+L22</f>
        <v>0</v>
      </c>
    </row>
    <row r="23" spans="1:13" ht="13.5" thickBot="1">
      <c r="A23" s="752"/>
      <c r="B23" s="167" t="s">
        <v>2</v>
      </c>
      <c r="C23" s="99">
        <f>SUM(C16:C22)</f>
        <v>13591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+'4'!J23</f>
        <v>0</v>
      </c>
      <c r="K23" s="238"/>
      <c r="L23" s="238"/>
      <c r="M23" s="116">
        <f>+K23+'4'!M23+L23</f>
        <v>0</v>
      </c>
    </row>
    <row r="24" spans="1:13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478</v>
      </c>
      <c r="J24" s="213">
        <f>+'4'!J24</f>
        <v>0</v>
      </c>
      <c r="K24" s="238"/>
      <c r="L24" s="238"/>
      <c r="M24" s="116">
        <f>+K24+'4'!M24+L24</f>
        <v>0</v>
      </c>
    </row>
    <row r="25" spans="1:13" ht="13.5" thickBot="1">
      <c r="A25" s="751"/>
      <c r="B25" s="214" t="s">
        <v>409</v>
      </c>
      <c r="C25" s="225">
        <v>14202</v>
      </c>
      <c r="D25" s="216">
        <v>225</v>
      </c>
      <c r="E25" s="224"/>
      <c r="F25" s="230"/>
      <c r="G25" s="231" t="s">
        <v>12</v>
      </c>
      <c r="H25" s="229" t="s">
        <v>284</v>
      </c>
      <c r="I25" s="749"/>
      <c r="J25" s="213">
        <f>+'4'!J25</f>
        <v>0</v>
      </c>
      <c r="K25" s="238"/>
      <c r="L25" s="238"/>
      <c r="M25" s="116">
        <f>+K25+'4'!M25+L25</f>
        <v>0</v>
      </c>
    </row>
    <row r="26" spans="1:13" ht="13.5" thickBot="1">
      <c r="A26" s="751"/>
      <c r="B26" s="214"/>
      <c r="C26" s="225"/>
      <c r="D26" s="216"/>
      <c r="E26" s="226"/>
      <c r="F26" s="227">
        <f>23-9</f>
        <v>14</v>
      </c>
      <c r="G26" s="231" t="s">
        <v>12</v>
      </c>
      <c r="H26" s="232" t="s">
        <v>385</v>
      </c>
      <c r="I26" s="749"/>
      <c r="J26" s="213">
        <f>+'4'!J26</f>
        <v>0</v>
      </c>
      <c r="K26" s="238"/>
      <c r="L26" s="238"/>
      <c r="M26" s="116">
        <f>+K26+'4'!M26+L26</f>
        <v>0</v>
      </c>
    </row>
    <row r="27" spans="1:13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687</v>
      </c>
      <c r="I27" s="749"/>
      <c r="J27" s="213">
        <f>+'4'!J27</f>
        <v>0</v>
      </c>
      <c r="K27" s="238"/>
      <c r="L27" s="238"/>
      <c r="M27" s="116">
        <f>+K27+'4'!M27+L27</f>
        <v>0</v>
      </c>
    </row>
    <row r="28" spans="1:13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+'4'!J28</f>
        <v>0</v>
      </c>
      <c r="K28" s="238"/>
      <c r="L28" s="238"/>
      <c r="M28" s="116">
        <f>+K28+'4'!M28+L28</f>
        <v>0</v>
      </c>
    </row>
    <row r="29" spans="1:1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+'4'!J29</f>
        <v>0</v>
      </c>
      <c r="K29" s="238"/>
      <c r="L29" s="238"/>
      <c r="M29" s="116">
        <f>+K29+'4'!M29+L29</f>
        <v>0</v>
      </c>
    </row>
    <row r="30" spans="1:1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+'4'!J30</f>
        <v>0</v>
      </c>
      <c r="K30" s="238"/>
      <c r="L30" s="238"/>
      <c r="M30" s="116">
        <f>+K30+'4'!M30+L30</f>
        <v>0</v>
      </c>
    </row>
    <row r="31" spans="1:13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+'4'!J31</f>
        <v>0</v>
      </c>
      <c r="K31" s="238"/>
      <c r="L31" s="238"/>
      <c r="M31" s="116">
        <f>+K31+'4'!M31+L31</f>
        <v>0</v>
      </c>
    </row>
    <row r="32" spans="1:13" ht="13.5" thickBot="1">
      <c r="A32" s="752"/>
      <c r="B32" s="164" t="s">
        <v>2</v>
      </c>
      <c r="C32" s="98">
        <f>SUM(C25:C31)</f>
        <v>14202</v>
      </c>
      <c r="D32" s="99">
        <f>SUM(D25:D31)</f>
        <v>225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13">
        <f>+'4'!J32</f>
        <v>0</v>
      </c>
      <c r="K32" s="240"/>
      <c r="L32" s="242"/>
      <c r="M32" s="116">
        <f>+K32+'4'!M32+L32</f>
        <v>0</v>
      </c>
    </row>
    <row r="33" spans="1:13" ht="13.5" thickBot="1">
      <c r="A33" s="172"/>
      <c r="B33" s="173"/>
      <c r="C33" s="102">
        <f>C32/($C$32+$D$32+$E$32)</f>
        <v>0.98440424204616339</v>
      </c>
      <c r="D33" s="103">
        <f>D32/($C$32+$D$32+$E$32)</f>
        <v>1.5595757953836557E-2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45196</v>
      </c>
      <c r="D34" s="106">
        <f>D14+D23+D32</f>
        <v>225</v>
      </c>
      <c r="E34" s="106">
        <f>E14+E23+E32</f>
        <v>0</v>
      </c>
      <c r="F34" s="107">
        <f>F14+F23+F32</f>
        <v>74</v>
      </c>
      <c r="H34" s="177"/>
      <c r="I34" s="177"/>
      <c r="J34" s="122" t="s">
        <v>28</v>
      </c>
      <c r="K34" s="123">
        <f>SUM(K7:K32)</f>
        <v>45196</v>
      </c>
      <c r="L34" s="211">
        <f>SUM(L7:L32)</f>
        <v>0</v>
      </c>
      <c r="M34" s="119">
        <f>SUM(M7:M32)</f>
        <v>192977</v>
      </c>
    </row>
    <row r="35" spans="1:13" ht="13.5" thickBot="1">
      <c r="A35" s="178"/>
      <c r="B35" s="179"/>
      <c r="C35" s="103">
        <f>C34/($C$34+$D$34+$E$34)</f>
        <v>0.99504634420202109</v>
      </c>
      <c r="D35" s="103">
        <f>D34/($C$34+$D$34+$E$34)</f>
        <v>4.9536557979789082E-3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(14*1440)/1440*G42*2.74*1440/1000000</f>
        <v>46.179302400000005</v>
      </c>
      <c r="J37" s="124">
        <f>+I37+'4'!J37</f>
        <v>221.42384359500005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74</v>
      </c>
      <c r="D38" s="117">
        <f>+C38+'4'!D38</f>
        <v>325</v>
      </c>
      <c r="E38" s="142">
        <f t="shared" ref="E38:E51" si="2">D38/60</f>
        <v>5.416666666666667</v>
      </c>
      <c r="F38" s="321">
        <v>1100</v>
      </c>
      <c r="G38" s="321">
        <v>836</v>
      </c>
      <c r="H38" s="186" t="s">
        <v>64</v>
      </c>
      <c r="I38" s="244">
        <f>13.506+14.658+14.491</f>
        <v>42.655000000000001</v>
      </c>
      <c r="J38" s="126">
        <f>+I38+'4'!J38</f>
        <v>199.73099999999999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+C39+'4'!D39</f>
        <v>0</v>
      </c>
      <c r="E39" s="142">
        <f t="shared" si="2"/>
        <v>0</v>
      </c>
      <c r="F39" s="321">
        <v>1100</v>
      </c>
      <c r="G39" s="321">
        <v>836</v>
      </c>
      <c r="H39" s="186" t="s">
        <v>65</v>
      </c>
      <c r="I39" s="141"/>
      <c r="J39" s="128">
        <f>J37/G4</f>
        <v>44.284768719000013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+C40+'4'!D40</f>
        <v>481</v>
      </c>
      <c r="E40" s="142">
        <f t="shared" si="2"/>
        <v>8.0166666666666675</v>
      </c>
      <c r="F40" s="321">
        <v>1100</v>
      </c>
      <c r="G40" s="321">
        <v>836</v>
      </c>
      <c r="H40" s="186" t="s">
        <v>67</v>
      </c>
      <c r="I40" s="117">
        <f>(K34+L34)/1000</f>
        <v>45.195999999999998</v>
      </c>
      <c r="J40" s="130">
        <f>+I40+'4'!J40</f>
        <v>192.977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+C41+'4'!D41</f>
        <v>84</v>
      </c>
      <c r="E41" s="142">
        <f t="shared" si="2"/>
        <v>1.4</v>
      </c>
      <c r="F41" s="321"/>
      <c r="G41" s="321"/>
      <c r="H41" s="186" t="s">
        <v>69</v>
      </c>
      <c r="I41" s="141"/>
      <c r="J41" s="128">
        <f>J40/G4</f>
        <v>38.595399999999998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+C42+'4'!D42</f>
        <v>0</v>
      </c>
      <c r="E42" s="142">
        <f t="shared" si="2"/>
        <v>0</v>
      </c>
      <c r="F42" s="321">
        <f>+(480*F38+480*F39+480*F40)/1440</f>
        <v>1100</v>
      </c>
      <c r="G42" s="321">
        <f>+(480*G38+480*G39+480*G40)/1440</f>
        <v>836</v>
      </c>
      <c r="H42" s="186" t="s">
        <v>70</v>
      </c>
      <c r="I42" s="245" t="s">
        <v>421</v>
      </c>
      <c r="J42" s="131"/>
      <c r="K42" s="129" t="s">
        <v>71</v>
      </c>
    </row>
    <row r="43" spans="1:13" ht="17.45" customHeight="1">
      <c r="A43" s="759" t="s">
        <v>220</v>
      </c>
      <c r="B43" s="760"/>
      <c r="C43" s="163">
        <f>SUMIF($G$7:$G$31,"Change Grade",$F$7:$F$31)</f>
        <v>0</v>
      </c>
      <c r="D43" s="117">
        <f>+C43+'4'!D43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+Report1!Z13</f>
        <v>54.4</v>
      </c>
      <c r="J43" s="132">
        <f>+I43+'4'!J43</f>
        <v>248.9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+C44+'4'!D44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1.2753487281678584</v>
      </c>
      <c r="J44" s="133">
        <f>J43/J38</f>
        <v>1.2461761068637318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+C45+'4'!D45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1.2036463403841049</v>
      </c>
      <c r="J45" s="133">
        <f>J43/J40</f>
        <v>1.2897910113640485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+C46+'4'!D46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+SUMIF(Listrik!P12,"&gt;0")</f>
        <v>34323.819999998545</v>
      </c>
      <c r="J46" s="134">
        <f>+I46+'4'!J46</f>
        <v>178526.73999999856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+C47+'4'!D47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804.68456218493827</v>
      </c>
      <c r="J47" s="134">
        <f>J46/J38</f>
        <v>893.83590929799868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+C48+'4'!D48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759.4437560845771</v>
      </c>
      <c r="J48" s="134">
        <f>J46/J40</f>
        <v>925.11926291733505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+C49+'4'!D49</f>
        <v>0</v>
      </c>
      <c r="E49" s="142">
        <f t="shared" si="2"/>
        <v>0</v>
      </c>
      <c r="F49" s="184"/>
      <c r="H49" s="187" t="s">
        <v>268</v>
      </c>
      <c r="I49" s="117">
        <f>+Report1!T13</f>
        <v>4780.3967624277702</v>
      </c>
      <c r="J49" s="134">
        <f>+I49+'4'!J49</f>
        <v>22053.478014019471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+C50+'4'!D50</f>
        <v>0</v>
      </c>
      <c r="E50" s="142">
        <f t="shared" si="2"/>
        <v>0</v>
      </c>
      <c r="F50" s="184"/>
      <c r="H50" s="187" t="s">
        <v>83</v>
      </c>
      <c r="I50" s="139">
        <f>I49/I38</f>
        <v>112.07119358639714</v>
      </c>
      <c r="J50" s="132">
        <f>J49/J38</f>
        <v>110.41589945486415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+C51+'4'!D51</f>
        <v>0</v>
      </c>
      <c r="E51" s="142">
        <f t="shared" si="2"/>
        <v>0</v>
      </c>
      <c r="F51" s="184"/>
      <c r="H51" s="189" t="s">
        <v>85</v>
      </c>
      <c r="I51" s="140">
        <f>I49/I40</f>
        <v>105.77035052720971</v>
      </c>
      <c r="J51" s="135">
        <f>J49/J40</f>
        <v>114.28034436238241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74</v>
      </c>
      <c r="D52" s="143">
        <f>SUM(D38:D51)</f>
        <v>890</v>
      </c>
      <c r="E52" s="144">
        <f>SUM(E38:E51)</f>
        <v>14.833333333333334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5.1388888888888887E-2</v>
      </c>
      <c r="D53" s="145">
        <f>D52/(24*60*G4)</f>
        <v>0.12361111111111112</v>
      </c>
      <c r="E53" s="146">
        <f>E52/(G4*24)</f>
        <v>0.12361111111111112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+D34+'4'!J56</f>
        <v>917</v>
      </c>
      <c r="K56" s="200">
        <f>J56/(J40+J56/1000)/1000</f>
        <v>4.7293882224308127E-3</v>
      </c>
    </row>
    <row r="57" spans="1:11">
      <c r="A57" s="175"/>
      <c r="I57" s="198" t="s">
        <v>88</v>
      </c>
      <c r="J57" s="199">
        <f>+E34+'4'!J57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4027777777777778" header="0" footer="0"/>
  <pageSetup paperSize="9" scale="59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Z61"/>
  <sheetViews>
    <sheetView view="pageBreakPreview" topLeftCell="E4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4</v>
      </c>
      <c r="H4" s="153" t="str">
        <f>+'1'!H4</f>
        <v>.12.25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420</v>
      </c>
      <c r="O6" s="148">
        <v>1090</v>
      </c>
      <c r="P6" s="148">
        <f>+O6-O6*0.24</f>
        <v>828.40000000000009</v>
      </c>
      <c r="Q6" s="148">
        <v>480</v>
      </c>
      <c r="R6" s="148">
        <f t="shared" ref="R6:R11" si="0">+O6*Q6</f>
        <v>523200</v>
      </c>
      <c r="S6" s="148">
        <f t="shared" ref="S6:S11" si="1">+P6*Q6</f>
        <v>397632.00000000006</v>
      </c>
    </row>
    <row r="7" spans="1:19" ht="13.5" customHeight="1" thickBot="1">
      <c r="A7" s="745" t="s">
        <v>388</v>
      </c>
      <c r="B7" s="214" t="s">
        <v>430</v>
      </c>
      <c r="C7" s="215">
        <v>14295</v>
      </c>
      <c r="D7" s="216"/>
      <c r="E7" s="217"/>
      <c r="F7" s="227"/>
      <c r="G7" s="228" t="s">
        <v>12</v>
      </c>
      <c r="H7" s="229" t="s">
        <v>384</v>
      </c>
      <c r="I7" s="748" t="s">
        <v>676</v>
      </c>
      <c r="J7" s="213" t="str">
        <f>+'3'!J7</f>
        <v>F 14 VP OW</v>
      </c>
      <c r="K7" s="237">
        <f>+C17+C25</f>
        <v>17687</v>
      </c>
      <c r="L7" s="241"/>
      <c r="M7" s="116">
        <f>+K7+'3'!M7+L7</f>
        <v>52235</v>
      </c>
      <c r="R7" s="148">
        <f t="shared" si="0"/>
        <v>0</v>
      </c>
      <c r="S7" s="148">
        <f t="shared" si="1"/>
        <v>0</v>
      </c>
    </row>
    <row r="8" spans="1:19" ht="13.5" thickBot="1">
      <c r="A8" s="746"/>
      <c r="B8" s="214"/>
      <c r="C8" s="215"/>
      <c r="D8" s="216"/>
      <c r="E8" s="218"/>
      <c r="F8" s="230">
        <v>9</v>
      </c>
      <c r="G8" s="231" t="s">
        <v>12</v>
      </c>
      <c r="H8" s="229" t="s">
        <v>412</v>
      </c>
      <c r="I8" s="749"/>
      <c r="J8" s="213" t="str">
        <f>+'3'!J8</f>
        <v>F 15 VP OW</v>
      </c>
      <c r="K8" s="238">
        <f>+C7+C16</f>
        <v>22475</v>
      </c>
      <c r="L8" s="238"/>
      <c r="M8" s="116">
        <f>+K8+'3'!M8+L8</f>
        <v>95546</v>
      </c>
      <c r="R8" s="148">
        <f t="shared" si="0"/>
        <v>0</v>
      </c>
      <c r="S8" s="148">
        <f t="shared" si="1"/>
        <v>0</v>
      </c>
    </row>
    <row r="9" spans="1:19" ht="13.5" thickBot="1">
      <c r="A9" s="746"/>
      <c r="B9" s="214"/>
      <c r="C9" s="215"/>
      <c r="D9" s="216"/>
      <c r="E9" s="219"/>
      <c r="F9" s="227">
        <v>9</v>
      </c>
      <c r="G9" s="231" t="s">
        <v>12</v>
      </c>
      <c r="H9" s="232" t="s">
        <v>406</v>
      </c>
      <c r="I9" s="749"/>
      <c r="J9" s="213">
        <f>+'3'!J9</f>
        <v>0</v>
      </c>
      <c r="K9" s="238"/>
      <c r="L9" s="238"/>
      <c r="M9" s="116">
        <f>+K9+'3'!M9+L9</f>
        <v>0</v>
      </c>
      <c r="R9" s="148">
        <f t="shared" si="0"/>
        <v>0</v>
      </c>
      <c r="S9" s="148">
        <f t="shared" si="1"/>
        <v>0</v>
      </c>
    </row>
    <row r="10" spans="1:19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681</v>
      </c>
      <c r="I10" s="749"/>
      <c r="J10" s="213">
        <f>+'3'!J10</f>
        <v>0</v>
      </c>
      <c r="K10" s="238"/>
      <c r="L10" s="238"/>
      <c r="M10" s="116">
        <f>+K10+'3'!M10+L10</f>
        <v>0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13.5" thickBot="1">
      <c r="A11" s="746"/>
      <c r="B11" s="214"/>
      <c r="C11" s="215"/>
      <c r="D11" s="216"/>
      <c r="E11" s="218"/>
      <c r="F11" s="227"/>
      <c r="G11" s="231"/>
      <c r="H11" s="232"/>
      <c r="I11" s="749"/>
      <c r="J11" s="213">
        <f>+'3'!J11</f>
        <v>0</v>
      </c>
      <c r="K11" s="238"/>
      <c r="L11" s="238"/>
      <c r="M11" s="116">
        <f>+K11+'3'!M11+L11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+'3'!J12</f>
        <v>0</v>
      </c>
      <c r="K12" s="238"/>
      <c r="L12" s="238"/>
      <c r="M12" s="116">
        <f>+K12+'3'!M12+L12</f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+'3'!J13</f>
        <v>0</v>
      </c>
      <c r="K13" s="238"/>
      <c r="L13" s="238"/>
      <c r="M13" s="116">
        <f>+K13+'3'!M13+L13</f>
        <v>0</v>
      </c>
    </row>
    <row r="14" spans="1:19" ht="13.5" thickBot="1">
      <c r="A14" s="747"/>
      <c r="B14" s="164" t="s">
        <v>2</v>
      </c>
      <c r="C14" s="98">
        <f>SUM(C7:C13)</f>
        <v>14295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>
        <f>+'3'!J14</f>
        <v>0</v>
      </c>
      <c r="K14" s="238"/>
      <c r="L14" s="238"/>
      <c r="M14" s="116">
        <f>+K14+'3'!M14+L14</f>
        <v>0</v>
      </c>
      <c r="Q14" s="175">
        <f>SUM(Q6:Q11)</f>
        <v>480</v>
      </c>
      <c r="R14" s="175">
        <f>SUM(R6:R11)</f>
        <v>523200</v>
      </c>
      <c r="S14" s="175">
        <f>SUM(S6:S11)</f>
        <v>397632.00000000006</v>
      </c>
    </row>
    <row r="15" spans="1:19" ht="13.5" customHeight="1" thickBot="1">
      <c r="A15" s="745" t="s">
        <v>389</v>
      </c>
      <c r="B15" s="164"/>
      <c r="C15" s="112">
        <f>C14/($C$23+$D$23+$E$23)</f>
        <v>0.96023376099952984</v>
      </c>
      <c r="D15" s="113">
        <f>D14/($C$23+$D$23+$E$23)</f>
        <v>0</v>
      </c>
      <c r="E15" s="114">
        <f>E14/($C$23+$D$23+$E$23)</f>
        <v>0</v>
      </c>
      <c r="F15" s="227">
        <v>9</v>
      </c>
      <c r="G15" s="228" t="s">
        <v>12</v>
      </c>
      <c r="H15" s="229" t="s">
        <v>423</v>
      </c>
      <c r="I15" s="748" t="s">
        <v>680</v>
      </c>
      <c r="J15" s="213">
        <f>+'3'!J15</f>
        <v>0</v>
      </c>
      <c r="K15" s="238"/>
      <c r="L15" s="238"/>
      <c r="M15" s="116">
        <f>+K15+'3'!M15+L15</f>
        <v>0</v>
      </c>
      <c r="R15" s="175">
        <f>+R14/Q14</f>
        <v>1090</v>
      </c>
      <c r="S15" s="175">
        <f>+S14/Q14</f>
        <v>828.40000000000009</v>
      </c>
    </row>
    <row r="16" spans="1:19" ht="13.5" thickBot="1">
      <c r="A16" s="751"/>
      <c r="B16" s="214" t="s">
        <v>430</v>
      </c>
      <c r="C16" s="221">
        <v>8180</v>
      </c>
      <c r="D16" s="222"/>
      <c r="E16" s="223"/>
      <c r="F16" s="230"/>
      <c r="G16" s="231" t="s">
        <v>12</v>
      </c>
      <c r="H16" s="229" t="s">
        <v>284</v>
      </c>
      <c r="I16" s="749"/>
      <c r="J16" s="213">
        <f>+'3'!J16</f>
        <v>0</v>
      </c>
      <c r="K16" s="228"/>
      <c r="L16" s="228"/>
      <c r="M16" s="116">
        <f>+K16+'3'!M16+L16</f>
        <v>0</v>
      </c>
      <c r="Q16" s="175"/>
      <c r="R16" s="175"/>
    </row>
    <row r="17" spans="1:26" ht="13.5" thickBot="1">
      <c r="A17" s="751"/>
      <c r="B17" s="214" t="s">
        <v>409</v>
      </c>
      <c r="C17" s="215">
        <f>3089+3618</f>
        <v>6707</v>
      </c>
      <c r="D17" s="216"/>
      <c r="E17" s="224"/>
      <c r="F17" s="227">
        <f>28-9</f>
        <v>19</v>
      </c>
      <c r="G17" s="231" t="s">
        <v>12</v>
      </c>
      <c r="H17" s="232" t="s">
        <v>406</v>
      </c>
      <c r="I17" s="749"/>
      <c r="J17" s="213">
        <f>+'3'!J17</f>
        <v>0</v>
      </c>
      <c r="K17" s="228"/>
      <c r="L17" s="228"/>
      <c r="M17" s="116">
        <f>+K17+'3'!M17+L17</f>
        <v>0</v>
      </c>
      <c r="N17" s="148" t="s">
        <v>420</v>
      </c>
      <c r="O17" s="148">
        <v>1090</v>
      </c>
      <c r="P17" s="148">
        <f>+O17-O17*0.24</f>
        <v>828.40000000000009</v>
      </c>
      <c r="Q17" s="148">
        <f>60*2+30</f>
        <v>150</v>
      </c>
      <c r="R17" s="148">
        <f t="shared" ref="R17:R22" si="2">+O17*Q17</f>
        <v>163500</v>
      </c>
      <c r="S17" s="148">
        <f t="shared" ref="S17:S22" si="3">+P17*Q17</f>
        <v>124260.00000000001</v>
      </c>
    </row>
    <row r="18" spans="1:26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682</v>
      </c>
      <c r="I18" s="749"/>
      <c r="J18" s="213">
        <f>+'3'!J18</f>
        <v>0</v>
      </c>
      <c r="K18" s="238"/>
      <c r="L18" s="238"/>
      <c r="M18" s="116">
        <f>+K18+'3'!M18+L18</f>
        <v>0</v>
      </c>
      <c r="N18" s="148" t="s">
        <v>403</v>
      </c>
      <c r="O18" s="148">
        <v>1120</v>
      </c>
      <c r="P18" s="148">
        <f>+O18-O18*0.24</f>
        <v>851.2</v>
      </c>
      <c r="Q18" s="148">
        <f>480-Q17</f>
        <v>330</v>
      </c>
      <c r="R18" s="148">
        <f t="shared" si="2"/>
        <v>369600</v>
      </c>
      <c r="S18" s="148">
        <f t="shared" si="3"/>
        <v>280896</v>
      </c>
    </row>
    <row r="19" spans="1:26" ht="13.5" thickBot="1">
      <c r="A19" s="751"/>
      <c r="B19" s="214"/>
      <c r="C19" s="215"/>
      <c r="D19" s="216"/>
      <c r="E19" s="224"/>
      <c r="F19" s="234"/>
      <c r="G19" s="231"/>
      <c r="H19" s="232" t="s">
        <v>683</v>
      </c>
      <c r="I19" s="749"/>
      <c r="J19" s="213">
        <f>+'3'!J19</f>
        <v>0</v>
      </c>
      <c r="K19" s="238"/>
      <c r="L19" s="238"/>
      <c r="M19" s="116">
        <f>+K19+'3'!M19+L19</f>
        <v>0</v>
      </c>
      <c r="R19" s="148">
        <f t="shared" si="2"/>
        <v>0</v>
      </c>
      <c r="S19" s="148">
        <f t="shared" si="3"/>
        <v>0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+'3'!J20</f>
        <v>0</v>
      </c>
      <c r="K20" s="239"/>
      <c r="L20" s="239"/>
      <c r="M20" s="116">
        <f>+K20+'3'!M20+L20</f>
        <v>0</v>
      </c>
      <c r="R20" s="148">
        <f t="shared" si="2"/>
        <v>0</v>
      </c>
      <c r="S20" s="148">
        <f t="shared" si="3"/>
        <v>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+'3'!J21</f>
        <v>0</v>
      </c>
      <c r="K21" s="238"/>
      <c r="L21" s="238"/>
      <c r="M21" s="116">
        <f>+K21+'3'!M21+L21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+'3'!J22</f>
        <v>0</v>
      </c>
      <c r="K22" s="238"/>
      <c r="L22" s="238"/>
      <c r="M22" s="116">
        <f>+K22+'3'!M22+L22</f>
        <v>0</v>
      </c>
      <c r="P22" s="148">
        <f>+O22-(O22*0.23)</f>
        <v>0</v>
      </c>
      <c r="R22" s="148">
        <f t="shared" si="2"/>
        <v>0</v>
      </c>
      <c r="S22" s="148">
        <f t="shared" si="3"/>
        <v>0</v>
      </c>
    </row>
    <row r="23" spans="1:26" ht="13.5" thickBot="1">
      <c r="A23" s="752"/>
      <c r="B23" s="167" t="s">
        <v>2</v>
      </c>
      <c r="C23" s="99">
        <f>SUM(C16:C22)</f>
        <v>14887</v>
      </c>
      <c r="D23" s="110">
        <f>SUM(D16:D22)</f>
        <v>0</v>
      </c>
      <c r="E23" s="111">
        <f>SUM(E18:E22)</f>
        <v>0</v>
      </c>
      <c r="F23" s="115">
        <f>SUM(F15:F22)</f>
        <v>28</v>
      </c>
      <c r="G23" s="158"/>
      <c r="H23" s="165"/>
      <c r="I23" s="168"/>
      <c r="J23" s="213">
        <f>+'3'!J23</f>
        <v>0</v>
      </c>
      <c r="K23" s="238"/>
      <c r="L23" s="238"/>
      <c r="M23" s="116">
        <f>+K23+'3'!M23+L23</f>
        <v>0</v>
      </c>
    </row>
    <row r="24" spans="1:26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12</v>
      </c>
      <c r="G24" s="228" t="s">
        <v>12</v>
      </c>
      <c r="H24" s="229" t="s">
        <v>423</v>
      </c>
      <c r="I24" s="748" t="s">
        <v>478</v>
      </c>
      <c r="J24" s="213">
        <f>+'3'!J24</f>
        <v>0</v>
      </c>
      <c r="K24" s="238"/>
      <c r="L24" s="238"/>
      <c r="M24" s="116">
        <f>+K24+'3'!M24+L24</f>
        <v>0</v>
      </c>
    </row>
    <row r="25" spans="1:26" ht="13.5" thickBot="1">
      <c r="A25" s="751"/>
      <c r="B25" s="214" t="s">
        <v>409</v>
      </c>
      <c r="C25" s="225">
        <v>10980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+'3'!J25</f>
        <v>0</v>
      </c>
      <c r="K25" s="238"/>
      <c r="L25" s="238"/>
      <c r="M25" s="116">
        <f>+K25+'3'!M25+L25</f>
        <v>0</v>
      </c>
      <c r="Q25" s="175">
        <f>SUM(Q17:Q22)</f>
        <v>480</v>
      </c>
      <c r="R25" s="175">
        <f>SUM(R17:R22)</f>
        <v>533100</v>
      </c>
      <c r="S25" s="175">
        <f>SUM(S17:S22)</f>
        <v>405156</v>
      </c>
    </row>
    <row r="26" spans="1:26" ht="13.5" thickBot="1">
      <c r="A26" s="751"/>
      <c r="B26" s="214"/>
      <c r="C26" s="225"/>
      <c r="D26" s="216"/>
      <c r="E26" s="226"/>
      <c r="F26" s="227">
        <v>19</v>
      </c>
      <c r="G26" s="231" t="s">
        <v>12</v>
      </c>
      <c r="H26" s="232" t="s">
        <v>406</v>
      </c>
      <c r="I26" s="749"/>
      <c r="J26" s="213">
        <f>+'3'!J26</f>
        <v>0</v>
      </c>
      <c r="K26" s="238"/>
      <c r="L26" s="238"/>
      <c r="M26" s="116">
        <f>+K26+'3'!M26+L26</f>
        <v>0</v>
      </c>
      <c r="R26" s="175">
        <f>+R25/Q25</f>
        <v>1110.625</v>
      </c>
      <c r="S26" s="175">
        <f>+S25/Q25</f>
        <v>844.07500000000005</v>
      </c>
    </row>
    <row r="27" spans="1:26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684</v>
      </c>
      <c r="I27" s="749"/>
      <c r="J27" s="213">
        <f>+'3'!J27</f>
        <v>0</v>
      </c>
      <c r="K27" s="238"/>
      <c r="L27" s="238"/>
      <c r="M27" s="116">
        <f>+K27+'3'!M27+L27</f>
        <v>0</v>
      </c>
      <c r="N27" s="148" t="s">
        <v>403</v>
      </c>
      <c r="O27" s="148">
        <v>1100</v>
      </c>
      <c r="P27" s="148">
        <f>+O27-O27*0.24</f>
        <v>836</v>
      </c>
      <c r="Q27" s="148">
        <v>480</v>
      </c>
      <c r="R27" s="148">
        <f t="shared" ref="R27:R32" si="4">+O27*Q27</f>
        <v>528000</v>
      </c>
      <c r="S27" s="148">
        <f t="shared" ref="S27:S32" si="5">+P27*Q27</f>
        <v>401280</v>
      </c>
      <c r="U27" s="148" t="s">
        <v>403</v>
      </c>
      <c r="V27" s="148">
        <v>1120</v>
      </c>
      <c r="W27" s="148">
        <v>851.2</v>
      </c>
      <c r="X27" s="148">
        <v>330</v>
      </c>
      <c r="Y27" s="148">
        <f t="shared" ref="Y27:Y32" si="6">+V27*X27</f>
        <v>369600</v>
      </c>
      <c r="Z27" s="148">
        <f t="shared" ref="Z27:Z32" si="7">+W27*X27</f>
        <v>280896</v>
      </c>
    </row>
    <row r="28" spans="1:26" ht="134.25" customHeight="1" thickBot="1">
      <c r="A28" s="751"/>
      <c r="B28" s="214"/>
      <c r="C28" s="215"/>
      <c r="D28" s="216"/>
      <c r="E28" s="224"/>
      <c r="F28" s="230"/>
      <c r="G28" s="231"/>
      <c r="H28" s="232" t="s">
        <v>439</v>
      </c>
      <c r="I28" s="749"/>
      <c r="J28" s="213">
        <f>+'3'!J28</f>
        <v>0</v>
      </c>
      <c r="K28" s="238"/>
      <c r="L28" s="238"/>
      <c r="M28" s="116">
        <f>+K28+'3'!M28+L28</f>
        <v>0</v>
      </c>
      <c r="R28" s="148">
        <f t="shared" si="4"/>
        <v>0</v>
      </c>
      <c r="S28" s="148">
        <f t="shared" si="5"/>
        <v>0</v>
      </c>
      <c r="U28" s="148" t="s">
        <v>403</v>
      </c>
      <c r="V28" s="148">
        <v>1100</v>
      </c>
      <c r="W28" s="148">
        <v>836</v>
      </c>
      <c r="X28" s="148">
        <v>480</v>
      </c>
      <c r="Y28" s="148">
        <f t="shared" si="6"/>
        <v>528000</v>
      </c>
      <c r="Z28" s="148">
        <f t="shared" si="7"/>
        <v>401280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+'3'!J29</f>
        <v>0</v>
      </c>
      <c r="K29" s="238"/>
      <c r="L29" s="238"/>
      <c r="M29" s="116">
        <f>+K29+'3'!M29+L29</f>
        <v>0</v>
      </c>
      <c r="R29" s="148">
        <f t="shared" si="4"/>
        <v>0</v>
      </c>
      <c r="S29" s="148">
        <f t="shared" si="5"/>
        <v>0</v>
      </c>
      <c r="Y29" s="148">
        <f t="shared" si="6"/>
        <v>0</v>
      </c>
      <c r="Z29" s="148">
        <f t="shared" si="7"/>
        <v>0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+'3'!J30</f>
        <v>0</v>
      </c>
      <c r="K30" s="238"/>
      <c r="L30" s="238"/>
      <c r="M30" s="116">
        <f>+K30+'3'!M30+L30</f>
        <v>0</v>
      </c>
      <c r="R30" s="148">
        <f t="shared" si="4"/>
        <v>0</v>
      </c>
      <c r="S30" s="148">
        <f t="shared" si="5"/>
        <v>0</v>
      </c>
      <c r="Y30" s="148">
        <f t="shared" si="6"/>
        <v>0</v>
      </c>
      <c r="Z30" s="148">
        <f t="shared" si="7"/>
        <v>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+'3'!J31</f>
        <v>0</v>
      </c>
      <c r="K31" s="238"/>
      <c r="L31" s="238"/>
      <c r="M31" s="116">
        <f>+K31+'3'!M31+L31</f>
        <v>0</v>
      </c>
      <c r="P31" s="148">
        <f>+O31-(O31*0.23)</f>
        <v>0</v>
      </c>
      <c r="R31" s="148">
        <f t="shared" si="4"/>
        <v>0</v>
      </c>
      <c r="S31" s="148">
        <f t="shared" si="5"/>
        <v>0</v>
      </c>
      <c r="W31" s="148">
        <f>+V31-(V31*0.23)</f>
        <v>0</v>
      </c>
      <c r="Y31" s="148">
        <f t="shared" si="6"/>
        <v>0</v>
      </c>
      <c r="Z31" s="148">
        <f t="shared" si="7"/>
        <v>0</v>
      </c>
    </row>
    <row r="32" spans="1:26" ht="13.5" thickBot="1">
      <c r="A32" s="752"/>
      <c r="B32" s="164" t="s">
        <v>2</v>
      </c>
      <c r="C32" s="98">
        <f>SUM(C25:C31)</f>
        <v>10980</v>
      </c>
      <c r="D32" s="99">
        <f>SUM(D25:D31)</f>
        <v>0</v>
      </c>
      <c r="E32" s="100">
        <f>SUM(E25:E31)</f>
        <v>0</v>
      </c>
      <c r="F32" s="101">
        <f>SUM(F24:F31)</f>
        <v>31</v>
      </c>
      <c r="G32" s="170"/>
      <c r="H32" s="171"/>
      <c r="I32" s="168"/>
      <c r="J32" s="213">
        <f>+'3'!J32</f>
        <v>0</v>
      </c>
      <c r="K32" s="240"/>
      <c r="L32" s="242"/>
      <c r="M32" s="116">
        <f>+K32+'3'!M32+L32</f>
        <v>0</v>
      </c>
      <c r="P32" s="148">
        <f>+O32-(O32*0.23)</f>
        <v>0</v>
      </c>
      <c r="R32" s="148">
        <f t="shared" si="4"/>
        <v>0</v>
      </c>
      <c r="S32" s="148">
        <f t="shared" si="5"/>
        <v>0</v>
      </c>
      <c r="W32" s="148">
        <f>+V32-(V32*0.23)</f>
        <v>0</v>
      </c>
      <c r="Y32" s="148">
        <f t="shared" si="6"/>
        <v>0</v>
      </c>
      <c r="Z32" s="148">
        <f t="shared" si="7"/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3" t="s">
        <v>57</v>
      </c>
      <c r="B34" s="754"/>
      <c r="C34" s="106">
        <f>C14+C23+C32</f>
        <v>40162</v>
      </c>
      <c r="D34" s="106">
        <f>D14+D23+D32</f>
        <v>0</v>
      </c>
      <c r="E34" s="106">
        <f>E14+E23+E32</f>
        <v>0</v>
      </c>
      <c r="F34" s="107">
        <f>F14+F23+F32</f>
        <v>77</v>
      </c>
      <c r="H34" s="177"/>
      <c r="I34" s="177"/>
      <c r="J34" s="122" t="s">
        <v>28</v>
      </c>
      <c r="K34" s="123">
        <f>SUM(K7:K32)</f>
        <v>40162</v>
      </c>
      <c r="L34" s="211">
        <f>SUM(L7:L32)</f>
        <v>0</v>
      </c>
      <c r="M34" s="119">
        <f>SUM(M7:M32)</f>
        <v>147781</v>
      </c>
    </row>
    <row r="35" spans="1:26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528000</v>
      </c>
      <c r="S35" s="175">
        <f>SUM(S27:S32)</f>
        <v>401280</v>
      </c>
      <c r="X35" s="175">
        <f>SUM(X27:X32)</f>
        <v>810</v>
      </c>
      <c r="Y35" s="175">
        <f>SUM(Y27:Y32)</f>
        <v>897600</v>
      </c>
      <c r="Z35" s="175">
        <f>SUM(Z27:Z32)</f>
        <v>682176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1100</v>
      </c>
      <c r="S36" s="175">
        <f>+S35/Q35</f>
        <v>836</v>
      </c>
      <c r="Y36" s="175">
        <f>+Y35/X35</f>
        <v>1108.148148148148</v>
      </c>
      <c r="Z36" s="175">
        <f>+Z35/X35</f>
        <v>842.19259259259263</v>
      </c>
    </row>
    <row r="37" spans="1:26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(15*630+14*810)/1440*G42*2.74*1440/1000000</f>
        <v>47.631424995000003</v>
      </c>
      <c r="J37" s="124">
        <f>+I37+'3'!J37</f>
        <v>175.24454119500004</v>
      </c>
      <c r="K37" s="125" t="s">
        <v>63</v>
      </c>
    </row>
    <row r="38" spans="1:26" ht="17.45" customHeight="1">
      <c r="A38" s="757" t="s">
        <v>12</v>
      </c>
      <c r="B38" s="758"/>
      <c r="C38" s="163">
        <f>SUMIF($G$7:$G$31,"Process",$F$7:$F$31)</f>
        <v>77</v>
      </c>
      <c r="D38" s="117">
        <f>+C38+'3'!D38</f>
        <v>251</v>
      </c>
      <c r="E38" s="142">
        <f t="shared" ref="E38:E51" si="8">D38/60</f>
        <v>4.1833333333333336</v>
      </c>
      <c r="F38" s="321">
        <v>1090</v>
      </c>
      <c r="G38" s="321">
        <v>828.40000000000009</v>
      </c>
      <c r="H38" s="186" t="s">
        <v>64</v>
      </c>
      <c r="I38" s="244">
        <f>15.552+5.299+9.5+13.796</f>
        <v>44.146999999999998</v>
      </c>
      <c r="J38" s="126">
        <f>+I38+'3'!J38</f>
        <v>157.07599999999999</v>
      </c>
      <c r="K38" s="127" t="s">
        <v>63</v>
      </c>
      <c r="N38" s="148" t="s">
        <v>420</v>
      </c>
      <c r="O38" s="148">
        <v>1090</v>
      </c>
      <c r="P38" s="148">
        <v>828.40000000000009</v>
      </c>
      <c r="Q38" s="148">
        <f>480+150</f>
        <v>630</v>
      </c>
    </row>
    <row r="39" spans="1:26" ht="17.45" customHeight="1">
      <c r="A39" s="759" t="s">
        <v>13</v>
      </c>
      <c r="B39" s="760"/>
      <c r="C39" s="163">
        <f>SUMIF($G$7:$G$31,"Cleaning",$F$7:$F$31)</f>
        <v>0</v>
      </c>
      <c r="D39" s="117">
        <f>+C39+'3'!D39</f>
        <v>0</v>
      </c>
      <c r="E39" s="142">
        <f t="shared" si="8"/>
        <v>0</v>
      </c>
      <c r="F39" s="321">
        <v>1110.625</v>
      </c>
      <c r="G39" s="321">
        <v>844.07500000000005</v>
      </c>
      <c r="H39" s="186" t="s">
        <v>65</v>
      </c>
      <c r="I39" s="141"/>
      <c r="J39" s="128">
        <f>J37/G4</f>
        <v>43.81113529875001</v>
      </c>
      <c r="K39" s="129" t="s">
        <v>63</v>
      </c>
      <c r="N39" s="148" t="s">
        <v>403</v>
      </c>
      <c r="O39" s="148">
        <v>1108.148148148148</v>
      </c>
      <c r="P39" s="148">
        <v>842.19259259259263</v>
      </c>
      <c r="Q39" s="148">
        <v>810</v>
      </c>
    </row>
    <row r="40" spans="1:26" ht="17.45" customHeight="1">
      <c r="A40" s="759" t="s">
        <v>66</v>
      </c>
      <c r="B40" s="760"/>
      <c r="C40" s="163">
        <f>SUMIF($G$7:$G$31,"Mechanical",$F$7:$F$31)</f>
        <v>0</v>
      </c>
      <c r="D40" s="117">
        <f>+C40+'3'!D40</f>
        <v>481</v>
      </c>
      <c r="E40" s="142">
        <f t="shared" si="8"/>
        <v>8.0166666666666675</v>
      </c>
      <c r="F40" s="321">
        <v>1100</v>
      </c>
      <c r="G40" s="321">
        <v>836</v>
      </c>
      <c r="H40" s="186" t="s">
        <v>67</v>
      </c>
      <c r="I40" s="117">
        <f>(K34+L34)/1000</f>
        <v>40.161999999999999</v>
      </c>
      <c r="J40" s="130">
        <f>+I40+'3'!J40</f>
        <v>147.78100000000001</v>
      </c>
      <c r="K40" s="129" t="s">
        <v>63</v>
      </c>
      <c r="Q40" s="148">
        <f>+Q38+Q39</f>
        <v>1440</v>
      </c>
    </row>
    <row r="41" spans="1:26" ht="17.45" customHeight="1">
      <c r="A41" s="759" t="s">
        <v>68</v>
      </c>
      <c r="B41" s="760"/>
      <c r="C41" s="163">
        <f>SUMIF($G$7:$G$31,"Electrical",$F$7:$F$31)</f>
        <v>0</v>
      </c>
      <c r="D41" s="117">
        <f>+C41+'3'!D41</f>
        <v>84</v>
      </c>
      <c r="E41" s="142">
        <f t="shared" si="8"/>
        <v>1.4</v>
      </c>
      <c r="F41" s="321"/>
      <c r="G41" s="321"/>
      <c r="H41" s="186" t="s">
        <v>69</v>
      </c>
      <c r="I41" s="141"/>
      <c r="J41" s="128">
        <f>J40/G4</f>
        <v>36.945250000000001</v>
      </c>
      <c r="K41" s="129" t="s">
        <v>63</v>
      </c>
    </row>
    <row r="42" spans="1:26" ht="17.45" customHeight="1">
      <c r="A42" s="759" t="s">
        <v>16</v>
      </c>
      <c r="B42" s="760"/>
      <c r="C42" s="163">
        <f>SUMIF($G$7:$G$31,"Instrument",$F$7:$F$31)</f>
        <v>0</v>
      </c>
      <c r="D42" s="117">
        <f>+C42+'3'!D42</f>
        <v>0</v>
      </c>
      <c r="E42" s="142">
        <f t="shared" si="8"/>
        <v>0</v>
      </c>
      <c r="F42" s="321">
        <f>+(480*F38+480*F39+480*F40)/1440</f>
        <v>1100.2083333333333</v>
      </c>
      <c r="G42" s="321">
        <f>+(480*G38+480*G39+480*G40)/1440</f>
        <v>836.1583333333333</v>
      </c>
      <c r="H42" s="186" t="s">
        <v>70</v>
      </c>
      <c r="I42" s="245" t="s">
        <v>441</v>
      </c>
      <c r="J42" s="131"/>
      <c r="K42" s="129" t="s">
        <v>71</v>
      </c>
    </row>
    <row r="43" spans="1:26" ht="17.45" customHeight="1">
      <c r="A43" s="759" t="s">
        <v>220</v>
      </c>
      <c r="B43" s="760"/>
      <c r="C43" s="163">
        <f>SUMIF($G$7:$G$31,"Change Grade",$F$7:$F$31)</f>
        <v>0</v>
      </c>
      <c r="D43" s="117">
        <f>+C43+'3'!D43</f>
        <v>0</v>
      </c>
      <c r="E43" s="142">
        <f t="shared" si="8"/>
        <v>0</v>
      </c>
      <c r="F43" s="321"/>
      <c r="G43" s="322"/>
      <c r="H43" s="187" t="s">
        <v>73</v>
      </c>
      <c r="I43" s="117">
        <f>+Report1!Z12</f>
        <v>51.8</v>
      </c>
      <c r="J43" s="132">
        <f>+I43+'3'!J43</f>
        <v>194.5</v>
      </c>
      <c r="K43" s="129" t="s">
        <v>63</v>
      </c>
      <c r="L43" s="188"/>
    </row>
    <row r="44" spans="1:26" ht="17.45" customHeight="1">
      <c r="A44" s="759" t="s">
        <v>17</v>
      </c>
      <c r="B44" s="760"/>
      <c r="C44" s="163">
        <f>SUMIF($G$7:$G$31,"PLN",$F$7:$F$31)</f>
        <v>0</v>
      </c>
      <c r="D44" s="117">
        <f>+C44+'3'!D44</f>
        <v>0</v>
      </c>
      <c r="E44" s="142">
        <f t="shared" si="8"/>
        <v>0</v>
      </c>
      <c r="F44" s="321"/>
      <c r="G44" s="322"/>
      <c r="H44" s="187" t="s">
        <v>74</v>
      </c>
      <c r="I44" s="117">
        <f>+Report1!Z12</f>
        <v>51.8</v>
      </c>
      <c r="J44" s="133">
        <f>J43/J38</f>
        <v>1.2382540935598054</v>
      </c>
      <c r="K44" s="129" t="s">
        <v>63</v>
      </c>
    </row>
    <row r="45" spans="1:26" ht="17.45" customHeight="1">
      <c r="A45" s="759" t="s">
        <v>18</v>
      </c>
      <c r="B45" s="760"/>
      <c r="C45" s="163">
        <f>SUMIF($G$7:$G$31,"Boiler",$F$7:$F$31)</f>
        <v>0</v>
      </c>
      <c r="D45" s="117">
        <f>+C45+'3'!D45</f>
        <v>0</v>
      </c>
      <c r="E45" s="142">
        <f t="shared" si="8"/>
        <v>0</v>
      </c>
      <c r="F45" s="321"/>
      <c r="G45" s="324"/>
      <c r="H45" s="187" t="s">
        <v>75</v>
      </c>
      <c r="I45" s="117">
        <f>I43/I40</f>
        <v>1.2897764055574921</v>
      </c>
      <c r="J45" s="133">
        <f>J43/J40</f>
        <v>1.3161367158159709</v>
      </c>
      <c r="K45" s="129" t="s">
        <v>63</v>
      </c>
    </row>
    <row r="46" spans="1:26" ht="17.45" customHeight="1">
      <c r="A46" s="759" t="s">
        <v>285</v>
      </c>
      <c r="B46" s="760"/>
      <c r="C46" s="163">
        <f>SUMIF($G$7:$G$31,"Sinergy",$F$7:$F$31)</f>
        <v>0</v>
      </c>
      <c r="D46" s="117">
        <f>+C46+'3'!D46</f>
        <v>0</v>
      </c>
      <c r="E46" s="142">
        <f t="shared" si="8"/>
        <v>0</v>
      </c>
      <c r="F46" s="321"/>
      <c r="G46" s="322"/>
      <c r="H46" s="187" t="s">
        <v>77</v>
      </c>
      <c r="I46" s="139">
        <f>+SUMIF(Listrik!P11,"&gt;0")</f>
        <v>32531.520000001452</v>
      </c>
      <c r="J46" s="134">
        <f>+I46+'3'!J46</f>
        <v>144202.92000000001</v>
      </c>
      <c r="K46" s="129" t="s">
        <v>78</v>
      </c>
    </row>
    <row r="47" spans="1:26" ht="17.45" customHeight="1">
      <c r="A47" s="759" t="s">
        <v>79</v>
      </c>
      <c r="B47" s="760"/>
      <c r="C47" s="163">
        <f>SUMIF($G$7:$G$31,"Gas",$F$7:$F$31)</f>
        <v>0</v>
      </c>
      <c r="D47" s="117">
        <f>+C47+'3'!D47</f>
        <v>0</v>
      </c>
      <c r="E47" s="142">
        <f t="shared" si="8"/>
        <v>0</v>
      </c>
      <c r="F47" s="321"/>
      <c r="G47" s="322"/>
      <c r="H47" s="187" t="s">
        <v>80</v>
      </c>
      <c r="I47" s="117">
        <f>I46/I38</f>
        <v>736.89084195984901</v>
      </c>
      <c r="J47" s="134">
        <f>J46/J38</f>
        <v>918.04553209911137</v>
      </c>
      <c r="K47" s="129" t="s">
        <v>24</v>
      </c>
    </row>
    <row r="48" spans="1:26" ht="17.45" customHeight="1">
      <c r="A48" s="759" t="s">
        <v>14</v>
      </c>
      <c r="B48" s="760"/>
      <c r="C48" s="163">
        <f>SUMIF($G$7:$G$31,"Start Up",$F$7:$F$31)</f>
        <v>0</v>
      </c>
      <c r="D48" s="117">
        <f>+C48+'3'!D48</f>
        <v>0</v>
      </c>
      <c r="E48" s="142">
        <f t="shared" si="8"/>
        <v>0</v>
      </c>
      <c r="F48" s="321"/>
      <c r="G48" s="322"/>
      <c r="H48" s="187" t="s">
        <v>81</v>
      </c>
      <c r="I48" s="117">
        <f>I46/I40</f>
        <v>810.00746974755873</v>
      </c>
      <c r="J48" s="134">
        <f>J46/J40</f>
        <v>975.7879565032041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+C49+'3'!D49</f>
        <v>0</v>
      </c>
      <c r="E49" s="142">
        <f t="shared" si="8"/>
        <v>0</v>
      </c>
      <c r="F49" s="184"/>
      <c r="H49" s="187" t="s">
        <v>268</v>
      </c>
      <c r="I49" s="117">
        <f>+Report1!T12</f>
        <v>4821.1627413773858</v>
      </c>
      <c r="J49" s="134">
        <f>+I49+'3'!J49</f>
        <v>17273.081251591702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+C50+'3'!D50</f>
        <v>0</v>
      </c>
      <c r="E50" s="142">
        <f t="shared" si="8"/>
        <v>0</v>
      </c>
      <c r="F50" s="184"/>
      <c r="H50" s="187" t="s">
        <v>83</v>
      </c>
      <c r="I50" s="139">
        <f>I49/I38</f>
        <v>109.20702972744209</v>
      </c>
      <c r="J50" s="132">
        <f>J49/J38</f>
        <v>109.96639366670722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+C51+'3'!D51</f>
        <v>0</v>
      </c>
      <c r="E51" s="142">
        <f t="shared" si="8"/>
        <v>0</v>
      </c>
      <c r="F51" s="184"/>
      <c r="H51" s="189" t="s">
        <v>85</v>
      </c>
      <c r="I51" s="140">
        <f>I49/I40</f>
        <v>120.04289481045231</v>
      </c>
      <c r="J51" s="135">
        <f>J49/J40</f>
        <v>116.88296365291683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77</v>
      </c>
      <c r="D52" s="143">
        <f>SUM(D38:D51)</f>
        <v>816</v>
      </c>
      <c r="E52" s="144">
        <f>SUM(E38:E51)</f>
        <v>13.600000000000001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5.347222222222222E-2</v>
      </c>
      <c r="D53" s="145">
        <f>D52/(24*60*G4)</f>
        <v>0.14166666666666666</v>
      </c>
      <c r="E53" s="146">
        <f>E52/(G4*24)</f>
        <v>0.14166666666666669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+D34+'3'!J56</f>
        <v>692</v>
      </c>
      <c r="K56" s="200">
        <f>J56/(J40+J56/1000)/1000</f>
        <v>4.6607800744916583E-3</v>
      </c>
    </row>
    <row r="57" spans="1:11">
      <c r="A57" s="175"/>
      <c r="I57" s="198" t="s">
        <v>88</v>
      </c>
      <c r="J57" s="199">
        <f>+E34+'3'!J57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T61"/>
  <sheetViews>
    <sheetView view="pageBreakPreview" topLeftCell="D4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71093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20" ht="15.75">
      <c r="A1" s="147"/>
    </row>
    <row r="2" spans="1:20" ht="15.75">
      <c r="A2" s="147" t="s">
        <v>183</v>
      </c>
    </row>
    <row r="3" spans="1:20" ht="15">
      <c r="A3" s="149"/>
    </row>
    <row r="4" spans="1:20" ht="20.25">
      <c r="A4" s="150" t="s">
        <v>3</v>
      </c>
      <c r="B4" s="151"/>
      <c r="F4" s="152" t="s">
        <v>29</v>
      </c>
      <c r="G4" s="153">
        <v>3</v>
      </c>
      <c r="H4" s="153" t="str">
        <f>+'1'!H4</f>
        <v>.12.25</v>
      </c>
    </row>
    <row r="5" spans="1:20" ht="13.5" thickBot="1">
      <c r="C5" s="154"/>
      <c r="D5" s="154"/>
    </row>
    <row r="6" spans="1:20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</row>
    <row r="7" spans="1:20" ht="13.5" customHeight="1" thickBot="1">
      <c r="A7" s="745" t="s">
        <v>388</v>
      </c>
      <c r="B7" s="214" t="s">
        <v>430</v>
      </c>
      <c r="C7" s="215">
        <v>15054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676</v>
      </c>
      <c r="J7" s="213" t="str">
        <f>+'2'!J7</f>
        <v>F 14 VP OW</v>
      </c>
      <c r="K7" s="237"/>
      <c r="L7" s="241"/>
      <c r="M7" s="116">
        <f>+K7+'2'!M7+L7</f>
        <v>34548</v>
      </c>
      <c r="O7" s="148" t="s">
        <v>420</v>
      </c>
      <c r="P7" s="148">
        <v>1090</v>
      </c>
      <c r="Q7" s="148">
        <f>+P7-P7*0.24</f>
        <v>828.40000000000009</v>
      </c>
      <c r="R7" s="148">
        <v>480</v>
      </c>
      <c r="S7" s="148">
        <f t="shared" ref="S7:S12" si="0">+P7*R7</f>
        <v>523200</v>
      </c>
      <c r="T7" s="148">
        <f t="shared" ref="T7:T12" si="1">+Q7*R7</f>
        <v>397632.00000000006</v>
      </c>
    </row>
    <row r="8" spans="1:20" ht="13.5" thickBot="1">
      <c r="A8" s="746"/>
      <c r="B8" s="214"/>
      <c r="C8" s="215"/>
      <c r="D8" s="216"/>
      <c r="E8" s="218"/>
      <c r="F8" s="230"/>
      <c r="G8" s="231" t="s">
        <v>12</v>
      </c>
      <c r="H8" s="229" t="s">
        <v>284</v>
      </c>
      <c r="I8" s="749"/>
      <c r="J8" s="213" t="str">
        <f>+'2'!J8</f>
        <v>F 15 VP OW</v>
      </c>
      <c r="K8" s="238">
        <f>+C34</f>
        <v>41977</v>
      </c>
      <c r="L8" s="238"/>
      <c r="M8" s="116">
        <f>+K8+'2'!M8+L8</f>
        <v>73071</v>
      </c>
      <c r="O8" s="148" t="s">
        <v>420</v>
      </c>
      <c r="P8" s="148">
        <v>1090</v>
      </c>
      <c r="Q8" s="148">
        <f>+P8-P8*0.24</f>
        <v>828.40000000000009</v>
      </c>
      <c r="R8" s="148">
        <v>480</v>
      </c>
      <c r="S8" s="148">
        <f t="shared" si="0"/>
        <v>523200</v>
      </c>
      <c r="T8" s="148">
        <f t="shared" si="1"/>
        <v>397632.00000000006</v>
      </c>
    </row>
    <row r="9" spans="1:20" ht="13.5" thickBot="1">
      <c r="A9" s="746"/>
      <c r="B9" s="214"/>
      <c r="C9" s="215"/>
      <c r="D9" s="216"/>
      <c r="E9" s="219"/>
      <c r="F9" s="227">
        <f>22-9</f>
        <v>13</v>
      </c>
      <c r="G9" s="231" t="s">
        <v>12</v>
      </c>
      <c r="H9" s="232" t="s">
        <v>434</v>
      </c>
      <c r="I9" s="749"/>
      <c r="J9" s="213">
        <f>+'2'!J9</f>
        <v>0</v>
      </c>
      <c r="K9" s="238"/>
      <c r="L9" s="238"/>
      <c r="M9" s="116">
        <f>+K9+'2'!M9+L9</f>
        <v>0</v>
      </c>
      <c r="O9" s="148" t="s">
        <v>420</v>
      </c>
      <c r="P9" s="148">
        <v>1090</v>
      </c>
      <c r="Q9" s="148">
        <f>+P9-P9*0.24</f>
        <v>828.40000000000009</v>
      </c>
      <c r="R9" s="148">
        <v>480</v>
      </c>
      <c r="S9" s="148">
        <f t="shared" si="0"/>
        <v>523200</v>
      </c>
      <c r="T9" s="148">
        <f t="shared" si="1"/>
        <v>397632.00000000006</v>
      </c>
    </row>
    <row r="10" spans="1:20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677</v>
      </c>
      <c r="I10" s="749"/>
      <c r="J10" s="213">
        <f>+'2'!J10</f>
        <v>0</v>
      </c>
      <c r="K10" s="238"/>
      <c r="L10" s="238"/>
      <c r="M10" s="116">
        <f>+K10+'2'!M10+L10</f>
        <v>0</v>
      </c>
      <c r="S10" s="148">
        <f t="shared" si="0"/>
        <v>0</v>
      </c>
      <c r="T10" s="148">
        <f t="shared" si="1"/>
        <v>0</v>
      </c>
    </row>
    <row r="11" spans="1:20" ht="64.5" thickBot="1">
      <c r="A11" s="746"/>
      <c r="B11" s="214"/>
      <c r="C11" s="215"/>
      <c r="D11" s="216"/>
      <c r="E11" s="218"/>
      <c r="F11" s="227"/>
      <c r="G11" s="231"/>
      <c r="H11" s="232" t="s">
        <v>431</v>
      </c>
      <c r="I11" s="749"/>
      <c r="J11" s="213">
        <f>+'2'!J11</f>
        <v>0</v>
      </c>
      <c r="K11" s="238"/>
      <c r="L11" s="238"/>
      <c r="M11" s="116">
        <f>+K11+'2'!M11+L11</f>
        <v>0</v>
      </c>
      <c r="Q11" s="148">
        <f>+P11-(P11*0.23)</f>
        <v>0</v>
      </c>
      <c r="S11" s="148">
        <f t="shared" si="0"/>
        <v>0</v>
      </c>
      <c r="T11" s="148">
        <f t="shared" si="1"/>
        <v>0</v>
      </c>
    </row>
    <row r="12" spans="1:20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+'2'!J12</f>
        <v>0</v>
      </c>
      <c r="K12" s="238"/>
      <c r="L12" s="238"/>
      <c r="M12" s="116">
        <f>+K12+'2'!M12+L12</f>
        <v>0</v>
      </c>
      <c r="Q12" s="148">
        <f>+P12-(P12*0.23)</f>
        <v>0</v>
      </c>
      <c r="S12" s="148">
        <f t="shared" si="0"/>
        <v>0</v>
      </c>
      <c r="T12" s="148">
        <f t="shared" si="1"/>
        <v>0</v>
      </c>
    </row>
    <row r="13" spans="1:20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+'2'!J13</f>
        <v>0</v>
      </c>
      <c r="K13" s="238"/>
      <c r="L13" s="238"/>
      <c r="M13" s="116">
        <f>+K13+'2'!M13+L13</f>
        <v>0</v>
      </c>
    </row>
    <row r="14" spans="1:20" ht="13.5" thickBot="1">
      <c r="A14" s="747"/>
      <c r="B14" s="164" t="s">
        <v>2</v>
      </c>
      <c r="C14" s="98">
        <f>SUM(C7:C13)</f>
        <v>15054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+'2'!J14</f>
        <v>0</v>
      </c>
      <c r="K14" s="238"/>
      <c r="L14" s="238"/>
      <c r="M14" s="116">
        <f>+K14+'2'!M14+L14</f>
        <v>0</v>
      </c>
    </row>
    <row r="15" spans="1:20" ht="13.5" customHeight="1" thickBot="1">
      <c r="A15" s="745" t="s">
        <v>389</v>
      </c>
      <c r="B15" s="164"/>
      <c r="C15" s="112">
        <f>C14/($C$23+$D$23+$E$23)</f>
        <v>1.0304606749264151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676</v>
      </c>
      <c r="J15" s="213">
        <f>+'2'!J15</f>
        <v>0</v>
      </c>
      <c r="K15" s="238"/>
      <c r="L15" s="238"/>
      <c r="M15" s="116">
        <f>+K15+'2'!M15+L15</f>
        <v>0</v>
      </c>
      <c r="R15" s="175">
        <f>SUM(R7:R12)</f>
        <v>1440</v>
      </c>
      <c r="S15" s="175">
        <f>SUM(S7:S12)</f>
        <v>1569600</v>
      </c>
      <c r="T15" s="175">
        <f>SUM(T7:T12)</f>
        <v>1192896.0000000002</v>
      </c>
    </row>
    <row r="16" spans="1:20" ht="13.5" thickBot="1">
      <c r="A16" s="751"/>
      <c r="B16" s="214" t="s">
        <v>430</v>
      </c>
      <c r="C16" s="221">
        <v>14609</v>
      </c>
      <c r="D16" s="222"/>
      <c r="E16" s="223"/>
      <c r="F16" s="230">
        <v>10</v>
      </c>
      <c r="G16" s="231" t="s">
        <v>12</v>
      </c>
      <c r="H16" s="229" t="s">
        <v>435</v>
      </c>
      <c r="I16" s="749"/>
      <c r="J16" s="213">
        <f>+'2'!J16</f>
        <v>0</v>
      </c>
      <c r="K16" s="228"/>
      <c r="L16" s="228"/>
      <c r="M16" s="116">
        <f>+K16+'2'!M16+L16</f>
        <v>0</v>
      </c>
      <c r="S16" s="175">
        <f>+S15/R15</f>
        <v>1090</v>
      </c>
      <c r="T16" s="175">
        <f>+T15/R15</f>
        <v>828.4000000000002</v>
      </c>
    </row>
    <row r="17" spans="1:13" ht="13.5" thickBot="1">
      <c r="A17" s="751"/>
      <c r="B17" s="214"/>
      <c r="C17" s="215"/>
      <c r="D17" s="216"/>
      <c r="E17" s="224"/>
      <c r="F17" s="227">
        <v>8</v>
      </c>
      <c r="G17" s="231" t="s">
        <v>12</v>
      </c>
      <c r="H17" s="232" t="s">
        <v>385</v>
      </c>
      <c r="I17" s="749"/>
      <c r="J17" s="213">
        <f>+'2'!J17</f>
        <v>0</v>
      </c>
      <c r="K17" s="228"/>
      <c r="L17" s="228"/>
      <c r="M17" s="116">
        <f>+K17+'2'!M17+L17</f>
        <v>0</v>
      </c>
    </row>
    <row r="18" spans="1:13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678</v>
      </c>
      <c r="I18" s="749"/>
      <c r="J18" s="213">
        <f>+'2'!J18</f>
        <v>0</v>
      </c>
      <c r="K18" s="238"/>
      <c r="L18" s="238"/>
      <c r="M18" s="116">
        <f>+K18+'2'!M18+L18</f>
        <v>0</v>
      </c>
    </row>
    <row r="19" spans="1:13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+'2'!J19</f>
        <v>0</v>
      </c>
      <c r="K19" s="238"/>
      <c r="L19" s="238"/>
      <c r="M19" s="116">
        <f>+K19+'2'!M19+L19</f>
        <v>0</v>
      </c>
    </row>
    <row r="20" spans="1:13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+'2'!J20</f>
        <v>0</v>
      </c>
      <c r="K20" s="239"/>
      <c r="L20" s="239"/>
      <c r="M20" s="116">
        <f>+K20+'2'!M20+L20</f>
        <v>0</v>
      </c>
    </row>
    <row r="21" spans="1:13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+'2'!J21</f>
        <v>0</v>
      </c>
      <c r="K21" s="238"/>
      <c r="L21" s="238"/>
      <c r="M21" s="116">
        <f>+K21+'2'!M21+L21</f>
        <v>0</v>
      </c>
    </row>
    <row r="22" spans="1:13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+'2'!J22</f>
        <v>0</v>
      </c>
      <c r="K22" s="238"/>
      <c r="L22" s="238"/>
      <c r="M22" s="116">
        <f>+K22+'2'!M22+L22</f>
        <v>0</v>
      </c>
    </row>
    <row r="23" spans="1:13" ht="13.5" thickBot="1">
      <c r="A23" s="752"/>
      <c r="B23" s="167" t="s">
        <v>2</v>
      </c>
      <c r="C23" s="99">
        <f>SUM(C16:C22)</f>
        <v>14609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+'2'!J23</f>
        <v>0</v>
      </c>
      <c r="K23" s="238"/>
      <c r="L23" s="238"/>
      <c r="M23" s="116">
        <f>+K23+'2'!M23+L23</f>
        <v>0</v>
      </c>
    </row>
    <row r="24" spans="1:13" ht="13.5" customHeight="1" thickBot="1">
      <c r="A24" s="745" t="s">
        <v>438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423</v>
      </c>
      <c r="I24" s="748" t="s">
        <v>676</v>
      </c>
      <c r="J24" s="213">
        <f>+'2'!J24</f>
        <v>0</v>
      </c>
      <c r="K24" s="238"/>
      <c r="L24" s="238"/>
      <c r="M24" s="116">
        <f>+K24+'2'!M24+L24</f>
        <v>0</v>
      </c>
    </row>
    <row r="25" spans="1:13" ht="13.5" thickBot="1">
      <c r="A25" s="751"/>
      <c r="B25" s="214" t="s">
        <v>430</v>
      </c>
      <c r="C25" s="225">
        <v>12314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+'2'!J25</f>
        <v>0</v>
      </c>
      <c r="K25" s="238"/>
      <c r="L25" s="238"/>
      <c r="M25" s="116">
        <f>+K25+'2'!M25+L25</f>
        <v>0</v>
      </c>
    </row>
    <row r="26" spans="1:13" ht="13.5" thickBot="1">
      <c r="A26" s="751"/>
      <c r="B26" s="214"/>
      <c r="C26" s="225"/>
      <c r="D26" s="216"/>
      <c r="E26" s="226"/>
      <c r="F26" s="227">
        <f>27-9</f>
        <v>18</v>
      </c>
      <c r="G26" s="231" t="s">
        <v>12</v>
      </c>
      <c r="H26" s="232" t="s">
        <v>434</v>
      </c>
      <c r="I26" s="749"/>
      <c r="J26" s="213">
        <f>+'2'!J26</f>
        <v>0</v>
      </c>
      <c r="K26" s="238"/>
      <c r="L26" s="238"/>
      <c r="M26" s="116">
        <f>+K26+'2'!M26+L26</f>
        <v>0</v>
      </c>
    </row>
    <row r="27" spans="1:13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679</v>
      </c>
      <c r="I27" s="749"/>
      <c r="J27" s="213">
        <f>+'2'!J27</f>
        <v>0</v>
      </c>
      <c r="K27" s="238"/>
      <c r="L27" s="238"/>
      <c r="M27" s="116">
        <f>+K27+'2'!M27+L27</f>
        <v>0</v>
      </c>
    </row>
    <row r="28" spans="1:13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+'2'!J28</f>
        <v>0</v>
      </c>
      <c r="K28" s="238"/>
      <c r="L28" s="238"/>
      <c r="M28" s="116">
        <f>+K28+'2'!M28+L28</f>
        <v>0</v>
      </c>
    </row>
    <row r="29" spans="1:13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+'2'!J29</f>
        <v>0</v>
      </c>
      <c r="K29" s="238"/>
      <c r="L29" s="238"/>
      <c r="M29" s="116">
        <f>+K29+'2'!M29+L29</f>
        <v>0</v>
      </c>
    </row>
    <row r="30" spans="1:13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+'2'!J30</f>
        <v>0</v>
      </c>
      <c r="K30" s="238"/>
      <c r="L30" s="238"/>
      <c r="M30" s="116">
        <f>+K30+'2'!M30+L30</f>
        <v>0</v>
      </c>
    </row>
    <row r="31" spans="1:13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+'2'!J31</f>
        <v>0</v>
      </c>
      <c r="K31" s="238"/>
      <c r="L31" s="238"/>
      <c r="M31" s="116">
        <f>+K31+'2'!M31+L31</f>
        <v>0</v>
      </c>
    </row>
    <row r="32" spans="1:13" ht="13.5" thickBot="1">
      <c r="A32" s="752"/>
      <c r="B32" s="164" t="s">
        <v>2</v>
      </c>
      <c r="C32" s="98">
        <f>SUM(C25:C31)</f>
        <v>12314</v>
      </c>
      <c r="D32" s="99">
        <f>SUM(D25:D31)</f>
        <v>0</v>
      </c>
      <c r="E32" s="100">
        <f>SUM(E25:E31)</f>
        <v>0</v>
      </c>
      <c r="F32" s="101">
        <f>SUM(F24:F31)</f>
        <v>27</v>
      </c>
      <c r="G32" s="170"/>
      <c r="H32" s="171"/>
      <c r="I32" s="168"/>
      <c r="J32" s="213">
        <f>+'2'!J32</f>
        <v>0</v>
      </c>
      <c r="K32" s="240"/>
      <c r="L32" s="242"/>
      <c r="M32" s="116">
        <f>+K32+'2'!M32+L32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3" t="s">
        <v>57</v>
      </c>
      <c r="B34" s="754"/>
      <c r="C34" s="106">
        <f>C14+C23+C32</f>
        <v>41977</v>
      </c>
      <c r="D34" s="106">
        <f>D14+D23+D32</f>
        <v>0</v>
      </c>
      <c r="E34" s="106">
        <f>E14+E23+E32</f>
        <v>0</v>
      </c>
      <c r="F34" s="107">
        <f>F14+F23+F32</f>
        <v>67</v>
      </c>
      <c r="H34" s="177"/>
      <c r="I34" s="177"/>
      <c r="J34" s="122" t="s">
        <v>28</v>
      </c>
      <c r="K34" s="123">
        <f>SUM(K7:K32)</f>
        <v>41977</v>
      </c>
      <c r="L34" s="211">
        <f>SUM(L7:L32)</f>
        <v>0</v>
      </c>
      <c r="M34" s="119">
        <f>SUM(M7:M32)</f>
        <v>107619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(15*1440)/1440*G42*2.74*1440/1000000</f>
        <v>49.028025600000014</v>
      </c>
      <c r="J37" s="124">
        <f>+I37+'2'!J37</f>
        <v>127.61311620000004</v>
      </c>
      <c r="K37" s="125" t="s">
        <v>63</v>
      </c>
    </row>
    <row r="38" spans="1:13" ht="17.45" customHeight="1">
      <c r="A38" s="757" t="s">
        <v>12</v>
      </c>
      <c r="B38" s="758"/>
      <c r="C38" s="163">
        <f>SUMIF($G$7:$G$31,"Process",$F$7:$F$31)</f>
        <v>67</v>
      </c>
      <c r="D38" s="117">
        <f>+C38+'2'!D38</f>
        <v>174</v>
      </c>
      <c r="E38" s="142">
        <f t="shared" ref="E38:E51" si="2">D38/60</f>
        <v>2.9</v>
      </c>
      <c r="F38" s="321">
        <v>1090</v>
      </c>
      <c r="G38" s="321">
        <v>828.40000000000009</v>
      </c>
      <c r="H38" s="186" t="s">
        <v>64</v>
      </c>
      <c r="I38" s="244">
        <f>14.085+15.765+14.031</f>
        <v>43.881</v>
      </c>
      <c r="J38" s="126">
        <f>+I38+'2'!J38</f>
        <v>112.929</v>
      </c>
      <c r="K38" s="127" t="s">
        <v>63</v>
      </c>
    </row>
    <row r="39" spans="1:13" ht="17.45" customHeight="1">
      <c r="A39" s="759" t="s">
        <v>13</v>
      </c>
      <c r="B39" s="760"/>
      <c r="C39" s="163">
        <f>SUMIF($G$7:$G$31,"Cleaning",$F$7:$F$31)</f>
        <v>0</v>
      </c>
      <c r="D39" s="117">
        <f>+C39+'2'!D39</f>
        <v>0</v>
      </c>
      <c r="E39" s="142">
        <f t="shared" si="2"/>
        <v>0</v>
      </c>
      <c r="F39" s="321">
        <v>1090</v>
      </c>
      <c r="G39" s="321">
        <v>828.40000000000009</v>
      </c>
      <c r="H39" s="186" t="s">
        <v>65</v>
      </c>
      <c r="I39" s="141"/>
      <c r="J39" s="128">
        <f>J37/G4</f>
        <v>42.537705400000014</v>
      </c>
      <c r="K39" s="129" t="s">
        <v>63</v>
      </c>
    </row>
    <row r="40" spans="1:13" ht="17.45" customHeight="1">
      <c r="A40" s="759" t="s">
        <v>66</v>
      </c>
      <c r="B40" s="760"/>
      <c r="C40" s="163">
        <f>SUMIF($G$7:$G$31,"Mechanical",$F$7:$F$31)</f>
        <v>0</v>
      </c>
      <c r="D40" s="117">
        <f>+C40+'2'!D40</f>
        <v>481</v>
      </c>
      <c r="E40" s="142">
        <f t="shared" si="2"/>
        <v>8.0166666666666675</v>
      </c>
      <c r="F40" s="321">
        <v>1090</v>
      </c>
      <c r="G40" s="321">
        <v>828.40000000000009</v>
      </c>
      <c r="H40" s="186" t="s">
        <v>67</v>
      </c>
      <c r="I40" s="117">
        <f>(K34+L34)/1000</f>
        <v>41.976999999999997</v>
      </c>
      <c r="J40" s="130">
        <f>+I40+'2'!J40</f>
        <v>107.619</v>
      </c>
      <c r="K40" s="129" t="s">
        <v>63</v>
      </c>
    </row>
    <row r="41" spans="1:13" ht="17.45" customHeight="1">
      <c r="A41" s="759" t="s">
        <v>68</v>
      </c>
      <c r="B41" s="760"/>
      <c r="C41" s="163">
        <f>SUMIF($G$7:$G$31,"Electrical",$F$7:$F$31)</f>
        <v>0</v>
      </c>
      <c r="D41" s="117">
        <f>+C41+'2'!D41</f>
        <v>84</v>
      </c>
      <c r="E41" s="142">
        <f t="shared" si="2"/>
        <v>1.4</v>
      </c>
      <c r="F41" s="321"/>
      <c r="G41" s="321"/>
      <c r="H41" s="186" t="s">
        <v>69</v>
      </c>
      <c r="I41" s="141"/>
      <c r="J41" s="128">
        <f>J40/G4</f>
        <v>35.872999999999998</v>
      </c>
      <c r="K41" s="129" t="s">
        <v>63</v>
      </c>
    </row>
    <row r="42" spans="1:13" ht="17.45" customHeight="1">
      <c r="A42" s="759" t="s">
        <v>16</v>
      </c>
      <c r="B42" s="760"/>
      <c r="C42" s="163">
        <f>SUMIF($G$7:$G$31,"Instrument",$F$7:$F$31)</f>
        <v>0</v>
      </c>
      <c r="D42" s="117">
        <f>+C42+'2'!D42</f>
        <v>0</v>
      </c>
      <c r="E42" s="142">
        <f t="shared" si="2"/>
        <v>0</v>
      </c>
      <c r="F42" s="321">
        <f>+(F38*480+F39*480+F40*480)/1440</f>
        <v>1090</v>
      </c>
      <c r="G42" s="321">
        <f>+(G38*480+G39*480+G40*480)/1440</f>
        <v>828.4000000000002</v>
      </c>
      <c r="H42" s="186" t="s">
        <v>70</v>
      </c>
      <c r="I42" s="245" t="s">
        <v>432</v>
      </c>
      <c r="J42" s="131"/>
      <c r="K42" s="129" t="s">
        <v>71</v>
      </c>
    </row>
    <row r="43" spans="1:13" ht="17.45" customHeight="1">
      <c r="A43" s="759" t="s">
        <v>72</v>
      </c>
      <c r="B43" s="760"/>
      <c r="C43" s="163">
        <f>SUMIF($G$7:$G$31,"Water",$F$7:$F$31)</f>
        <v>0</v>
      </c>
      <c r="D43" s="117">
        <f>+C43+'2'!D43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+Report1!Z11</f>
        <v>52.6</v>
      </c>
      <c r="J43" s="132">
        <f>+I43+'2'!J43</f>
        <v>142.69999999999999</v>
      </c>
      <c r="K43" s="129" t="s">
        <v>63</v>
      </c>
      <c r="L43" s="188"/>
    </row>
    <row r="44" spans="1:13" ht="17.45" customHeight="1">
      <c r="A44" s="759" t="s">
        <v>17</v>
      </c>
      <c r="B44" s="760"/>
      <c r="C44" s="163">
        <f>SUMIF($G$7:$G$31,"PLN",$F$7:$F$31)</f>
        <v>0</v>
      </c>
      <c r="D44" s="117">
        <f>+C44+'2'!D44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1.1986964745561861</v>
      </c>
      <c r="J44" s="133">
        <f>J43/J38</f>
        <v>1.2636258179918354</v>
      </c>
      <c r="K44" s="129" t="s">
        <v>63</v>
      </c>
    </row>
    <row r="45" spans="1:13" ht="17.45" customHeight="1">
      <c r="A45" s="759" t="s">
        <v>18</v>
      </c>
      <c r="B45" s="760"/>
      <c r="C45" s="163">
        <f>SUMIF($G$7:$G$31,"Boiler",$F$7:$F$31)</f>
        <v>0</v>
      </c>
      <c r="D45" s="117">
        <f>+C45+'2'!D45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1.2530671558234272</v>
      </c>
      <c r="J45" s="133">
        <f>J43/J40</f>
        <v>1.3259740380416096</v>
      </c>
      <c r="K45" s="129" t="s">
        <v>63</v>
      </c>
    </row>
    <row r="46" spans="1:13" ht="17.45" customHeight="1">
      <c r="A46" s="759" t="s">
        <v>76</v>
      </c>
      <c r="B46" s="760"/>
      <c r="C46" s="163">
        <f>SUMIF($G$7:$G$31,"Gas",$F$7:$F$31)</f>
        <v>0</v>
      </c>
      <c r="D46" s="117">
        <f>+C46+'2'!D46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+SUMIF(Listrik!P10,"&gt;0")</f>
        <v>40608.839999999633</v>
      </c>
      <c r="J46" s="134">
        <f>+I46+'2'!J46</f>
        <v>111671.39999999855</v>
      </c>
      <c r="K46" s="129" t="s">
        <v>78</v>
      </c>
    </row>
    <row r="47" spans="1:13" ht="17.45" customHeight="1">
      <c r="A47" s="759" t="s">
        <v>79</v>
      </c>
      <c r="B47" s="760"/>
      <c r="C47" s="163">
        <f>SUMIF($G$7:$G$31,"Gas",$F$7:$F$31)</f>
        <v>0</v>
      </c>
      <c r="D47" s="117">
        <f>+C47+'2'!D47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925.43105216379831</v>
      </c>
      <c r="J47" s="134">
        <f>J46/J38</f>
        <v>988.86379937835761</v>
      </c>
      <c r="K47" s="129" t="s">
        <v>24</v>
      </c>
    </row>
    <row r="48" spans="1:13" ht="17.45" customHeight="1">
      <c r="A48" s="759" t="s">
        <v>14</v>
      </c>
      <c r="B48" s="760"/>
      <c r="C48" s="163">
        <f>SUMIF($G$7:$G$31,"Start Up",$F$7:$F$31)</f>
        <v>0</v>
      </c>
      <c r="D48" s="117">
        <f>+C48+'2'!D48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967.40691330966092</v>
      </c>
      <c r="J48" s="134">
        <f>J46/J40</f>
        <v>1037.6550609093056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+C49+'2'!D49</f>
        <v>0</v>
      </c>
      <c r="E49" s="142">
        <f t="shared" si="2"/>
        <v>0</v>
      </c>
      <c r="F49" s="184"/>
      <c r="H49" s="187" t="s">
        <v>268</v>
      </c>
      <c r="I49" s="117">
        <f>+Report1!T11</f>
        <v>4861.9606999228736</v>
      </c>
      <c r="J49" s="134">
        <f>+I49+'2'!J49</f>
        <v>12451.918510214316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+C50+'2'!D50</f>
        <v>0</v>
      </c>
      <c r="E50" s="142">
        <f t="shared" si="2"/>
        <v>0</v>
      </c>
      <c r="F50" s="184"/>
      <c r="H50" s="187" t="s">
        <v>83</v>
      </c>
      <c r="I50" s="139">
        <f>I49/I38</f>
        <v>110.79876711840828</v>
      </c>
      <c r="J50" s="132">
        <f>J49/J38</f>
        <v>110.26324956578307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+C51+'2'!D51</f>
        <v>0</v>
      </c>
      <c r="E51" s="142">
        <f t="shared" si="2"/>
        <v>0</v>
      </c>
      <c r="F51" s="184"/>
      <c r="H51" s="189" t="s">
        <v>85</v>
      </c>
      <c r="I51" s="140">
        <f>I49/I40</f>
        <v>115.82439669159001</v>
      </c>
      <c r="J51" s="135">
        <f>J49/J40</f>
        <v>115.70371876912364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67</v>
      </c>
      <c r="D52" s="143">
        <f>SUM(D38:D51)</f>
        <v>739</v>
      </c>
      <c r="E52" s="144">
        <f>SUM(E38:E51)</f>
        <v>12.316666666666668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4.6527777777777779E-2</v>
      </c>
      <c r="D53" s="145">
        <f>D52/(24*60*G4)</f>
        <v>0.17106481481481481</v>
      </c>
      <c r="E53" s="146">
        <f>E52/(G4*24)</f>
        <v>0.17106481481481484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+D34+'2'!J56</f>
        <v>692</v>
      </c>
      <c r="K56" s="200">
        <f>J56/(J40+J56/1000)/1000</f>
        <v>6.3890094265587061E-3</v>
      </c>
    </row>
    <row r="57" spans="1:11">
      <c r="A57" s="175"/>
      <c r="I57" s="198" t="s">
        <v>88</v>
      </c>
      <c r="J57" s="199">
        <f>+E34+'2'!J57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57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Z61"/>
  <sheetViews>
    <sheetView view="pageBreakPreview" topLeftCell="E4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1.7109375" style="109" customWidth="1"/>
    <col min="7" max="7" width="12.710937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2</v>
      </c>
      <c r="H4" s="153" t="str">
        <f>+'1'!H4</f>
        <v>.12.25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403</v>
      </c>
      <c r="O6" s="148">
        <v>1100</v>
      </c>
      <c r="P6" s="148">
        <f>+O6-O6*0.24</f>
        <v>836</v>
      </c>
      <c r="Q6" s="148">
        <v>15</v>
      </c>
      <c r="R6" s="148">
        <f>+O6*Q6</f>
        <v>16500</v>
      </c>
      <c r="S6" s="148">
        <f>+P6*Q6</f>
        <v>12540</v>
      </c>
      <c r="U6" s="148" t="s">
        <v>403</v>
      </c>
      <c r="V6" s="148">
        <v>1100</v>
      </c>
      <c r="W6" s="148">
        <f>+V6-V6*0.24</f>
        <v>836</v>
      </c>
      <c r="X6" s="148">
        <v>15</v>
      </c>
      <c r="Y6" s="148">
        <f>+V6*X6</f>
        <v>16500</v>
      </c>
      <c r="Z6" s="148">
        <f>+W6*X6</f>
        <v>12540</v>
      </c>
    </row>
    <row r="7" spans="1:26" ht="13.5" customHeight="1" thickBot="1">
      <c r="A7" s="745" t="s">
        <v>388</v>
      </c>
      <c r="B7" s="214" t="s">
        <v>409</v>
      </c>
      <c r="C7" s="215">
        <f>5185+6074</f>
        <v>11259</v>
      </c>
      <c r="D7" s="216"/>
      <c r="E7" s="217"/>
      <c r="F7" s="227">
        <v>9</v>
      </c>
      <c r="G7" s="228" t="s">
        <v>12</v>
      </c>
      <c r="H7" s="229" t="s">
        <v>423</v>
      </c>
      <c r="I7" s="748" t="s">
        <v>671</v>
      </c>
      <c r="J7" s="213" t="str">
        <f>+'1'!J7</f>
        <v>F 14 VP OW</v>
      </c>
      <c r="K7" s="237">
        <f>+C7</f>
        <v>11259</v>
      </c>
      <c r="L7" s="241"/>
      <c r="M7" s="116">
        <f>+K7+'1'!M7+L7</f>
        <v>34548</v>
      </c>
      <c r="O7" s="148">
        <f>1100+50</f>
        <v>1150</v>
      </c>
      <c r="P7" s="148">
        <f>+O7-O7*0.24</f>
        <v>874</v>
      </c>
      <c r="Q7" s="148">
        <f>60-15+35</f>
        <v>80</v>
      </c>
      <c r="R7" s="148">
        <f>+O7*Q7</f>
        <v>92000</v>
      </c>
      <c r="S7" s="148">
        <f>+P7*Q7</f>
        <v>69920</v>
      </c>
      <c r="V7" s="148">
        <f>1100+50</f>
        <v>1150</v>
      </c>
      <c r="W7" s="148">
        <f>+V7-V7*0.24</f>
        <v>874</v>
      </c>
      <c r="X7" s="148">
        <f>60-15+35</f>
        <v>80</v>
      </c>
      <c r="Y7" s="148">
        <f>+V7*X7</f>
        <v>92000</v>
      </c>
      <c r="Z7" s="148">
        <f>+W7*X7</f>
        <v>69920</v>
      </c>
    </row>
    <row r="8" spans="1:26" ht="13.5" thickBot="1">
      <c r="A8" s="746"/>
      <c r="B8" s="214" t="s">
        <v>430</v>
      </c>
      <c r="C8" s="215">
        <v>2543</v>
      </c>
      <c r="D8" s="216"/>
      <c r="E8" s="218"/>
      <c r="F8" s="230"/>
      <c r="G8" s="231" t="s">
        <v>12</v>
      </c>
      <c r="H8" s="229" t="s">
        <v>284</v>
      </c>
      <c r="I8" s="749"/>
      <c r="J8" s="213" t="s">
        <v>430</v>
      </c>
      <c r="K8" s="238">
        <f>+C8+C16+C25</f>
        <v>31094</v>
      </c>
      <c r="L8" s="238"/>
      <c r="M8" s="116">
        <f>+K8+'1'!M8+L8</f>
        <v>31094</v>
      </c>
      <c r="O8" s="148">
        <f>+O7+30</f>
        <v>1180</v>
      </c>
      <c r="P8" s="148">
        <f>+O8-O8*0.24</f>
        <v>896.8</v>
      </c>
      <c r="Q8" s="148">
        <f>60-35+120+30</f>
        <v>175</v>
      </c>
      <c r="R8" s="148">
        <f>+O8*Q8</f>
        <v>206500</v>
      </c>
      <c r="S8" s="148">
        <f>+P8*Q8</f>
        <v>156940</v>
      </c>
      <c r="V8" s="148">
        <f>+V7+30</f>
        <v>1180</v>
      </c>
      <c r="W8" s="148">
        <f>+V8-V8*0.24</f>
        <v>896.8</v>
      </c>
      <c r="X8" s="148">
        <f>60-35+120+30</f>
        <v>175</v>
      </c>
      <c r="Y8" s="148">
        <f>+V8*X8</f>
        <v>206500</v>
      </c>
      <c r="Z8" s="148">
        <f>+W8*X8</f>
        <v>156940</v>
      </c>
    </row>
    <row r="9" spans="1:26" ht="13.5" thickBot="1">
      <c r="A9" s="746"/>
      <c r="B9" s="214"/>
      <c r="C9" s="215"/>
      <c r="D9" s="216"/>
      <c r="E9" s="219"/>
      <c r="F9" s="227">
        <f>26-9</f>
        <v>17</v>
      </c>
      <c r="G9" s="231" t="s">
        <v>12</v>
      </c>
      <c r="H9" s="232" t="s">
        <v>385</v>
      </c>
      <c r="I9" s="749"/>
      <c r="J9" s="213">
        <f>+'1'!J9</f>
        <v>0</v>
      </c>
      <c r="K9" s="238"/>
      <c r="L9" s="238"/>
      <c r="M9" s="116">
        <f>+K9+'1'!M9+L9</f>
        <v>0</v>
      </c>
      <c r="N9" s="148" t="s">
        <v>420</v>
      </c>
      <c r="O9" s="148">
        <f>+O8-40</f>
        <v>1140</v>
      </c>
      <c r="P9" s="148">
        <f>+O9-O9*0.24</f>
        <v>866.40000000000009</v>
      </c>
      <c r="Q9" s="148">
        <f>60-30+180</f>
        <v>210</v>
      </c>
      <c r="R9" s="148">
        <f>+O9*Q9</f>
        <v>239400</v>
      </c>
      <c r="S9" s="148">
        <f>+P9*Q9</f>
        <v>181944.00000000003</v>
      </c>
    </row>
    <row r="10" spans="1:26" ht="26.25" thickBot="1">
      <c r="A10" s="746"/>
      <c r="B10" s="214"/>
      <c r="C10" s="215"/>
      <c r="D10" s="216"/>
      <c r="E10" s="218"/>
      <c r="F10" s="227"/>
      <c r="G10" s="236" t="s">
        <v>13</v>
      </c>
      <c r="H10" s="232" t="s">
        <v>673</v>
      </c>
      <c r="I10" s="749"/>
      <c r="J10" s="213">
        <f>+'1'!J10</f>
        <v>0</v>
      </c>
      <c r="K10" s="238"/>
      <c r="L10" s="238"/>
      <c r="M10" s="116">
        <f>+K10+'1'!M10+L10</f>
        <v>0</v>
      </c>
    </row>
    <row r="11" spans="1:26" ht="60.75" customHeight="1" thickBot="1">
      <c r="A11" s="746"/>
      <c r="B11" s="214"/>
      <c r="C11" s="215"/>
      <c r="D11" s="216"/>
      <c r="E11" s="218"/>
      <c r="F11" s="227"/>
      <c r="G11" s="231"/>
      <c r="H11" s="232" t="s">
        <v>419</v>
      </c>
      <c r="I11" s="749"/>
      <c r="J11" s="213">
        <f>+'1'!J11</f>
        <v>0</v>
      </c>
      <c r="K11" s="238"/>
      <c r="L11" s="238"/>
      <c r="M11" s="116">
        <f>+K11+'1'!M11+L11</f>
        <v>0</v>
      </c>
    </row>
    <row r="12" spans="1:26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13">
        <f>+'1'!J12</f>
        <v>0</v>
      </c>
      <c r="K12" s="238"/>
      <c r="L12" s="238"/>
      <c r="M12" s="116">
        <f>+K12+'1'!M12+L12</f>
        <v>0</v>
      </c>
    </row>
    <row r="13" spans="1:26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13">
        <f>+'1'!J13</f>
        <v>0</v>
      </c>
      <c r="K13" s="238"/>
      <c r="L13" s="238"/>
      <c r="M13" s="116">
        <f>+K13+'1'!M13+L13</f>
        <v>0</v>
      </c>
    </row>
    <row r="14" spans="1:26" ht="13.5" thickBot="1">
      <c r="A14" s="747"/>
      <c r="B14" s="164" t="s">
        <v>2</v>
      </c>
      <c r="C14" s="98">
        <f>SUM(C7:C13)</f>
        <v>13802</v>
      </c>
      <c r="D14" s="110">
        <f>SUM(D7:D13)</f>
        <v>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>
        <f>+'1'!J14</f>
        <v>0</v>
      </c>
      <c r="K14" s="238"/>
      <c r="L14" s="238"/>
      <c r="M14" s="116">
        <f>+K14+'1'!M14+L14</f>
        <v>0</v>
      </c>
      <c r="Q14" s="148">
        <f>SUM(Q6:Q13)</f>
        <v>480</v>
      </c>
      <c r="R14" s="148">
        <f>SUM(R6:R13)</f>
        <v>554400</v>
      </c>
      <c r="S14" s="148">
        <f>SUM(S6:S13)</f>
        <v>421344</v>
      </c>
      <c r="X14" s="148">
        <f>SUM(X6:X13)</f>
        <v>270</v>
      </c>
      <c r="Y14" s="148">
        <f>SUM(Y6:Y13)</f>
        <v>315000</v>
      </c>
      <c r="Z14" s="148">
        <f>SUM(Z6:Z13)</f>
        <v>239400</v>
      </c>
    </row>
    <row r="15" spans="1:26" ht="13.5" customHeight="1" thickBot="1">
      <c r="A15" s="745" t="s">
        <v>389</v>
      </c>
      <c r="B15" s="164"/>
      <c r="C15" s="112">
        <f>C14/($C$23+$D$23+$E$23)</f>
        <v>0.99259259259259258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672</v>
      </c>
      <c r="J15" s="213">
        <f>+'1'!J15</f>
        <v>0</v>
      </c>
      <c r="K15" s="238"/>
      <c r="L15" s="238"/>
      <c r="M15" s="116">
        <f>+K15+'1'!M15+L15</f>
        <v>0</v>
      </c>
      <c r="P15" s="148" t="s">
        <v>404</v>
      </c>
      <c r="Q15" s="148">
        <f>480-Q14</f>
        <v>0</v>
      </c>
      <c r="R15" s="148">
        <f>+R14/Q14</f>
        <v>1155</v>
      </c>
      <c r="S15" s="148">
        <f>+S14/Q14</f>
        <v>877.8</v>
      </c>
      <c r="W15" s="148" t="s">
        <v>404</v>
      </c>
      <c r="X15" s="148">
        <f>480-X14</f>
        <v>210</v>
      </c>
      <c r="Y15" s="148">
        <f>+Y14/X14</f>
        <v>1166.6666666666667</v>
      </c>
      <c r="Z15" s="148">
        <f>+Z14/X14</f>
        <v>886.66666666666663</v>
      </c>
    </row>
    <row r="16" spans="1:26" ht="13.5" thickBot="1">
      <c r="A16" s="751"/>
      <c r="B16" s="214" t="s">
        <v>430</v>
      </c>
      <c r="C16" s="221">
        <v>13905</v>
      </c>
      <c r="D16" s="222"/>
      <c r="E16" s="223"/>
      <c r="F16" s="230">
        <v>8</v>
      </c>
      <c r="G16" s="231" t="s">
        <v>12</v>
      </c>
      <c r="H16" s="229" t="s">
        <v>424</v>
      </c>
      <c r="I16" s="749"/>
      <c r="J16" s="213">
        <f>+'1'!J16</f>
        <v>0</v>
      </c>
      <c r="K16" s="228"/>
      <c r="L16" s="228"/>
      <c r="M16" s="116">
        <f>+K16+'1'!M16+L16</f>
        <v>0</v>
      </c>
    </row>
    <row r="17" spans="1:26" ht="13.5" thickBot="1">
      <c r="A17" s="751"/>
      <c r="B17" s="214"/>
      <c r="C17" s="215"/>
      <c r="D17" s="216"/>
      <c r="E17" s="224"/>
      <c r="F17" s="227">
        <v>10</v>
      </c>
      <c r="G17" s="231" t="s">
        <v>12</v>
      </c>
      <c r="H17" s="232" t="s">
        <v>406</v>
      </c>
      <c r="I17" s="749"/>
      <c r="J17" s="213">
        <f>+'1'!J17</f>
        <v>0</v>
      </c>
      <c r="K17" s="228"/>
      <c r="L17" s="228"/>
      <c r="M17" s="116">
        <f>+K17+'1'!M17+L17</f>
        <v>0</v>
      </c>
    </row>
    <row r="18" spans="1:26" ht="39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674</v>
      </c>
      <c r="I18" s="749"/>
      <c r="J18" s="213">
        <f>+'1'!J18</f>
        <v>0</v>
      </c>
      <c r="K18" s="238"/>
      <c r="L18" s="238"/>
      <c r="M18" s="116">
        <f>+K18+'1'!M18+L18</f>
        <v>0</v>
      </c>
      <c r="N18" s="148" t="s">
        <v>420</v>
      </c>
      <c r="O18" s="148">
        <v>1080</v>
      </c>
      <c r="P18" s="148">
        <f>+O18-O18*0.24</f>
        <v>820.8</v>
      </c>
      <c r="Q18" s="148">
        <v>480</v>
      </c>
      <c r="R18" s="148">
        <f>+O18*Q18</f>
        <v>518400</v>
      </c>
      <c r="S18" s="148">
        <f>+P18*Q18</f>
        <v>393984</v>
      </c>
      <c r="U18" s="148" t="s">
        <v>420</v>
      </c>
      <c r="V18" s="148">
        <v>1140</v>
      </c>
      <c r="W18" s="148">
        <f>+V18-V18*0.24</f>
        <v>866.40000000000009</v>
      </c>
      <c r="X18" s="148">
        <v>210</v>
      </c>
      <c r="Y18" s="148">
        <f>+V18*X18</f>
        <v>239400</v>
      </c>
      <c r="Z18" s="148">
        <f>+W18*X18</f>
        <v>181944.00000000003</v>
      </c>
    </row>
    <row r="19" spans="1:26" ht="13.5" thickBot="1">
      <c r="A19" s="751"/>
      <c r="B19" s="214"/>
      <c r="C19" s="215"/>
      <c r="D19" s="216"/>
      <c r="E19" s="224"/>
      <c r="F19" s="234"/>
      <c r="G19" s="231"/>
      <c r="H19" s="232"/>
      <c r="I19" s="749"/>
      <c r="J19" s="213">
        <f>+'1'!J19</f>
        <v>0</v>
      </c>
      <c r="K19" s="238"/>
      <c r="L19" s="238"/>
      <c r="M19" s="116">
        <f>+K19+'1'!M19+L19</f>
        <v>0</v>
      </c>
      <c r="U19" s="148" t="s">
        <v>420</v>
      </c>
      <c r="V19" s="148">
        <v>1080</v>
      </c>
      <c r="W19" s="148">
        <f>+V19-V19*0.24</f>
        <v>820.8</v>
      </c>
      <c r="X19" s="148">
        <v>480</v>
      </c>
      <c r="Y19" s="148">
        <f>+V19*X19</f>
        <v>518400</v>
      </c>
      <c r="Z19" s="148">
        <f>+W19*X19</f>
        <v>393984</v>
      </c>
    </row>
    <row r="20" spans="1:26" ht="13.5" thickBot="1">
      <c r="A20" s="751"/>
      <c r="B20" s="214"/>
      <c r="C20" s="215"/>
      <c r="D20" s="216"/>
      <c r="E20" s="224"/>
      <c r="F20" s="227"/>
      <c r="G20" s="231"/>
      <c r="H20" s="232"/>
      <c r="I20" s="749"/>
      <c r="J20" s="213">
        <f>+'1'!J20</f>
        <v>0</v>
      </c>
      <c r="K20" s="239"/>
      <c r="L20" s="239"/>
      <c r="M20" s="116">
        <f>+K20+'1'!M20+L20</f>
        <v>0</v>
      </c>
      <c r="U20" s="148" t="s">
        <v>420</v>
      </c>
      <c r="V20" s="148">
        <v>1100</v>
      </c>
      <c r="W20" s="148">
        <f>+V20-V20*0.24</f>
        <v>836</v>
      </c>
      <c r="X20" s="148">
        <v>480</v>
      </c>
      <c r="Y20" s="148">
        <f>+V20*X20</f>
        <v>528000</v>
      </c>
      <c r="Z20" s="148">
        <f>+W20*X20</f>
        <v>401280</v>
      </c>
    </row>
    <row r="21" spans="1:26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13">
        <f>+'1'!J21</f>
        <v>0</v>
      </c>
      <c r="K21" s="238"/>
      <c r="L21" s="238"/>
      <c r="M21" s="116">
        <f>+K21+'1'!M21+L21</f>
        <v>0</v>
      </c>
    </row>
    <row r="22" spans="1:26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13">
        <f>+'1'!J22</f>
        <v>0</v>
      </c>
      <c r="K22" s="238"/>
      <c r="L22" s="238"/>
      <c r="M22" s="116">
        <f>+K22+'1'!M22+L22</f>
        <v>0</v>
      </c>
    </row>
    <row r="23" spans="1:26" ht="13.5" thickBot="1">
      <c r="A23" s="752"/>
      <c r="B23" s="167" t="s">
        <v>2</v>
      </c>
      <c r="C23" s="99">
        <f>SUM(C16:C22)</f>
        <v>13905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+'1'!J23</f>
        <v>0</v>
      </c>
      <c r="K23" s="238"/>
      <c r="L23" s="238"/>
      <c r="M23" s="116">
        <f>+K23+'1'!M23+L23</f>
        <v>0</v>
      </c>
    </row>
    <row r="24" spans="1:26" ht="13.5" customHeight="1" thickBot="1">
      <c r="A24" s="745" t="s">
        <v>387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5</v>
      </c>
      <c r="G24" s="228" t="s">
        <v>12</v>
      </c>
      <c r="H24" s="229" t="s">
        <v>425</v>
      </c>
      <c r="I24" s="748" t="s">
        <v>478</v>
      </c>
      <c r="J24" s="213">
        <f>+'1'!J24</f>
        <v>0</v>
      </c>
      <c r="K24" s="238"/>
      <c r="L24" s="238"/>
      <c r="M24" s="116">
        <f>+K24+'1'!M24+L24</f>
        <v>0</v>
      </c>
    </row>
    <row r="25" spans="1:26" ht="13.5" thickBot="1">
      <c r="A25" s="751"/>
      <c r="B25" s="214" t="s">
        <v>430</v>
      </c>
      <c r="C25" s="225">
        <v>14646</v>
      </c>
      <c r="D25" s="216"/>
      <c r="E25" s="224"/>
      <c r="F25" s="230"/>
      <c r="G25" s="231" t="s">
        <v>12</v>
      </c>
      <c r="H25" s="229" t="s">
        <v>284</v>
      </c>
      <c r="I25" s="749"/>
      <c r="J25" s="213">
        <f>+'1'!J25</f>
        <v>0</v>
      </c>
      <c r="K25" s="238"/>
      <c r="L25" s="238"/>
      <c r="M25" s="116">
        <f>+K25+'1'!M25+L25</f>
        <v>0</v>
      </c>
    </row>
    <row r="26" spans="1:26" ht="13.5" thickBot="1">
      <c r="A26" s="751"/>
      <c r="B26" s="214"/>
      <c r="C26" s="225"/>
      <c r="D26" s="216"/>
      <c r="E26" s="226"/>
      <c r="F26" s="227">
        <v>20</v>
      </c>
      <c r="G26" s="231" t="s">
        <v>12</v>
      </c>
      <c r="H26" s="232" t="s">
        <v>406</v>
      </c>
      <c r="I26" s="749"/>
      <c r="J26" s="213">
        <f>+'1'!J26</f>
        <v>0</v>
      </c>
      <c r="K26" s="238"/>
      <c r="L26" s="238"/>
      <c r="M26" s="116">
        <f>+K26+'1'!M26+L26</f>
        <v>0</v>
      </c>
      <c r="Q26" s="148">
        <f>SUM(Q18:Q25)</f>
        <v>480</v>
      </c>
      <c r="R26" s="148">
        <f>SUM(R18:R25)</f>
        <v>518400</v>
      </c>
      <c r="S26" s="148">
        <f>SUM(S18:S25)</f>
        <v>393984</v>
      </c>
      <c r="X26" s="148">
        <f>SUM(X18:X25)</f>
        <v>1170</v>
      </c>
      <c r="Y26" s="148">
        <f>SUM(Y18:Y25)</f>
        <v>1285800</v>
      </c>
      <c r="Z26" s="148">
        <f>SUM(Z18:Z25)</f>
        <v>977208</v>
      </c>
    </row>
    <row r="27" spans="1:26" ht="39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675</v>
      </c>
      <c r="I27" s="749"/>
      <c r="J27" s="213">
        <f>+'1'!J27</f>
        <v>0</v>
      </c>
      <c r="K27" s="238"/>
      <c r="L27" s="238"/>
      <c r="M27" s="116">
        <f>+K27+'1'!M27+L27</f>
        <v>0</v>
      </c>
      <c r="P27" s="148" t="s">
        <v>404</v>
      </c>
      <c r="Q27" s="148">
        <f>480-Q26</f>
        <v>0</v>
      </c>
      <c r="R27" s="148">
        <f>+R26/Q26</f>
        <v>1080</v>
      </c>
      <c r="S27" s="148">
        <f>+S26/Q26</f>
        <v>820.8</v>
      </c>
      <c r="W27" s="148" t="s">
        <v>404</v>
      </c>
      <c r="X27" s="148">
        <f>480-X26</f>
        <v>-690</v>
      </c>
      <c r="Y27" s="148">
        <f>+Y26/X26</f>
        <v>1098.9743589743589</v>
      </c>
      <c r="Z27" s="148">
        <f>+Z26/X26</f>
        <v>835.22051282051279</v>
      </c>
    </row>
    <row r="28" spans="1:26" ht="13.5" thickBot="1">
      <c r="A28" s="751"/>
      <c r="B28" s="214"/>
      <c r="C28" s="215"/>
      <c r="D28" s="216"/>
      <c r="E28" s="224"/>
      <c r="F28" s="230"/>
      <c r="G28" s="231"/>
      <c r="H28" s="232"/>
      <c r="I28" s="749"/>
      <c r="J28" s="213">
        <f>+'1'!J28</f>
        <v>0</v>
      </c>
      <c r="K28" s="238"/>
      <c r="L28" s="238"/>
      <c r="M28" s="116">
        <f>+K28+'1'!M28+L28</f>
        <v>0</v>
      </c>
    </row>
    <row r="29" spans="1:26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13">
        <f>+'1'!J29</f>
        <v>0</v>
      </c>
      <c r="K29" s="238"/>
      <c r="L29" s="238"/>
      <c r="M29" s="116">
        <f>+K29+'1'!M29+L29</f>
        <v>0</v>
      </c>
      <c r="N29" s="148" t="s">
        <v>420</v>
      </c>
      <c r="O29" s="148">
        <v>1100</v>
      </c>
      <c r="P29" s="148">
        <f>+O29-O29*0.24</f>
        <v>836</v>
      </c>
      <c r="Q29" s="148">
        <v>480</v>
      </c>
      <c r="R29" s="148">
        <f>+O29*Q29</f>
        <v>528000</v>
      </c>
      <c r="S29" s="148">
        <f>+P29*Q29</f>
        <v>401280</v>
      </c>
    </row>
    <row r="30" spans="1:26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13">
        <f>+'1'!J30</f>
        <v>0</v>
      </c>
      <c r="K30" s="238"/>
      <c r="L30" s="238"/>
      <c r="M30" s="116">
        <f>+K30+'1'!M30+L30</f>
        <v>0</v>
      </c>
    </row>
    <row r="31" spans="1:26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13">
        <f>+'1'!J31</f>
        <v>0</v>
      </c>
      <c r="K31" s="238"/>
      <c r="L31" s="238"/>
      <c r="M31" s="116">
        <f>+K31+'1'!M31+L31</f>
        <v>0</v>
      </c>
    </row>
    <row r="32" spans="1:26" ht="13.5" thickBot="1">
      <c r="A32" s="752"/>
      <c r="B32" s="164" t="s">
        <v>2</v>
      </c>
      <c r="C32" s="98">
        <f>SUM(C25:C31)</f>
        <v>14646</v>
      </c>
      <c r="D32" s="99">
        <f>SUM(D25:D31)</f>
        <v>0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13">
        <f>+'1'!J32</f>
        <v>0</v>
      </c>
      <c r="K32" s="240"/>
      <c r="L32" s="242"/>
      <c r="M32" s="116">
        <f>+K32+'1'!M32+L32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3" t="s">
        <v>57</v>
      </c>
      <c r="B34" s="754"/>
      <c r="C34" s="106">
        <f>C14+C23+C32</f>
        <v>42353</v>
      </c>
      <c r="D34" s="106">
        <f>D14+D23+D32</f>
        <v>0</v>
      </c>
      <c r="E34" s="106">
        <f>E14+E23+E32</f>
        <v>0</v>
      </c>
      <c r="F34" s="107">
        <f>F14+F23+F32</f>
        <v>69</v>
      </c>
      <c r="H34" s="177"/>
      <c r="I34" s="177"/>
      <c r="J34" s="122" t="s">
        <v>28</v>
      </c>
      <c r="K34" s="123">
        <f>SUM(K7:K32)</f>
        <v>42353</v>
      </c>
      <c r="L34" s="211">
        <f>SUM(L7:L32)</f>
        <v>0</v>
      </c>
      <c r="M34" s="119">
        <f>SUM(M7:M32)</f>
        <v>65642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9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(14*270+1170*15)/1440*G42*2.74*1440/1000000</f>
        <v>49.377556440000006</v>
      </c>
      <c r="J37" s="124">
        <f>+I37+'1'!J37</f>
        <v>78.585090600000015</v>
      </c>
      <c r="K37" s="125" t="s">
        <v>63</v>
      </c>
      <c r="Q37" s="148">
        <f>SUM(Q29:Q36)</f>
        <v>480</v>
      </c>
      <c r="R37" s="148">
        <f>SUM(R29:R36)</f>
        <v>528000</v>
      </c>
      <c r="S37" s="148">
        <f>SUM(S29:S36)</f>
        <v>401280</v>
      </c>
    </row>
    <row r="38" spans="1:19" ht="17.45" customHeight="1">
      <c r="A38" s="757" t="s">
        <v>12</v>
      </c>
      <c r="B38" s="758"/>
      <c r="C38" s="163">
        <f>SUMIF($G$7:$G$31,"Process",$F$7:$F$31)</f>
        <v>69</v>
      </c>
      <c r="D38" s="117">
        <f>+C38+'1'!D38</f>
        <v>107</v>
      </c>
      <c r="E38" s="142">
        <f t="shared" ref="E38:E51" si="0">D38/60</f>
        <v>1.7833333333333334</v>
      </c>
      <c r="F38" s="321">
        <v>1155</v>
      </c>
      <c r="G38" s="321">
        <v>877.8</v>
      </c>
      <c r="H38" s="186" t="s">
        <v>64</v>
      </c>
      <c r="I38" s="244">
        <f>8.51+5.534+13.983+16.27</f>
        <v>44.296999999999997</v>
      </c>
      <c r="J38" s="126">
        <f>+I38+'1'!J38</f>
        <v>69.048000000000002</v>
      </c>
      <c r="K38" s="127" t="s">
        <v>63</v>
      </c>
      <c r="P38" s="148" t="s">
        <v>404</v>
      </c>
      <c r="Q38" s="148">
        <f>480-Q37</f>
        <v>0</v>
      </c>
      <c r="R38" s="148">
        <f>+R37/Q37</f>
        <v>1100</v>
      </c>
      <c r="S38" s="148">
        <f>+S37/Q37</f>
        <v>836</v>
      </c>
    </row>
    <row r="39" spans="1:19" ht="17.45" customHeight="1">
      <c r="A39" s="759" t="s">
        <v>13</v>
      </c>
      <c r="B39" s="760"/>
      <c r="C39" s="163">
        <f>SUMIF($G$7:$G$31,"Cleaning",$F$7:$F$31)</f>
        <v>0</v>
      </c>
      <c r="D39" s="117">
        <f>+C39+'1'!D39</f>
        <v>0</v>
      </c>
      <c r="E39" s="142">
        <f t="shared" si="0"/>
        <v>0</v>
      </c>
      <c r="F39" s="321">
        <v>1080</v>
      </c>
      <c r="G39" s="321">
        <v>820.8</v>
      </c>
      <c r="H39" s="186" t="s">
        <v>65</v>
      </c>
      <c r="I39" s="141"/>
      <c r="J39" s="128">
        <f>J37/G4</f>
        <v>39.292545300000008</v>
      </c>
      <c r="K39" s="129" t="s">
        <v>63</v>
      </c>
    </row>
    <row r="40" spans="1:19" ht="17.45" customHeight="1">
      <c r="A40" s="759" t="s">
        <v>66</v>
      </c>
      <c r="B40" s="760"/>
      <c r="C40" s="163">
        <f>SUMIF($G$7:$G$31,"Mechanical",$F$7:$F$31)</f>
        <v>0</v>
      </c>
      <c r="D40" s="117">
        <f>+C40+'1'!D40</f>
        <v>481</v>
      </c>
      <c r="E40" s="142">
        <f t="shared" si="0"/>
        <v>8.0166666666666675</v>
      </c>
      <c r="F40" s="321">
        <v>1100</v>
      </c>
      <c r="G40" s="321">
        <v>836</v>
      </c>
      <c r="H40" s="186" t="s">
        <v>67</v>
      </c>
      <c r="I40" s="117">
        <f>(K34+L34)/1000</f>
        <v>42.353000000000002</v>
      </c>
      <c r="J40" s="130">
        <f>+I40+'1'!J40</f>
        <v>65.641999999999996</v>
      </c>
      <c r="K40" s="129" t="s">
        <v>63</v>
      </c>
    </row>
    <row r="41" spans="1:19" ht="17.45" customHeight="1">
      <c r="A41" s="759" t="s">
        <v>68</v>
      </c>
      <c r="B41" s="760"/>
      <c r="C41" s="163">
        <f>SUMIF($G$7:$G$31,"Electrical",$F$7:$F$31)</f>
        <v>0</v>
      </c>
      <c r="D41" s="117">
        <f>+C41+'1'!D41</f>
        <v>84</v>
      </c>
      <c r="E41" s="142">
        <f t="shared" si="0"/>
        <v>1.4</v>
      </c>
      <c r="F41" s="321"/>
      <c r="G41" s="321"/>
      <c r="H41" s="186" t="s">
        <v>69</v>
      </c>
      <c r="I41" s="141"/>
      <c r="J41" s="128">
        <f>J40/G4</f>
        <v>32.820999999999998</v>
      </c>
      <c r="K41" s="129" t="s">
        <v>63</v>
      </c>
    </row>
    <row r="42" spans="1:19" ht="17.45" customHeight="1">
      <c r="A42" s="759" t="s">
        <v>16</v>
      </c>
      <c r="B42" s="760"/>
      <c r="C42" s="163">
        <f>SUMIF($G$7:$G$31,"Instrument",$F$7:$F$31)</f>
        <v>0</v>
      </c>
      <c r="D42" s="117">
        <f>+C42+'1'!D42</f>
        <v>0</v>
      </c>
      <c r="E42" s="142">
        <f t="shared" si="0"/>
        <v>0</v>
      </c>
      <c r="F42" s="321">
        <f>+(480*F38+480*F39+480*F40)/1440</f>
        <v>1111.6666666666667</v>
      </c>
      <c r="G42" s="321">
        <f>+(480*G38+480*G39+480*G40)/1440</f>
        <v>844.86666666666667</v>
      </c>
      <c r="H42" s="186" t="s">
        <v>70</v>
      </c>
      <c r="I42" s="245" t="s">
        <v>422</v>
      </c>
      <c r="J42" s="131"/>
      <c r="K42" s="129" t="s">
        <v>71</v>
      </c>
      <c r="N42" s="148" t="s">
        <v>403</v>
      </c>
      <c r="O42" s="148">
        <v>1166.6666666666667</v>
      </c>
      <c r="P42" s="148">
        <v>886.66666666666663</v>
      </c>
      <c r="Q42" s="148">
        <v>270</v>
      </c>
    </row>
    <row r="43" spans="1:19" ht="17.45" customHeight="1">
      <c r="A43" s="759" t="s">
        <v>72</v>
      </c>
      <c r="B43" s="760"/>
      <c r="C43" s="163">
        <f>SUMIF($G$7:$G$31,"Water",$F$7:$F$31)</f>
        <v>0</v>
      </c>
      <c r="D43" s="117">
        <f>+C43+'1'!D43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+Report1!Z10</f>
        <v>54.4</v>
      </c>
      <c r="J43" s="132">
        <f>+I43+'1'!J43</f>
        <v>90.1</v>
      </c>
      <c r="K43" s="129" t="s">
        <v>63</v>
      </c>
      <c r="L43" s="188"/>
      <c r="N43" s="148" t="s">
        <v>420</v>
      </c>
      <c r="O43" s="148">
        <v>1098.9743589743589</v>
      </c>
      <c r="P43" s="148">
        <v>835.22051282051279</v>
      </c>
      <c r="Q43" s="148">
        <v>1170</v>
      </c>
    </row>
    <row r="44" spans="1:19" ht="17.45" customHeight="1">
      <c r="A44" s="759" t="s">
        <v>17</v>
      </c>
      <c r="B44" s="760"/>
      <c r="C44" s="163">
        <f>SUMIF($G$7:$G$31,"PLN",$F$7:$F$31)</f>
        <v>0</v>
      </c>
      <c r="D44" s="117">
        <f>+C44+'1'!D44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1.228074135946001</v>
      </c>
      <c r="J44" s="133">
        <f>J43/J38</f>
        <v>1.3048893523346077</v>
      </c>
      <c r="K44" s="129" t="s">
        <v>63</v>
      </c>
      <c r="Q44" s="148">
        <f>+Q42+Q43</f>
        <v>1440</v>
      </c>
    </row>
    <row r="45" spans="1:19" ht="17.45" customHeight="1">
      <c r="A45" s="759" t="s">
        <v>18</v>
      </c>
      <c r="B45" s="760"/>
      <c r="C45" s="163">
        <f>SUMIF($G$7:$G$31,"Boiler",$F$7:$F$31)</f>
        <v>0</v>
      </c>
      <c r="D45" s="117">
        <f>+C45+'1'!D45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1.2844426604963048</v>
      </c>
      <c r="J45" s="133">
        <f>J43/J40</f>
        <v>1.3725968130160568</v>
      </c>
      <c r="K45" s="129" t="s">
        <v>63</v>
      </c>
    </row>
    <row r="46" spans="1:19" ht="17.45" customHeight="1">
      <c r="A46" s="759" t="s">
        <v>76</v>
      </c>
      <c r="B46" s="760"/>
      <c r="C46" s="163">
        <f>SUMIF($G$7:$G$31,"Gas",$F$7:$F$31)</f>
        <v>0</v>
      </c>
      <c r="D46" s="117">
        <f>+C46+'1'!D46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+SUMIF(Listrik!P9,"&gt;0")</f>
        <v>33715.899999999274</v>
      </c>
      <c r="J46" s="134">
        <f>+I46+'1'!J46</f>
        <v>71062.559999998921</v>
      </c>
      <c r="K46" s="129" t="s">
        <v>78</v>
      </c>
    </row>
    <row r="47" spans="1:19" ht="17.45" customHeight="1">
      <c r="A47" s="759" t="s">
        <v>79</v>
      </c>
      <c r="B47" s="760"/>
      <c r="C47" s="163">
        <f>SUMIF($G$7:$G$31,"Gas",$F$7:$F$31)</f>
        <v>0</v>
      </c>
      <c r="D47" s="117">
        <f>+C47+'1'!D47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761.13280809082505</v>
      </c>
      <c r="J47" s="134">
        <f>J46/J38</f>
        <v>1029.1762252346036</v>
      </c>
      <c r="K47" s="129" t="s">
        <v>24</v>
      </c>
    </row>
    <row r="48" spans="1:19" ht="17.45" customHeight="1">
      <c r="A48" s="759" t="s">
        <v>14</v>
      </c>
      <c r="B48" s="760"/>
      <c r="C48" s="163">
        <f>SUMIF($G$7:$G$31,"Start Up",$F$7:$F$31)</f>
        <v>0</v>
      </c>
      <c r="D48" s="117">
        <f>+C48+'1'!D48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796.06875546004471</v>
      </c>
      <c r="J48" s="134">
        <f>J46/J40</f>
        <v>1082.5776179884665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>+C49+'1'!D49</f>
        <v>0</v>
      </c>
      <c r="E49" s="142">
        <f t="shared" si="0"/>
        <v>0</v>
      </c>
      <c r="F49" s="184"/>
      <c r="H49" s="187" t="s">
        <v>268</v>
      </c>
      <c r="I49" s="117">
        <f>+Report1!T10</f>
        <v>4610.0129446203309</v>
      </c>
      <c r="J49" s="134">
        <f>+I49+'1'!J49</f>
        <v>7589.957810291442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>+C50+'1'!D50</f>
        <v>0</v>
      </c>
      <c r="E50" s="142">
        <f t="shared" si="0"/>
        <v>0</v>
      </c>
      <c r="F50" s="184"/>
      <c r="H50" s="187" t="s">
        <v>83</v>
      </c>
      <c r="I50" s="139">
        <v>0</v>
      </c>
      <c r="J50" s="132">
        <f>J49/J38</f>
        <v>109.92292043638399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>+C51+'1'!D51</f>
        <v>0</v>
      </c>
      <c r="E51" s="142">
        <f t="shared" si="0"/>
        <v>0</v>
      </c>
      <c r="F51" s="184"/>
      <c r="H51" s="189" t="s">
        <v>85</v>
      </c>
      <c r="I51" s="140">
        <f>I49/I40</f>
        <v>108.84737668217909</v>
      </c>
      <c r="J51" s="135">
        <f>J49/J40</f>
        <v>115.62654718459892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69</v>
      </c>
      <c r="D52" s="143">
        <f>SUM(D38:D51)</f>
        <v>672</v>
      </c>
      <c r="E52" s="144">
        <f>SUM(E38:E51)</f>
        <v>11.200000000000001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4.791666666666667E-2</v>
      </c>
      <c r="D53" s="145">
        <f>D52/(24*60*G4)</f>
        <v>0.23333333333333334</v>
      </c>
      <c r="E53" s="146">
        <f>E52/(G4*24)</f>
        <v>0.23333333333333336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+D34+'1'!J56</f>
        <v>692</v>
      </c>
      <c r="K56" s="200">
        <f>J56/(J40+J56/1000)/1000</f>
        <v>1.0432055959236592E-2</v>
      </c>
    </row>
    <row r="57" spans="1:11">
      <c r="A57" s="175"/>
      <c r="I57" s="198" t="s">
        <v>88</v>
      </c>
      <c r="J57" s="199">
        <f>+E34+'1'!J57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61"/>
  <sheetViews>
    <sheetView view="pageBreakPreview" topLeftCell="F4" zoomScale="80" zoomScaleNormal="75" zoomScaleSheetLayoutView="80" workbookViewId="0">
      <selection activeCell="H28" sqref="H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3.57031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</v>
      </c>
      <c r="H4" s="153" t="s">
        <v>398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403</v>
      </c>
      <c r="O6" s="148">
        <v>1230</v>
      </c>
      <c r="P6" s="148">
        <f>+O6-O6*0.24</f>
        <v>934.8</v>
      </c>
      <c r="Q6" s="148">
        <f>60*6+35</f>
        <v>395</v>
      </c>
      <c r="R6" s="148">
        <f>+O6*Q6</f>
        <v>485850</v>
      </c>
      <c r="S6" s="148">
        <f>+P6*Q6</f>
        <v>369246</v>
      </c>
    </row>
    <row r="7" spans="1:19" ht="13.5" customHeight="1" thickBot="1">
      <c r="A7" s="745" t="s">
        <v>388</v>
      </c>
      <c r="B7" s="214" t="s">
        <v>409</v>
      </c>
      <c r="C7" s="215">
        <v>13329</v>
      </c>
      <c r="D7" s="216"/>
      <c r="E7" s="217"/>
      <c r="F7" s="227"/>
      <c r="G7" s="228" t="s">
        <v>12</v>
      </c>
      <c r="H7" s="229" t="s">
        <v>384</v>
      </c>
      <c r="I7" s="748" t="s">
        <v>585</v>
      </c>
      <c r="J7" s="248" t="s">
        <v>409</v>
      </c>
      <c r="K7" s="237">
        <f>+C34</f>
        <v>23289</v>
      </c>
      <c r="L7" s="241"/>
      <c r="M7" s="116">
        <f>+K7+L7</f>
        <v>23289</v>
      </c>
      <c r="P7" s="148">
        <f>+O7-O7*0.24</f>
        <v>0</v>
      </c>
      <c r="R7" s="148">
        <f>+O7*Q7</f>
        <v>0</v>
      </c>
      <c r="S7" s="148">
        <f>+P7*Q7</f>
        <v>0</v>
      </c>
    </row>
    <row r="8" spans="1:19" ht="13.5" thickBot="1">
      <c r="A8" s="746"/>
      <c r="B8" s="214"/>
      <c r="C8" s="215"/>
      <c r="D8" s="216"/>
      <c r="E8" s="218"/>
      <c r="F8" s="230">
        <v>5</v>
      </c>
      <c r="G8" s="231" t="s">
        <v>12</v>
      </c>
      <c r="H8" s="229" t="s">
        <v>407</v>
      </c>
      <c r="I8" s="749"/>
      <c r="J8" s="249"/>
      <c r="K8" s="509"/>
      <c r="L8" s="238"/>
      <c r="M8" s="116">
        <f t="shared" ref="M8:M32" si="0">+K8+L8</f>
        <v>0</v>
      </c>
      <c r="P8" s="148">
        <f>+O8-O8*0.235</f>
        <v>0</v>
      </c>
      <c r="R8" s="148">
        <f>+O8*Q8</f>
        <v>0</v>
      </c>
      <c r="S8" s="148">
        <f>+P8*Q8</f>
        <v>0</v>
      </c>
    </row>
    <row r="9" spans="1:19" ht="13.5" thickBot="1">
      <c r="A9" s="746"/>
      <c r="B9" s="214"/>
      <c r="C9" s="215"/>
      <c r="D9" s="216"/>
      <c r="E9" s="219"/>
      <c r="F9" s="227">
        <v>10</v>
      </c>
      <c r="G9" s="231" t="s">
        <v>12</v>
      </c>
      <c r="H9" s="232" t="s">
        <v>406</v>
      </c>
      <c r="I9" s="749"/>
      <c r="J9" s="249"/>
      <c r="K9" s="238"/>
      <c r="L9" s="238"/>
      <c r="M9" s="116">
        <f t="shared" si="0"/>
        <v>0</v>
      </c>
      <c r="P9" s="148">
        <f>+O9-O9*0.23</f>
        <v>0</v>
      </c>
      <c r="R9" s="148">
        <f>+O9*Q9</f>
        <v>0</v>
      </c>
      <c r="S9" s="148">
        <f>+P9*Q9</f>
        <v>0</v>
      </c>
    </row>
    <row r="10" spans="1:19" ht="26.25" thickBot="1">
      <c r="A10" s="746"/>
      <c r="B10" s="214"/>
      <c r="C10" s="215"/>
      <c r="D10" s="216"/>
      <c r="E10" s="218"/>
      <c r="F10" s="227">
        <v>0</v>
      </c>
      <c r="G10" s="236" t="s">
        <v>13</v>
      </c>
      <c r="H10" s="232" t="s">
        <v>402</v>
      </c>
      <c r="I10" s="749"/>
      <c r="J10" s="248"/>
      <c r="K10" s="238"/>
      <c r="L10" s="238"/>
      <c r="M10" s="116">
        <f t="shared" si="0"/>
        <v>0</v>
      </c>
    </row>
    <row r="11" spans="1:19" ht="13.5" thickBot="1">
      <c r="A11" s="746"/>
      <c r="B11" s="214"/>
      <c r="C11" s="215"/>
      <c r="D11" s="216"/>
      <c r="E11" s="218"/>
      <c r="F11" s="227">
        <v>85</v>
      </c>
      <c r="G11" s="231" t="s">
        <v>66</v>
      </c>
      <c r="H11" s="232" t="s">
        <v>401</v>
      </c>
      <c r="I11" s="749"/>
      <c r="J11" s="248"/>
      <c r="K11" s="238"/>
      <c r="L11" s="238"/>
      <c r="M11" s="116">
        <f t="shared" si="0"/>
        <v>0</v>
      </c>
    </row>
    <row r="12" spans="1:19" ht="13.5" thickBot="1">
      <c r="A12" s="746"/>
      <c r="B12" s="214"/>
      <c r="C12" s="215"/>
      <c r="D12" s="216"/>
      <c r="E12" s="218"/>
      <c r="F12" s="227"/>
      <c r="G12" s="231"/>
      <c r="H12" s="232"/>
      <c r="I12" s="749"/>
      <c r="J12" s="248"/>
      <c r="K12" s="238"/>
      <c r="L12" s="238"/>
      <c r="M12" s="116">
        <f t="shared" si="0"/>
        <v>0</v>
      </c>
    </row>
    <row r="13" spans="1:19" ht="13.5" thickBot="1">
      <c r="A13" s="746"/>
      <c r="B13" s="214"/>
      <c r="C13" s="215"/>
      <c r="D13" s="215"/>
      <c r="E13" s="218"/>
      <c r="F13" s="227"/>
      <c r="G13" s="231"/>
      <c r="H13" s="232"/>
      <c r="I13" s="750"/>
      <c r="J13" s="248"/>
      <c r="K13" s="238"/>
      <c r="L13" s="238"/>
      <c r="M13" s="116">
        <f t="shared" si="0"/>
        <v>0</v>
      </c>
    </row>
    <row r="14" spans="1:19" ht="13.5" thickBot="1">
      <c r="A14" s="747"/>
      <c r="B14" s="164" t="s">
        <v>2</v>
      </c>
      <c r="C14" s="98">
        <f>SUM(C7:C13)</f>
        <v>13329</v>
      </c>
      <c r="D14" s="110">
        <f>SUM(D7:D13)</f>
        <v>0</v>
      </c>
      <c r="E14" s="111">
        <f>SUM(E5:E13)</f>
        <v>0</v>
      </c>
      <c r="F14" s="115">
        <f>SUM(F7:F13)</f>
        <v>100</v>
      </c>
      <c r="G14" s="158"/>
      <c r="H14" s="165"/>
      <c r="I14" s="166"/>
      <c r="J14" s="248"/>
      <c r="K14" s="238"/>
      <c r="L14" s="238"/>
      <c r="M14" s="116">
        <f t="shared" si="0"/>
        <v>0</v>
      </c>
      <c r="Q14" s="148">
        <f>SUM(Q6:Q13)</f>
        <v>395</v>
      </c>
      <c r="R14" s="148">
        <f>SUM(R6:R13)</f>
        <v>485850</v>
      </c>
      <c r="S14" s="148">
        <f>SUM(S6:S13)</f>
        <v>369246</v>
      </c>
    </row>
    <row r="15" spans="1:19" ht="13.5" customHeight="1" thickBot="1">
      <c r="A15" s="745" t="s">
        <v>389</v>
      </c>
      <c r="B15" s="164"/>
      <c r="C15" s="112">
        <f>C14/($C$23+$D$23+$E$23)</f>
        <v>19.26156069364162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384</v>
      </c>
      <c r="I15" s="748" t="s">
        <v>404</v>
      </c>
      <c r="J15" s="248"/>
      <c r="K15" s="238"/>
      <c r="L15" s="238"/>
      <c r="M15" s="116">
        <f t="shared" si="0"/>
        <v>0</v>
      </c>
      <c r="P15" s="148" t="s">
        <v>404</v>
      </c>
      <c r="Q15" s="148">
        <f>480-Q14</f>
        <v>85</v>
      </c>
      <c r="R15" s="148">
        <f>+R14/Q14</f>
        <v>1230</v>
      </c>
      <c r="S15" s="148">
        <f>+S14/Q14</f>
        <v>934.8</v>
      </c>
    </row>
    <row r="16" spans="1:19" ht="13.5" thickBot="1">
      <c r="A16" s="751"/>
      <c r="B16" s="214"/>
      <c r="C16" s="221"/>
      <c r="D16" s="222">
        <v>692</v>
      </c>
      <c r="E16" s="223"/>
      <c r="F16" s="230"/>
      <c r="G16" s="231" t="s">
        <v>12</v>
      </c>
      <c r="H16" s="229" t="s">
        <v>284</v>
      </c>
      <c r="I16" s="749"/>
      <c r="J16" s="248"/>
      <c r="K16" s="228"/>
      <c r="L16" s="228"/>
      <c r="M16" s="116">
        <f t="shared" si="0"/>
        <v>0</v>
      </c>
    </row>
    <row r="17" spans="1:19" ht="13.5" thickBot="1">
      <c r="A17" s="751"/>
      <c r="B17" s="214"/>
      <c r="C17" s="215"/>
      <c r="D17" s="216"/>
      <c r="E17" s="224"/>
      <c r="F17" s="227"/>
      <c r="G17" s="231" t="s">
        <v>12</v>
      </c>
      <c r="H17" s="232" t="s">
        <v>408</v>
      </c>
      <c r="I17" s="749"/>
      <c r="J17" s="248"/>
      <c r="K17" s="228"/>
      <c r="L17" s="228"/>
      <c r="M17" s="116">
        <f t="shared" si="0"/>
        <v>0</v>
      </c>
    </row>
    <row r="18" spans="1:19" ht="13.5" thickBot="1">
      <c r="A18" s="751"/>
      <c r="B18" s="214"/>
      <c r="C18" s="215"/>
      <c r="D18" s="216"/>
      <c r="E18" s="224"/>
      <c r="F18" s="227"/>
      <c r="G18" s="236" t="s">
        <v>13</v>
      </c>
      <c r="H18" s="232" t="s">
        <v>669</v>
      </c>
      <c r="I18" s="749"/>
      <c r="J18" s="248"/>
      <c r="K18" s="238"/>
      <c r="L18" s="238"/>
      <c r="M18" s="116">
        <f t="shared" si="0"/>
        <v>0</v>
      </c>
    </row>
    <row r="19" spans="1:19" ht="140.25" customHeight="1" thickBot="1">
      <c r="A19" s="751"/>
      <c r="B19" s="214"/>
      <c r="C19" s="215"/>
      <c r="D19" s="216"/>
      <c r="E19" s="224"/>
      <c r="F19" s="234">
        <f>60*6+36</f>
        <v>396</v>
      </c>
      <c r="G19" s="231" t="s">
        <v>66</v>
      </c>
      <c r="H19" s="232" t="s">
        <v>400</v>
      </c>
      <c r="I19" s="749"/>
      <c r="J19" s="248"/>
      <c r="K19" s="238"/>
      <c r="L19" s="238"/>
      <c r="M19" s="116">
        <f t="shared" si="0"/>
        <v>0</v>
      </c>
    </row>
    <row r="20" spans="1:19" ht="13.5" thickBot="1">
      <c r="A20" s="751"/>
      <c r="B20" s="214"/>
      <c r="C20" s="215"/>
      <c r="D20" s="216"/>
      <c r="E20" s="224"/>
      <c r="F20" s="227">
        <f>480-F19</f>
        <v>84</v>
      </c>
      <c r="G20" s="231" t="s">
        <v>68</v>
      </c>
      <c r="H20" s="232"/>
      <c r="I20" s="749"/>
      <c r="J20" s="248"/>
      <c r="K20" s="239"/>
      <c r="L20" s="239"/>
      <c r="M20" s="116">
        <f t="shared" si="0"/>
        <v>0</v>
      </c>
    </row>
    <row r="21" spans="1:19" ht="13.5" thickBot="1">
      <c r="A21" s="751"/>
      <c r="B21" s="214"/>
      <c r="C21" s="215"/>
      <c r="D21" s="216"/>
      <c r="E21" s="224"/>
      <c r="F21" s="230"/>
      <c r="G21" s="231"/>
      <c r="H21" s="232"/>
      <c r="I21" s="749"/>
      <c r="J21" s="248"/>
      <c r="K21" s="238"/>
      <c r="L21" s="238"/>
      <c r="M21" s="116">
        <f t="shared" si="0"/>
        <v>0</v>
      </c>
    </row>
    <row r="22" spans="1:19" ht="13.5" thickBot="1">
      <c r="A22" s="751"/>
      <c r="B22" s="214"/>
      <c r="C22" s="215"/>
      <c r="D22" s="216"/>
      <c r="E22" s="224"/>
      <c r="F22" s="235"/>
      <c r="G22" s="231"/>
      <c r="H22" s="232"/>
      <c r="I22" s="750"/>
      <c r="J22" s="248"/>
      <c r="K22" s="238"/>
      <c r="L22" s="238"/>
      <c r="M22" s="116">
        <f t="shared" si="0"/>
        <v>0</v>
      </c>
    </row>
    <row r="23" spans="1:19" ht="13.5" thickBot="1">
      <c r="A23" s="752"/>
      <c r="B23" s="167" t="s">
        <v>2</v>
      </c>
      <c r="C23" s="99">
        <f>SUM(C16:C22)</f>
        <v>0</v>
      </c>
      <c r="D23" s="110">
        <f>SUM(D16:D22)</f>
        <v>692</v>
      </c>
      <c r="E23" s="111">
        <f>SUM(E18:E22)</f>
        <v>0</v>
      </c>
      <c r="F23" s="115">
        <f>SUM(F15:F22)</f>
        <v>480</v>
      </c>
      <c r="G23" s="158"/>
      <c r="H23" s="165"/>
      <c r="I23" s="168"/>
      <c r="J23" s="248"/>
      <c r="K23" s="238"/>
      <c r="L23" s="238"/>
      <c r="M23" s="116">
        <f t="shared" si="0"/>
        <v>0</v>
      </c>
      <c r="N23" s="148" t="s">
        <v>403</v>
      </c>
      <c r="O23" s="148">
        <v>1050</v>
      </c>
      <c r="P23" s="148">
        <f>+O23-O23*0.24</f>
        <v>798</v>
      </c>
      <c r="Q23" s="148">
        <v>240</v>
      </c>
      <c r="R23" s="148">
        <f>+O23*Q23</f>
        <v>252000</v>
      </c>
      <c r="S23" s="148">
        <f>+P23*Q23</f>
        <v>191520</v>
      </c>
    </row>
    <row r="24" spans="1:19" ht="13.5" customHeight="1" thickBot="1">
      <c r="A24" s="745" t="s">
        <v>387</v>
      </c>
      <c r="B24" s="169"/>
      <c r="C24" s="112">
        <f>C23/($C$23+$D$23+$E$23)</f>
        <v>0</v>
      </c>
      <c r="D24" s="113">
        <f>D23/($C$23+$D$23+$E$23)</f>
        <v>1</v>
      </c>
      <c r="E24" s="114">
        <f>E23/($C$23+$D$23+$E$23)</f>
        <v>0</v>
      </c>
      <c r="F24" s="227"/>
      <c r="G24" s="228" t="s">
        <v>12</v>
      </c>
      <c r="H24" s="229" t="s">
        <v>384</v>
      </c>
      <c r="I24" s="748" t="s">
        <v>668</v>
      </c>
      <c r="J24" s="248"/>
      <c r="K24" s="238"/>
      <c r="L24" s="238"/>
      <c r="M24" s="116">
        <f t="shared" si="0"/>
        <v>0</v>
      </c>
      <c r="O24" s="148">
        <v>1100</v>
      </c>
      <c r="P24" s="148">
        <f>+O24-O24*0.24</f>
        <v>836</v>
      </c>
      <c r="Q24" s="148">
        <v>240</v>
      </c>
      <c r="R24" s="148">
        <f>+O24*Q24</f>
        <v>264000</v>
      </c>
      <c r="S24" s="148">
        <f>+P24*Q24</f>
        <v>200640</v>
      </c>
    </row>
    <row r="25" spans="1:19" ht="13.5" thickBot="1">
      <c r="A25" s="751"/>
      <c r="B25" s="214" t="s">
        <v>409</v>
      </c>
      <c r="C25" s="225">
        <v>9960</v>
      </c>
      <c r="D25" s="216"/>
      <c r="E25" s="224"/>
      <c r="F25" s="230">
        <v>10</v>
      </c>
      <c r="G25" s="231" t="s">
        <v>12</v>
      </c>
      <c r="H25" s="229" t="s">
        <v>386</v>
      </c>
      <c r="I25" s="749"/>
      <c r="J25" s="248"/>
      <c r="K25" s="238"/>
      <c r="L25" s="238"/>
      <c r="M25" s="116">
        <f t="shared" si="0"/>
        <v>0</v>
      </c>
      <c r="P25" s="148">
        <f>+O25-O25*0.235</f>
        <v>0</v>
      </c>
      <c r="R25" s="148">
        <f>+O25*Q25</f>
        <v>0</v>
      </c>
      <c r="S25" s="148">
        <f>+P25*Q25</f>
        <v>0</v>
      </c>
    </row>
    <row r="26" spans="1:19" ht="13.5" thickBot="1">
      <c r="A26" s="751"/>
      <c r="B26" s="214"/>
      <c r="C26" s="225"/>
      <c r="D26" s="216"/>
      <c r="E26" s="226"/>
      <c r="F26" s="227">
        <v>13</v>
      </c>
      <c r="G26" s="231" t="s">
        <v>12</v>
      </c>
      <c r="H26" s="232" t="s">
        <v>385</v>
      </c>
      <c r="I26" s="749"/>
      <c r="J26" s="248"/>
      <c r="K26" s="238"/>
      <c r="L26" s="238"/>
      <c r="M26" s="116">
        <f t="shared" si="0"/>
        <v>0</v>
      </c>
      <c r="P26" s="148">
        <f>+O26-O26*0.23</f>
        <v>0</v>
      </c>
      <c r="R26" s="148">
        <f>+O26*Q26</f>
        <v>0</v>
      </c>
      <c r="S26" s="148">
        <f>+P26*Q26</f>
        <v>0</v>
      </c>
    </row>
    <row r="27" spans="1:19" ht="26.25" thickBot="1">
      <c r="A27" s="751"/>
      <c r="B27" s="214"/>
      <c r="C27" s="215"/>
      <c r="D27" s="216"/>
      <c r="E27" s="224"/>
      <c r="F27" s="227"/>
      <c r="G27" s="236" t="s">
        <v>13</v>
      </c>
      <c r="H27" s="232" t="s">
        <v>670</v>
      </c>
      <c r="I27" s="749"/>
      <c r="J27" s="248"/>
      <c r="K27" s="238"/>
      <c r="L27" s="238"/>
      <c r="M27" s="116">
        <f t="shared" si="0"/>
        <v>0</v>
      </c>
    </row>
    <row r="28" spans="1:19" ht="26.25" thickBot="1">
      <c r="A28" s="751"/>
      <c r="B28" s="214"/>
      <c r="C28" s="215"/>
      <c r="D28" s="216"/>
      <c r="E28" s="224"/>
      <c r="F28" s="230"/>
      <c r="G28" s="231"/>
      <c r="H28" s="232" t="s">
        <v>399</v>
      </c>
      <c r="I28" s="749"/>
      <c r="J28" s="248"/>
      <c r="K28" s="238"/>
      <c r="L28" s="238"/>
      <c r="M28" s="116">
        <f t="shared" si="0"/>
        <v>0</v>
      </c>
    </row>
    <row r="29" spans="1:19" ht="13.5" thickBot="1">
      <c r="A29" s="751"/>
      <c r="B29" s="214"/>
      <c r="C29" s="215"/>
      <c r="D29" s="216"/>
      <c r="E29" s="224"/>
      <c r="F29" s="235"/>
      <c r="G29" s="231"/>
      <c r="H29" s="232"/>
      <c r="I29" s="749"/>
      <c r="J29" s="248"/>
      <c r="K29" s="238"/>
      <c r="L29" s="238"/>
      <c r="M29" s="116">
        <f t="shared" si="0"/>
        <v>0</v>
      </c>
    </row>
    <row r="30" spans="1:19" ht="13.5" thickBot="1">
      <c r="A30" s="751"/>
      <c r="B30" s="214"/>
      <c r="C30" s="225"/>
      <c r="D30" s="216"/>
      <c r="E30" s="224"/>
      <c r="F30" s="235"/>
      <c r="G30" s="231"/>
      <c r="H30" s="232"/>
      <c r="I30" s="749"/>
      <c r="J30" s="248"/>
      <c r="K30" s="238"/>
      <c r="L30" s="238"/>
      <c r="M30" s="116">
        <f t="shared" si="0"/>
        <v>0</v>
      </c>
    </row>
    <row r="31" spans="1:19" ht="13.5" thickBot="1">
      <c r="A31" s="751"/>
      <c r="B31" s="214"/>
      <c r="C31" s="225"/>
      <c r="D31" s="216"/>
      <c r="E31" s="224"/>
      <c r="F31" s="235"/>
      <c r="G31" s="236"/>
      <c r="H31" s="443"/>
      <c r="I31" s="750"/>
      <c r="J31" s="248"/>
      <c r="K31" s="238"/>
      <c r="L31" s="238"/>
      <c r="M31" s="116">
        <f t="shared" si="0"/>
        <v>0</v>
      </c>
      <c r="Q31" s="148">
        <f>SUM(Q23:Q30)</f>
        <v>480</v>
      </c>
      <c r="R31" s="148">
        <f>SUM(R23:R30)</f>
        <v>516000</v>
      </c>
      <c r="S31" s="148">
        <f>SUM(S23:S30)</f>
        <v>392160</v>
      </c>
    </row>
    <row r="32" spans="1:19" ht="13.5" thickBot="1">
      <c r="A32" s="752"/>
      <c r="B32" s="164" t="s">
        <v>2</v>
      </c>
      <c r="C32" s="98">
        <f>SUM(C25:C31)</f>
        <v>9960</v>
      </c>
      <c r="D32" s="99">
        <f>SUM(D25:D31)</f>
        <v>0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50"/>
      <c r="K32" s="240"/>
      <c r="L32" s="242"/>
      <c r="M32" s="116">
        <f t="shared" si="0"/>
        <v>0</v>
      </c>
      <c r="P32" s="148" t="s">
        <v>404</v>
      </c>
      <c r="Q32" s="148">
        <f>480-Q31</f>
        <v>0</v>
      </c>
      <c r="R32" s="148">
        <f>+R31/Q31</f>
        <v>1075</v>
      </c>
      <c r="S32" s="148">
        <f>+S31/Q31</f>
        <v>817</v>
      </c>
    </row>
    <row r="33" spans="1:14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4" ht="13.5" thickBot="1">
      <c r="A34" s="753" t="s">
        <v>57</v>
      </c>
      <c r="B34" s="754"/>
      <c r="C34" s="106">
        <f>C14+C23+C32</f>
        <v>23289</v>
      </c>
      <c r="D34" s="106">
        <f>D14+D23+D32</f>
        <v>692</v>
      </c>
      <c r="E34" s="106">
        <f>E14+E23+E32</f>
        <v>0</v>
      </c>
      <c r="F34" s="107">
        <f>F14+F23+F32</f>
        <v>603</v>
      </c>
      <c r="H34" s="177"/>
      <c r="I34" s="177"/>
      <c r="J34" s="122" t="s">
        <v>28</v>
      </c>
      <c r="K34" s="123">
        <f>SUM(K7:K32)</f>
        <v>23289</v>
      </c>
      <c r="L34" s="211">
        <f>SUM(L7:L32)</f>
        <v>0</v>
      </c>
      <c r="M34" s="119">
        <f>SUM(M7:M32)</f>
        <v>23289</v>
      </c>
    </row>
    <row r="35" spans="1:14" ht="13.5" thickBot="1">
      <c r="A35" s="178"/>
      <c r="B35" s="179"/>
      <c r="C35" s="103">
        <f>C34/($C$34+$D$34+$E$34)</f>
        <v>0.97114382219256912</v>
      </c>
      <c r="D35" s="103">
        <f>D34/($C$34+$D$34+$E$34)</f>
        <v>2.8856177807430883E-2</v>
      </c>
      <c r="E35" s="108">
        <f>E34/($C$34+$D$34+$E$34)</f>
        <v>0</v>
      </c>
      <c r="K35" s="154"/>
    </row>
    <row r="36" spans="1:14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N36" s="148">
        <v>395</v>
      </c>
    </row>
    <row r="37" spans="1:14" ht="17.45" customHeight="1" thickBot="1">
      <c r="A37" s="755" t="s">
        <v>58</v>
      </c>
      <c r="B37" s="756"/>
      <c r="C37" s="161" t="s">
        <v>59</v>
      </c>
      <c r="D37" s="182" t="s">
        <v>60</v>
      </c>
      <c r="E37" s="183" t="s">
        <v>61</v>
      </c>
      <c r="F37" s="184"/>
      <c r="G37" s="154"/>
      <c r="H37" s="185" t="s">
        <v>62</v>
      </c>
      <c r="I37" s="243">
        <f>(14*875)/875*G42*2.74*875/1000000</f>
        <v>29.207534160000005</v>
      </c>
      <c r="J37" s="124">
        <f>I37</f>
        <v>29.207534160000005</v>
      </c>
      <c r="K37" s="125" t="s">
        <v>63</v>
      </c>
      <c r="N37" s="148">
        <v>0</v>
      </c>
    </row>
    <row r="38" spans="1:14" ht="17.45" customHeight="1">
      <c r="A38" s="757" t="s">
        <v>12</v>
      </c>
      <c r="B38" s="758"/>
      <c r="C38" s="163">
        <f>SUMIF($G$7:$G$31,"Process",$F$7:$F$31)</f>
        <v>38</v>
      </c>
      <c r="D38" s="117">
        <f>C38</f>
        <v>38</v>
      </c>
      <c r="E38" s="142">
        <f t="shared" ref="E38:E51" si="1">D38/60</f>
        <v>0.6333333333333333</v>
      </c>
      <c r="F38" s="184">
        <v>1230</v>
      </c>
      <c r="G38" s="184">
        <v>934.8</v>
      </c>
      <c r="H38" s="186" t="s">
        <v>64</v>
      </c>
      <c r="I38" s="244">
        <f>11.414+13.337</f>
        <v>24.750999999999998</v>
      </c>
      <c r="J38" s="126">
        <f>I38</f>
        <v>24.750999999999998</v>
      </c>
      <c r="K38" s="127" t="s">
        <v>63</v>
      </c>
      <c r="N38" s="148">
        <v>480</v>
      </c>
    </row>
    <row r="39" spans="1:14" ht="17.45" customHeight="1">
      <c r="A39" s="759" t="s">
        <v>13</v>
      </c>
      <c r="B39" s="760"/>
      <c r="C39" s="163">
        <f>SUMIF($G$7:$G$31,"Cleaning",$F$7:$F$31)</f>
        <v>0</v>
      </c>
      <c r="D39" s="117">
        <f>C39</f>
        <v>0</v>
      </c>
      <c r="E39" s="142">
        <f t="shared" si="1"/>
        <v>0</v>
      </c>
      <c r="F39" s="184"/>
      <c r="G39" s="184"/>
      <c r="H39" s="186" t="s">
        <v>65</v>
      </c>
      <c r="I39" s="141"/>
      <c r="J39" s="128">
        <f>J37/G4</f>
        <v>29.207534160000005</v>
      </c>
      <c r="K39" s="129" t="s">
        <v>63</v>
      </c>
      <c r="N39" s="148">
        <f>+N36+N37+N38</f>
        <v>875</v>
      </c>
    </row>
    <row r="40" spans="1:14" ht="17.45" customHeight="1">
      <c r="A40" s="759" t="s">
        <v>66</v>
      </c>
      <c r="B40" s="760"/>
      <c r="C40" s="163">
        <f>SUMIF($G$7:$G$31,"Mechanical",$F$7:$F$31)</f>
        <v>481</v>
      </c>
      <c r="D40" s="117">
        <f t="shared" ref="D40:D51" si="2">C40</f>
        <v>481</v>
      </c>
      <c r="E40" s="142">
        <f t="shared" si="1"/>
        <v>8.0166666666666675</v>
      </c>
      <c r="F40" s="184">
        <v>1075</v>
      </c>
      <c r="G40" s="184">
        <v>817</v>
      </c>
      <c r="H40" s="186" t="s">
        <v>67</v>
      </c>
      <c r="I40" s="117">
        <f>(K34+L34)/1000</f>
        <v>23.289000000000001</v>
      </c>
      <c r="J40" s="130">
        <f>M34/1000</f>
        <v>23.289000000000001</v>
      </c>
      <c r="K40" s="129" t="s">
        <v>63</v>
      </c>
    </row>
    <row r="41" spans="1:14" ht="17.45" customHeight="1">
      <c r="A41" s="759" t="s">
        <v>68</v>
      </c>
      <c r="B41" s="760"/>
      <c r="C41" s="163">
        <f>SUMIF($G$7:$G$31,"Electrical",$F$7:$F$31)</f>
        <v>84</v>
      </c>
      <c r="D41" s="117">
        <f t="shared" si="2"/>
        <v>84</v>
      </c>
      <c r="E41" s="142">
        <f t="shared" si="1"/>
        <v>1.4</v>
      </c>
      <c r="F41" s="184"/>
      <c r="G41" s="184"/>
      <c r="H41" s="186" t="s">
        <v>69</v>
      </c>
      <c r="I41" s="141"/>
      <c r="J41" s="128">
        <f>J40/G4</f>
        <v>23.289000000000001</v>
      </c>
      <c r="K41" s="129" t="s">
        <v>63</v>
      </c>
    </row>
    <row r="42" spans="1:14" ht="17.45" customHeight="1">
      <c r="A42" s="759" t="s">
        <v>16</v>
      </c>
      <c r="B42" s="760"/>
      <c r="C42" s="163">
        <f>SUMIF($G$7:$G$31,"Instrument",$F$7:$F$31)</f>
        <v>0</v>
      </c>
      <c r="D42" s="117">
        <f t="shared" si="2"/>
        <v>0</v>
      </c>
      <c r="E42" s="142">
        <f t="shared" si="1"/>
        <v>0</v>
      </c>
      <c r="F42" s="321">
        <f>+(395*F38+0*F39+480*F40)/875</f>
        <v>1144.9714285714285</v>
      </c>
      <c r="G42" s="321">
        <f>+(395*G38+0*G39+480*G40)/875</f>
        <v>870.17828571428572</v>
      </c>
      <c r="H42" s="186" t="s">
        <v>70</v>
      </c>
      <c r="I42" s="245" t="s">
        <v>405</v>
      </c>
      <c r="J42" s="131"/>
      <c r="K42" s="129" t="s">
        <v>71</v>
      </c>
    </row>
    <row r="43" spans="1:14" ht="17.45" customHeight="1">
      <c r="A43" s="759" t="s">
        <v>220</v>
      </c>
      <c r="B43" s="760"/>
      <c r="C43" s="163">
        <f>SUMIF($G$7:$G$31,"Change Grade",$F$7:$F$31)</f>
        <v>0</v>
      </c>
      <c r="D43" s="117">
        <f t="shared" si="2"/>
        <v>0</v>
      </c>
      <c r="E43" s="142">
        <f t="shared" si="1"/>
        <v>0</v>
      </c>
      <c r="F43" s="184"/>
      <c r="H43" s="187" t="s">
        <v>73</v>
      </c>
      <c r="I43" s="117">
        <f>+Report1!Z9</f>
        <v>35.700000000000003</v>
      </c>
      <c r="J43" s="132">
        <f>I43</f>
        <v>35.700000000000003</v>
      </c>
      <c r="K43" s="129" t="s">
        <v>63</v>
      </c>
      <c r="L43" s="188"/>
    </row>
    <row r="44" spans="1:14" ht="17.45" customHeight="1">
      <c r="A44" s="759" t="s">
        <v>17</v>
      </c>
      <c r="B44" s="760"/>
      <c r="C44" s="163">
        <f>SUMIF($G$7:$G$31,"PLN",$F$7:$F$31)</f>
        <v>0</v>
      </c>
      <c r="D44" s="117">
        <f>C44</f>
        <v>0</v>
      </c>
      <c r="E44" s="142">
        <f t="shared" si="1"/>
        <v>0</v>
      </c>
      <c r="F44" s="184"/>
      <c r="H44" s="187" t="s">
        <v>74</v>
      </c>
      <c r="I44" s="117">
        <f>I43/I38</f>
        <v>1.442365965011515</v>
      </c>
      <c r="J44" s="133">
        <f>J43/J38</f>
        <v>1.442365965011515</v>
      </c>
      <c r="K44" s="129" t="s">
        <v>63</v>
      </c>
    </row>
    <row r="45" spans="1:14" ht="17.45" customHeight="1">
      <c r="A45" s="759" t="s">
        <v>18</v>
      </c>
      <c r="B45" s="760"/>
      <c r="C45" s="163">
        <f>SUMIF($G$7:$G$31,"Boiler",$F$7:$F$31)</f>
        <v>0</v>
      </c>
      <c r="D45" s="117">
        <f t="shared" si="2"/>
        <v>0</v>
      </c>
      <c r="E45" s="142">
        <f t="shared" si="1"/>
        <v>0</v>
      </c>
      <c r="F45" s="184"/>
      <c r="G45" s="175"/>
      <c r="H45" s="187" t="s">
        <v>75</v>
      </c>
      <c r="I45" s="117">
        <f>I43/I40</f>
        <v>1.5329125338142471</v>
      </c>
      <c r="J45" s="133">
        <f>J43/J40</f>
        <v>1.5329125338142471</v>
      </c>
      <c r="K45" s="129" t="s">
        <v>63</v>
      </c>
    </row>
    <row r="46" spans="1:14" ht="17.45" customHeight="1">
      <c r="A46" s="759" t="s">
        <v>76</v>
      </c>
      <c r="B46" s="760"/>
      <c r="C46" s="163">
        <f>SUMIF($G$7:$G$31,"Gas",$F$7:$F$31)</f>
        <v>0</v>
      </c>
      <c r="D46" s="117">
        <f t="shared" si="2"/>
        <v>0</v>
      </c>
      <c r="E46" s="142">
        <f t="shared" si="1"/>
        <v>0</v>
      </c>
      <c r="F46" s="184"/>
      <c r="H46" s="187" t="s">
        <v>77</v>
      </c>
      <c r="I46" s="139">
        <f>+SUMIF(Listrik!P8,"&gt;0")</f>
        <v>37346.65999999964</v>
      </c>
      <c r="J46" s="134">
        <f>I46</f>
        <v>37346.65999999964</v>
      </c>
      <c r="K46" s="129" t="s">
        <v>78</v>
      </c>
    </row>
    <row r="47" spans="1:14" ht="17.45" customHeight="1">
      <c r="A47" s="759" t="s">
        <v>79</v>
      </c>
      <c r="B47" s="760"/>
      <c r="C47" s="163">
        <f>SUMIF($G$7:$G$31,"Gas",$F$7:$F$31)</f>
        <v>0</v>
      </c>
      <c r="D47" s="117">
        <f t="shared" si="2"/>
        <v>0</v>
      </c>
      <c r="E47" s="142">
        <f t="shared" si="1"/>
        <v>0</v>
      </c>
      <c r="F47" s="184"/>
      <c r="H47" s="187" t="s">
        <v>80</v>
      </c>
      <c r="I47" s="117">
        <f>I46/I38</f>
        <v>1508.8949941416365</v>
      </c>
      <c r="J47" s="134">
        <f>J46/J38</f>
        <v>1508.8949941416365</v>
      </c>
      <c r="K47" s="129" t="s">
        <v>24</v>
      </c>
    </row>
    <row r="48" spans="1:14" ht="17.45" customHeight="1">
      <c r="A48" s="759" t="s">
        <v>14</v>
      </c>
      <c r="B48" s="760"/>
      <c r="C48" s="163">
        <f>SUMIF($G$7:$G$31,"Start Up",$F$7:$F$31)</f>
        <v>0</v>
      </c>
      <c r="D48" s="117">
        <f t="shared" si="2"/>
        <v>0</v>
      </c>
      <c r="E48" s="142">
        <f t="shared" si="1"/>
        <v>0</v>
      </c>
      <c r="F48" s="184"/>
      <c r="H48" s="187" t="s">
        <v>81</v>
      </c>
      <c r="I48" s="117">
        <f>I46/I40</f>
        <v>1603.6180170895975</v>
      </c>
      <c r="J48" s="134">
        <f>J46/J40</f>
        <v>1603.6180170895975</v>
      </c>
      <c r="K48" s="129" t="s">
        <v>24</v>
      </c>
    </row>
    <row r="49" spans="1:11" ht="17.45" customHeight="1">
      <c r="A49" s="759" t="s">
        <v>20</v>
      </c>
      <c r="B49" s="760"/>
      <c r="C49" s="163">
        <f>SUMIF($G$7:$G$31,"Others",$F$7:$F$31)</f>
        <v>0</v>
      </c>
      <c r="D49" s="117">
        <f t="shared" si="2"/>
        <v>0</v>
      </c>
      <c r="E49" s="142">
        <f t="shared" si="1"/>
        <v>0</v>
      </c>
      <c r="F49" s="184"/>
      <c r="H49" s="187" t="s">
        <v>268</v>
      </c>
      <c r="I49" s="117">
        <f>+Report1!T9</f>
        <v>2979.9448656711115</v>
      </c>
      <c r="J49" s="134">
        <f>I49</f>
        <v>2979.9448656711115</v>
      </c>
      <c r="K49" s="129" t="s">
        <v>82</v>
      </c>
    </row>
    <row r="50" spans="1:11" ht="17.45" customHeight="1">
      <c r="A50" s="759" t="s">
        <v>19</v>
      </c>
      <c r="B50" s="760"/>
      <c r="C50" s="163">
        <f>SUMIF($G$7:$G$31,"Steam",$F$7:$F$31)</f>
        <v>0</v>
      </c>
      <c r="D50" s="117">
        <f t="shared" si="2"/>
        <v>0</v>
      </c>
      <c r="E50" s="142">
        <f t="shared" si="1"/>
        <v>0</v>
      </c>
      <c r="F50" s="184"/>
      <c r="H50" s="187" t="s">
        <v>83</v>
      </c>
      <c r="I50" s="139">
        <f>I49/I38</f>
        <v>120.3969482312275</v>
      </c>
      <c r="J50" s="132">
        <f>J49/J38</f>
        <v>120.3969482312275</v>
      </c>
      <c r="K50" s="129" t="s">
        <v>82</v>
      </c>
    </row>
    <row r="51" spans="1:11" ht="17.45" customHeight="1" thickBot="1">
      <c r="A51" s="761" t="s">
        <v>84</v>
      </c>
      <c r="B51" s="762"/>
      <c r="C51" s="163">
        <f>SUMIF($G$7:$G$31,"Planned shut",$F$7:$F$31)</f>
        <v>0</v>
      </c>
      <c r="D51" s="117">
        <f t="shared" si="2"/>
        <v>0</v>
      </c>
      <c r="E51" s="142">
        <f t="shared" si="1"/>
        <v>0</v>
      </c>
      <c r="F51" s="184"/>
      <c r="H51" s="189" t="s">
        <v>85</v>
      </c>
      <c r="I51" s="140">
        <f>I49/I40</f>
        <v>127.95503738550866</v>
      </c>
      <c r="J51" s="135">
        <f>J49/J40</f>
        <v>127.95503738550866</v>
      </c>
      <c r="K51" s="136" t="s">
        <v>82</v>
      </c>
    </row>
    <row r="52" spans="1:11" ht="13.5" thickBot="1">
      <c r="A52" s="757" t="s">
        <v>28</v>
      </c>
      <c r="B52" s="758"/>
      <c r="C52" s="143">
        <f>SUM(C38:C51)</f>
        <v>603</v>
      </c>
      <c r="D52" s="143">
        <f>SUM(D38:D51)</f>
        <v>603</v>
      </c>
      <c r="E52" s="144">
        <f>SUM(E38:E51)</f>
        <v>10.050000000000001</v>
      </c>
      <c r="F52" s="184"/>
      <c r="H52" s="190"/>
      <c r="I52" s="191"/>
      <c r="J52" s="137"/>
      <c r="K52" s="138"/>
    </row>
    <row r="53" spans="1:11" ht="13.5" thickBot="1">
      <c r="A53" s="763"/>
      <c r="B53" s="764"/>
      <c r="C53" s="145">
        <f>C52/(24*60)</f>
        <v>0.41875000000000001</v>
      </c>
      <c r="D53" s="145">
        <f>D52/(24*60*G4)</f>
        <v>0.41875000000000001</v>
      </c>
      <c r="E53" s="146">
        <f>E52/(G4*24)</f>
        <v>0.41875000000000001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D34</f>
        <v>692</v>
      </c>
      <c r="K56" s="200">
        <f>J56/(J40+J56/1000)/1000</f>
        <v>2.8856177807430883E-2</v>
      </c>
    </row>
    <row r="57" spans="1:11">
      <c r="A57" s="175"/>
      <c r="I57" s="198" t="s">
        <v>88</v>
      </c>
      <c r="J57" s="199">
        <f>+E34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  <mergeCell ref="A7:A14"/>
    <mergeCell ref="I7:I13"/>
    <mergeCell ref="A15:A23"/>
    <mergeCell ref="I15:I22"/>
    <mergeCell ref="A34:B34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35</vt:i4>
      </vt:variant>
    </vt:vector>
  </HeadingPairs>
  <TitlesOfParts>
    <vt:vector size="77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2026-01-02T07:39:29Z</cp:lastPrinted>
  <dcterms:created xsi:type="dcterms:W3CDTF">2007-07-30T03:52:39Z</dcterms:created>
  <dcterms:modified xsi:type="dcterms:W3CDTF">2026-01-02T08:27:42Z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